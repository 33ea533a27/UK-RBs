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0.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5.xml" ContentType="application/vnd.openxmlformats-officedocument.drawingml.chartshapes+xml"/>
  <Override PartName="/xl/drawings/drawing16.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7.xml" ContentType="application/vnd.openxmlformats-officedocument.drawingml.chartshapes+xml"/>
  <Override PartName="/xl/drawings/drawing18.xml" ContentType="application/vnd.openxmlformats-officedocument.drawing+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9.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4D91EE94-01D0-443F-B485-B55B608B965A}" xr6:coauthVersionLast="47" xr6:coauthVersionMax="47" xr10:uidLastSave="{00000000-0000-0000-0000-000000000000}"/>
  <bookViews>
    <workbookView xWindow="-120" yWindow="-120" windowWidth="29040" windowHeight="15840" firstSheet="1" activeTab="1" xr2:uid="{01EB5883-3C54-4EA7-BAD2-585E4111CB63}"/>
  </bookViews>
  <sheets>
    <sheet name="CHARTS&gt;&gt;" sheetId="26" r:id="rId1"/>
    <sheet name="Chart - Lab mkt strength" sheetId="31" r:id="rId2"/>
    <sheet name="Chart - UPILO 1 &amp; 3mth" sheetId="3" r:id="rId3"/>
    <sheet name="Chart - WFJ change" sheetId="12" r:id="rId4"/>
    <sheet name="Chart - DMP NICs" sheetId="28" r:id="rId5"/>
    <sheet name="DATA&gt;&gt;" sheetId="25" r:id="rId6"/>
    <sheet name="Chart Data" sheetId="2" r:id="rId7"/>
    <sheet name="DMP - NICs Reaction" sheetId="24" r:id="rId8"/>
    <sheet name="HAVERM" sheetId="1" r:id="rId9"/>
    <sheet name="HAVERQ" sheetId="5" r:id="rId10"/>
    <sheet name="DataA" sheetId="21" r:id="rId11"/>
    <sheet name="DataQ" sheetId="17" r:id="rId12"/>
    <sheet name="GMWQ" sheetId="14" r:id="rId13"/>
    <sheet name="NOT USED&gt;&gt;" sheetId="27" r:id="rId14"/>
    <sheet name="Chart - UPILO 1mth range &amp; 3m" sheetId="4" r:id="rId15"/>
    <sheet name="Chart - Emp pub vs priv" sheetId="6" r:id="rId16"/>
    <sheet name="Chart - pub sector emp (level)" sheetId="7" r:id="rId17"/>
    <sheet name="Chart - pub sector emp (share)" sheetId="10" r:id="rId18"/>
    <sheet name="Chart - WFJ change (short)" sheetId="11" r:id="rId19"/>
    <sheet name="Chart - Lab cont to PEDY!" sheetId="22" r:id="rId20"/>
    <sheet name="Chart - Lab cont to PEDY" sheetId="23" r:id="rId21"/>
    <sheet name="Chart - WC &amp; COGTP" sheetId="19" r:id="rId22"/>
  </sheets>
  <externalReferences>
    <externalReference r:id="rId23"/>
  </externalReferences>
  <definedNames>
    <definedName name="_DLX1.INC">HAVERM!$A$1:$G$6</definedName>
    <definedName name="_DLX2.INC">HAVERQ!$A$2:$BM$7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W3" i="2" l="1"/>
  <c r="DE5" i="2"/>
  <c r="DE6" i="2"/>
  <c r="DE7" i="2"/>
  <c r="DE8" i="2"/>
  <c r="DE9" i="2"/>
  <c r="DE10" i="2"/>
  <c r="DE11" i="2"/>
  <c r="DE12" i="2"/>
  <c r="DE13" i="2"/>
  <c r="DE14" i="2"/>
  <c r="DE15" i="2"/>
  <c r="DE16" i="2"/>
  <c r="DE17" i="2"/>
  <c r="DE18" i="2"/>
  <c r="DE19" i="2"/>
  <c r="DE20" i="2"/>
  <c r="DE21" i="2"/>
  <c r="DE22" i="2"/>
  <c r="DE23" i="2"/>
  <c r="DE24" i="2"/>
  <c r="DE25" i="2"/>
  <c r="DE26" i="2"/>
  <c r="DE27" i="2"/>
  <c r="DE28" i="2"/>
  <c r="DE29" i="2"/>
  <c r="DE30" i="2"/>
  <c r="DE31" i="2"/>
  <c r="DE32" i="2"/>
  <c r="DE33" i="2"/>
  <c r="DE34" i="2"/>
  <c r="DE35" i="2"/>
  <c r="DE36" i="2"/>
  <c r="DE37" i="2"/>
  <c r="DE38" i="2"/>
  <c r="DE39" i="2"/>
  <c r="DE40" i="2"/>
  <c r="DE41" i="2"/>
  <c r="DE42" i="2"/>
  <c r="DE43" i="2"/>
  <c r="DE44" i="2"/>
  <c r="DE45" i="2"/>
  <c r="DE46" i="2"/>
  <c r="DE47" i="2"/>
  <c r="DE48" i="2"/>
  <c r="DE49" i="2"/>
  <c r="DE50" i="2"/>
  <c r="DE51" i="2"/>
  <c r="DE52" i="2"/>
  <c r="DE53" i="2"/>
  <c r="DE54" i="2"/>
  <c r="DE55" i="2"/>
  <c r="DE56" i="2"/>
  <c r="DE57" i="2"/>
  <c r="DE58" i="2"/>
  <c r="DE59" i="2"/>
  <c r="DE60" i="2"/>
  <c r="DE61" i="2"/>
  <c r="DE62" i="2"/>
  <c r="DE4" i="2"/>
  <c r="DO5" i="2"/>
  <c r="DO6" i="2"/>
  <c r="DO7" i="2"/>
  <c r="DO8" i="2"/>
  <c r="DO9" i="2"/>
  <c r="DO10" i="2"/>
  <c r="DO11" i="2"/>
  <c r="DO12" i="2"/>
  <c r="DO13" i="2"/>
  <c r="DO14" i="2"/>
  <c r="DO15" i="2"/>
  <c r="DO16" i="2"/>
  <c r="DO17" i="2"/>
  <c r="DO18" i="2"/>
  <c r="DO19" i="2"/>
  <c r="DO20" i="2"/>
  <c r="DO21" i="2"/>
  <c r="DO22" i="2"/>
  <c r="DO23" i="2"/>
  <c r="DO24" i="2"/>
  <c r="DO25" i="2"/>
  <c r="DO26" i="2"/>
  <c r="DO27" i="2"/>
  <c r="DO28" i="2"/>
  <c r="DO29" i="2"/>
  <c r="DO30" i="2"/>
  <c r="DO31" i="2"/>
  <c r="DO32" i="2"/>
  <c r="DO33" i="2"/>
  <c r="DO34" i="2"/>
  <c r="DO35" i="2"/>
  <c r="DO36" i="2"/>
  <c r="DO37" i="2"/>
  <c r="DO38" i="2"/>
  <c r="DO39" i="2"/>
  <c r="DO40" i="2"/>
  <c r="DO41" i="2"/>
  <c r="DO42" i="2"/>
  <c r="DO43" i="2"/>
  <c r="DO44" i="2"/>
  <c r="DO45" i="2"/>
  <c r="DO46" i="2"/>
  <c r="DO47" i="2"/>
  <c r="DO48" i="2"/>
  <c r="DO49" i="2"/>
  <c r="DO50" i="2"/>
  <c r="DO51" i="2"/>
  <c r="DO52" i="2"/>
  <c r="DO53" i="2"/>
  <c r="DO54" i="2"/>
  <c r="DO55" i="2"/>
  <c r="DO56" i="2"/>
  <c r="DO57" i="2"/>
  <c r="DO58" i="2"/>
  <c r="DO59" i="2"/>
  <c r="DO60" i="2"/>
  <c r="DO61" i="2"/>
  <c r="DO62" i="2"/>
  <c r="DO4" i="2"/>
  <c r="DA61" i="2" l="1"/>
  <c r="DA53" i="2"/>
  <c r="DA45" i="2"/>
  <c r="DA37" i="2"/>
  <c r="DA29" i="2"/>
  <c r="DA21" i="2"/>
  <c r="DA13" i="2"/>
  <c r="DA1" i="2"/>
  <c r="DA51" i="2"/>
  <c r="DA19" i="2"/>
  <c r="DA57" i="2"/>
  <c r="DA49" i="2"/>
  <c r="DA41" i="2"/>
  <c r="DA33" i="2"/>
  <c r="DA25" i="2"/>
  <c r="DA17" i="2"/>
  <c r="DA9" i="2"/>
  <c r="DA59" i="2"/>
  <c r="DA35" i="2"/>
  <c r="DA43" i="2"/>
  <c r="DA27" i="2"/>
  <c r="DA11" i="2"/>
  <c r="DA4" i="2"/>
  <c r="DA55" i="2"/>
  <c r="DA47" i="2"/>
  <c r="DA39" i="2"/>
  <c r="DA31" i="2"/>
  <c r="DA23" i="2"/>
  <c r="DA52" i="2"/>
  <c r="DA44" i="2"/>
  <c r="DA62" i="2"/>
  <c r="DW4" i="2" s="1"/>
  <c r="DA54" i="2"/>
  <c r="DA46" i="2"/>
  <c r="DA38" i="2"/>
  <c r="DA30" i="2"/>
  <c r="DA22" i="2"/>
  <c r="DA14" i="2"/>
  <c r="DA6" i="2"/>
  <c r="DA56" i="2"/>
  <c r="DA8" i="2"/>
  <c r="DA15" i="2"/>
  <c r="DA7" i="2"/>
  <c r="DA2" i="2"/>
  <c r="DA40" i="2"/>
  <c r="DA32" i="2"/>
  <c r="DA16" i="2"/>
  <c r="DA48" i="2"/>
  <c r="DA24" i="2"/>
  <c r="DA5" i="2"/>
  <c r="DA60" i="2"/>
  <c r="DA36" i="2"/>
  <c r="DA28" i="2"/>
  <c r="DA20" i="2"/>
  <c r="DA12" i="2"/>
  <c r="DA58" i="2"/>
  <c r="DA50" i="2"/>
  <c r="DA42" i="2"/>
  <c r="DA34" i="2"/>
  <c r="DA26" i="2"/>
  <c r="DA18" i="2"/>
  <c r="DA10" i="2"/>
  <c r="DW6" i="2" l="1"/>
  <c r="DW5" i="2"/>
  <c r="DE1" i="2" l="1"/>
  <c r="DE2" i="2"/>
  <c r="EA3" i="2"/>
  <c r="DN5" i="2"/>
  <c r="DN6" i="2"/>
  <c r="DN7" i="2"/>
  <c r="DN8" i="2"/>
  <c r="DN9" i="2"/>
  <c r="DN10" i="2"/>
  <c r="DN11" i="2"/>
  <c r="DN12" i="2"/>
  <c r="DN13" i="2"/>
  <c r="DN14" i="2"/>
  <c r="DN15" i="2"/>
  <c r="DN16" i="2"/>
  <c r="DN17" i="2"/>
  <c r="DN18" i="2"/>
  <c r="DN19" i="2"/>
  <c r="DN20" i="2"/>
  <c r="DN21" i="2"/>
  <c r="DN22" i="2"/>
  <c r="DN23" i="2"/>
  <c r="DN24" i="2"/>
  <c r="DN25" i="2"/>
  <c r="DN26" i="2"/>
  <c r="DN27" i="2"/>
  <c r="DN28" i="2"/>
  <c r="DN29" i="2"/>
  <c r="DN30" i="2"/>
  <c r="DN31" i="2"/>
  <c r="DN32" i="2"/>
  <c r="DN33" i="2"/>
  <c r="DN34" i="2"/>
  <c r="DN35" i="2"/>
  <c r="DN36" i="2"/>
  <c r="DN37" i="2"/>
  <c r="DN38" i="2"/>
  <c r="DN39" i="2"/>
  <c r="DN40" i="2"/>
  <c r="DN41" i="2"/>
  <c r="DN42" i="2"/>
  <c r="DN43" i="2"/>
  <c r="DN44" i="2"/>
  <c r="DN45" i="2"/>
  <c r="DN46" i="2"/>
  <c r="DN47" i="2"/>
  <c r="DN48" i="2"/>
  <c r="DN49" i="2"/>
  <c r="DN50" i="2"/>
  <c r="DN51" i="2"/>
  <c r="DN52" i="2"/>
  <c r="DN53" i="2"/>
  <c r="DN54" i="2"/>
  <c r="DN55" i="2"/>
  <c r="DN56" i="2"/>
  <c r="DN57" i="2"/>
  <c r="DN58" i="2"/>
  <c r="DN59" i="2"/>
  <c r="DN60" i="2"/>
  <c r="DN61" i="2"/>
  <c r="DN62" i="2"/>
  <c r="DN4" i="2"/>
  <c r="DP5" i="2"/>
  <c r="DP6" i="2"/>
  <c r="DP7" i="2"/>
  <c r="DP8" i="2"/>
  <c r="DP9" i="2"/>
  <c r="DP10" i="2"/>
  <c r="DP11" i="2"/>
  <c r="DP12" i="2"/>
  <c r="DP13" i="2"/>
  <c r="DP14" i="2"/>
  <c r="DP15" i="2"/>
  <c r="DP16" i="2"/>
  <c r="DP17" i="2"/>
  <c r="DP18" i="2"/>
  <c r="DP19" i="2"/>
  <c r="DP20" i="2"/>
  <c r="DP21" i="2"/>
  <c r="DP22" i="2"/>
  <c r="DP23" i="2"/>
  <c r="DP24" i="2"/>
  <c r="DP25" i="2"/>
  <c r="DP26" i="2"/>
  <c r="DP27" i="2"/>
  <c r="DP28" i="2"/>
  <c r="DP29" i="2"/>
  <c r="DP30" i="2"/>
  <c r="DP31" i="2"/>
  <c r="DP32" i="2"/>
  <c r="DP33" i="2"/>
  <c r="DP34" i="2"/>
  <c r="DP35" i="2"/>
  <c r="DP36" i="2"/>
  <c r="DP37" i="2"/>
  <c r="DP38" i="2"/>
  <c r="DP39" i="2"/>
  <c r="DP40" i="2"/>
  <c r="DP41" i="2"/>
  <c r="DP42" i="2"/>
  <c r="DP43" i="2"/>
  <c r="DP44" i="2"/>
  <c r="DP45" i="2"/>
  <c r="DP46" i="2"/>
  <c r="DP47" i="2"/>
  <c r="DP48" i="2"/>
  <c r="DP49" i="2"/>
  <c r="DP50" i="2"/>
  <c r="DP51" i="2"/>
  <c r="DP52" i="2"/>
  <c r="DP53" i="2"/>
  <c r="DP54" i="2"/>
  <c r="DP55" i="2"/>
  <c r="DP56" i="2"/>
  <c r="DP57" i="2"/>
  <c r="DP58" i="2"/>
  <c r="DP59" i="2"/>
  <c r="DP60" i="2"/>
  <c r="DP61" i="2"/>
  <c r="DP62" i="2"/>
  <c r="DP4" i="2"/>
  <c r="DH2" i="2"/>
  <c r="DH1" i="2"/>
  <c r="DF2" i="2"/>
  <c r="DF1" i="2"/>
  <c r="DB2" i="2"/>
  <c r="DB1" i="2"/>
  <c r="CY2" i="2"/>
  <c r="CY4" i="2"/>
  <c r="CY1" i="2"/>
  <c r="DF5" i="2"/>
  <c r="DF6" i="2"/>
  <c r="DF7" i="2"/>
  <c r="DF8" i="2"/>
  <c r="DF9" i="2"/>
  <c r="DF10" i="2"/>
  <c r="DF11" i="2"/>
  <c r="DF12" i="2"/>
  <c r="DF13" i="2"/>
  <c r="DF14" i="2"/>
  <c r="DF15" i="2"/>
  <c r="DF16" i="2"/>
  <c r="DF17" i="2"/>
  <c r="DF18" i="2"/>
  <c r="DF19" i="2"/>
  <c r="DF20" i="2"/>
  <c r="DF21" i="2"/>
  <c r="DF22" i="2"/>
  <c r="DF23" i="2"/>
  <c r="DF24" i="2"/>
  <c r="DF25" i="2"/>
  <c r="DF26" i="2"/>
  <c r="DF27" i="2"/>
  <c r="DF28" i="2"/>
  <c r="DF29" i="2"/>
  <c r="DF30" i="2"/>
  <c r="DF31" i="2"/>
  <c r="DF32" i="2"/>
  <c r="DF33" i="2"/>
  <c r="DF34" i="2"/>
  <c r="DF35" i="2"/>
  <c r="DF36" i="2"/>
  <c r="DF37" i="2"/>
  <c r="DF38" i="2"/>
  <c r="DF39" i="2"/>
  <c r="DF40" i="2"/>
  <c r="DF41" i="2"/>
  <c r="DF42" i="2"/>
  <c r="DF43" i="2"/>
  <c r="DF44" i="2"/>
  <c r="DF45" i="2"/>
  <c r="DF46" i="2"/>
  <c r="DF47" i="2"/>
  <c r="DF48" i="2"/>
  <c r="DF49" i="2"/>
  <c r="DF50" i="2"/>
  <c r="DF51" i="2"/>
  <c r="DF52" i="2"/>
  <c r="DF53" i="2"/>
  <c r="DF54" i="2"/>
  <c r="DF55" i="2"/>
  <c r="DF56" i="2"/>
  <c r="DF57" i="2"/>
  <c r="DF58" i="2"/>
  <c r="DF59" i="2"/>
  <c r="DF60" i="2"/>
  <c r="DF61" i="2"/>
  <c r="DF62" i="2"/>
  <c r="EB4" i="2" s="1"/>
  <c r="DF4" i="2"/>
  <c r="DH62" i="2"/>
  <c r="DB62" i="2"/>
  <c r="DX4" i="2" s="1"/>
  <c r="CY62" i="2"/>
  <c r="DH61" i="2"/>
  <c r="DB61" i="2"/>
  <c r="CY61" i="2"/>
  <c r="DH60" i="2"/>
  <c r="DB60" i="2"/>
  <c r="CY60" i="2"/>
  <c r="DH59" i="2"/>
  <c r="DB59" i="2"/>
  <c r="CY59" i="2"/>
  <c r="DH58" i="2"/>
  <c r="DB58" i="2"/>
  <c r="CY58" i="2"/>
  <c r="DH57" i="2"/>
  <c r="DB57" i="2"/>
  <c r="CY57" i="2"/>
  <c r="DH56" i="2"/>
  <c r="DB56" i="2"/>
  <c r="CY56" i="2"/>
  <c r="DH55" i="2"/>
  <c r="DB55" i="2"/>
  <c r="CY55" i="2"/>
  <c r="DH54" i="2"/>
  <c r="DB54" i="2"/>
  <c r="CY54" i="2"/>
  <c r="DH53" i="2"/>
  <c r="DB53" i="2"/>
  <c r="CY53" i="2"/>
  <c r="DH52" i="2"/>
  <c r="DB52" i="2"/>
  <c r="CY52" i="2"/>
  <c r="DH51" i="2"/>
  <c r="DB51" i="2"/>
  <c r="CY51" i="2"/>
  <c r="DH50" i="2"/>
  <c r="DB50" i="2"/>
  <c r="CY50" i="2"/>
  <c r="DH49" i="2"/>
  <c r="DB49" i="2"/>
  <c r="CY49" i="2"/>
  <c r="DH48" i="2"/>
  <c r="DB48" i="2"/>
  <c r="CY48" i="2"/>
  <c r="DH47" i="2"/>
  <c r="DB47" i="2"/>
  <c r="CY47" i="2"/>
  <c r="DH46" i="2"/>
  <c r="DB46" i="2"/>
  <c r="CY46" i="2"/>
  <c r="DH45" i="2"/>
  <c r="DB45" i="2"/>
  <c r="CY45" i="2"/>
  <c r="DH44" i="2"/>
  <c r="DB44" i="2"/>
  <c r="CY44" i="2"/>
  <c r="DH43" i="2"/>
  <c r="DB43" i="2"/>
  <c r="CY43" i="2"/>
  <c r="DH42" i="2"/>
  <c r="DB42" i="2"/>
  <c r="CY42" i="2"/>
  <c r="DH41" i="2"/>
  <c r="DB41" i="2"/>
  <c r="CY41" i="2"/>
  <c r="DH40" i="2"/>
  <c r="DB40" i="2"/>
  <c r="CY40" i="2"/>
  <c r="DH39" i="2"/>
  <c r="DB39" i="2"/>
  <c r="CY39" i="2"/>
  <c r="DH38" i="2"/>
  <c r="DB38" i="2"/>
  <c r="CY38" i="2"/>
  <c r="DH37" i="2"/>
  <c r="DB37" i="2"/>
  <c r="CY37" i="2"/>
  <c r="DH36" i="2"/>
  <c r="DB36" i="2"/>
  <c r="CY36" i="2"/>
  <c r="DH35" i="2"/>
  <c r="DB35" i="2"/>
  <c r="CY35" i="2"/>
  <c r="DH34" i="2"/>
  <c r="DB34" i="2"/>
  <c r="CY34" i="2"/>
  <c r="DH33" i="2"/>
  <c r="DB33" i="2"/>
  <c r="CY33" i="2"/>
  <c r="DH32" i="2"/>
  <c r="DB32" i="2"/>
  <c r="CY32" i="2"/>
  <c r="DH31" i="2"/>
  <c r="DB31" i="2"/>
  <c r="CY31" i="2"/>
  <c r="DH30" i="2"/>
  <c r="DB30" i="2"/>
  <c r="CY30" i="2"/>
  <c r="DH29" i="2"/>
  <c r="DB29" i="2"/>
  <c r="CY29" i="2"/>
  <c r="DH28" i="2"/>
  <c r="DB28" i="2"/>
  <c r="CY28" i="2"/>
  <c r="DH27" i="2"/>
  <c r="DB27" i="2"/>
  <c r="CY27" i="2"/>
  <c r="DH26" i="2"/>
  <c r="DB26" i="2"/>
  <c r="CY26" i="2"/>
  <c r="DH25" i="2"/>
  <c r="DB25" i="2"/>
  <c r="CY25" i="2"/>
  <c r="DH24" i="2"/>
  <c r="DB24" i="2"/>
  <c r="CY24" i="2"/>
  <c r="DH23" i="2"/>
  <c r="DB23" i="2"/>
  <c r="CY23" i="2"/>
  <c r="DH22" i="2"/>
  <c r="DB22" i="2"/>
  <c r="CY22" i="2"/>
  <c r="DH21" i="2"/>
  <c r="DB21" i="2"/>
  <c r="CY21" i="2"/>
  <c r="DH20" i="2"/>
  <c r="DB20" i="2"/>
  <c r="CY20" i="2"/>
  <c r="DH19" i="2"/>
  <c r="DB19" i="2"/>
  <c r="CY19" i="2"/>
  <c r="DH18" i="2"/>
  <c r="DB18" i="2"/>
  <c r="CY18" i="2"/>
  <c r="DH17" i="2"/>
  <c r="DB17" i="2"/>
  <c r="CY17" i="2"/>
  <c r="DH16" i="2"/>
  <c r="DB16" i="2"/>
  <c r="CY16" i="2"/>
  <c r="DH15" i="2"/>
  <c r="DB15" i="2"/>
  <c r="CY15" i="2"/>
  <c r="DH14" i="2"/>
  <c r="DB14" i="2"/>
  <c r="CY14" i="2"/>
  <c r="DH13" i="2"/>
  <c r="DB13" i="2"/>
  <c r="CY13" i="2"/>
  <c r="DH12" i="2"/>
  <c r="DB12" i="2"/>
  <c r="CY12" i="2"/>
  <c r="DH11" i="2"/>
  <c r="DB11" i="2"/>
  <c r="CY11" i="2"/>
  <c r="DH10" i="2"/>
  <c r="DB10" i="2"/>
  <c r="CY10" i="2"/>
  <c r="DH9" i="2"/>
  <c r="DB9" i="2"/>
  <c r="CY9" i="2"/>
  <c r="DH8" i="2"/>
  <c r="DB8" i="2"/>
  <c r="CY8" i="2"/>
  <c r="DH7" i="2"/>
  <c r="DB7" i="2"/>
  <c r="CY7" i="2"/>
  <c r="DH6" i="2"/>
  <c r="DB6" i="2"/>
  <c r="CY6" i="2"/>
  <c r="DH5" i="2"/>
  <c r="DB5" i="2"/>
  <c r="CY5" i="2"/>
  <c r="DH4" i="2"/>
  <c r="DB4" i="2"/>
  <c r="ED3" i="2"/>
  <c r="DZ3" i="2"/>
  <c r="V1" i="5"/>
  <c r="AN1" i="5"/>
  <c r="DD61" i="2" l="1"/>
  <c r="DD60" i="2"/>
  <c r="DD52" i="2"/>
  <c r="DD44" i="2"/>
  <c r="DD36" i="2"/>
  <c r="DD28" i="2"/>
  <c r="DD20" i="2"/>
  <c r="DD12" i="2"/>
  <c r="DD21" i="2"/>
  <c r="DD59" i="2"/>
  <c r="DD51" i="2"/>
  <c r="DD43" i="2"/>
  <c r="DD35" i="2"/>
  <c r="DD27" i="2"/>
  <c r="DD19" i="2"/>
  <c r="DD11" i="2"/>
  <c r="DD53" i="2"/>
  <c r="DD13" i="2"/>
  <c r="DD58" i="2"/>
  <c r="DD50" i="2"/>
  <c r="DD42" i="2"/>
  <c r="DD34" i="2"/>
  <c r="DD26" i="2"/>
  <c r="DD18" i="2"/>
  <c r="DD10" i="2"/>
  <c r="DD2" i="2"/>
  <c r="DD57" i="2"/>
  <c r="DD49" i="2"/>
  <c r="DD41" i="2"/>
  <c r="DD30" i="2"/>
  <c r="DD25" i="2"/>
  <c r="DD17" i="2"/>
  <c r="DD9" i="2"/>
  <c r="DD45" i="2"/>
  <c r="DD5" i="2"/>
  <c r="DD56" i="2"/>
  <c r="DD48" i="2"/>
  <c r="DD40" i="2"/>
  <c r="DD32" i="2"/>
  <c r="DD24" i="2"/>
  <c r="DD16" i="2"/>
  <c r="DD8" i="2"/>
  <c r="DD37" i="2"/>
  <c r="DD4" i="2"/>
  <c r="DD55" i="2"/>
  <c r="DD47" i="2"/>
  <c r="DD39" i="2"/>
  <c r="DD31" i="2"/>
  <c r="DD23" i="2"/>
  <c r="DD15" i="2"/>
  <c r="DD7" i="2"/>
  <c r="DD14" i="2"/>
  <c r="DD29" i="2"/>
  <c r="DD38" i="2"/>
  <c r="DD54" i="2"/>
  <c r="DD6" i="2"/>
  <c r="DD62" i="2"/>
  <c r="DD22" i="2"/>
  <c r="DD1" i="2"/>
  <c r="DD33" i="2"/>
  <c r="DD46" i="2"/>
  <c r="EB6" i="2"/>
  <c r="DG4" i="2"/>
  <c r="DG55" i="2"/>
  <c r="DG62" i="2"/>
  <c r="DG54" i="2"/>
  <c r="DG61" i="2"/>
  <c r="DG53" i="2"/>
  <c r="EB5" i="2"/>
  <c r="DG47" i="2"/>
  <c r="DG39" i="2"/>
  <c r="DG31" i="2"/>
  <c r="DG23" i="2"/>
  <c r="DG15" i="2"/>
  <c r="DG7" i="2"/>
  <c r="DG46" i="2"/>
  <c r="DG38" i="2"/>
  <c r="DG30" i="2"/>
  <c r="DG22" i="2"/>
  <c r="DG14" i="2"/>
  <c r="DG6" i="2"/>
  <c r="DG45" i="2"/>
  <c r="DG37" i="2"/>
  <c r="DG29" i="2"/>
  <c r="DG21" i="2"/>
  <c r="DG13" i="2"/>
  <c r="DG8" i="2"/>
  <c r="DG5" i="2"/>
  <c r="DG60" i="2"/>
  <c r="DG52" i="2"/>
  <c r="DG44" i="2"/>
  <c r="DG36" i="2"/>
  <c r="DG28" i="2"/>
  <c r="DG20" i="2"/>
  <c r="DG12" i="2"/>
  <c r="DG1" i="2"/>
  <c r="DG59" i="2"/>
  <c r="DG51" i="2"/>
  <c r="DG43" i="2"/>
  <c r="DG35" i="2"/>
  <c r="DG27" i="2"/>
  <c r="DG19" i="2"/>
  <c r="DG11" i="2"/>
  <c r="DG2" i="2"/>
  <c r="DG58" i="2"/>
  <c r="DG50" i="2"/>
  <c r="DG42" i="2"/>
  <c r="DG34" i="2"/>
  <c r="DG26" i="2"/>
  <c r="DG18" i="2"/>
  <c r="DG10" i="2"/>
  <c r="DG57" i="2"/>
  <c r="DG49" i="2"/>
  <c r="DG41" i="2"/>
  <c r="DG33" i="2"/>
  <c r="DG25" i="2"/>
  <c r="DG17" i="2"/>
  <c r="DG9" i="2"/>
  <c r="DG56" i="2"/>
  <c r="DG48" i="2"/>
  <c r="DG40" i="2"/>
  <c r="DG32" i="2"/>
  <c r="DG24" i="2"/>
  <c r="DG16" i="2"/>
  <c r="AT1" i="5"/>
  <c r="DX6" i="2"/>
  <c r="DX5" i="2"/>
  <c r="AU1" i="5" l="1"/>
  <c r="DR38" i="2" s="1"/>
  <c r="DR57" i="2"/>
  <c r="DR8" i="2"/>
  <c r="DR55" i="2"/>
  <c r="DR17" i="2" l="1"/>
  <c r="DR59" i="2"/>
  <c r="DR42" i="2"/>
  <c r="DR56" i="2"/>
  <c r="DR25" i="2"/>
  <c r="DR13" i="2"/>
  <c r="DR54" i="2"/>
  <c r="DR41" i="2"/>
  <c r="DR34" i="2"/>
  <c r="DR10" i="2"/>
  <c r="DR20" i="2"/>
  <c r="DR11" i="2"/>
  <c r="DR28" i="2"/>
  <c r="DR35" i="2"/>
  <c r="DR27" i="2"/>
  <c r="DR47" i="2"/>
  <c r="DR24" i="2"/>
  <c r="DR52" i="2"/>
  <c r="DR48" i="2"/>
  <c r="DR58" i="2"/>
  <c r="DR43" i="2"/>
  <c r="DR4" i="2"/>
  <c r="DR19" i="2"/>
  <c r="DR60" i="2"/>
  <c r="DR45" i="2"/>
  <c r="DR50" i="2"/>
  <c r="DR36" i="2"/>
  <c r="DR21" i="2"/>
  <c r="DR23" i="2"/>
  <c r="DR51" i="2"/>
  <c r="DR7" i="2"/>
  <c r="DR37" i="2"/>
  <c r="DR6" i="2"/>
  <c r="DR29" i="2"/>
  <c r="DR15" i="2"/>
  <c r="DR31" i="2"/>
  <c r="DR30" i="2"/>
  <c r="DR26" i="2"/>
  <c r="DR53" i="2"/>
  <c r="DR49" i="2"/>
  <c r="DR5" i="2"/>
  <c r="DR33" i="2"/>
  <c r="DR62" i="2"/>
  <c r="DR39" i="2"/>
  <c r="DR16" i="2"/>
  <c r="DR40" i="2"/>
  <c r="DR61" i="2"/>
  <c r="DR9" i="2"/>
  <c r="DR14" i="2"/>
  <c r="DR22" i="2"/>
  <c r="DR18" i="2"/>
  <c r="DR46" i="2"/>
  <c r="DR12" i="2"/>
  <c r="DR44" i="2"/>
  <c r="DR32" i="2"/>
  <c r="DJ14" i="2" l="1"/>
  <c r="DJ60" i="2"/>
  <c r="DJ33" i="2"/>
  <c r="DJ44" i="2"/>
  <c r="DJ51" i="2"/>
  <c r="DJ23" i="2"/>
  <c r="DJ1" i="2"/>
  <c r="DJ52" i="2"/>
  <c r="DJ28" i="2"/>
  <c r="DJ20" i="2"/>
  <c r="DJ10" i="2"/>
  <c r="DJ19" i="2"/>
  <c r="DJ29" i="2"/>
  <c r="DJ48" i="2"/>
  <c r="DJ25" i="2"/>
  <c r="DJ55" i="2"/>
  <c r="DJ59" i="2"/>
  <c r="DJ2" i="2"/>
  <c r="DJ49" i="2"/>
  <c r="DJ17" i="2"/>
  <c r="DJ9" i="2"/>
  <c r="DJ61" i="2"/>
  <c r="DJ26" i="2"/>
  <c r="DJ62" i="2"/>
  <c r="EF4" i="2" s="1"/>
  <c r="DJ56" i="2"/>
  <c r="DJ38" i="2"/>
  <c r="DJ47" i="2"/>
  <c r="DJ57" i="2"/>
  <c r="DJ53" i="2"/>
  <c r="DJ16" i="2"/>
  <c r="DJ12" i="2"/>
  <c r="DJ15" i="2"/>
  <c r="DJ13" i="2"/>
  <c r="DJ54" i="2"/>
  <c r="DJ27" i="2"/>
  <c r="DJ11" i="2"/>
  <c r="DJ40" i="2"/>
  <c r="DJ36" i="2"/>
  <c r="DJ24" i="2"/>
  <c r="DJ7" i="2"/>
  <c r="DJ8" i="2"/>
  <c r="DJ39" i="2"/>
  <c r="DJ45" i="2"/>
  <c r="DJ58" i="2"/>
  <c r="DJ21" i="2"/>
  <c r="DJ42" i="2"/>
  <c r="DJ6" i="2"/>
  <c r="DJ35" i="2"/>
  <c r="DJ37" i="2"/>
  <c r="DJ18" i="2"/>
  <c r="DJ34" i="2"/>
  <c r="DJ46" i="2"/>
  <c r="DJ5" i="2"/>
  <c r="DJ50" i="2"/>
  <c r="DJ41" i="2"/>
  <c r="DJ4" i="2"/>
  <c r="DJ43" i="2"/>
  <c r="DJ22" i="2"/>
  <c r="DJ32" i="2"/>
  <c r="DJ30" i="2"/>
  <c r="DJ31" i="2"/>
  <c r="EF5" i="2" l="1"/>
  <c r="EF6" i="2"/>
  <c r="DX3" i="2"/>
  <c r="DY3" i="2"/>
  <c r="DV3" i="2"/>
  <c r="DU3" i="2"/>
  <c r="EA4" i="2"/>
  <c r="DZ5" i="2"/>
  <c r="EC5" i="2"/>
  <c r="ED5" i="2"/>
  <c r="DZ6" i="2"/>
  <c r="EC6" i="2"/>
  <c r="ED6" i="2"/>
  <c r="DZ4" i="2"/>
  <c r="EC4" i="2"/>
  <c r="ED4" i="2"/>
  <c r="EB3" i="2"/>
  <c r="EF3" i="2"/>
  <c r="EC3" i="2"/>
  <c r="DM4" i="2"/>
  <c r="DM5" i="2"/>
  <c r="DM6" i="2"/>
  <c r="DM7" i="2"/>
  <c r="DM8" i="2"/>
  <c r="DM9" i="2"/>
  <c r="DM10" i="2"/>
  <c r="DM11" i="2"/>
  <c r="DM12" i="2"/>
  <c r="DM13" i="2"/>
  <c r="DM14" i="2"/>
  <c r="DM15" i="2"/>
  <c r="DM16" i="2"/>
  <c r="DM17" i="2"/>
  <c r="DM18" i="2"/>
  <c r="DM19" i="2"/>
  <c r="DM20" i="2"/>
  <c r="DM21" i="2"/>
  <c r="DM22" i="2"/>
  <c r="DM23" i="2"/>
  <c r="DM24" i="2"/>
  <c r="DM25" i="2"/>
  <c r="DM26" i="2"/>
  <c r="DM27" i="2"/>
  <c r="DM28" i="2"/>
  <c r="DM29" i="2"/>
  <c r="DM30" i="2"/>
  <c r="DM31" i="2"/>
  <c r="DM32" i="2"/>
  <c r="DM33" i="2"/>
  <c r="DM34" i="2"/>
  <c r="DM35" i="2"/>
  <c r="DM36" i="2"/>
  <c r="DM37" i="2"/>
  <c r="DM38" i="2"/>
  <c r="DM39" i="2"/>
  <c r="DM40" i="2"/>
  <c r="DM41" i="2"/>
  <c r="DM42" i="2"/>
  <c r="DM43" i="2"/>
  <c r="DM44" i="2"/>
  <c r="DM45" i="2"/>
  <c r="DM46" i="2"/>
  <c r="DM47" i="2"/>
  <c r="DM48" i="2"/>
  <c r="DM49" i="2"/>
  <c r="DM50" i="2"/>
  <c r="DM51" i="2"/>
  <c r="DM52" i="2"/>
  <c r="DM53" i="2"/>
  <c r="DM54" i="2"/>
  <c r="DM55" i="2"/>
  <c r="DM56" i="2"/>
  <c r="DM57" i="2"/>
  <c r="DM58" i="2"/>
  <c r="DM59" i="2"/>
  <c r="DM60" i="2"/>
  <c r="DM61" i="2"/>
  <c r="DM62" i="2"/>
  <c r="DL4" i="2"/>
  <c r="DL5" i="2"/>
  <c r="DL6" i="2"/>
  <c r="DL7" i="2"/>
  <c r="DL8" i="2"/>
  <c r="DL9" i="2"/>
  <c r="DL10" i="2"/>
  <c r="DL11" i="2"/>
  <c r="DL12" i="2"/>
  <c r="DL13" i="2"/>
  <c r="DL14" i="2"/>
  <c r="DL15" i="2"/>
  <c r="DL16" i="2"/>
  <c r="DL17" i="2"/>
  <c r="DL18" i="2"/>
  <c r="DL19" i="2"/>
  <c r="DL20" i="2"/>
  <c r="DL21" i="2"/>
  <c r="DL22" i="2"/>
  <c r="DL23" i="2"/>
  <c r="DL24" i="2"/>
  <c r="DL25" i="2"/>
  <c r="DL26" i="2"/>
  <c r="DL27" i="2"/>
  <c r="DL28" i="2"/>
  <c r="DL29" i="2"/>
  <c r="DL30" i="2"/>
  <c r="DL31" i="2"/>
  <c r="DL32" i="2"/>
  <c r="DL33" i="2"/>
  <c r="DL34" i="2"/>
  <c r="DL35" i="2"/>
  <c r="DL36" i="2"/>
  <c r="DL37" i="2"/>
  <c r="DL38" i="2"/>
  <c r="DL39" i="2"/>
  <c r="DL40" i="2"/>
  <c r="DL41" i="2"/>
  <c r="DL42" i="2"/>
  <c r="DL43" i="2"/>
  <c r="DL44" i="2"/>
  <c r="DL45" i="2"/>
  <c r="DL46" i="2"/>
  <c r="DL47" i="2"/>
  <c r="DL48" i="2"/>
  <c r="DL49" i="2"/>
  <c r="DL50" i="2"/>
  <c r="DL51" i="2"/>
  <c r="DL52" i="2"/>
  <c r="DL53" i="2"/>
  <c r="DL54" i="2"/>
  <c r="DL55" i="2"/>
  <c r="DL56" i="2"/>
  <c r="DL57" i="2"/>
  <c r="DL58" i="2"/>
  <c r="DL59" i="2"/>
  <c r="DL60" i="2"/>
  <c r="DL61" i="2"/>
  <c r="DL62" i="2"/>
  <c r="DC50" i="2" l="1"/>
  <c r="CZ1" i="2"/>
  <c r="CZ2" i="2"/>
  <c r="CZ4" i="2"/>
  <c r="DC2" i="2"/>
  <c r="DC1" i="2"/>
  <c r="DC34" i="2"/>
  <c r="DC58" i="2"/>
  <c r="CZ62" i="2"/>
  <c r="DV4" i="2" s="1"/>
  <c r="CZ54" i="2"/>
  <c r="DC10" i="2"/>
  <c r="CZ37" i="2"/>
  <c r="DC49" i="2"/>
  <c r="DC9" i="2"/>
  <c r="CZ60" i="2"/>
  <c r="CZ52" i="2"/>
  <c r="CZ44" i="2"/>
  <c r="CZ36" i="2"/>
  <c r="CZ28" i="2"/>
  <c r="CZ20" i="2"/>
  <c r="CZ12" i="2"/>
  <c r="DC56" i="2"/>
  <c r="DC48" i="2"/>
  <c r="DC40" i="2"/>
  <c r="DC32" i="2"/>
  <c r="DC24" i="2"/>
  <c r="DC16" i="2"/>
  <c r="DC8" i="2"/>
  <c r="CZ53" i="2"/>
  <c r="CZ5" i="2"/>
  <c r="DC25" i="2"/>
  <c r="CZ59" i="2"/>
  <c r="CZ51" i="2"/>
  <c r="CZ43" i="2"/>
  <c r="CZ35" i="2"/>
  <c r="CZ27" i="2"/>
  <c r="CZ19" i="2"/>
  <c r="CZ11" i="2"/>
  <c r="DC55" i="2"/>
  <c r="DC47" i="2"/>
  <c r="DC39" i="2"/>
  <c r="DC31" i="2"/>
  <c r="DC23" i="2"/>
  <c r="DC15" i="2"/>
  <c r="DC7" i="2"/>
  <c r="CZ46" i="2"/>
  <c r="CZ22" i="2"/>
  <c r="DC42" i="2"/>
  <c r="CZ61" i="2"/>
  <c r="CZ13" i="2"/>
  <c r="CZ58" i="2"/>
  <c r="CZ50" i="2"/>
  <c r="CZ42" i="2"/>
  <c r="CZ34" i="2"/>
  <c r="CZ26" i="2"/>
  <c r="CZ18" i="2"/>
  <c r="CZ10" i="2"/>
  <c r="DC62" i="2"/>
  <c r="DY4" i="2" s="1"/>
  <c r="DC54" i="2"/>
  <c r="DC46" i="2"/>
  <c r="DC38" i="2"/>
  <c r="DC30" i="2"/>
  <c r="DC22" i="2"/>
  <c r="DC14" i="2"/>
  <c r="DC6" i="2"/>
  <c r="CZ38" i="2"/>
  <c r="CZ14" i="2"/>
  <c r="DC26" i="2"/>
  <c r="CZ21" i="2"/>
  <c r="DC33" i="2"/>
  <c r="CZ57" i="2"/>
  <c r="CZ49" i="2"/>
  <c r="CZ41" i="2"/>
  <c r="CZ33" i="2"/>
  <c r="CZ25" i="2"/>
  <c r="CZ17" i="2"/>
  <c r="CZ9" i="2"/>
  <c r="DC61" i="2"/>
  <c r="DC53" i="2"/>
  <c r="DC45" i="2"/>
  <c r="DC37" i="2"/>
  <c r="DC29" i="2"/>
  <c r="DC21" i="2"/>
  <c r="DC13" i="2"/>
  <c r="DC5" i="2"/>
  <c r="CZ30" i="2"/>
  <c r="CZ6" i="2"/>
  <c r="DC18" i="2"/>
  <c r="CZ45" i="2"/>
  <c r="DC57" i="2"/>
  <c r="DC17" i="2"/>
  <c r="CZ56" i="2"/>
  <c r="CZ48" i="2"/>
  <c r="CZ40" i="2"/>
  <c r="CZ32" i="2"/>
  <c r="CZ24" i="2"/>
  <c r="CZ16" i="2"/>
  <c r="CZ8" i="2"/>
  <c r="DC60" i="2"/>
  <c r="DC52" i="2"/>
  <c r="DC44" i="2"/>
  <c r="DC36" i="2"/>
  <c r="DC28" i="2"/>
  <c r="DC20" i="2"/>
  <c r="DC12" i="2"/>
  <c r="DC4" i="2"/>
  <c r="CZ29" i="2"/>
  <c r="DC41" i="2"/>
  <c r="CZ55" i="2"/>
  <c r="CZ47" i="2"/>
  <c r="CZ39" i="2"/>
  <c r="CZ31" i="2"/>
  <c r="CZ23" i="2"/>
  <c r="CZ15" i="2"/>
  <c r="CZ7" i="2"/>
  <c r="DC59" i="2"/>
  <c r="DC51" i="2"/>
  <c r="DC43" i="2"/>
  <c r="DC35" i="2"/>
  <c r="DC27" i="2"/>
  <c r="DC19" i="2"/>
  <c r="DC11" i="2"/>
  <c r="EA6" i="2"/>
  <c r="EA5" i="2"/>
  <c r="DU4" i="2"/>
  <c r="DY5" i="2" l="1"/>
  <c r="DY6" i="2"/>
  <c r="DV6" i="2"/>
  <c r="DV5" i="2"/>
  <c r="DU5" i="2"/>
  <c r="DU6" i="2"/>
  <c r="CO4" i="2"/>
  <c r="CO9" i="2" s="1"/>
  <c r="CO5" i="2"/>
  <c r="CO10" i="2" s="1"/>
  <c r="CP4" i="2"/>
  <c r="CQ4" i="2"/>
  <c r="CR4" i="2"/>
  <c r="CS4" i="2"/>
  <c r="CT4" i="2"/>
  <c r="CU4" i="2"/>
  <c r="CP5" i="2"/>
  <c r="CQ5" i="2"/>
  <c r="CR5" i="2"/>
  <c r="CS5" i="2"/>
  <c r="CT5" i="2"/>
  <c r="CU5" i="2"/>
  <c r="CQ3" i="2"/>
  <c r="CR3" i="2"/>
  <c r="CS3" i="2"/>
  <c r="CT3" i="2"/>
  <c r="CU3" i="2"/>
  <c r="CP3" i="2"/>
  <c r="K5" i="2"/>
  <c r="K6" i="2"/>
  <c r="K7" i="2"/>
  <c r="K8" i="2"/>
  <c r="K9" i="2"/>
  <c r="K10" i="2"/>
  <c r="K11" i="2"/>
  <c r="K12" i="2"/>
  <c r="K13" i="2"/>
  <c r="K14" i="2"/>
  <c r="K15" i="2"/>
  <c r="K16" i="2"/>
  <c r="K4" i="2"/>
  <c r="I5" i="2"/>
  <c r="I6" i="2"/>
  <c r="I7" i="2"/>
  <c r="I8" i="2"/>
  <c r="I9" i="2"/>
  <c r="I10" i="2"/>
  <c r="I11" i="2"/>
  <c r="I12" i="2"/>
  <c r="I13" i="2"/>
  <c r="I14" i="2"/>
  <c r="I15" i="2"/>
  <c r="I16" i="2"/>
  <c r="I4" i="2"/>
  <c r="B5" i="2"/>
  <c r="B6" i="2"/>
  <c r="B7" i="2"/>
  <c r="B8" i="2"/>
  <c r="B9" i="2"/>
  <c r="B10" i="2"/>
  <c r="B11" i="2"/>
  <c r="G11" i="2" s="1"/>
  <c r="B12" i="2"/>
  <c r="B13" i="2"/>
  <c r="B14" i="2"/>
  <c r="B15" i="2"/>
  <c r="B16" i="2"/>
  <c r="B4" i="2"/>
  <c r="D5" i="2"/>
  <c r="D6" i="2"/>
  <c r="D7" i="2"/>
  <c r="D8" i="2"/>
  <c r="D9" i="2"/>
  <c r="D10" i="2"/>
  <c r="D11" i="2"/>
  <c r="D12" i="2"/>
  <c r="D13" i="2"/>
  <c r="D14" i="2"/>
  <c r="D15" i="2"/>
  <c r="D16" i="2"/>
  <c r="D4" i="2"/>
  <c r="C94" i="21"/>
  <c r="C93" i="21"/>
  <c r="C92" i="21"/>
  <c r="C91" i="21"/>
  <c r="C90" i="21"/>
  <c r="C89" i="21"/>
  <c r="C88" i="21"/>
  <c r="C87" i="21"/>
  <c r="C86" i="21"/>
  <c r="C85" i="21"/>
  <c r="C84" i="21"/>
  <c r="C83" i="21"/>
  <c r="C82" i="21"/>
  <c r="C81" i="21"/>
  <c r="C80" i="21"/>
  <c r="C79" i="21"/>
  <c r="C78" i="21"/>
  <c r="C77" i="21"/>
  <c r="C76" i="21"/>
  <c r="C75" i="21"/>
  <c r="C74" i="21"/>
  <c r="C73" i="21"/>
  <c r="C72" i="21"/>
  <c r="C71" i="21"/>
  <c r="C70" i="21"/>
  <c r="C69" i="21"/>
  <c r="C68" i="21"/>
  <c r="C67" i="21"/>
  <c r="C66" i="21"/>
  <c r="C65" i="21"/>
  <c r="C64" i="21"/>
  <c r="C63" i="21"/>
  <c r="C62" i="21"/>
  <c r="C61" i="21"/>
  <c r="C60" i="21"/>
  <c r="C59" i="21"/>
  <c r="C58" i="21"/>
  <c r="C57" i="21"/>
  <c r="C56" i="21"/>
  <c r="C55" i="21"/>
  <c r="C54" i="21"/>
  <c r="C53" i="21"/>
  <c r="C52" i="21"/>
  <c r="C51" i="21"/>
  <c r="C50" i="21"/>
  <c r="C49" i="21"/>
  <c r="C48" i="21"/>
  <c r="C47" i="21"/>
  <c r="C46" i="21"/>
  <c r="C45" i="21"/>
  <c r="C44" i="21"/>
  <c r="C43" i="21"/>
  <c r="C42"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C15" i="21"/>
  <c r="C14" i="21"/>
  <c r="C13" i="21"/>
  <c r="C12" i="21"/>
  <c r="C11" i="21"/>
  <c r="C10" i="21"/>
  <c r="C9" i="21"/>
  <c r="C8" i="21"/>
  <c r="C7" i="21"/>
  <c r="I94" i="21"/>
  <c r="I93" i="21"/>
  <c r="I92" i="21"/>
  <c r="I91" i="21"/>
  <c r="I90" i="21"/>
  <c r="I89" i="21"/>
  <c r="I88" i="21"/>
  <c r="I87" i="21"/>
  <c r="I86" i="21"/>
  <c r="I85" i="21"/>
  <c r="I84" i="21"/>
  <c r="I83" i="21"/>
  <c r="I82" i="21"/>
  <c r="I81" i="21"/>
  <c r="I80" i="21"/>
  <c r="I79" i="21"/>
  <c r="I78" i="21"/>
  <c r="I77" i="21"/>
  <c r="I76" i="21"/>
  <c r="I75" i="21"/>
  <c r="I74" i="21"/>
  <c r="I73" i="21"/>
  <c r="I72" i="21"/>
  <c r="I71" i="21"/>
  <c r="I70" i="21"/>
  <c r="I69" i="21"/>
  <c r="I68" i="21"/>
  <c r="I67" i="21"/>
  <c r="I66" i="21"/>
  <c r="I65" i="21"/>
  <c r="I64" i="21"/>
  <c r="I63" i="21"/>
  <c r="I62" i="21"/>
  <c r="I61" i="21"/>
  <c r="I60" i="21"/>
  <c r="I59" i="21"/>
  <c r="I58" i="21"/>
  <c r="I57" i="21"/>
  <c r="I56" i="21"/>
  <c r="I55" i="21"/>
  <c r="I54" i="21"/>
  <c r="I53" i="21"/>
  <c r="I52" i="21"/>
  <c r="I51" i="21"/>
  <c r="I50" i="21"/>
  <c r="I49" i="21"/>
  <c r="I48" i="21"/>
  <c r="I47" i="21"/>
  <c r="I46" i="21"/>
  <c r="I45" i="21"/>
  <c r="I44" i="21"/>
  <c r="I43" i="21"/>
  <c r="I42" i="21"/>
  <c r="I41" i="21"/>
  <c r="I40" i="21"/>
  <c r="I39" i="21"/>
  <c r="I38" i="21"/>
  <c r="I37" i="21"/>
  <c r="I36" i="21"/>
  <c r="I35" i="21"/>
  <c r="I34" i="21"/>
  <c r="I33" i="21"/>
  <c r="I32" i="21"/>
  <c r="I31" i="21"/>
  <c r="I30" i="21"/>
  <c r="I29" i="21"/>
  <c r="I28" i="21"/>
  <c r="I27" i="21"/>
  <c r="I26" i="21"/>
  <c r="I25" i="21"/>
  <c r="I24" i="21"/>
  <c r="I23" i="21"/>
  <c r="I22" i="21"/>
  <c r="I21" i="21"/>
  <c r="I20" i="21"/>
  <c r="I19" i="21"/>
  <c r="I18" i="21"/>
  <c r="I17" i="21"/>
  <c r="I16" i="21"/>
  <c r="I15" i="21"/>
  <c r="I14" i="21"/>
  <c r="I13" i="21"/>
  <c r="I12" i="21"/>
  <c r="I11" i="21"/>
  <c r="I10" i="21"/>
  <c r="I9" i="21"/>
  <c r="I8" i="21"/>
  <c r="I7" i="21"/>
  <c r="H94" i="21"/>
  <c r="H93" i="21"/>
  <c r="H92" i="21"/>
  <c r="H91" i="21"/>
  <c r="H90" i="21"/>
  <c r="H89" i="21"/>
  <c r="H88" i="21"/>
  <c r="H87" i="21"/>
  <c r="H86" i="21"/>
  <c r="H85" i="21"/>
  <c r="H84" i="21"/>
  <c r="H83" i="21"/>
  <c r="H82" i="21"/>
  <c r="H81" i="21"/>
  <c r="H80" i="21"/>
  <c r="H79" i="21"/>
  <c r="H78" i="21"/>
  <c r="H77" i="21"/>
  <c r="H76" i="21"/>
  <c r="H75" i="21"/>
  <c r="H74" i="21"/>
  <c r="H73" i="21"/>
  <c r="H72" i="21"/>
  <c r="H71" i="21"/>
  <c r="H70" i="21"/>
  <c r="H69" i="21"/>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10" i="21"/>
  <c r="H9" i="21"/>
  <c r="H8" i="21"/>
  <c r="H7" i="21"/>
  <c r="G94" i="21"/>
  <c r="G93" i="21"/>
  <c r="G92" i="21"/>
  <c r="G91" i="21"/>
  <c r="G90" i="21"/>
  <c r="G89" i="21"/>
  <c r="G88" i="21"/>
  <c r="G87" i="21"/>
  <c r="G86" i="21"/>
  <c r="G85" i="21"/>
  <c r="G84" i="21"/>
  <c r="G83" i="21"/>
  <c r="G82" i="21"/>
  <c r="G81" i="21"/>
  <c r="G80" i="21"/>
  <c r="G79" i="21"/>
  <c r="G78" i="21"/>
  <c r="G77" i="21"/>
  <c r="G76" i="21"/>
  <c r="G75" i="21"/>
  <c r="G74" i="21"/>
  <c r="G73" i="21"/>
  <c r="G72" i="21"/>
  <c r="G71" i="21"/>
  <c r="G70" i="21"/>
  <c r="G69" i="21"/>
  <c r="G68" i="21"/>
  <c r="G67" i="21"/>
  <c r="G66" i="21"/>
  <c r="G65" i="21"/>
  <c r="G64" i="21"/>
  <c r="G63" i="21"/>
  <c r="G62" i="21"/>
  <c r="G61" i="21"/>
  <c r="G60" i="21"/>
  <c r="G59" i="21"/>
  <c r="G58" i="21"/>
  <c r="G57" i="21"/>
  <c r="G56" i="21"/>
  <c r="G55" i="21"/>
  <c r="G54" i="21"/>
  <c r="G53" i="21"/>
  <c r="G52" i="21"/>
  <c r="G51" i="21"/>
  <c r="G50" i="21"/>
  <c r="G49" i="21"/>
  <c r="G48" i="21"/>
  <c r="G47"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16" i="21"/>
  <c r="G15" i="21"/>
  <c r="G14" i="21"/>
  <c r="G13" i="21"/>
  <c r="G12" i="21"/>
  <c r="G11" i="21"/>
  <c r="G10" i="21"/>
  <c r="G9" i="21"/>
  <c r="G8" i="21"/>
  <c r="G7"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91" i="21"/>
  <c r="E92" i="21"/>
  <c r="E93" i="21"/>
  <c r="E94" i="21"/>
  <c r="E7" i="21"/>
  <c r="J94" i="21"/>
  <c r="J93" i="21"/>
  <c r="J92" i="21"/>
  <c r="J91" i="21"/>
  <c r="J90" i="21"/>
  <c r="J89" i="21"/>
  <c r="J88" i="21"/>
  <c r="J87" i="21"/>
  <c r="J86" i="21"/>
  <c r="J85" i="21"/>
  <c r="J84" i="21"/>
  <c r="J83" i="21"/>
  <c r="J82" i="21"/>
  <c r="J81" i="21"/>
  <c r="J80" i="21"/>
  <c r="J79" i="21"/>
  <c r="J78" i="21"/>
  <c r="J77" i="21"/>
  <c r="J76" i="21"/>
  <c r="J75" i="21"/>
  <c r="J74" i="21"/>
  <c r="J73" i="21"/>
  <c r="J72" i="21"/>
  <c r="J71" i="21"/>
  <c r="J70" i="21"/>
  <c r="J69" i="21"/>
  <c r="J68" i="21"/>
  <c r="J67" i="21"/>
  <c r="J66" i="21"/>
  <c r="J65" i="21"/>
  <c r="J64" i="21"/>
  <c r="J63" i="21"/>
  <c r="J62" i="21"/>
  <c r="J61" i="21"/>
  <c r="J60" i="21"/>
  <c r="J59" i="21"/>
  <c r="J58" i="21"/>
  <c r="J57" i="21"/>
  <c r="J56" i="21"/>
  <c r="J55" i="21"/>
  <c r="J54" i="21"/>
  <c r="J53" i="21"/>
  <c r="J52" i="21"/>
  <c r="J51" i="21"/>
  <c r="J50" i="21"/>
  <c r="J49" i="2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13" i="21"/>
  <c r="J12" i="21"/>
  <c r="J11" i="21"/>
  <c r="J10" i="21"/>
  <c r="J9" i="21"/>
  <c r="J8" i="21"/>
  <c r="J7" i="21"/>
  <c r="J6" i="21"/>
  <c r="J5" i="21"/>
  <c r="J4" i="21"/>
  <c r="J3" i="21"/>
  <c r="J2" i="21"/>
  <c r="J1" i="21"/>
  <c r="D94" i="21"/>
  <c r="D93" i="21"/>
  <c r="D92" i="21"/>
  <c r="D91" i="21"/>
  <c r="D90" i="21"/>
  <c r="D89" i="21"/>
  <c r="D88" i="21"/>
  <c r="D87" i="21"/>
  <c r="D86" i="21"/>
  <c r="D85" i="21"/>
  <c r="D84" i="21"/>
  <c r="D83" i="21"/>
  <c r="D82" i="21"/>
  <c r="D81" i="21"/>
  <c r="D80" i="21"/>
  <c r="D79" i="21"/>
  <c r="D78" i="21"/>
  <c r="D77" i="21"/>
  <c r="D76" i="21"/>
  <c r="D75" i="21"/>
  <c r="D74" i="21"/>
  <c r="D73" i="21"/>
  <c r="D72" i="21"/>
  <c r="D71" i="21"/>
  <c r="D70" i="21"/>
  <c r="D69" i="21"/>
  <c r="D68" i="21"/>
  <c r="D67" i="21"/>
  <c r="D66" i="21"/>
  <c r="D65" i="21"/>
  <c r="D64" i="21"/>
  <c r="D63" i="21"/>
  <c r="D62" i="21"/>
  <c r="D61" i="21"/>
  <c r="D60" i="21"/>
  <c r="D59" i="21"/>
  <c r="D58"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D13" i="21"/>
  <c r="D12" i="21"/>
  <c r="D11" i="21"/>
  <c r="D10" i="21"/>
  <c r="D9" i="21"/>
  <c r="D8" i="21"/>
  <c r="D7" i="21"/>
  <c r="I6" i="21"/>
  <c r="H6" i="21"/>
  <c r="G6" i="21"/>
  <c r="F6" i="21"/>
  <c r="E6" i="21"/>
  <c r="D6" i="21"/>
  <c r="C6" i="21"/>
  <c r="I5" i="21"/>
  <c r="H5" i="21"/>
  <c r="G5" i="21"/>
  <c r="F5" i="21"/>
  <c r="E5" i="21"/>
  <c r="D5" i="21"/>
  <c r="C5" i="21"/>
  <c r="I4" i="21"/>
  <c r="H4" i="21"/>
  <c r="G4" i="21"/>
  <c r="F4" i="21"/>
  <c r="E4" i="21"/>
  <c r="D4" i="21"/>
  <c r="C4" i="21"/>
  <c r="I3" i="21"/>
  <c r="H3" i="21"/>
  <c r="G3" i="21"/>
  <c r="F3" i="21"/>
  <c r="E3" i="21"/>
  <c r="D3" i="21"/>
  <c r="C3" i="21"/>
  <c r="I2" i="21"/>
  <c r="H2" i="21"/>
  <c r="G2" i="21"/>
  <c r="F2" i="21"/>
  <c r="E2" i="21"/>
  <c r="D2" i="21"/>
  <c r="C2" i="21"/>
  <c r="I1" i="21"/>
  <c r="H1" i="21"/>
  <c r="G1" i="21"/>
  <c r="F1" i="21"/>
  <c r="E1" i="21"/>
  <c r="D1" i="21"/>
  <c r="C1"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7" i="21"/>
  <c r="B2" i="21"/>
  <c r="B3" i="21"/>
  <c r="B4" i="21"/>
  <c r="B5" i="21"/>
  <c r="B6" i="21"/>
  <c r="B1" i="21"/>
  <c r="C16" i="2" l="1"/>
  <c r="C8" i="2"/>
  <c r="G10" i="2"/>
  <c r="G12" i="2"/>
  <c r="H12" i="2" s="1"/>
  <c r="CU2" i="2"/>
  <c r="G15" i="2"/>
  <c r="H15" i="2" s="1"/>
  <c r="G7" i="2"/>
  <c r="H7" i="2" s="1"/>
  <c r="G14" i="2"/>
  <c r="H14" i="2" s="1"/>
  <c r="G6" i="2"/>
  <c r="H6" i="2" s="1"/>
  <c r="G13" i="2"/>
  <c r="H13" i="2" s="1"/>
  <c r="G5" i="2"/>
  <c r="H5" i="2" s="1"/>
  <c r="CQ2" i="2"/>
  <c r="CR8" i="2" s="1"/>
  <c r="H11" i="2"/>
  <c r="G4" i="2"/>
  <c r="H4" i="2" s="1"/>
  <c r="G9" i="2"/>
  <c r="H9" i="2" s="1"/>
  <c r="CR2" i="2"/>
  <c r="G16" i="2"/>
  <c r="G8" i="2"/>
  <c r="H8" i="2" s="1"/>
  <c r="CP2" i="2"/>
  <c r="CQ8" i="2" s="1"/>
  <c r="H10" i="2"/>
  <c r="CT2" i="2"/>
  <c r="CS2" i="2"/>
  <c r="C15" i="2"/>
  <c r="C10" i="2"/>
  <c r="H16" i="2"/>
  <c r="C7" i="2"/>
  <c r="C11" i="2"/>
  <c r="C12" i="2"/>
  <c r="C9" i="2"/>
  <c r="C14" i="2"/>
  <c r="C13" i="2"/>
  <c r="C4" i="2"/>
  <c r="C6" i="2"/>
  <c r="C5" i="2"/>
  <c r="CS9" i="2" l="1"/>
  <c r="CR9" i="2"/>
  <c r="CS10" i="2"/>
  <c r="CQ9" i="2"/>
  <c r="CS8" i="2"/>
  <c r="CR10" i="2"/>
  <c r="CQ10" i="2"/>
  <c r="CT8" i="2"/>
  <c r="CU10" i="2"/>
  <c r="CU8" i="2"/>
  <c r="CU9" i="2"/>
  <c r="CT10" i="2"/>
  <c r="CP9" i="2"/>
  <c r="CP8" i="2"/>
  <c r="CP10" i="2"/>
  <c r="CT9" i="2"/>
  <c r="CM5" i="2"/>
  <c r="CM6" i="2"/>
  <c r="CM7" i="2"/>
  <c r="CM8" i="2"/>
  <c r="CM9" i="2"/>
  <c r="CM10" i="2"/>
  <c r="CM11" i="2"/>
  <c r="CM12" i="2"/>
  <c r="CM13" i="2"/>
  <c r="CM14" i="2"/>
  <c r="CM15" i="2"/>
  <c r="CM16" i="2"/>
  <c r="CM17" i="2"/>
  <c r="CM18" i="2"/>
  <c r="CM19" i="2"/>
  <c r="CM20" i="2"/>
  <c r="CM21" i="2"/>
  <c r="CM22" i="2"/>
  <c r="CM23" i="2"/>
  <c r="CM24" i="2"/>
  <c r="CM25" i="2"/>
  <c r="CM26" i="2"/>
  <c r="CM27" i="2"/>
  <c r="CM28" i="2"/>
  <c r="CM29" i="2"/>
  <c r="CM30" i="2"/>
  <c r="CM31" i="2"/>
  <c r="CM32" i="2"/>
  <c r="CM33" i="2"/>
  <c r="CM34" i="2"/>
  <c r="CM35" i="2"/>
  <c r="CM36" i="2"/>
  <c r="CM37" i="2"/>
  <c r="CM38" i="2"/>
  <c r="CM39" i="2"/>
  <c r="CM40" i="2"/>
  <c r="CM41" i="2"/>
  <c r="CM42" i="2"/>
  <c r="CM43" i="2"/>
  <c r="CM44" i="2"/>
  <c r="CM45" i="2"/>
  <c r="CM46" i="2"/>
  <c r="CM47" i="2"/>
  <c r="CM48" i="2"/>
  <c r="CM49" i="2"/>
  <c r="CM50" i="2"/>
  <c r="CM51" i="2"/>
  <c r="CM52" i="2"/>
  <c r="CM53" i="2"/>
  <c r="CM54" i="2"/>
  <c r="CM55" i="2"/>
  <c r="CM56" i="2"/>
  <c r="CM57" i="2"/>
  <c r="CM58" i="2"/>
  <c r="CM59" i="2"/>
  <c r="CM60" i="2"/>
  <c r="CM61" i="2"/>
  <c r="CM62" i="2"/>
  <c r="CM63" i="2"/>
  <c r="CM64" i="2"/>
  <c r="CM65" i="2"/>
  <c r="CM66" i="2"/>
  <c r="CM67" i="2"/>
  <c r="CM4" i="2"/>
  <c r="CL5" i="2"/>
  <c r="CL6" i="2"/>
  <c r="CL7" i="2"/>
  <c r="CL8" i="2"/>
  <c r="CL9" i="2"/>
  <c r="CL10" i="2"/>
  <c r="CL11" i="2"/>
  <c r="CL12" i="2"/>
  <c r="CL13" i="2"/>
  <c r="CL14" i="2"/>
  <c r="CL15" i="2"/>
  <c r="CL16" i="2"/>
  <c r="CL17" i="2"/>
  <c r="CL18" i="2"/>
  <c r="CL19" i="2"/>
  <c r="CL20" i="2"/>
  <c r="CL21" i="2"/>
  <c r="CL22" i="2"/>
  <c r="CL23" i="2"/>
  <c r="CL24" i="2"/>
  <c r="CL25" i="2"/>
  <c r="CL26" i="2"/>
  <c r="CL27" i="2"/>
  <c r="CL28" i="2"/>
  <c r="CL29" i="2"/>
  <c r="CL30" i="2"/>
  <c r="CL31" i="2"/>
  <c r="CL32" i="2"/>
  <c r="CL33" i="2"/>
  <c r="CL34" i="2"/>
  <c r="CL35" i="2"/>
  <c r="CL36" i="2"/>
  <c r="CL37" i="2"/>
  <c r="CL38" i="2"/>
  <c r="CL39" i="2"/>
  <c r="CL40" i="2"/>
  <c r="CL41" i="2"/>
  <c r="CL42" i="2"/>
  <c r="CL43" i="2"/>
  <c r="CL44" i="2"/>
  <c r="CL45" i="2"/>
  <c r="CL46" i="2"/>
  <c r="CL47" i="2"/>
  <c r="CL48" i="2"/>
  <c r="CL49" i="2"/>
  <c r="CL50" i="2"/>
  <c r="CL51" i="2"/>
  <c r="CL52" i="2"/>
  <c r="CL53" i="2"/>
  <c r="CL54" i="2"/>
  <c r="CL55" i="2"/>
  <c r="CL56" i="2"/>
  <c r="CL57" i="2"/>
  <c r="CL58" i="2"/>
  <c r="CL59" i="2"/>
  <c r="CL60" i="2"/>
  <c r="CL61" i="2"/>
  <c r="CL62" i="2"/>
  <c r="CL63" i="2"/>
  <c r="CL64" i="2"/>
  <c r="CL65" i="2"/>
  <c r="CL66" i="2"/>
  <c r="CL67" i="2"/>
  <c r="CL4" i="2"/>
  <c r="L198" i="17" l="1" a="1"/>
  <c r="L198" i="17" s="1"/>
  <c r="L124" i="17" a="1"/>
  <c r="L124" i="17" s="1"/>
  <c r="N119" i="17" a="1"/>
  <c r="N119" i="17" s="1"/>
  <c r="M117" i="17" a="1"/>
  <c r="M117" i="17" s="1"/>
  <c r="L116" i="17" a="1"/>
  <c r="L116" i="17" s="1"/>
  <c r="N111" i="17" a="1"/>
  <c r="N111" i="17" s="1"/>
  <c r="L109" i="17" a="1"/>
  <c r="L109" i="17" s="1"/>
  <c r="L108" i="17" a="1"/>
  <c r="L108" i="17" s="1"/>
  <c r="L107" i="17" a="1"/>
  <c r="L107" i="17" s="1"/>
  <c r="L106" i="17" a="1"/>
  <c r="L106" i="17" s="1"/>
  <c r="L105" i="17" a="1"/>
  <c r="L105" i="17" s="1"/>
  <c r="L104" i="17" a="1"/>
  <c r="L104" i="17" s="1"/>
  <c r="L103" i="17" a="1"/>
  <c r="L103" i="17" s="1"/>
  <c r="L102" i="17" a="1"/>
  <c r="L102" i="17" s="1"/>
  <c r="L101" i="17" a="1"/>
  <c r="L101" i="17" s="1"/>
  <c r="L100" i="17" a="1"/>
  <c r="L100" i="17" s="1"/>
  <c r="N99" i="17" a="1"/>
  <c r="N99" i="17" s="1"/>
  <c r="L99" i="17" a="1"/>
  <c r="L99" i="17" s="1"/>
  <c r="N98" i="17" a="1"/>
  <c r="N98" i="17" s="1"/>
  <c r="M98" i="17" a="1"/>
  <c r="M98" i="17" s="1"/>
  <c r="L98" i="17" a="1"/>
  <c r="L98" i="17" s="1"/>
  <c r="N97" i="17" a="1"/>
  <c r="N97" i="17" s="1"/>
  <c r="L97" i="17" a="1"/>
  <c r="L97" i="17" s="1"/>
  <c r="N96" i="17" a="1"/>
  <c r="N96" i="17" s="1"/>
  <c r="M96" i="17" a="1"/>
  <c r="M96" i="17" s="1"/>
  <c r="L96" i="17" a="1"/>
  <c r="L96" i="17" s="1"/>
  <c r="N95" i="17" a="1"/>
  <c r="N95" i="17" s="1"/>
  <c r="L95" i="17" a="1"/>
  <c r="L95" i="17" s="1"/>
  <c r="N94" i="17" a="1"/>
  <c r="N94" i="17" s="1"/>
  <c r="M94" i="17" a="1"/>
  <c r="M94" i="17" s="1"/>
  <c r="L94" i="17" a="1"/>
  <c r="L94" i="17" s="1"/>
  <c r="N93" i="17" a="1"/>
  <c r="N93" i="17" s="1"/>
  <c r="L93" i="17" a="1"/>
  <c r="L93" i="17" s="1"/>
  <c r="N92" i="17" a="1"/>
  <c r="N92" i="17" s="1"/>
  <c r="M92" i="17" a="1"/>
  <c r="M92" i="17" s="1"/>
  <c r="L92" i="17" a="1"/>
  <c r="L92" i="17" s="1"/>
  <c r="N91" i="17" a="1"/>
  <c r="N91" i="17" s="1"/>
  <c r="L91" i="17" a="1"/>
  <c r="L91" i="17" s="1"/>
  <c r="N90" i="17" a="1"/>
  <c r="N90" i="17" s="1"/>
  <c r="M90" i="17" a="1"/>
  <c r="M90" i="17" s="1"/>
  <c r="L90" i="17" a="1"/>
  <c r="L90" i="17" s="1"/>
  <c r="N89" i="17" a="1"/>
  <c r="N89" i="17" s="1"/>
  <c r="L89" i="17" a="1"/>
  <c r="L89" i="17" s="1"/>
  <c r="N88" i="17" a="1"/>
  <c r="N88" i="17" s="1"/>
  <c r="M88" i="17" a="1"/>
  <c r="M88" i="17" s="1"/>
  <c r="L88" i="17" a="1"/>
  <c r="L88" i="17" s="1"/>
  <c r="N87" i="17" a="1"/>
  <c r="N87" i="17" s="1"/>
  <c r="L87" i="17" a="1"/>
  <c r="L87" i="17" s="1"/>
  <c r="N86" i="17" a="1"/>
  <c r="N86" i="17" s="1"/>
  <c r="M86" i="17" a="1"/>
  <c r="M86" i="17" s="1"/>
  <c r="L86" i="17" a="1"/>
  <c r="L86" i="17" s="1"/>
  <c r="N85" i="17" a="1"/>
  <c r="N85" i="17" s="1"/>
  <c r="L85" i="17" a="1"/>
  <c r="L85" i="17" s="1"/>
  <c r="N84" i="17" a="1"/>
  <c r="N84" i="17" s="1"/>
  <c r="M84" i="17" a="1"/>
  <c r="M84" i="17" s="1"/>
  <c r="L84" i="17" a="1"/>
  <c r="L84" i="17" s="1"/>
  <c r="N83" i="17" a="1"/>
  <c r="N83" i="17" s="1"/>
  <c r="L83" i="17" a="1"/>
  <c r="L83" i="17" s="1"/>
  <c r="N82" i="17" a="1"/>
  <c r="N82" i="17" s="1"/>
  <c r="M82" i="17" a="1"/>
  <c r="M82" i="17" s="1"/>
  <c r="L82" i="17" a="1"/>
  <c r="L82" i="17" s="1"/>
  <c r="N81" i="17" a="1"/>
  <c r="N81" i="17" s="1"/>
  <c r="L81" i="17" a="1"/>
  <c r="L81" i="17" s="1"/>
  <c r="N80" i="17" a="1"/>
  <c r="N80" i="17" s="1"/>
  <c r="M80" i="17" a="1"/>
  <c r="M80" i="17" s="1"/>
  <c r="L80" i="17" a="1"/>
  <c r="L80" i="17" s="1"/>
  <c r="N79" i="17" a="1"/>
  <c r="N79" i="17" s="1"/>
  <c r="L79" i="17" a="1"/>
  <c r="L79" i="17" s="1"/>
  <c r="N78" i="17" a="1"/>
  <c r="N78" i="17" s="1"/>
  <c r="M78" i="17" a="1"/>
  <c r="M78" i="17" s="1"/>
  <c r="L78" i="17" a="1"/>
  <c r="L78" i="17" s="1"/>
  <c r="N77" i="17" a="1"/>
  <c r="N77" i="17" s="1"/>
  <c r="L77" i="17" a="1"/>
  <c r="L77" i="17" s="1"/>
  <c r="N76" i="17" a="1"/>
  <c r="N76" i="17" s="1"/>
  <c r="M76" i="17" a="1"/>
  <c r="M76" i="17" s="1"/>
  <c r="L76" i="17" a="1"/>
  <c r="L76" i="17" s="1"/>
  <c r="N75" i="17" a="1"/>
  <c r="N75" i="17" s="1"/>
  <c r="L75" i="17" a="1"/>
  <c r="L75" i="17" s="1"/>
  <c r="N74" i="17" a="1"/>
  <c r="N74" i="17" s="1"/>
  <c r="M74" i="17" a="1"/>
  <c r="M74" i="17" s="1"/>
  <c r="L74" i="17" a="1"/>
  <c r="L74" i="17" s="1"/>
  <c r="N73" i="17" a="1"/>
  <c r="N73" i="17" s="1"/>
  <c r="L73" i="17" a="1"/>
  <c r="L73" i="17" s="1"/>
  <c r="N72" i="17" a="1"/>
  <c r="N72" i="17" s="1"/>
  <c r="M72" i="17" a="1"/>
  <c r="M72" i="17" s="1"/>
  <c r="L72" i="17" a="1"/>
  <c r="L72" i="17" s="1"/>
  <c r="N71" i="17" a="1"/>
  <c r="N71" i="17" s="1"/>
  <c r="L71" i="17" a="1"/>
  <c r="L71" i="17" s="1"/>
  <c r="N70" i="17" a="1"/>
  <c r="N70" i="17" s="1"/>
  <c r="M70" i="17" a="1"/>
  <c r="M70" i="17" s="1"/>
  <c r="L70" i="17" a="1"/>
  <c r="L70" i="17" s="1"/>
  <c r="N69" i="17" a="1"/>
  <c r="N69" i="17" s="1"/>
  <c r="L69" i="17" a="1"/>
  <c r="L69" i="17" s="1"/>
  <c r="N68" i="17" a="1"/>
  <c r="N68" i="17" s="1"/>
  <c r="M68" i="17" a="1"/>
  <c r="M68" i="17" s="1"/>
  <c r="L68" i="17" a="1"/>
  <c r="L68" i="17" s="1"/>
  <c r="N67" i="17" a="1"/>
  <c r="N67" i="17" s="1"/>
  <c r="L67" i="17" a="1"/>
  <c r="L67" i="17" s="1"/>
  <c r="N66" i="17" a="1"/>
  <c r="N66" i="17" s="1"/>
  <c r="M66" i="17" a="1"/>
  <c r="M66" i="17" s="1"/>
  <c r="L66" i="17" a="1"/>
  <c r="L66" i="17" s="1"/>
  <c r="N65" i="17" a="1"/>
  <c r="N65" i="17" s="1"/>
  <c r="L65" i="17" a="1"/>
  <c r="L65" i="17" s="1"/>
  <c r="N64" i="17" a="1"/>
  <c r="N64" i="17" s="1"/>
  <c r="M64" i="17" a="1"/>
  <c r="M64" i="17" s="1"/>
  <c r="L64" i="17" a="1"/>
  <c r="L64" i="17" s="1"/>
  <c r="N63" i="17" a="1"/>
  <c r="N63" i="17" s="1"/>
  <c r="L63" i="17" a="1"/>
  <c r="L63" i="17" s="1"/>
  <c r="N62" i="17" a="1"/>
  <c r="N62" i="17" s="1"/>
  <c r="M62" i="17" a="1"/>
  <c r="M62" i="17" s="1"/>
  <c r="L62" i="17" a="1"/>
  <c r="L62" i="17" s="1"/>
  <c r="N61" i="17" a="1"/>
  <c r="N61" i="17" s="1"/>
  <c r="L61" i="17" a="1"/>
  <c r="L61" i="17" s="1"/>
  <c r="N60" i="17" a="1"/>
  <c r="N60" i="17" s="1"/>
  <c r="M60" i="17" a="1"/>
  <c r="M60" i="17" s="1"/>
  <c r="L60" i="17" a="1"/>
  <c r="L60" i="17" s="1"/>
  <c r="N59" i="17" a="1"/>
  <c r="N59" i="17" s="1"/>
  <c r="L59" i="17" a="1"/>
  <c r="L59" i="17" s="1"/>
  <c r="N58" i="17" a="1"/>
  <c r="N58" i="17" s="1"/>
  <c r="M58" i="17" a="1"/>
  <c r="M58" i="17" s="1"/>
  <c r="L58" i="17" a="1"/>
  <c r="L58" i="17" s="1"/>
  <c r="N57" i="17" a="1"/>
  <c r="N57" i="17" s="1"/>
  <c r="L57" i="17" a="1"/>
  <c r="L57" i="17" s="1"/>
  <c r="N56" i="17" a="1"/>
  <c r="N56" i="17" s="1"/>
  <c r="M56" i="17" a="1"/>
  <c r="M56" i="17" s="1"/>
  <c r="L56" i="17" a="1"/>
  <c r="L56" i="17" s="1"/>
  <c r="N55" i="17" a="1"/>
  <c r="N55" i="17" s="1"/>
  <c r="L55" i="17" a="1"/>
  <c r="L55" i="17" s="1"/>
  <c r="N54" i="17" a="1"/>
  <c r="N54" i="17" s="1"/>
  <c r="M54" i="17" a="1"/>
  <c r="M54" i="17" s="1"/>
  <c r="L54" i="17" a="1"/>
  <c r="L54" i="17" s="1"/>
  <c r="N53" i="17" a="1"/>
  <c r="N53" i="17" s="1"/>
  <c r="L53" i="17" a="1"/>
  <c r="L53" i="17" s="1"/>
  <c r="K53" i="17" a="1"/>
  <c r="K53" i="17" s="1"/>
  <c r="N52" i="17" a="1"/>
  <c r="N52" i="17" s="1"/>
  <c r="L52" i="17" a="1"/>
  <c r="L52" i="17" s="1"/>
  <c r="N51" i="17" a="1"/>
  <c r="N51" i="17" s="1"/>
  <c r="L51" i="17" a="1"/>
  <c r="L51" i="17" s="1"/>
  <c r="N50" i="17" a="1"/>
  <c r="N50" i="17" s="1"/>
  <c r="L50" i="17" a="1"/>
  <c r="L50" i="17" s="1"/>
  <c r="N49" i="17" a="1"/>
  <c r="N49" i="17" s="1"/>
  <c r="L49" i="17" a="1"/>
  <c r="L49" i="17" s="1"/>
  <c r="N48" i="17" a="1"/>
  <c r="N48" i="17" s="1"/>
  <c r="L48" i="17" a="1"/>
  <c r="L48" i="17" s="1"/>
  <c r="N47" i="17" a="1"/>
  <c r="N47" i="17" s="1"/>
  <c r="L47" i="17" a="1"/>
  <c r="L47" i="17" s="1"/>
  <c r="N46" i="17" a="1"/>
  <c r="N46" i="17" s="1"/>
  <c r="M46" i="17" a="1"/>
  <c r="M46" i="17" s="1"/>
  <c r="L46" i="17" a="1"/>
  <c r="L46" i="17" s="1"/>
  <c r="N45" i="17" a="1"/>
  <c r="N45" i="17" s="1"/>
  <c r="L45" i="17" a="1"/>
  <c r="L45" i="17" s="1"/>
  <c r="K45" i="17" a="1"/>
  <c r="K45" i="17" s="1"/>
  <c r="N44" i="17" a="1"/>
  <c r="N44" i="17" s="1"/>
  <c r="L44" i="17" a="1"/>
  <c r="L44" i="17" s="1"/>
  <c r="N43" i="17" a="1"/>
  <c r="N43" i="17" s="1"/>
  <c r="L43" i="17" a="1"/>
  <c r="L43" i="17" s="1"/>
  <c r="N42" i="17" a="1"/>
  <c r="N42" i="17" s="1"/>
  <c r="L42" i="17" a="1"/>
  <c r="L42" i="17" s="1"/>
  <c r="N41" i="17" a="1"/>
  <c r="N41" i="17" s="1"/>
  <c r="L41" i="17" a="1"/>
  <c r="L41" i="17" s="1"/>
  <c r="N40" i="17" a="1"/>
  <c r="N40" i="17" s="1"/>
  <c r="L40" i="17" a="1"/>
  <c r="L40" i="17" s="1"/>
  <c r="N39" i="17" a="1"/>
  <c r="N39" i="17" s="1"/>
  <c r="L39" i="17" a="1"/>
  <c r="L39" i="17" s="1"/>
  <c r="N38" i="17" a="1"/>
  <c r="N38" i="17" s="1"/>
  <c r="M38" i="17" a="1"/>
  <c r="M38" i="17" s="1"/>
  <c r="L38" i="17" a="1"/>
  <c r="L38" i="17" s="1"/>
  <c r="N37" i="17" a="1"/>
  <c r="N37" i="17" s="1"/>
  <c r="L37" i="17" a="1"/>
  <c r="L37" i="17" s="1"/>
  <c r="K37" i="17" a="1"/>
  <c r="K37" i="17" s="1"/>
  <c r="N36" i="17" a="1"/>
  <c r="N36" i="17" s="1"/>
  <c r="L36" i="17" a="1"/>
  <c r="L36" i="17" s="1"/>
  <c r="N35" i="17" a="1"/>
  <c r="N35" i="17" s="1"/>
  <c r="L35" i="17" a="1"/>
  <c r="L35" i="17" s="1"/>
  <c r="N34" i="17" a="1"/>
  <c r="N34" i="17" s="1"/>
  <c r="L34" i="17" a="1"/>
  <c r="L34" i="17" s="1"/>
  <c r="N33" i="17" a="1"/>
  <c r="N33" i="17" s="1"/>
  <c r="L33" i="17" a="1"/>
  <c r="L33" i="17" s="1"/>
  <c r="N32" i="17" a="1"/>
  <c r="N32" i="17" s="1"/>
  <c r="L32" i="17" a="1"/>
  <c r="L32" i="17" s="1"/>
  <c r="N31" i="17" a="1"/>
  <c r="N31" i="17" s="1"/>
  <c r="L31" i="17" a="1"/>
  <c r="L31" i="17" s="1"/>
  <c r="N30" i="17" a="1"/>
  <c r="N30" i="17" s="1"/>
  <c r="M30" i="17" a="1"/>
  <c r="M30" i="17" s="1"/>
  <c r="L30" i="17" a="1"/>
  <c r="L30" i="17" s="1"/>
  <c r="N29" i="17" a="1"/>
  <c r="N29" i="17" s="1"/>
  <c r="L29" i="17" a="1"/>
  <c r="L29" i="17" s="1"/>
  <c r="K29" i="17" a="1"/>
  <c r="K29" i="17" s="1"/>
  <c r="N28" i="17" a="1"/>
  <c r="N28" i="17" s="1"/>
  <c r="L28" i="17" a="1"/>
  <c r="L28" i="17" s="1"/>
  <c r="N27" i="17" a="1"/>
  <c r="N27" i="17" s="1"/>
  <c r="L27" i="17" a="1"/>
  <c r="L27" i="17" s="1"/>
  <c r="N26" i="17" a="1"/>
  <c r="N26" i="17" s="1"/>
  <c r="L26" i="17" a="1"/>
  <c r="L26" i="17" s="1"/>
  <c r="N25" i="17" a="1"/>
  <c r="N25" i="17" s="1"/>
  <c r="L25" i="17" a="1"/>
  <c r="L25" i="17" s="1"/>
  <c r="N24" i="17" a="1"/>
  <c r="N24" i="17" s="1"/>
  <c r="L24" i="17" a="1"/>
  <c r="L24" i="17" s="1"/>
  <c r="N23" i="17" a="1"/>
  <c r="N23" i="17" s="1"/>
  <c r="L23" i="17" a="1"/>
  <c r="L23" i="17" s="1"/>
  <c r="N22" i="17" a="1"/>
  <c r="N22" i="17" s="1"/>
  <c r="M22" i="17" a="1"/>
  <c r="M22" i="17" s="1"/>
  <c r="L22" i="17" a="1"/>
  <c r="L22" i="17" s="1"/>
  <c r="N21" i="17" a="1"/>
  <c r="N21" i="17" s="1"/>
  <c r="L21" i="17" a="1"/>
  <c r="L21" i="17" s="1"/>
  <c r="K21" i="17" a="1"/>
  <c r="K21" i="17" s="1"/>
  <c r="N20" i="17" a="1"/>
  <c r="N20" i="17" s="1"/>
  <c r="L20" i="17" a="1"/>
  <c r="L20" i="17" s="1"/>
  <c r="N19" i="17" a="1"/>
  <c r="N19" i="17" s="1"/>
  <c r="L19" i="17" a="1"/>
  <c r="L19" i="17" s="1"/>
  <c r="N18" i="17" a="1"/>
  <c r="N18" i="17" s="1"/>
  <c r="L18" i="17" a="1"/>
  <c r="L18" i="17" s="1"/>
  <c r="N17" i="17" a="1"/>
  <c r="N17" i="17" s="1"/>
  <c r="L17" i="17" a="1"/>
  <c r="L17" i="17" s="1"/>
  <c r="N16" i="17" a="1"/>
  <c r="N16" i="17" s="1"/>
  <c r="L16" i="17" a="1"/>
  <c r="L16" i="17" s="1"/>
  <c r="K16" i="17" a="1"/>
  <c r="K16" i="17" s="1"/>
  <c r="N15" i="17" a="1"/>
  <c r="N15" i="17" s="1"/>
  <c r="L15" i="17" a="1"/>
  <c r="L15" i="17" s="1"/>
  <c r="N14" i="17" a="1"/>
  <c r="N14" i="17" s="1"/>
  <c r="M14" i="17" a="1"/>
  <c r="M14" i="17" s="1"/>
  <c r="L14" i="17" a="1"/>
  <c r="L14" i="17" s="1"/>
  <c r="K14" i="17" a="1"/>
  <c r="K14" i="17" s="1"/>
  <c r="N13" i="17" a="1"/>
  <c r="N13" i="17" s="1"/>
  <c r="L13" i="17" a="1"/>
  <c r="L13" i="17" s="1"/>
  <c r="K13" i="17" a="1"/>
  <c r="K13" i="17" s="1"/>
  <c r="N12" i="17" a="1"/>
  <c r="N12" i="17" s="1"/>
  <c r="L12" i="17" a="1"/>
  <c r="L12" i="17" s="1"/>
  <c r="N11" i="17" a="1"/>
  <c r="N11" i="17" s="1"/>
  <c r="L11" i="17" a="1"/>
  <c r="L11" i="17" s="1"/>
  <c r="N10" i="17" a="1"/>
  <c r="N10" i="17" s="1"/>
  <c r="L10" i="17" a="1"/>
  <c r="L10" i="17" s="1"/>
  <c r="N9" i="17" a="1"/>
  <c r="N9" i="17" s="1"/>
  <c r="M9" i="17" a="1"/>
  <c r="M9" i="17" s="1"/>
  <c r="L9" i="17" a="1"/>
  <c r="L9" i="17" s="1"/>
  <c r="N8" i="17" a="1"/>
  <c r="N8" i="17" s="1"/>
  <c r="L8" i="17" a="1"/>
  <c r="L8" i="17" s="1"/>
  <c r="K8" i="17" a="1"/>
  <c r="K8" i="17" s="1"/>
  <c r="N7" i="17" a="1"/>
  <c r="N7" i="17" s="1"/>
  <c r="M7" i="17" a="1"/>
  <c r="M7" i="17" s="1"/>
  <c r="L7" i="17" a="1"/>
  <c r="L7" i="17" s="1"/>
  <c r="N6" i="17" a="1"/>
  <c r="N6" i="17" s="1"/>
  <c r="M6" i="17" a="1"/>
  <c r="M6" i="17" s="1"/>
  <c r="L6" i="17" a="1"/>
  <c r="L6" i="17" s="1"/>
  <c r="K6" i="17" a="1"/>
  <c r="K6" i="17" s="1"/>
  <c r="N1" i="17"/>
  <c r="N189" i="17" s="1" a="1"/>
  <c r="N189" i="17" s="1"/>
  <c r="M1" i="17"/>
  <c r="M53" i="17" s="1" a="1"/>
  <c r="M53" i="17" s="1"/>
  <c r="L1" i="17"/>
  <c r="L154" i="17" s="1" a="1"/>
  <c r="L154" i="17" s="1"/>
  <c r="K1" i="17"/>
  <c r="J6" i="17" a="1"/>
  <c r="J6" i="17" s="1"/>
  <c r="I6" i="17" a="1"/>
  <c r="I6" i="17" s="1"/>
  <c r="H6" i="17" a="1"/>
  <c r="H6" i="17" s="1"/>
  <c r="G6" i="17" a="1"/>
  <c r="G6" i="17" s="1"/>
  <c r="F6" i="17" a="1"/>
  <c r="F6" i="17" s="1"/>
  <c r="J358" i="17" a="1"/>
  <c r="J358" i="17" s="1"/>
  <c r="I358" i="17" a="1"/>
  <c r="I358" i="17" s="1"/>
  <c r="H358" i="17" a="1"/>
  <c r="H358" i="17" s="1"/>
  <c r="G358" i="17" a="1"/>
  <c r="G358" i="17" s="1"/>
  <c r="J357" i="17" a="1"/>
  <c r="J357" i="17" s="1"/>
  <c r="I357" i="17" a="1"/>
  <c r="I357" i="17" s="1"/>
  <c r="H357" i="17" a="1"/>
  <c r="H357" i="17" s="1"/>
  <c r="G357" i="17" a="1"/>
  <c r="G357" i="17" s="1"/>
  <c r="J356" i="17" a="1"/>
  <c r="J356" i="17" s="1"/>
  <c r="I356" i="17" a="1"/>
  <c r="I356" i="17" s="1"/>
  <c r="H356" i="17" a="1"/>
  <c r="H356" i="17" s="1"/>
  <c r="G356" i="17" a="1"/>
  <c r="G356" i="17" s="1"/>
  <c r="J355" i="17" a="1"/>
  <c r="J355" i="17" s="1"/>
  <c r="I355" i="17" a="1"/>
  <c r="I355" i="17" s="1"/>
  <c r="H355" i="17" a="1"/>
  <c r="H355" i="17" s="1"/>
  <c r="G355" i="17" a="1"/>
  <c r="G355" i="17" s="1"/>
  <c r="J354" i="17" a="1"/>
  <c r="J354" i="17" s="1"/>
  <c r="I354" i="17" a="1"/>
  <c r="I354" i="17" s="1"/>
  <c r="H354" i="17" a="1"/>
  <c r="H354" i="17" s="1"/>
  <c r="G354" i="17" a="1"/>
  <c r="G354" i="17" s="1"/>
  <c r="J353" i="17" a="1"/>
  <c r="J353" i="17" s="1"/>
  <c r="I353" i="17" a="1"/>
  <c r="I353" i="17" s="1"/>
  <c r="H353" i="17" a="1"/>
  <c r="H353" i="17" s="1"/>
  <c r="G353" i="17" a="1"/>
  <c r="G353" i="17" s="1"/>
  <c r="J352" i="17" a="1"/>
  <c r="J352" i="17" s="1"/>
  <c r="I352" i="17" a="1"/>
  <c r="I352" i="17" s="1"/>
  <c r="H352" i="17" a="1"/>
  <c r="H352" i="17" s="1"/>
  <c r="G352" i="17" a="1"/>
  <c r="G352" i="17" s="1"/>
  <c r="J351" i="17" a="1"/>
  <c r="J351" i="17" s="1"/>
  <c r="I351" i="17" a="1"/>
  <c r="I351" i="17" s="1"/>
  <c r="H351" i="17" a="1"/>
  <c r="H351" i="17" s="1"/>
  <c r="G351" i="17" a="1"/>
  <c r="G351" i="17" s="1"/>
  <c r="J350" i="17" a="1"/>
  <c r="J350" i="17" s="1"/>
  <c r="I350" i="17" a="1"/>
  <c r="I350" i="17" s="1"/>
  <c r="H350" i="17" a="1"/>
  <c r="H350" i="17" s="1"/>
  <c r="G350" i="17" a="1"/>
  <c r="G350" i="17" s="1"/>
  <c r="J349" i="17" a="1"/>
  <c r="J349" i="17" s="1"/>
  <c r="I349" i="17" a="1"/>
  <c r="I349" i="17" s="1"/>
  <c r="H349" i="17" a="1"/>
  <c r="H349" i="17" s="1"/>
  <c r="G349" i="17" a="1"/>
  <c r="G349" i="17" s="1"/>
  <c r="J348" i="17" a="1"/>
  <c r="J348" i="17" s="1"/>
  <c r="I348" i="17" a="1"/>
  <c r="I348" i="17" s="1"/>
  <c r="H348" i="17" a="1"/>
  <c r="H348" i="17" s="1"/>
  <c r="G348" i="17" a="1"/>
  <c r="G348" i="17" s="1"/>
  <c r="J347" i="17" a="1"/>
  <c r="J347" i="17" s="1"/>
  <c r="I347" i="17" a="1"/>
  <c r="I347" i="17" s="1"/>
  <c r="H347" i="17" a="1"/>
  <c r="H347" i="17" s="1"/>
  <c r="G347" i="17" a="1"/>
  <c r="G347" i="17" s="1"/>
  <c r="J346" i="17" a="1"/>
  <c r="J346" i="17" s="1"/>
  <c r="I346" i="17" a="1"/>
  <c r="I346" i="17" s="1"/>
  <c r="H346" i="17" a="1"/>
  <c r="H346" i="17" s="1"/>
  <c r="G346" i="17" a="1"/>
  <c r="G346" i="17" s="1"/>
  <c r="J345" i="17" a="1"/>
  <c r="J345" i="17" s="1"/>
  <c r="I345" i="17" a="1"/>
  <c r="I345" i="17" s="1"/>
  <c r="H345" i="17" a="1"/>
  <c r="H345" i="17" s="1"/>
  <c r="G345" i="17" a="1"/>
  <c r="G345" i="17" s="1"/>
  <c r="J344" i="17" a="1"/>
  <c r="J344" i="17" s="1"/>
  <c r="I344" i="17" a="1"/>
  <c r="I344" i="17" s="1"/>
  <c r="H344" i="17" a="1"/>
  <c r="H344" i="17" s="1"/>
  <c r="G344" i="17" a="1"/>
  <c r="G344" i="17" s="1"/>
  <c r="J343" i="17" a="1"/>
  <c r="J343" i="17" s="1"/>
  <c r="I343" i="17" a="1"/>
  <c r="I343" i="17" s="1"/>
  <c r="H343" i="17" a="1"/>
  <c r="H343" i="17" s="1"/>
  <c r="G343" i="17" a="1"/>
  <c r="G343" i="17" s="1"/>
  <c r="J342" i="17" a="1"/>
  <c r="J342" i="17" s="1"/>
  <c r="I342" i="17" a="1"/>
  <c r="I342" i="17" s="1"/>
  <c r="H342" i="17" a="1"/>
  <c r="H342" i="17" s="1"/>
  <c r="G342" i="17" a="1"/>
  <c r="G342" i="17" s="1"/>
  <c r="J341" i="17" a="1"/>
  <c r="J341" i="17" s="1"/>
  <c r="I341" i="17" a="1"/>
  <c r="I341" i="17" s="1"/>
  <c r="H341" i="17" a="1"/>
  <c r="H341" i="17" s="1"/>
  <c r="G341" i="17" a="1"/>
  <c r="G341" i="17" s="1"/>
  <c r="J340" i="17" a="1"/>
  <c r="J340" i="17" s="1"/>
  <c r="I340" i="17" a="1"/>
  <c r="I340" i="17" s="1"/>
  <c r="H340" i="17" a="1"/>
  <c r="H340" i="17" s="1"/>
  <c r="G340" i="17" a="1"/>
  <c r="G340" i="17" s="1"/>
  <c r="J339" i="17" a="1"/>
  <c r="J339" i="17" s="1"/>
  <c r="I339" i="17" a="1"/>
  <c r="I339" i="17" s="1"/>
  <c r="H339" i="17" a="1"/>
  <c r="H339" i="17" s="1"/>
  <c r="G339" i="17" a="1"/>
  <c r="G339" i="17" s="1"/>
  <c r="J338" i="17" a="1"/>
  <c r="J338" i="17" s="1"/>
  <c r="I338" i="17" a="1"/>
  <c r="I338" i="17" s="1"/>
  <c r="H338" i="17" a="1"/>
  <c r="H338" i="17" s="1"/>
  <c r="G338" i="17" a="1"/>
  <c r="G338" i="17" s="1"/>
  <c r="J337" i="17" a="1"/>
  <c r="J337" i="17" s="1"/>
  <c r="I337" i="17" a="1"/>
  <c r="I337" i="17" s="1"/>
  <c r="H337" i="17" a="1"/>
  <c r="H337" i="17" s="1"/>
  <c r="G337" i="17" a="1"/>
  <c r="G337" i="17" s="1"/>
  <c r="J336" i="17" a="1"/>
  <c r="J336" i="17" s="1"/>
  <c r="I336" i="17" a="1"/>
  <c r="I336" i="17" s="1"/>
  <c r="H336" i="17" a="1"/>
  <c r="H336" i="17" s="1"/>
  <c r="G336" i="17" a="1"/>
  <c r="G336" i="17" s="1"/>
  <c r="J335" i="17" a="1"/>
  <c r="J335" i="17" s="1"/>
  <c r="I335" i="17" a="1"/>
  <c r="I335" i="17" s="1"/>
  <c r="H335" i="17" a="1"/>
  <c r="H335" i="17" s="1"/>
  <c r="G335" i="17" a="1"/>
  <c r="G335" i="17" s="1"/>
  <c r="J334" i="17" a="1"/>
  <c r="J334" i="17" s="1"/>
  <c r="I334" i="17" a="1"/>
  <c r="I334" i="17" s="1"/>
  <c r="H334" i="17" a="1"/>
  <c r="H334" i="17" s="1"/>
  <c r="G334" i="17" a="1"/>
  <c r="G334" i="17" s="1"/>
  <c r="J333" i="17" a="1"/>
  <c r="J333" i="17" s="1"/>
  <c r="I333" i="17" a="1"/>
  <c r="I333" i="17" s="1"/>
  <c r="H333" i="17" a="1"/>
  <c r="H333" i="17" s="1"/>
  <c r="G333" i="17" a="1"/>
  <c r="G333" i="17" s="1"/>
  <c r="J332" i="17" a="1"/>
  <c r="J332" i="17" s="1"/>
  <c r="I332" i="17" a="1"/>
  <c r="I332" i="17" s="1"/>
  <c r="H332" i="17" a="1"/>
  <c r="H332" i="17" s="1"/>
  <c r="G332" i="17" a="1"/>
  <c r="G332" i="17" s="1"/>
  <c r="J331" i="17" a="1"/>
  <c r="J331" i="17" s="1"/>
  <c r="I331" i="17" a="1"/>
  <c r="I331" i="17" s="1"/>
  <c r="H331" i="17" a="1"/>
  <c r="H331" i="17" s="1"/>
  <c r="G331" i="17" a="1"/>
  <c r="G331" i="17" s="1"/>
  <c r="J330" i="17" a="1"/>
  <c r="J330" i="17" s="1"/>
  <c r="I330" i="17" a="1"/>
  <c r="I330" i="17" s="1"/>
  <c r="H330" i="17" a="1"/>
  <c r="H330" i="17" s="1"/>
  <c r="G330" i="17" a="1"/>
  <c r="G330" i="17" s="1"/>
  <c r="J329" i="17" a="1"/>
  <c r="J329" i="17" s="1"/>
  <c r="I329" i="17" a="1"/>
  <c r="I329" i="17" s="1"/>
  <c r="H329" i="17" a="1"/>
  <c r="H329" i="17" s="1"/>
  <c r="G329" i="17" a="1"/>
  <c r="G329" i="17" s="1"/>
  <c r="J328" i="17" a="1"/>
  <c r="J328" i="17" s="1"/>
  <c r="I328" i="17" a="1"/>
  <c r="I328" i="17" s="1"/>
  <c r="H328" i="17" a="1"/>
  <c r="H328" i="17" s="1"/>
  <c r="G328" i="17" a="1"/>
  <c r="G328" i="17" s="1"/>
  <c r="J327" i="17" a="1"/>
  <c r="J327" i="17" s="1"/>
  <c r="I327" i="17" a="1"/>
  <c r="I327" i="17" s="1"/>
  <c r="H327" i="17" a="1"/>
  <c r="H327" i="17" s="1"/>
  <c r="G327" i="17" a="1"/>
  <c r="G327" i="17" s="1"/>
  <c r="J326" i="17" a="1"/>
  <c r="J326" i="17" s="1"/>
  <c r="I326" i="17" a="1"/>
  <c r="I326" i="17" s="1"/>
  <c r="H326" i="17" a="1"/>
  <c r="H326" i="17" s="1"/>
  <c r="G326" i="17" a="1"/>
  <c r="G326" i="17" s="1"/>
  <c r="J325" i="17" a="1"/>
  <c r="J325" i="17" s="1"/>
  <c r="I325" i="17" a="1"/>
  <c r="I325" i="17" s="1"/>
  <c r="H325" i="17" a="1"/>
  <c r="H325" i="17" s="1"/>
  <c r="G325" i="17" a="1"/>
  <c r="G325" i="17" s="1"/>
  <c r="J324" i="17" a="1"/>
  <c r="J324" i="17" s="1"/>
  <c r="I324" i="17" a="1"/>
  <c r="I324" i="17" s="1"/>
  <c r="H324" i="17" a="1"/>
  <c r="H324" i="17" s="1"/>
  <c r="G324" i="17" a="1"/>
  <c r="G324" i="17" s="1"/>
  <c r="J323" i="17" a="1"/>
  <c r="J323" i="17" s="1"/>
  <c r="I323" i="17" a="1"/>
  <c r="I323" i="17" s="1"/>
  <c r="H323" i="17" a="1"/>
  <c r="H323" i="17" s="1"/>
  <c r="G323" i="17" a="1"/>
  <c r="G323" i="17" s="1"/>
  <c r="J322" i="17" a="1"/>
  <c r="J322" i="17" s="1"/>
  <c r="I322" i="17" a="1"/>
  <c r="I322" i="17" s="1"/>
  <c r="H322" i="17" a="1"/>
  <c r="H322" i="17" s="1"/>
  <c r="G322" i="17" a="1"/>
  <c r="G322" i="17" s="1"/>
  <c r="J321" i="17" a="1"/>
  <c r="J321" i="17" s="1"/>
  <c r="I321" i="17" a="1"/>
  <c r="I321" i="17" s="1"/>
  <c r="H321" i="17" a="1"/>
  <c r="H321" i="17" s="1"/>
  <c r="G321" i="17" a="1"/>
  <c r="G321" i="17" s="1"/>
  <c r="J320" i="17" a="1"/>
  <c r="J320" i="17" s="1"/>
  <c r="I320" i="17" a="1"/>
  <c r="I320" i="17" s="1"/>
  <c r="H320" i="17" a="1"/>
  <c r="H320" i="17" s="1"/>
  <c r="G320" i="17" a="1"/>
  <c r="G320" i="17" s="1"/>
  <c r="J319" i="17" a="1"/>
  <c r="J319" i="17" s="1"/>
  <c r="I319" i="17" a="1"/>
  <c r="I319" i="17" s="1"/>
  <c r="H319" i="17" a="1"/>
  <c r="H319" i="17" s="1"/>
  <c r="G319" i="17" a="1"/>
  <c r="G319" i="17" s="1"/>
  <c r="J318" i="17" a="1"/>
  <c r="J318" i="17" s="1"/>
  <c r="I318" i="17" a="1"/>
  <c r="I318" i="17" s="1"/>
  <c r="H318" i="17" a="1"/>
  <c r="H318" i="17" s="1"/>
  <c r="G318" i="17" a="1"/>
  <c r="G318" i="17" s="1"/>
  <c r="J317" i="17" a="1"/>
  <c r="J317" i="17" s="1"/>
  <c r="I317" i="17" a="1"/>
  <c r="I317" i="17" s="1"/>
  <c r="H317" i="17" a="1"/>
  <c r="H317" i="17" s="1"/>
  <c r="G317" i="17" a="1"/>
  <c r="G317" i="17" s="1"/>
  <c r="J316" i="17" a="1"/>
  <c r="J316" i="17" s="1"/>
  <c r="I316" i="17" a="1"/>
  <c r="I316" i="17" s="1"/>
  <c r="H316" i="17" a="1"/>
  <c r="H316" i="17" s="1"/>
  <c r="G316" i="17" a="1"/>
  <c r="G316" i="17" s="1"/>
  <c r="J315" i="17" a="1"/>
  <c r="J315" i="17" s="1"/>
  <c r="I315" i="17" a="1"/>
  <c r="I315" i="17" s="1"/>
  <c r="H315" i="17" a="1"/>
  <c r="H315" i="17" s="1"/>
  <c r="G315" i="17" a="1"/>
  <c r="G315" i="17" s="1"/>
  <c r="J314" i="17" a="1"/>
  <c r="J314" i="17" s="1"/>
  <c r="I314" i="17" a="1"/>
  <c r="I314" i="17" s="1"/>
  <c r="H314" i="17" a="1"/>
  <c r="H314" i="17" s="1"/>
  <c r="G314" i="17" a="1"/>
  <c r="G314" i="17" s="1"/>
  <c r="J313" i="17" a="1"/>
  <c r="J313" i="17" s="1"/>
  <c r="I313" i="17" a="1"/>
  <c r="I313" i="17" s="1"/>
  <c r="H313" i="17" a="1"/>
  <c r="H313" i="17" s="1"/>
  <c r="G313" i="17" a="1"/>
  <c r="G313" i="17" s="1"/>
  <c r="J312" i="17" a="1"/>
  <c r="J312" i="17" s="1"/>
  <c r="I312" i="17" a="1"/>
  <c r="I312" i="17" s="1"/>
  <c r="H312" i="17" a="1"/>
  <c r="H312" i="17" s="1"/>
  <c r="G312" i="17" a="1"/>
  <c r="G312" i="17" s="1"/>
  <c r="J311" i="17" a="1"/>
  <c r="J311" i="17" s="1"/>
  <c r="I311" i="17" a="1"/>
  <c r="I311" i="17" s="1"/>
  <c r="H311" i="17" a="1"/>
  <c r="H311" i="17" s="1"/>
  <c r="G311" i="17" a="1"/>
  <c r="G311" i="17" s="1"/>
  <c r="J310" i="17" a="1"/>
  <c r="J310" i="17" s="1"/>
  <c r="I310" i="17" a="1"/>
  <c r="I310" i="17" s="1"/>
  <c r="H310" i="17" a="1"/>
  <c r="H310" i="17" s="1"/>
  <c r="G310" i="17" a="1"/>
  <c r="G310" i="17" s="1"/>
  <c r="J309" i="17" a="1"/>
  <c r="J309" i="17" s="1"/>
  <c r="I309" i="17" a="1"/>
  <c r="I309" i="17" s="1"/>
  <c r="H309" i="17" a="1"/>
  <c r="H309" i="17" s="1"/>
  <c r="G309" i="17" a="1"/>
  <c r="G309" i="17" s="1"/>
  <c r="J308" i="17" a="1"/>
  <c r="J308" i="17" s="1"/>
  <c r="I308" i="17" a="1"/>
  <c r="I308" i="17" s="1"/>
  <c r="H308" i="17" a="1"/>
  <c r="H308" i="17" s="1"/>
  <c r="G308" i="17" a="1"/>
  <c r="G308" i="17" s="1"/>
  <c r="J307" i="17" a="1"/>
  <c r="J307" i="17" s="1"/>
  <c r="I307" i="17" a="1"/>
  <c r="I307" i="17" s="1"/>
  <c r="H307" i="17" a="1"/>
  <c r="H307" i="17" s="1"/>
  <c r="G307" i="17" a="1"/>
  <c r="G307" i="17" s="1"/>
  <c r="J306" i="17" a="1"/>
  <c r="J306" i="17" s="1"/>
  <c r="I306" i="17" a="1"/>
  <c r="I306" i="17" s="1"/>
  <c r="H306" i="17" a="1"/>
  <c r="H306" i="17" s="1"/>
  <c r="G306" i="17" a="1"/>
  <c r="G306" i="17" s="1"/>
  <c r="J305" i="17" a="1"/>
  <c r="J305" i="17" s="1"/>
  <c r="I305" i="17" a="1"/>
  <c r="I305" i="17" s="1"/>
  <c r="H305" i="17" a="1"/>
  <c r="H305" i="17" s="1"/>
  <c r="G305" i="17" a="1"/>
  <c r="G305" i="17" s="1"/>
  <c r="J304" i="17" a="1"/>
  <c r="J304" i="17" s="1"/>
  <c r="I304" i="17" a="1"/>
  <c r="I304" i="17" s="1"/>
  <c r="H304" i="17" a="1"/>
  <c r="H304" i="17" s="1"/>
  <c r="G304" i="17" a="1"/>
  <c r="G304" i="17" s="1"/>
  <c r="J303" i="17" a="1"/>
  <c r="J303" i="17" s="1"/>
  <c r="I303" i="17" a="1"/>
  <c r="I303" i="17" s="1"/>
  <c r="H303" i="17" a="1"/>
  <c r="H303" i="17" s="1"/>
  <c r="G303" i="17" a="1"/>
  <c r="G303" i="17" s="1"/>
  <c r="J302" i="17" a="1"/>
  <c r="J302" i="17" s="1"/>
  <c r="I302" i="17" a="1"/>
  <c r="I302" i="17" s="1"/>
  <c r="H302" i="17" a="1"/>
  <c r="H302" i="17" s="1"/>
  <c r="G302" i="17" a="1"/>
  <c r="G302" i="17" s="1"/>
  <c r="J301" i="17" a="1"/>
  <c r="J301" i="17" s="1"/>
  <c r="I301" i="17" a="1"/>
  <c r="I301" i="17" s="1"/>
  <c r="H301" i="17" a="1"/>
  <c r="H301" i="17" s="1"/>
  <c r="G301" i="17" a="1"/>
  <c r="G301" i="17" s="1"/>
  <c r="J300" i="17" a="1"/>
  <c r="J300" i="17" s="1"/>
  <c r="I300" i="17" a="1"/>
  <c r="I300" i="17" s="1"/>
  <c r="H300" i="17" a="1"/>
  <c r="H300" i="17" s="1"/>
  <c r="G300" i="17" a="1"/>
  <c r="G300" i="17" s="1"/>
  <c r="J299" i="17" a="1"/>
  <c r="J299" i="17" s="1"/>
  <c r="I299" i="17" a="1"/>
  <c r="I299" i="17" s="1"/>
  <c r="H299" i="17" a="1"/>
  <c r="H299" i="17" s="1"/>
  <c r="G299" i="17" a="1"/>
  <c r="G299" i="17" s="1"/>
  <c r="J298" i="17" a="1"/>
  <c r="J298" i="17" s="1"/>
  <c r="I298" i="17" a="1"/>
  <c r="I298" i="17" s="1"/>
  <c r="H298" i="17" a="1"/>
  <c r="H298" i="17" s="1"/>
  <c r="G298" i="17" a="1"/>
  <c r="G298" i="17" s="1"/>
  <c r="J297" i="17" a="1"/>
  <c r="J297" i="17" s="1"/>
  <c r="I297" i="17" a="1"/>
  <c r="I297" i="17" s="1"/>
  <c r="H297" i="17" a="1"/>
  <c r="H297" i="17" s="1"/>
  <c r="G297" i="17" a="1"/>
  <c r="G297" i="17" s="1"/>
  <c r="J296" i="17" a="1"/>
  <c r="J296" i="17" s="1"/>
  <c r="I296" i="17" a="1"/>
  <c r="I296" i="17" s="1"/>
  <c r="H296" i="17" a="1"/>
  <c r="H296" i="17" s="1"/>
  <c r="G296" i="17" a="1"/>
  <c r="G296" i="17" s="1"/>
  <c r="J295" i="17" a="1"/>
  <c r="J295" i="17" s="1"/>
  <c r="I295" i="17" a="1"/>
  <c r="I295" i="17" s="1"/>
  <c r="H295" i="17" a="1"/>
  <c r="H295" i="17" s="1"/>
  <c r="G295" i="17" a="1"/>
  <c r="G295" i="17" s="1"/>
  <c r="J294" i="17" a="1"/>
  <c r="J294" i="17" s="1"/>
  <c r="I294" i="17" a="1"/>
  <c r="I294" i="17" s="1"/>
  <c r="H294" i="17" a="1"/>
  <c r="H294" i="17" s="1"/>
  <c r="G294" i="17" a="1"/>
  <c r="G294" i="17" s="1"/>
  <c r="J293" i="17" a="1"/>
  <c r="J293" i="17" s="1"/>
  <c r="I293" i="17" a="1"/>
  <c r="I293" i="17" s="1"/>
  <c r="H293" i="17" a="1"/>
  <c r="H293" i="17" s="1"/>
  <c r="G293" i="17" a="1"/>
  <c r="G293" i="17" s="1"/>
  <c r="J292" i="17" a="1"/>
  <c r="J292" i="17" s="1"/>
  <c r="I292" i="17" a="1"/>
  <c r="I292" i="17" s="1"/>
  <c r="H292" i="17" a="1"/>
  <c r="H292" i="17" s="1"/>
  <c r="G292" i="17" a="1"/>
  <c r="G292" i="17" s="1"/>
  <c r="J291" i="17" a="1"/>
  <c r="J291" i="17" s="1"/>
  <c r="I291" i="17" a="1"/>
  <c r="I291" i="17" s="1"/>
  <c r="H291" i="17" a="1"/>
  <c r="H291" i="17" s="1"/>
  <c r="G291" i="17" a="1"/>
  <c r="G291" i="17" s="1"/>
  <c r="J290" i="17" a="1"/>
  <c r="J290" i="17" s="1"/>
  <c r="I290" i="17" a="1"/>
  <c r="I290" i="17" s="1"/>
  <c r="H290" i="17" a="1"/>
  <c r="H290" i="17" s="1"/>
  <c r="G290" i="17" a="1"/>
  <c r="G290" i="17" s="1"/>
  <c r="J289" i="17" a="1"/>
  <c r="J289" i="17" s="1"/>
  <c r="I289" i="17" a="1"/>
  <c r="I289" i="17" s="1"/>
  <c r="H289" i="17" a="1"/>
  <c r="H289" i="17" s="1"/>
  <c r="G289" i="17" a="1"/>
  <c r="G289" i="17" s="1"/>
  <c r="J288" i="17" a="1"/>
  <c r="J288" i="17" s="1"/>
  <c r="I288" i="17" a="1"/>
  <c r="I288" i="17" s="1"/>
  <c r="H288" i="17" a="1"/>
  <c r="H288" i="17" s="1"/>
  <c r="G288" i="17" a="1"/>
  <c r="G288" i="17" s="1"/>
  <c r="J287" i="17" a="1"/>
  <c r="J287" i="17" s="1"/>
  <c r="I287" i="17" a="1"/>
  <c r="I287" i="17" s="1"/>
  <c r="H287" i="17" a="1"/>
  <c r="H287" i="17" s="1"/>
  <c r="G287" i="17" a="1"/>
  <c r="G287" i="17" s="1"/>
  <c r="J286" i="17" a="1"/>
  <c r="J286" i="17" s="1"/>
  <c r="I286" i="17" a="1"/>
  <c r="I286" i="17" s="1"/>
  <c r="H286" i="17" a="1"/>
  <c r="H286" i="17" s="1"/>
  <c r="G286" i="17" a="1"/>
  <c r="G286" i="17" s="1"/>
  <c r="J285" i="17" a="1"/>
  <c r="J285" i="17" s="1"/>
  <c r="I285" i="17" a="1"/>
  <c r="I285" i="17" s="1"/>
  <c r="H285" i="17" a="1"/>
  <c r="H285" i="17" s="1"/>
  <c r="G285" i="17" a="1"/>
  <c r="G285" i="17" s="1"/>
  <c r="J284" i="17" a="1"/>
  <c r="J284" i="17" s="1"/>
  <c r="I284" i="17" a="1"/>
  <c r="I284" i="17" s="1"/>
  <c r="H284" i="17" a="1"/>
  <c r="H284" i="17" s="1"/>
  <c r="G284" i="17" a="1"/>
  <c r="G284" i="17" s="1"/>
  <c r="J283" i="17" a="1"/>
  <c r="J283" i="17" s="1"/>
  <c r="I283" i="17" a="1"/>
  <c r="I283" i="17" s="1"/>
  <c r="H283" i="17" a="1"/>
  <c r="H283" i="17" s="1"/>
  <c r="G283" i="17" a="1"/>
  <c r="G283" i="17" s="1"/>
  <c r="J282" i="17" a="1"/>
  <c r="J282" i="17" s="1"/>
  <c r="I282" i="17" a="1"/>
  <c r="I282" i="17" s="1"/>
  <c r="H282" i="17" a="1"/>
  <c r="H282" i="17" s="1"/>
  <c r="G282" i="17" a="1"/>
  <c r="G282" i="17" s="1"/>
  <c r="J281" i="17" a="1"/>
  <c r="J281" i="17" s="1"/>
  <c r="I281" i="17" a="1"/>
  <c r="I281" i="17" s="1"/>
  <c r="H281" i="17" a="1"/>
  <c r="H281" i="17" s="1"/>
  <c r="G281" i="17" a="1"/>
  <c r="G281" i="17" s="1"/>
  <c r="J280" i="17" a="1"/>
  <c r="J280" i="17" s="1"/>
  <c r="I280" i="17" a="1"/>
  <c r="I280" i="17" s="1"/>
  <c r="H280" i="17" a="1"/>
  <c r="H280" i="17" s="1"/>
  <c r="G280" i="17" a="1"/>
  <c r="G280" i="17" s="1"/>
  <c r="J279" i="17" a="1"/>
  <c r="J279" i="17" s="1"/>
  <c r="I279" i="17" a="1"/>
  <c r="I279" i="17" s="1"/>
  <c r="H279" i="17" a="1"/>
  <c r="H279" i="17" s="1"/>
  <c r="G279" i="17" a="1"/>
  <c r="G279" i="17" s="1"/>
  <c r="J278" i="17" a="1"/>
  <c r="J278" i="17" s="1"/>
  <c r="I278" i="17" a="1"/>
  <c r="I278" i="17" s="1"/>
  <c r="H278" i="17" a="1"/>
  <c r="H278" i="17" s="1"/>
  <c r="G278" i="17" a="1"/>
  <c r="G278" i="17" s="1"/>
  <c r="J277" i="17" a="1"/>
  <c r="J277" i="17" s="1"/>
  <c r="I277" i="17" a="1"/>
  <c r="I277" i="17" s="1"/>
  <c r="H277" i="17" a="1"/>
  <c r="H277" i="17" s="1"/>
  <c r="G277" i="17" a="1"/>
  <c r="G277" i="17" s="1"/>
  <c r="J276" i="17" a="1"/>
  <c r="J276" i="17" s="1"/>
  <c r="I276" i="17" a="1"/>
  <c r="I276" i="17" s="1"/>
  <c r="H276" i="17" a="1"/>
  <c r="H276" i="17" s="1"/>
  <c r="G276" i="17" a="1"/>
  <c r="G276" i="17" s="1"/>
  <c r="J275" i="17" a="1"/>
  <c r="J275" i="17" s="1"/>
  <c r="I275" i="17" a="1"/>
  <c r="I275" i="17" s="1"/>
  <c r="H275" i="17" a="1"/>
  <c r="H275" i="17" s="1"/>
  <c r="G275" i="17" a="1"/>
  <c r="G275" i="17" s="1"/>
  <c r="J274" i="17" a="1"/>
  <c r="J274" i="17" s="1"/>
  <c r="I274" i="17" a="1"/>
  <c r="I274" i="17" s="1"/>
  <c r="H274" i="17" a="1"/>
  <c r="H274" i="17" s="1"/>
  <c r="G274" i="17" a="1"/>
  <c r="G274" i="17" s="1"/>
  <c r="J273" i="17" a="1"/>
  <c r="J273" i="17" s="1"/>
  <c r="I273" i="17" a="1"/>
  <c r="I273" i="17" s="1"/>
  <c r="H273" i="17" a="1"/>
  <c r="H273" i="17" s="1"/>
  <c r="G273" i="17" a="1"/>
  <c r="G273" i="17" s="1"/>
  <c r="J272" i="17" a="1"/>
  <c r="J272" i="17" s="1"/>
  <c r="I272" i="17" a="1"/>
  <c r="I272" i="17" s="1"/>
  <c r="H272" i="17" a="1"/>
  <c r="H272" i="17" s="1"/>
  <c r="G272" i="17" a="1"/>
  <c r="G272" i="17" s="1"/>
  <c r="J271" i="17" a="1"/>
  <c r="J271" i="17" s="1"/>
  <c r="I271" i="17" a="1"/>
  <c r="I271" i="17" s="1"/>
  <c r="H271" i="17" a="1"/>
  <c r="H271" i="17" s="1"/>
  <c r="G271" i="17" a="1"/>
  <c r="G271" i="17" s="1"/>
  <c r="J270" i="17" a="1"/>
  <c r="J270" i="17" s="1"/>
  <c r="I270" i="17" a="1"/>
  <c r="I270" i="17" s="1"/>
  <c r="H270" i="17" a="1"/>
  <c r="H270" i="17" s="1"/>
  <c r="G270" i="17" a="1"/>
  <c r="G270" i="17" s="1"/>
  <c r="J269" i="17" a="1"/>
  <c r="J269" i="17" s="1"/>
  <c r="I269" i="17" a="1"/>
  <c r="I269" i="17" s="1"/>
  <c r="H269" i="17" a="1"/>
  <c r="H269" i="17" s="1"/>
  <c r="G269" i="17" a="1"/>
  <c r="G269" i="17" s="1"/>
  <c r="J268" i="17" a="1"/>
  <c r="J268" i="17" s="1"/>
  <c r="I268" i="17" a="1"/>
  <c r="I268" i="17" s="1"/>
  <c r="H268" i="17" a="1"/>
  <c r="H268" i="17" s="1"/>
  <c r="G268" i="17" a="1"/>
  <c r="G268" i="17" s="1"/>
  <c r="J267" i="17" a="1"/>
  <c r="J267" i="17" s="1"/>
  <c r="I267" i="17" a="1"/>
  <c r="I267" i="17" s="1"/>
  <c r="H267" i="17" a="1"/>
  <c r="H267" i="17" s="1"/>
  <c r="G267" i="17" a="1"/>
  <c r="G267" i="17" s="1"/>
  <c r="J266" i="17" a="1"/>
  <c r="J266" i="17" s="1"/>
  <c r="I266" i="17" a="1"/>
  <c r="I266" i="17" s="1"/>
  <c r="H266" i="17" a="1"/>
  <c r="H266" i="17" s="1"/>
  <c r="G266" i="17" a="1"/>
  <c r="G266" i="17" s="1"/>
  <c r="J265" i="17" a="1"/>
  <c r="J265" i="17" s="1"/>
  <c r="I265" i="17" a="1"/>
  <c r="I265" i="17" s="1"/>
  <c r="H265" i="17" a="1"/>
  <c r="H265" i="17" s="1"/>
  <c r="G265" i="17" a="1"/>
  <c r="G265" i="17" s="1"/>
  <c r="J264" i="17" a="1"/>
  <c r="J264" i="17" s="1"/>
  <c r="I264" i="17" a="1"/>
  <c r="I264" i="17" s="1"/>
  <c r="H264" i="17" a="1"/>
  <c r="H264" i="17" s="1"/>
  <c r="G264" i="17" a="1"/>
  <c r="G264" i="17" s="1"/>
  <c r="J263" i="17" a="1"/>
  <c r="J263" i="17" s="1"/>
  <c r="I263" i="17" a="1"/>
  <c r="I263" i="17" s="1"/>
  <c r="H263" i="17" a="1"/>
  <c r="H263" i="17" s="1"/>
  <c r="G263" i="17" a="1"/>
  <c r="G263" i="17" s="1"/>
  <c r="J262" i="17" a="1"/>
  <c r="J262" i="17" s="1"/>
  <c r="I262" i="17" a="1"/>
  <c r="I262" i="17" s="1"/>
  <c r="H262" i="17" a="1"/>
  <c r="H262" i="17" s="1"/>
  <c r="G262" i="17" a="1"/>
  <c r="G262" i="17" s="1"/>
  <c r="J261" i="17" a="1"/>
  <c r="J261" i="17" s="1"/>
  <c r="I261" i="17" a="1"/>
  <c r="I261" i="17" s="1"/>
  <c r="H261" i="17" a="1"/>
  <c r="H261" i="17" s="1"/>
  <c r="G261" i="17" a="1"/>
  <c r="G261" i="17" s="1"/>
  <c r="J260" i="17" a="1"/>
  <c r="J260" i="17" s="1"/>
  <c r="I260" i="17" a="1"/>
  <c r="I260" i="17" s="1"/>
  <c r="H260" i="17" a="1"/>
  <c r="H260" i="17" s="1"/>
  <c r="G260" i="17" a="1"/>
  <c r="G260" i="17" s="1"/>
  <c r="J259" i="17" a="1"/>
  <c r="J259" i="17" s="1"/>
  <c r="I259" i="17" a="1"/>
  <c r="I259" i="17" s="1"/>
  <c r="H259" i="17" a="1"/>
  <c r="H259" i="17" s="1"/>
  <c r="G259" i="17" a="1"/>
  <c r="G259" i="17" s="1"/>
  <c r="J258" i="17" a="1"/>
  <c r="J258" i="17" s="1"/>
  <c r="I258" i="17" a="1"/>
  <c r="I258" i="17" s="1"/>
  <c r="H258" i="17" a="1"/>
  <c r="H258" i="17" s="1"/>
  <c r="G258" i="17" a="1"/>
  <c r="G258" i="17" s="1"/>
  <c r="J257" i="17" a="1"/>
  <c r="J257" i="17" s="1"/>
  <c r="I257" i="17" a="1"/>
  <c r="I257" i="17" s="1"/>
  <c r="H257" i="17" a="1"/>
  <c r="H257" i="17" s="1"/>
  <c r="G257" i="17" a="1"/>
  <c r="G257" i="17" s="1"/>
  <c r="J256" i="17" a="1"/>
  <c r="J256" i="17" s="1"/>
  <c r="I256" i="17" a="1"/>
  <c r="I256" i="17" s="1"/>
  <c r="H256" i="17" a="1"/>
  <c r="H256" i="17" s="1"/>
  <c r="G256" i="17" a="1"/>
  <c r="G256" i="17" s="1"/>
  <c r="J255" i="17" a="1"/>
  <c r="J255" i="17" s="1"/>
  <c r="I255" i="17" a="1"/>
  <c r="I255" i="17" s="1"/>
  <c r="H255" i="17" a="1"/>
  <c r="H255" i="17" s="1"/>
  <c r="G255" i="17" a="1"/>
  <c r="G255" i="17" s="1"/>
  <c r="J254" i="17" a="1"/>
  <c r="J254" i="17" s="1"/>
  <c r="I254" i="17" a="1"/>
  <c r="I254" i="17" s="1"/>
  <c r="H254" i="17" a="1"/>
  <c r="H254" i="17" s="1"/>
  <c r="G254" i="17" a="1"/>
  <c r="G254" i="17" s="1"/>
  <c r="J253" i="17" a="1"/>
  <c r="J253" i="17" s="1"/>
  <c r="I253" i="17" a="1"/>
  <c r="I253" i="17" s="1"/>
  <c r="H253" i="17" a="1"/>
  <c r="H253" i="17" s="1"/>
  <c r="G253" i="17" a="1"/>
  <c r="G253" i="17" s="1"/>
  <c r="J252" i="17" a="1"/>
  <c r="J252" i="17" s="1"/>
  <c r="I252" i="17" a="1"/>
  <c r="I252" i="17" s="1"/>
  <c r="H252" i="17" a="1"/>
  <c r="H252" i="17" s="1"/>
  <c r="G252" i="17" a="1"/>
  <c r="G252" i="17" s="1"/>
  <c r="J251" i="17" a="1"/>
  <c r="J251" i="17" s="1"/>
  <c r="I251" i="17" a="1"/>
  <c r="I251" i="17" s="1"/>
  <c r="H251" i="17" a="1"/>
  <c r="H251" i="17" s="1"/>
  <c r="G251" i="17" a="1"/>
  <c r="G251" i="17" s="1"/>
  <c r="J250" i="17" a="1"/>
  <c r="J250" i="17" s="1"/>
  <c r="I250" i="17" a="1"/>
  <c r="I250" i="17" s="1"/>
  <c r="H250" i="17" a="1"/>
  <c r="H250" i="17" s="1"/>
  <c r="G250" i="17" a="1"/>
  <c r="G250" i="17" s="1"/>
  <c r="J249" i="17" a="1"/>
  <c r="J249" i="17" s="1"/>
  <c r="I249" i="17" a="1"/>
  <c r="I249" i="17" s="1"/>
  <c r="H249" i="17" a="1"/>
  <c r="H249" i="17" s="1"/>
  <c r="G249" i="17" a="1"/>
  <c r="G249" i="17" s="1"/>
  <c r="J248" i="17" a="1"/>
  <c r="J248" i="17" s="1"/>
  <c r="I248" i="17" a="1"/>
  <c r="I248" i="17" s="1"/>
  <c r="H248" i="17" a="1"/>
  <c r="H248" i="17" s="1"/>
  <c r="G248" i="17" a="1"/>
  <c r="G248" i="17" s="1"/>
  <c r="J247" i="17" a="1"/>
  <c r="J247" i="17" s="1"/>
  <c r="I247" i="17" a="1"/>
  <c r="I247" i="17" s="1"/>
  <c r="H247" i="17" a="1"/>
  <c r="H247" i="17" s="1"/>
  <c r="G247" i="17" a="1"/>
  <c r="G247" i="17" s="1"/>
  <c r="J246" i="17" a="1"/>
  <c r="J246" i="17" s="1"/>
  <c r="I246" i="17" a="1"/>
  <c r="I246" i="17" s="1"/>
  <c r="H246" i="17" a="1"/>
  <c r="H246" i="17" s="1"/>
  <c r="G246" i="17" a="1"/>
  <c r="G246" i="17" s="1"/>
  <c r="J245" i="17" a="1"/>
  <c r="J245" i="17" s="1"/>
  <c r="I245" i="17" a="1"/>
  <c r="I245" i="17" s="1"/>
  <c r="H245" i="17" a="1"/>
  <c r="H245" i="17" s="1"/>
  <c r="G245" i="17" a="1"/>
  <c r="G245" i="17" s="1"/>
  <c r="J244" i="17" a="1"/>
  <c r="J244" i="17" s="1"/>
  <c r="I244" i="17" a="1"/>
  <c r="I244" i="17" s="1"/>
  <c r="H244" i="17" a="1"/>
  <c r="H244" i="17" s="1"/>
  <c r="G244" i="17" a="1"/>
  <c r="G244" i="17" s="1"/>
  <c r="J243" i="17" a="1"/>
  <c r="J243" i="17" s="1"/>
  <c r="I243" i="17" a="1"/>
  <c r="I243" i="17" s="1"/>
  <c r="H243" i="17" a="1"/>
  <c r="H243" i="17" s="1"/>
  <c r="G243" i="17" a="1"/>
  <c r="G243" i="17" s="1"/>
  <c r="J242" i="17" a="1"/>
  <c r="J242" i="17" s="1"/>
  <c r="I242" i="17" a="1"/>
  <c r="I242" i="17" s="1"/>
  <c r="H242" i="17" a="1"/>
  <c r="H242" i="17" s="1"/>
  <c r="G242" i="17" a="1"/>
  <c r="G242" i="17" s="1"/>
  <c r="J241" i="17" a="1"/>
  <c r="J241" i="17" s="1"/>
  <c r="I241" i="17" a="1"/>
  <c r="I241" i="17" s="1"/>
  <c r="H241" i="17" a="1"/>
  <c r="H241" i="17" s="1"/>
  <c r="G241" i="17" a="1"/>
  <c r="G241" i="17" s="1"/>
  <c r="J240" i="17" a="1"/>
  <c r="J240" i="17" s="1"/>
  <c r="I240" i="17" a="1"/>
  <c r="I240" i="17" s="1"/>
  <c r="H240" i="17" a="1"/>
  <c r="H240" i="17" s="1"/>
  <c r="G240" i="17" a="1"/>
  <c r="G240" i="17" s="1"/>
  <c r="J239" i="17" a="1"/>
  <c r="J239" i="17" s="1"/>
  <c r="I239" i="17" a="1"/>
  <c r="I239" i="17" s="1"/>
  <c r="H239" i="17" a="1"/>
  <c r="H239" i="17" s="1"/>
  <c r="G239" i="17" a="1"/>
  <c r="G239" i="17" s="1"/>
  <c r="J238" i="17" a="1"/>
  <c r="J238" i="17" s="1"/>
  <c r="I238" i="17" a="1"/>
  <c r="I238" i="17" s="1"/>
  <c r="H238" i="17" a="1"/>
  <c r="H238" i="17" s="1"/>
  <c r="G238" i="17" a="1"/>
  <c r="G238" i="17" s="1"/>
  <c r="J237" i="17" a="1"/>
  <c r="J237" i="17" s="1"/>
  <c r="I237" i="17" a="1"/>
  <c r="I237" i="17" s="1"/>
  <c r="H237" i="17" a="1"/>
  <c r="H237" i="17" s="1"/>
  <c r="G237" i="17" a="1"/>
  <c r="G237" i="17" s="1"/>
  <c r="J236" i="17" a="1"/>
  <c r="J236" i="17" s="1"/>
  <c r="I236" i="17" a="1"/>
  <c r="I236" i="17" s="1"/>
  <c r="H236" i="17" a="1"/>
  <c r="H236" i="17" s="1"/>
  <c r="G236" i="17" a="1"/>
  <c r="G236" i="17" s="1"/>
  <c r="J235" i="17" a="1"/>
  <c r="J235" i="17" s="1"/>
  <c r="I235" i="17" a="1"/>
  <c r="I235" i="17" s="1"/>
  <c r="H235" i="17" a="1"/>
  <c r="H235" i="17" s="1"/>
  <c r="G235" i="17" a="1"/>
  <c r="G235" i="17" s="1"/>
  <c r="J234" i="17" a="1"/>
  <c r="J234" i="17" s="1"/>
  <c r="I234" i="17" a="1"/>
  <c r="I234" i="17" s="1"/>
  <c r="H234" i="17" a="1"/>
  <c r="H234" i="17" s="1"/>
  <c r="G234" i="17" a="1"/>
  <c r="G234" i="17" s="1"/>
  <c r="J233" i="17" a="1"/>
  <c r="J233" i="17" s="1"/>
  <c r="I233" i="17" a="1"/>
  <c r="I233" i="17" s="1"/>
  <c r="H233" i="17" a="1"/>
  <c r="H233" i="17" s="1"/>
  <c r="G233" i="17" a="1"/>
  <c r="G233" i="17" s="1"/>
  <c r="J232" i="17" a="1"/>
  <c r="J232" i="17" s="1"/>
  <c r="I232" i="17" a="1"/>
  <c r="I232" i="17" s="1"/>
  <c r="H232" i="17" a="1"/>
  <c r="H232" i="17" s="1"/>
  <c r="G232" i="17" a="1"/>
  <c r="G232" i="17" s="1"/>
  <c r="J231" i="17" a="1"/>
  <c r="J231" i="17" s="1"/>
  <c r="I231" i="17" a="1"/>
  <c r="I231" i="17" s="1"/>
  <c r="H231" i="17" a="1"/>
  <c r="H231" i="17" s="1"/>
  <c r="G231" i="17" a="1"/>
  <c r="G231" i="17" s="1"/>
  <c r="J230" i="17" a="1"/>
  <c r="J230" i="17" s="1"/>
  <c r="I230" i="17" a="1"/>
  <c r="I230" i="17" s="1"/>
  <c r="H230" i="17" a="1"/>
  <c r="H230" i="17" s="1"/>
  <c r="G230" i="17" a="1"/>
  <c r="G230" i="17" s="1"/>
  <c r="J229" i="17" a="1"/>
  <c r="J229" i="17" s="1"/>
  <c r="I229" i="17" a="1"/>
  <c r="I229" i="17" s="1"/>
  <c r="H229" i="17" a="1"/>
  <c r="H229" i="17" s="1"/>
  <c r="G229" i="17" a="1"/>
  <c r="G229" i="17" s="1"/>
  <c r="J228" i="17" a="1"/>
  <c r="J228" i="17" s="1"/>
  <c r="I228" i="17" a="1"/>
  <c r="I228" i="17" s="1"/>
  <c r="H228" i="17" a="1"/>
  <c r="H228" i="17" s="1"/>
  <c r="G228" i="17" a="1"/>
  <c r="G228" i="17" s="1"/>
  <c r="J227" i="17" a="1"/>
  <c r="J227" i="17" s="1"/>
  <c r="I227" i="17" a="1"/>
  <c r="I227" i="17" s="1"/>
  <c r="H227" i="17" a="1"/>
  <c r="H227" i="17" s="1"/>
  <c r="G227" i="17" a="1"/>
  <c r="G227" i="17" s="1"/>
  <c r="J226" i="17" a="1"/>
  <c r="J226" i="17" s="1"/>
  <c r="I226" i="17" a="1"/>
  <c r="I226" i="17" s="1"/>
  <c r="H226" i="17" a="1"/>
  <c r="H226" i="17" s="1"/>
  <c r="G226" i="17" a="1"/>
  <c r="G226" i="17" s="1"/>
  <c r="J225" i="17" a="1"/>
  <c r="J225" i="17" s="1"/>
  <c r="I225" i="17" a="1"/>
  <c r="I225" i="17" s="1"/>
  <c r="H225" i="17" a="1"/>
  <c r="H225" i="17" s="1"/>
  <c r="G225" i="17" a="1"/>
  <c r="G225" i="17" s="1"/>
  <c r="J224" i="17" a="1"/>
  <c r="J224" i="17" s="1"/>
  <c r="I224" i="17" a="1"/>
  <c r="I224" i="17" s="1"/>
  <c r="H224" i="17" a="1"/>
  <c r="H224" i="17" s="1"/>
  <c r="G224" i="17" a="1"/>
  <c r="G224" i="17" s="1"/>
  <c r="J223" i="17" a="1"/>
  <c r="J223" i="17" s="1"/>
  <c r="I223" i="17" a="1"/>
  <c r="I223" i="17" s="1"/>
  <c r="H223" i="17" a="1"/>
  <c r="H223" i="17" s="1"/>
  <c r="G223" i="17" a="1"/>
  <c r="G223" i="17" s="1"/>
  <c r="J222" i="17" a="1"/>
  <c r="J222" i="17" s="1"/>
  <c r="I222" i="17" a="1"/>
  <c r="I222" i="17" s="1"/>
  <c r="H222" i="17" a="1"/>
  <c r="H222" i="17" s="1"/>
  <c r="G222" i="17" a="1"/>
  <c r="G222" i="17" s="1"/>
  <c r="J221" i="17" a="1"/>
  <c r="J221" i="17" s="1"/>
  <c r="I221" i="17" a="1"/>
  <c r="I221" i="17" s="1"/>
  <c r="H221" i="17" a="1"/>
  <c r="H221" i="17" s="1"/>
  <c r="G221" i="17" a="1"/>
  <c r="G221" i="17" s="1"/>
  <c r="J220" i="17" a="1"/>
  <c r="J220" i="17" s="1"/>
  <c r="I220" i="17" a="1"/>
  <c r="I220" i="17" s="1"/>
  <c r="H220" i="17" a="1"/>
  <c r="H220" i="17" s="1"/>
  <c r="G220" i="17" a="1"/>
  <c r="G220" i="17" s="1"/>
  <c r="J219" i="17" a="1"/>
  <c r="J219" i="17" s="1"/>
  <c r="I219" i="17" a="1"/>
  <c r="I219" i="17" s="1"/>
  <c r="H219" i="17" a="1"/>
  <c r="H219" i="17" s="1"/>
  <c r="G219" i="17" a="1"/>
  <c r="G219" i="17" s="1"/>
  <c r="J218" i="17" a="1"/>
  <c r="J218" i="17" s="1"/>
  <c r="I218" i="17" a="1"/>
  <c r="I218" i="17" s="1"/>
  <c r="H218" i="17" a="1"/>
  <c r="H218" i="17" s="1"/>
  <c r="G218" i="17" a="1"/>
  <c r="G218" i="17" s="1"/>
  <c r="J217" i="17" a="1"/>
  <c r="J217" i="17" s="1"/>
  <c r="I217" i="17" a="1"/>
  <c r="I217" i="17" s="1"/>
  <c r="H217" i="17" a="1"/>
  <c r="H217" i="17" s="1"/>
  <c r="G217" i="17" a="1"/>
  <c r="G217" i="17" s="1"/>
  <c r="J216" i="17" a="1"/>
  <c r="J216" i="17" s="1"/>
  <c r="I216" i="17" a="1"/>
  <c r="I216" i="17" s="1"/>
  <c r="H216" i="17" a="1"/>
  <c r="H216" i="17" s="1"/>
  <c r="G216" i="17" a="1"/>
  <c r="G216" i="17" s="1"/>
  <c r="J215" i="17" a="1"/>
  <c r="J215" i="17" s="1"/>
  <c r="I215" i="17" a="1"/>
  <c r="I215" i="17" s="1"/>
  <c r="H215" i="17" a="1"/>
  <c r="H215" i="17" s="1"/>
  <c r="G215" i="17" a="1"/>
  <c r="G215" i="17" s="1"/>
  <c r="J214" i="17" a="1"/>
  <c r="J214" i="17" s="1"/>
  <c r="I214" i="17" a="1"/>
  <c r="I214" i="17" s="1"/>
  <c r="H214" i="17" a="1"/>
  <c r="H214" i="17" s="1"/>
  <c r="G214" i="17" a="1"/>
  <c r="G214" i="17" s="1"/>
  <c r="J213" i="17" a="1"/>
  <c r="J213" i="17" s="1"/>
  <c r="I213" i="17" a="1"/>
  <c r="I213" i="17" s="1"/>
  <c r="H213" i="17" a="1"/>
  <c r="H213" i="17" s="1"/>
  <c r="G213" i="17" a="1"/>
  <c r="G213" i="17" s="1"/>
  <c r="J212" i="17" a="1"/>
  <c r="J212" i="17" s="1"/>
  <c r="I212" i="17" a="1"/>
  <c r="I212" i="17" s="1"/>
  <c r="H212" i="17" a="1"/>
  <c r="H212" i="17" s="1"/>
  <c r="G212" i="17" a="1"/>
  <c r="G212" i="17" s="1"/>
  <c r="J211" i="17" a="1"/>
  <c r="J211" i="17" s="1"/>
  <c r="I211" i="17" a="1"/>
  <c r="I211" i="17" s="1"/>
  <c r="H211" i="17" a="1"/>
  <c r="H211" i="17" s="1"/>
  <c r="G211" i="17" a="1"/>
  <c r="G211" i="17" s="1"/>
  <c r="J210" i="17" a="1"/>
  <c r="J210" i="17" s="1"/>
  <c r="I210" i="17" a="1"/>
  <c r="I210" i="17" s="1"/>
  <c r="H210" i="17" a="1"/>
  <c r="H210" i="17" s="1"/>
  <c r="G210" i="17" a="1"/>
  <c r="G210" i="17" s="1"/>
  <c r="J209" i="17" a="1"/>
  <c r="J209" i="17" s="1"/>
  <c r="I209" i="17" a="1"/>
  <c r="I209" i="17" s="1"/>
  <c r="H209" i="17" a="1"/>
  <c r="H209" i="17" s="1"/>
  <c r="G209" i="17" a="1"/>
  <c r="G209" i="17" s="1"/>
  <c r="J208" i="17" a="1"/>
  <c r="J208" i="17" s="1"/>
  <c r="I208" i="17" a="1"/>
  <c r="I208" i="17" s="1"/>
  <c r="H208" i="17" a="1"/>
  <c r="H208" i="17" s="1"/>
  <c r="G208" i="17" a="1"/>
  <c r="G208" i="17" s="1"/>
  <c r="J207" i="17" a="1"/>
  <c r="J207" i="17" s="1"/>
  <c r="I207" i="17" a="1"/>
  <c r="I207" i="17" s="1"/>
  <c r="H207" i="17" a="1"/>
  <c r="H207" i="17" s="1"/>
  <c r="G207" i="17" a="1"/>
  <c r="G207" i="17" s="1"/>
  <c r="J206" i="17" a="1"/>
  <c r="J206" i="17" s="1"/>
  <c r="I206" i="17" a="1"/>
  <c r="I206" i="17" s="1"/>
  <c r="H206" i="17" a="1"/>
  <c r="H206" i="17" s="1"/>
  <c r="G206" i="17" a="1"/>
  <c r="G206" i="17" s="1"/>
  <c r="J205" i="17" a="1"/>
  <c r="J205" i="17" s="1"/>
  <c r="I205" i="17" a="1"/>
  <c r="I205" i="17" s="1"/>
  <c r="H205" i="17" a="1"/>
  <c r="H205" i="17" s="1"/>
  <c r="G205" i="17" a="1"/>
  <c r="G205" i="17" s="1"/>
  <c r="J204" i="17" a="1"/>
  <c r="J204" i="17" s="1"/>
  <c r="I204" i="17" a="1"/>
  <c r="I204" i="17" s="1"/>
  <c r="H204" i="17" a="1"/>
  <c r="H204" i="17" s="1"/>
  <c r="G204" i="17" a="1"/>
  <c r="G204" i="17" s="1"/>
  <c r="J203" i="17" a="1"/>
  <c r="J203" i="17" s="1"/>
  <c r="I203" i="17" a="1"/>
  <c r="I203" i="17" s="1"/>
  <c r="H203" i="17" a="1"/>
  <c r="H203" i="17" s="1"/>
  <c r="G203" i="17" a="1"/>
  <c r="G203" i="17" s="1"/>
  <c r="J202" i="17" a="1"/>
  <c r="J202" i="17" s="1"/>
  <c r="I202" i="17" a="1"/>
  <c r="I202" i="17" s="1"/>
  <c r="H202" i="17" a="1"/>
  <c r="H202" i="17" s="1"/>
  <c r="G202" i="17" a="1"/>
  <c r="G202" i="17" s="1"/>
  <c r="J201" i="17" a="1"/>
  <c r="J201" i="17" s="1"/>
  <c r="I201" i="17" a="1"/>
  <c r="I201" i="17" s="1"/>
  <c r="H201" i="17" a="1"/>
  <c r="H201" i="17" s="1"/>
  <c r="G201" i="17" a="1"/>
  <c r="G201" i="17" s="1"/>
  <c r="J200" i="17" a="1"/>
  <c r="J200" i="17" s="1"/>
  <c r="I200" i="17" a="1"/>
  <c r="I200" i="17" s="1"/>
  <c r="H200" i="17" a="1"/>
  <c r="H200" i="17" s="1"/>
  <c r="G200" i="17" a="1"/>
  <c r="G200" i="17" s="1"/>
  <c r="J199" i="17" a="1"/>
  <c r="J199" i="17" s="1"/>
  <c r="I199" i="17" a="1"/>
  <c r="I199" i="17" s="1"/>
  <c r="H199" i="17" a="1"/>
  <c r="H199" i="17" s="1"/>
  <c r="G199" i="17" a="1"/>
  <c r="G199" i="17" s="1"/>
  <c r="J198" i="17" a="1"/>
  <c r="J198" i="17" s="1"/>
  <c r="I198" i="17" a="1"/>
  <c r="I198" i="17" s="1"/>
  <c r="H198" i="17" a="1"/>
  <c r="H198" i="17" s="1"/>
  <c r="G198" i="17" a="1"/>
  <c r="G198" i="17" s="1"/>
  <c r="J197" i="17" a="1"/>
  <c r="J197" i="17" s="1"/>
  <c r="I197" i="17" a="1"/>
  <c r="I197" i="17" s="1"/>
  <c r="H197" i="17" a="1"/>
  <c r="H197" i="17" s="1"/>
  <c r="G197" i="17" a="1"/>
  <c r="G197" i="17" s="1"/>
  <c r="J196" i="17" a="1"/>
  <c r="J196" i="17" s="1"/>
  <c r="I196" i="17" a="1"/>
  <c r="I196" i="17" s="1"/>
  <c r="H196" i="17" a="1"/>
  <c r="H196" i="17" s="1"/>
  <c r="G196" i="17" a="1"/>
  <c r="G196" i="17" s="1"/>
  <c r="J195" i="17" a="1"/>
  <c r="J195" i="17" s="1"/>
  <c r="I195" i="17" a="1"/>
  <c r="I195" i="17" s="1"/>
  <c r="H195" i="17" a="1"/>
  <c r="H195" i="17" s="1"/>
  <c r="G195" i="17" a="1"/>
  <c r="G195" i="17" s="1"/>
  <c r="J194" i="17" a="1"/>
  <c r="J194" i="17" s="1"/>
  <c r="I194" i="17" a="1"/>
  <c r="I194" i="17" s="1"/>
  <c r="H194" i="17" a="1"/>
  <c r="H194" i="17" s="1"/>
  <c r="G194" i="17" a="1"/>
  <c r="G194" i="17" s="1"/>
  <c r="J193" i="17" a="1"/>
  <c r="J193" i="17" s="1"/>
  <c r="I193" i="17" a="1"/>
  <c r="I193" i="17" s="1"/>
  <c r="H193" i="17" a="1"/>
  <c r="H193" i="17" s="1"/>
  <c r="G193" i="17" a="1"/>
  <c r="G193" i="17" s="1"/>
  <c r="J192" i="17" a="1"/>
  <c r="J192" i="17" s="1"/>
  <c r="I192" i="17" a="1"/>
  <c r="I192" i="17" s="1"/>
  <c r="H192" i="17" a="1"/>
  <c r="H192" i="17" s="1"/>
  <c r="G192" i="17" a="1"/>
  <c r="G192" i="17" s="1"/>
  <c r="J191" i="17" a="1"/>
  <c r="J191" i="17" s="1"/>
  <c r="I191" i="17" a="1"/>
  <c r="I191" i="17" s="1"/>
  <c r="H191" i="17" a="1"/>
  <c r="H191" i="17" s="1"/>
  <c r="G191" i="17" a="1"/>
  <c r="G191" i="17" s="1"/>
  <c r="J190" i="17" a="1"/>
  <c r="J190" i="17" s="1"/>
  <c r="I190" i="17" a="1"/>
  <c r="I190" i="17" s="1"/>
  <c r="H190" i="17" a="1"/>
  <c r="H190" i="17" s="1"/>
  <c r="G190" i="17" a="1"/>
  <c r="G190" i="17" s="1"/>
  <c r="J189" i="17" a="1"/>
  <c r="J189" i="17" s="1"/>
  <c r="I189" i="17" a="1"/>
  <c r="I189" i="17" s="1"/>
  <c r="H189" i="17" a="1"/>
  <c r="H189" i="17" s="1"/>
  <c r="G189" i="17" a="1"/>
  <c r="G189" i="17" s="1"/>
  <c r="J188" i="17" a="1"/>
  <c r="J188" i="17" s="1"/>
  <c r="I188" i="17" a="1"/>
  <c r="I188" i="17" s="1"/>
  <c r="H188" i="17" a="1"/>
  <c r="H188" i="17" s="1"/>
  <c r="G188" i="17" a="1"/>
  <c r="G188" i="17" s="1"/>
  <c r="J187" i="17" a="1"/>
  <c r="J187" i="17" s="1"/>
  <c r="I187" i="17" a="1"/>
  <c r="I187" i="17" s="1"/>
  <c r="H187" i="17" a="1"/>
  <c r="H187" i="17" s="1"/>
  <c r="G187" i="17" a="1"/>
  <c r="G187" i="17" s="1"/>
  <c r="J186" i="17" a="1"/>
  <c r="J186" i="17" s="1"/>
  <c r="I186" i="17" a="1"/>
  <c r="I186" i="17" s="1"/>
  <c r="H186" i="17" a="1"/>
  <c r="H186" i="17" s="1"/>
  <c r="G186" i="17" a="1"/>
  <c r="G186" i="17" s="1"/>
  <c r="J185" i="17" a="1"/>
  <c r="J185" i="17" s="1"/>
  <c r="I185" i="17" a="1"/>
  <c r="I185" i="17" s="1"/>
  <c r="H185" i="17" a="1"/>
  <c r="H185" i="17" s="1"/>
  <c r="G185" i="17" a="1"/>
  <c r="G185" i="17" s="1"/>
  <c r="J184" i="17" a="1"/>
  <c r="J184" i="17" s="1"/>
  <c r="I184" i="17" a="1"/>
  <c r="I184" i="17" s="1"/>
  <c r="H184" i="17" a="1"/>
  <c r="H184" i="17" s="1"/>
  <c r="G184" i="17" a="1"/>
  <c r="G184" i="17" s="1"/>
  <c r="J183" i="17" a="1"/>
  <c r="J183" i="17" s="1"/>
  <c r="I183" i="17" a="1"/>
  <c r="I183" i="17" s="1"/>
  <c r="H183" i="17" a="1"/>
  <c r="H183" i="17" s="1"/>
  <c r="G183" i="17" a="1"/>
  <c r="G183" i="17" s="1"/>
  <c r="J182" i="17" a="1"/>
  <c r="J182" i="17" s="1"/>
  <c r="I182" i="17" a="1"/>
  <c r="I182" i="17" s="1"/>
  <c r="H182" i="17" a="1"/>
  <c r="H182" i="17" s="1"/>
  <c r="G182" i="17" a="1"/>
  <c r="G182" i="17" s="1"/>
  <c r="J181" i="17" a="1"/>
  <c r="J181" i="17" s="1"/>
  <c r="I181" i="17" a="1"/>
  <c r="I181" i="17" s="1"/>
  <c r="H181" i="17" a="1"/>
  <c r="H181" i="17" s="1"/>
  <c r="G181" i="17" a="1"/>
  <c r="G181" i="17" s="1"/>
  <c r="J180" i="17" a="1"/>
  <c r="J180" i="17" s="1"/>
  <c r="I180" i="17" a="1"/>
  <c r="I180" i="17" s="1"/>
  <c r="H180" i="17" a="1"/>
  <c r="H180" i="17" s="1"/>
  <c r="G180" i="17" a="1"/>
  <c r="G180" i="17" s="1"/>
  <c r="J179" i="17" a="1"/>
  <c r="J179" i="17" s="1"/>
  <c r="I179" i="17" a="1"/>
  <c r="I179" i="17" s="1"/>
  <c r="H179" i="17" a="1"/>
  <c r="H179" i="17" s="1"/>
  <c r="G179" i="17" a="1"/>
  <c r="G179" i="17" s="1"/>
  <c r="J178" i="17" a="1"/>
  <c r="J178" i="17" s="1"/>
  <c r="I178" i="17" a="1"/>
  <c r="I178" i="17" s="1"/>
  <c r="H178" i="17" a="1"/>
  <c r="H178" i="17" s="1"/>
  <c r="G178" i="17" a="1"/>
  <c r="G178" i="17" s="1"/>
  <c r="J177" i="17" a="1"/>
  <c r="J177" i="17" s="1"/>
  <c r="I177" i="17" a="1"/>
  <c r="I177" i="17" s="1"/>
  <c r="H177" i="17" a="1"/>
  <c r="H177" i="17" s="1"/>
  <c r="G177" i="17" a="1"/>
  <c r="G177" i="17" s="1"/>
  <c r="J176" i="17" a="1"/>
  <c r="J176" i="17" s="1"/>
  <c r="I176" i="17" a="1"/>
  <c r="I176" i="17" s="1"/>
  <c r="H176" i="17" a="1"/>
  <c r="H176" i="17" s="1"/>
  <c r="G176" i="17" a="1"/>
  <c r="G176" i="17" s="1"/>
  <c r="J175" i="17" a="1"/>
  <c r="J175" i="17" s="1"/>
  <c r="I175" i="17" a="1"/>
  <c r="I175" i="17" s="1"/>
  <c r="H175" i="17" a="1"/>
  <c r="H175" i="17" s="1"/>
  <c r="G175" i="17" a="1"/>
  <c r="G175" i="17" s="1"/>
  <c r="J174" i="17" a="1"/>
  <c r="J174" i="17" s="1"/>
  <c r="I174" i="17" a="1"/>
  <c r="I174" i="17" s="1"/>
  <c r="H174" i="17" a="1"/>
  <c r="H174" i="17" s="1"/>
  <c r="G174" i="17" a="1"/>
  <c r="G174" i="17" s="1"/>
  <c r="J173" i="17" a="1"/>
  <c r="J173" i="17" s="1"/>
  <c r="I173" i="17" a="1"/>
  <c r="I173" i="17" s="1"/>
  <c r="H173" i="17" a="1"/>
  <c r="H173" i="17" s="1"/>
  <c r="G173" i="17" a="1"/>
  <c r="G173" i="17" s="1"/>
  <c r="J172" i="17" a="1"/>
  <c r="J172" i="17" s="1"/>
  <c r="I172" i="17" a="1"/>
  <c r="I172" i="17" s="1"/>
  <c r="H172" i="17" a="1"/>
  <c r="H172" i="17" s="1"/>
  <c r="G172" i="17" a="1"/>
  <c r="G172" i="17" s="1"/>
  <c r="J171" i="17" a="1"/>
  <c r="J171" i="17" s="1"/>
  <c r="I171" i="17" a="1"/>
  <c r="I171" i="17" s="1"/>
  <c r="H171" i="17" a="1"/>
  <c r="H171" i="17" s="1"/>
  <c r="G171" i="17" a="1"/>
  <c r="G171" i="17" s="1"/>
  <c r="J170" i="17" a="1"/>
  <c r="J170" i="17" s="1"/>
  <c r="I170" i="17" a="1"/>
  <c r="I170" i="17" s="1"/>
  <c r="H170" i="17" a="1"/>
  <c r="H170" i="17" s="1"/>
  <c r="G170" i="17" a="1"/>
  <c r="G170" i="17" s="1"/>
  <c r="J169" i="17" a="1"/>
  <c r="J169" i="17" s="1"/>
  <c r="I169" i="17" a="1"/>
  <c r="I169" i="17" s="1"/>
  <c r="H169" i="17" a="1"/>
  <c r="H169" i="17" s="1"/>
  <c r="G169" i="17" a="1"/>
  <c r="G169" i="17" s="1"/>
  <c r="J168" i="17" a="1"/>
  <c r="J168" i="17" s="1"/>
  <c r="I168" i="17" a="1"/>
  <c r="I168" i="17" s="1"/>
  <c r="H168" i="17" a="1"/>
  <c r="H168" i="17" s="1"/>
  <c r="G168" i="17" a="1"/>
  <c r="G168" i="17" s="1"/>
  <c r="J167" i="17" a="1"/>
  <c r="J167" i="17" s="1"/>
  <c r="I167" i="17" a="1"/>
  <c r="I167" i="17" s="1"/>
  <c r="H167" i="17" a="1"/>
  <c r="H167" i="17" s="1"/>
  <c r="G167" i="17" a="1"/>
  <c r="G167" i="17" s="1"/>
  <c r="J166" i="17" a="1"/>
  <c r="J166" i="17" s="1"/>
  <c r="I166" i="17" a="1"/>
  <c r="I166" i="17" s="1"/>
  <c r="H166" i="17" a="1"/>
  <c r="H166" i="17" s="1"/>
  <c r="G166" i="17" a="1"/>
  <c r="G166" i="17" s="1"/>
  <c r="J165" i="17" a="1"/>
  <c r="J165" i="17" s="1"/>
  <c r="I165" i="17" a="1"/>
  <c r="I165" i="17" s="1"/>
  <c r="H165" i="17" a="1"/>
  <c r="H165" i="17" s="1"/>
  <c r="G165" i="17" a="1"/>
  <c r="G165" i="17" s="1"/>
  <c r="J164" i="17" a="1"/>
  <c r="J164" i="17" s="1"/>
  <c r="I164" i="17" a="1"/>
  <c r="I164" i="17" s="1"/>
  <c r="H164" i="17" a="1"/>
  <c r="H164" i="17" s="1"/>
  <c r="G164" i="17" a="1"/>
  <c r="G164" i="17" s="1"/>
  <c r="J163" i="17" a="1"/>
  <c r="J163" i="17" s="1"/>
  <c r="I163" i="17" a="1"/>
  <c r="I163" i="17" s="1"/>
  <c r="H163" i="17" a="1"/>
  <c r="H163" i="17" s="1"/>
  <c r="G163" i="17" a="1"/>
  <c r="G163" i="17" s="1"/>
  <c r="J162" i="17" a="1"/>
  <c r="J162" i="17" s="1"/>
  <c r="I162" i="17" a="1"/>
  <c r="I162" i="17" s="1"/>
  <c r="H162" i="17" a="1"/>
  <c r="H162" i="17" s="1"/>
  <c r="G162" i="17" a="1"/>
  <c r="G162" i="17" s="1"/>
  <c r="J161" i="17" a="1"/>
  <c r="J161" i="17" s="1"/>
  <c r="I161" i="17" a="1"/>
  <c r="I161" i="17" s="1"/>
  <c r="H161" i="17" a="1"/>
  <c r="H161" i="17" s="1"/>
  <c r="G161" i="17" a="1"/>
  <c r="G161" i="17" s="1"/>
  <c r="J160" i="17" a="1"/>
  <c r="J160" i="17" s="1"/>
  <c r="I160" i="17" a="1"/>
  <c r="I160" i="17" s="1"/>
  <c r="H160" i="17" a="1"/>
  <c r="H160" i="17" s="1"/>
  <c r="G160" i="17" a="1"/>
  <c r="G160" i="17" s="1"/>
  <c r="J159" i="17" a="1"/>
  <c r="J159" i="17" s="1"/>
  <c r="I159" i="17" a="1"/>
  <c r="I159" i="17" s="1"/>
  <c r="H159" i="17" a="1"/>
  <c r="H159" i="17" s="1"/>
  <c r="G159" i="17" a="1"/>
  <c r="G159" i="17" s="1"/>
  <c r="J158" i="17" a="1"/>
  <c r="J158" i="17" s="1"/>
  <c r="I158" i="17" a="1"/>
  <c r="I158" i="17" s="1"/>
  <c r="H158" i="17" a="1"/>
  <c r="H158" i="17" s="1"/>
  <c r="G158" i="17" a="1"/>
  <c r="G158" i="17" s="1"/>
  <c r="J157" i="17" a="1"/>
  <c r="J157" i="17" s="1"/>
  <c r="I157" i="17" a="1"/>
  <c r="I157" i="17" s="1"/>
  <c r="H157" i="17" a="1"/>
  <c r="H157" i="17" s="1"/>
  <c r="G157" i="17" a="1"/>
  <c r="G157" i="17" s="1"/>
  <c r="J156" i="17" a="1"/>
  <c r="J156" i="17" s="1"/>
  <c r="I156" i="17" a="1"/>
  <c r="I156" i="17" s="1"/>
  <c r="H156" i="17" a="1"/>
  <c r="H156" i="17" s="1"/>
  <c r="G156" i="17" a="1"/>
  <c r="G156" i="17" s="1"/>
  <c r="J155" i="17" a="1"/>
  <c r="J155" i="17" s="1"/>
  <c r="I155" i="17" a="1"/>
  <c r="I155" i="17" s="1"/>
  <c r="H155" i="17" a="1"/>
  <c r="H155" i="17" s="1"/>
  <c r="G155" i="17" a="1"/>
  <c r="G155" i="17" s="1"/>
  <c r="J154" i="17" a="1"/>
  <c r="J154" i="17" s="1"/>
  <c r="I154" i="17" a="1"/>
  <c r="I154" i="17" s="1"/>
  <c r="H154" i="17" a="1"/>
  <c r="H154" i="17" s="1"/>
  <c r="G154" i="17" a="1"/>
  <c r="G154" i="17" s="1"/>
  <c r="J153" i="17" a="1"/>
  <c r="J153" i="17" s="1"/>
  <c r="I153" i="17" a="1"/>
  <c r="I153" i="17" s="1"/>
  <c r="H153" i="17" a="1"/>
  <c r="H153" i="17" s="1"/>
  <c r="G153" i="17" a="1"/>
  <c r="G153" i="17" s="1"/>
  <c r="J152" i="17" a="1"/>
  <c r="J152" i="17" s="1"/>
  <c r="I152" i="17" a="1"/>
  <c r="I152" i="17" s="1"/>
  <c r="H152" i="17" a="1"/>
  <c r="H152" i="17" s="1"/>
  <c r="G152" i="17" a="1"/>
  <c r="G152" i="17" s="1"/>
  <c r="J151" i="17" a="1"/>
  <c r="J151" i="17" s="1"/>
  <c r="I151" i="17" a="1"/>
  <c r="I151" i="17" s="1"/>
  <c r="H151" i="17" a="1"/>
  <c r="H151" i="17" s="1"/>
  <c r="G151" i="17" a="1"/>
  <c r="G151" i="17" s="1"/>
  <c r="J150" i="17" a="1"/>
  <c r="J150" i="17" s="1"/>
  <c r="I150" i="17" a="1"/>
  <c r="I150" i="17" s="1"/>
  <c r="H150" i="17" a="1"/>
  <c r="H150" i="17" s="1"/>
  <c r="G150" i="17" a="1"/>
  <c r="G150" i="17" s="1"/>
  <c r="J149" i="17" a="1"/>
  <c r="J149" i="17" s="1"/>
  <c r="I149" i="17" a="1"/>
  <c r="I149" i="17" s="1"/>
  <c r="H149" i="17" a="1"/>
  <c r="H149" i="17" s="1"/>
  <c r="G149" i="17" a="1"/>
  <c r="G149" i="17" s="1"/>
  <c r="J148" i="17" a="1"/>
  <c r="J148" i="17" s="1"/>
  <c r="I148" i="17" a="1"/>
  <c r="I148" i="17" s="1"/>
  <c r="H148" i="17" a="1"/>
  <c r="H148" i="17" s="1"/>
  <c r="G148" i="17" a="1"/>
  <c r="G148" i="17" s="1"/>
  <c r="J147" i="17" a="1"/>
  <c r="J147" i="17" s="1"/>
  <c r="I147" i="17" a="1"/>
  <c r="I147" i="17" s="1"/>
  <c r="H147" i="17" a="1"/>
  <c r="H147" i="17" s="1"/>
  <c r="G147" i="17" a="1"/>
  <c r="G147" i="17" s="1"/>
  <c r="J146" i="17" a="1"/>
  <c r="J146" i="17" s="1"/>
  <c r="I146" i="17" a="1"/>
  <c r="I146" i="17" s="1"/>
  <c r="H146" i="17" a="1"/>
  <c r="H146" i="17" s="1"/>
  <c r="G146" i="17" a="1"/>
  <c r="G146" i="17" s="1"/>
  <c r="J145" i="17" a="1"/>
  <c r="J145" i="17" s="1"/>
  <c r="I145" i="17" a="1"/>
  <c r="I145" i="17" s="1"/>
  <c r="H145" i="17" a="1"/>
  <c r="H145" i="17" s="1"/>
  <c r="G145" i="17" a="1"/>
  <c r="G145" i="17" s="1"/>
  <c r="J144" i="17" a="1"/>
  <c r="J144" i="17" s="1"/>
  <c r="I144" i="17" a="1"/>
  <c r="I144" i="17" s="1"/>
  <c r="H144" i="17" a="1"/>
  <c r="H144" i="17" s="1"/>
  <c r="G144" i="17" a="1"/>
  <c r="G144" i="17" s="1"/>
  <c r="J143" i="17" a="1"/>
  <c r="J143" i="17" s="1"/>
  <c r="I143" i="17" a="1"/>
  <c r="I143" i="17" s="1"/>
  <c r="H143" i="17" a="1"/>
  <c r="H143" i="17" s="1"/>
  <c r="G143" i="17" a="1"/>
  <c r="G143" i="17" s="1"/>
  <c r="J142" i="17" a="1"/>
  <c r="J142" i="17" s="1"/>
  <c r="I142" i="17" a="1"/>
  <c r="I142" i="17" s="1"/>
  <c r="H142" i="17" a="1"/>
  <c r="H142" i="17" s="1"/>
  <c r="G142" i="17" a="1"/>
  <c r="G142" i="17" s="1"/>
  <c r="J141" i="17" a="1"/>
  <c r="J141" i="17" s="1"/>
  <c r="I141" i="17" a="1"/>
  <c r="I141" i="17" s="1"/>
  <c r="H141" i="17" a="1"/>
  <c r="H141" i="17" s="1"/>
  <c r="G141" i="17" a="1"/>
  <c r="G141" i="17" s="1"/>
  <c r="J140" i="17" a="1"/>
  <c r="J140" i="17" s="1"/>
  <c r="I140" i="17" a="1"/>
  <c r="I140" i="17" s="1"/>
  <c r="H140" i="17" a="1"/>
  <c r="H140" i="17" s="1"/>
  <c r="G140" i="17" a="1"/>
  <c r="G140" i="17" s="1"/>
  <c r="J139" i="17" a="1"/>
  <c r="J139" i="17" s="1"/>
  <c r="I139" i="17" a="1"/>
  <c r="I139" i="17" s="1"/>
  <c r="H139" i="17" a="1"/>
  <c r="H139" i="17" s="1"/>
  <c r="G139" i="17" a="1"/>
  <c r="G139" i="17" s="1"/>
  <c r="J138" i="17" a="1"/>
  <c r="J138" i="17" s="1"/>
  <c r="I138" i="17" a="1"/>
  <c r="I138" i="17" s="1"/>
  <c r="H138" i="17" a="1"/>
  <c r="H138" i="17" s="1"/>
  <c r="G138" i="17" a="1"/>
  <c r="G138" i="17" s="1"/>
  <c r="J137" i="17" a="1"/>
  <c r="J137" i="17" s="1"/>
  <c r="I137" i="17" a="1"/>
  <c r="I137" i="17" s="1"/>
  <c r="H137" i="17" a="1"/>
  <c r="H137" i="17" s="1"/>
  <c r="G137" i="17" a="1"/>
  <c r="G137" i="17" s="1"/>
  <c r="J136" i="17" a="1"/>
  <c r="J136" i="17" s="1"/>
  <c r="I136" i="17" a="1"/>
  <c r="I136" i="17" s="1"/>
  <c r="H136" i="17" a="1"/>
  <c r="H136" i="17" s="1"/>
  <c r="G136" i="17" a="1"/>
  <c r="G136" i="17" s="1"/>
  <c r="J135" i="17" a="1"/>
  <c r="J135" i="17" s="1"/>
  <c r="I135" i="17" a="1"/>
  <c r="I135" i="17" s="1"/>
  <c r="H135" i="17" a="1"/>
  <c r="H135" i="17" s="1"/>
  <c r="G135" i="17" a="1"/>
  <c r="G135" i="17" s="1"/>
  <c r="J134" i="17" a="1"/>
  <c r="J134" i="17" s="1"/>
  <c r="I134" i="17" a="1"/>
  <c r="I134" i="17" s="1"/>
  <c r="H134" i="17" a="1"/>
  <c r="H134" i="17" s="1"/>
  <c r="G134" i="17" a="1"/>
  <c r="G134" i="17" s="1"/>
  <c r="J133" i="17" a="1"/>
  <c r="J133" i="17" s="1"/>
  <c r="I133" i="17" a="1"/>
  <c r="I133" i="17" s="1"/>
  <c r="H133" i="17" a="1"/>
  <c r="H133" i="17" s="1"/>
  <c r="G133" i="17" a="1"/>
  <c r="G133" i="17" s="1"/>
  <c r="J132" i="17" a="1"/>
  <c r="J132" i="17" s="1"/>
  <c r="I132" i="17" a="1"/>
  <c r="I132" i="17" s="1"/>
  <c r="H132" i="17" a="1"/>
  <c r="H132" i="17" s="1"/>
  <c r="G132" i="17" a="1"/>
  <c r="G132" i="17" s="1"/>
  <c r="J131" i="17" a="1"/>
  <c r="J131" i="17" s="1"/>
  <c r="I131" i="17" a="1"/>
  <c r="I131" i="17" s="1"/>
  <c r="H131" i="17" a="1"/>
  <c r="H131" i="17" s="1"/>
  <c r="G131" i="17" a="1"/>
  <c r="G131" i="17" s="1"/>
  <c r="J130" i="17" a="1"/>
  <c r="J130" i="17" s="1"/>
  <c r="I130" i="17" a="1"/>
  <c r="I130" i="17" s="1"/>
  <c r="H130" i="17" a="1"/>
  <c r="H130" i="17" s="1"/>
  <c r="G130" i="17" a="1"/>
  <c r="G130" i="17" s="1"/>
  <c r="J129" i="17" a="1"/>
  <c r="J129" i="17" s="1"/>
  <c r="I129" i="17" a="1"/>
  <c r="I129" i="17" s="1"/>
  <c r="H129" i="17" a="1"/>
  <c r="H129" i="17" s="1"/>
  <c r="G129" i="17" a="1"/>
  <c r="G129" i="17" s="1"/>
  <c r="J128" i="17" a="1"/>
  <c r="J128" i="17" s="1"/>
  <c r="I128" i="17" a="1"/>
  <c r="I128" i="17" s="1"/>
  <c r="H128" i="17" a="1"/>
  <c r="H128" i="17" s="1"/>
  <c r="G128" i="17" a="1"/>
  <c r="G128" i="17" s="1"/>
  <c r="J127" i="17" a="1"/>
  <c r="J127" i="17" s="1"/>
  <c r="I127" i="17" a="1"/>
  <c r="I127" i="17" s="1"/>
  <c r="H127" i="17" a="1"/>
  <c r="H127" i="17" s="1"/>
  <c r="G127" i="17" a="1"/>
  <c r="G127" i="17" s="1"/>
  <c r="J126" i="17" a="1"/>
  <c r="J126" i="17" s="1"/>
  <c r="I126" i="17" a="1"/>
  <c r="I126" i="17" s="1"/>
  <c r="H126" i="17" a="1"/>
  <c r="H126" i="17" s="1"/>
  <c r="G126" i="17" a="1"/>
  <c r="G126" i="17" s="1"/>
  <c r="J125" i="17" a="1"/>
  <c r="J125" i="17" s="1"/>
  <c r="I125" i="17" a="1"/>
  <c r="I125" i="17" s="1"/>
  <c r="H125" i="17" a="1"/>
  <c r="H125" i="17" s="1"/>
  <c r="G125" i="17" a="1"/>
  <c r="G125" i="17" s="1"/>
  <c r="J124" i="17" a="1"/>
  <c r="J124" i="17" s="1"/>
  <c r="I124" i="17" a="1"/>
  <c r="I124" i="17" s="1"/>
  <c r="H124" i="17" a="1"/>
  <c r="H124" i="17" s="1"/>
  <c r="G124" i="17" a="1"/>
  <c r="G124" i="17" s="1"/>
  <c r="J123" i="17" a="1"/>
  <c r="J123" i="17" s="1"/>
  <c r="I123" i="17" a="1"/>
  <c r="I123" i="17" s="1"/>
  <c r="H123" i="17" a="1"/>
  <c r="H123" i="17" s="1"/>
  <c r="G123" i="17" a="1"/>
  <c r="G123" i="17" s="1"/>
  <c r="J122" i="17" a="1"/>
  <c r="J122" i="17" s="1"/>
  <c r="I122" i="17" a="1"/>
  <c r="I122" i="17" s="1"/>
  <c r="H122" i="17" a="1"/>
  <c r="H122" i="17" s="1"/>
  <c r="G122" i="17" a="1"/>
  <c r="G122" i="17" s="1"/>
  <c r="J121" i="17" a="1"/>
  <c r="J121" i="17" s="1"/>
  <c r="I121" i="17" a="1"/>
  <c r="I121" i="17" s="1"/>
  <c r="H121" i="17" a="1"/>
  <c r="H121" i="17" s="1"/>
  <c r="G121" i="17" a="1"/>
  <c r="G121" i="17" s="1"/>
  <c r="J120" i="17" a="1"/>
  <c r="J120" i="17" s="1"/>
  <c r="I120" i="17" a="1"/>
  <c r="I120" i="17" s="1"/>
  <c r="H120" i="17" a="1"/>
  <c r="H120" i="17" s="1"/>
  <c r="G120" i="17" a="1"/>
  <c r="G120" i="17" s="1"/>
  <c r="J119" i="17" a="1"/>
  <c r="J119" i="17" s="1"/>
  <c r="I119" i="17" a="1"/>
  <c r="I119" i="17" s="1"/>
  <c r="H119" i="17" a="1"/>
  <c r="H119" i="17" s="1"/>
  <c r="G119" i="17" a="1"/>
  <c r="G119" i="17" s="1"/>
  <c r="J118" i="17" a="1"/>
  <c r="J118" i="17" s="1"/>
  <c r="I118" i="17" a="1"/>
  <c r="I118" i="17" s="1"/>
  <c r="H118" i="17" a="1"/>
  <c r="H118" i="17" s="1"/>
  <c r="G118" i="17" a="1"/>
  <c r="G118" i="17" s="1"/>
  <c r="J117" i="17" a="1"/>
  <c r="J117" i="17" s="1"/>
  <c r="I117" i="17" a="1"/>
  <c r="I117" i="17" s="1"/>
  <c r="H117" i="17" a="1"/>
  <c r="H117" i="17" s="1"/>
  <c r="G117" i="17" a="1"/>
  <c r="G117" i="17" s="1"/>
  <c r="J116" i="17" a="1"/>
  <c r="J116" i="17" s="1"/>
  <c r="I116" i="17" a="1"/>
  <c r="I116" i="17" s="1"/>
  <c r="H116" i="17" a="1"/>
  <c r="H116" i="17" s="1"/>
  <c r="G116" i="17" a="1"/>
  <c r="G116" i="17" s="1"/>
  <c r="J115" i="17" a="1"/>
  <c r="J115" i="17" s="1"/>
  <c r="I115" i="17" a="1"/>
  <c r="I115" i="17" s="1"/>
  <c r="H115" i="17" a="1"/>
  <c r="H115" i="17" s="1"/>
  <c r="G115" i="17" a="1"/>
  <c r="G115" i="17" s="1"/>
  <c r="J114" i="17" a="1"/>
  <c r="J114" i="17" s="1"/>
  <c r="I114" i="17" a="1"/>
  <c r="I114" i="17" s="1"/>
  <c r="H114" i="17" a="1"/>
  <c r="H114" i="17" s="1"/>
  <c r="G114" i="17" a="1"/>
  <c r="G114" i="17" s="1"/>
  <c r="J113" i="17" a="1"/>
  <c r="J113" i="17" s="1"/>
  <c r="I113" i="17" a="1"/>
  <c r="I113" i="17" s="1"/>
  <c r="H113" i="17" a="1"/>
  <c r="H113" i="17" s="1"/>
  <c r="G113" i="17" a="1"/>
  <c r="G113" i="17" s="1"/>
  <c r="J112" i="17" a="1"/>
  <c r="J112" i="17" s="1"/>
  <c r="I112" i="17" a="1"/>
  <c r="I112" i="17" s="1"/>
  <c r="H112" i="17" a="1"/>
  <c r="H112" i="17" s="1"/>
  <c r="G112" i="17" a="1"/>
  <c r="G112" i="17" s="1"/>
  <c r="J111" i="17" a="1"/>
  <c r="J111" i="17" s="1"/>
  <c r="I111" i="17" a="1"/>
  <c r="I111" i="17" s="1"/>
  <c r="H111" i="17" a="1"/>
  <c r="H111" i="17" s="1"/>
  <c r="G111" i="17" a="1"/>
  <c r="G111" i="17" s="1"/>
  <c r="J110" i="17" a="1"/>
  <c r="J110" i="17" s="1"/>
  <c r="I110" i="17" a="1"/>
  <c r="I110" i="17" s="1"/>
  <c r="H110" i="17" a="1"/>
  <c r="H110" i="17" s="1"/>
  <c r="G110" i="17" a="1"/>
  <c r="G110" i="17" s="1"/>
  <c r="J109" i="17" a="1"/>
  <c r="J109" i="17" s="1"/>
  <c r="I109" i="17" a="1"/>
  <c r="I109" i="17" s="1"/>
  <c r="H109" i="17" a="1"/>
  <c r="H109" i="17" s="1"/>
  <c r="G109" i="17" a="1"/>
  <c r="G109" i="17" s="1"/>
  <c r="J108" i="17" a="1"/>
  <c r="J108" i="17" s="1"/>
  <c r="I108" i="17" a="1"/>
  <c r="I108" i="17" s="1"/>
  <c r="H108" i="17" a="1"/>
  <c r="H108" i="17" s="1"/>
  <c r="G108" i="17" a="1"/>
  <c r="G108" i="17" s="1"/>
  <c r="J107" i="17" a="1"/>
  <c r="J107" i="17" s="1"/>
  <c r="I107" i="17" a="1"/>
  <c r="I107" i="17" s="1"/>
  <c r="H107" i="17" a="1"/>
  <c r="H107" i="17" s="1"/>
  <c r="G107" i="17" a="1"/>
  <c r="G107" i="17" s="1"/>
  <c r="J106" i="17" a="1"/>
  <c r="J106" i="17" s="1"/>
  <c r="I106" i="17" a="1"/>
  <c r="I106" i="17" s="1"/>
  <c r="H106" i="17" a="1"/>
  <c r="H106" i="17" s="1"/>
  <c r="G106" i="17" a="1"/>
  <c r="G106" i="17" s="1"/>
  <c r="J105" i="17" a="1"/>
  <c r="J105" i="17" s="1"/>
  <c r="I105" i="17" a="1"/>
  <c r="I105" i="17" s="1"/>
  <c r="H105" i="17" a="1"/>
  <c r="H105" i="17" s="1"/>
  <c r="G105" i="17" a="1"/>
  <c r="G105" i="17" s="1"/>
  <c r="J104" i="17" a="1"/>
  <c r="J104" i="17" s="1"/>
  <c r="I104" i="17" a="1"/>
  <c r="I104" i="17" s="1"/>
  <c r="H104" i="17" a="1"/>
  <c r="H104" i="17" s="1"/>
  <c r="G104" i="17" a="1"/>
  <c r="G104" i="17" s="1"/>
  <c r="J103" i="17" a="1"/>
  <c r="J103" i="17" s="1"/>
  <c r="I103" i="17" a="1"/>
  <c r="I103" i="17" s="1"/>
  <c r="H103" i="17" a="1"/>
  <c r="H103" i="17" s="1"/>
  <c r="G103" i="17" a="1"/>
  <c r="G103" i="17" s="1"/>
  <c r="J102" i="17" a="1"/>
  <c r="J102" i="17" s="1"/>
  <c r="I102" i="17" a="1"/>
  <c r="I102" i="17" s="1"/>
  <c r="H102" i="17" a="1"/>
  <c r="H102" i="17" s="1"/>
  <c r="G102" i="17" a="1"/>
  <c r="G102" i="17" s="1"/>
  <c r="J101" i="17" a="1"/>
  <c r="J101" i="17" s="1"/>
  <c r="I101" i="17" a="1"/>
  <c r="I101" i="17" s="1"/>
  <c r="H101" i="17" a="1"/>
  <c r="H101" i="17" s="1"/>
  <c r="G101" i="17" a="1"/>
  <c r="G101" i="17" s="1"/>
  <c r="J100" i="17" a="1"/>
  <c r="J100" i="17" s="1"/>
  <c r="I100" i="17" a="1"/>
  <c r="I100" i="17" s="1"/>
  <c r="H100" i="17" a="1"/>
  <c r="H100" i="17" s="1"/>
  <c r="G100" i="17" a="1"/>
  <c r="G100" i="17" s="1"/>
  <c r="J99" i="17" a="1"/>
  <c r="J99" i="17" s="1"/>
  <c r="I99" i="17" a="1"/>
  <c r="I99" i="17" s="1"/>
  <c r="H99" i="17" a="1"/>
  <c r="H99" i="17" s="1"/>
  <c r="G99" i="17" a="1"/>
  <c r="G99" i="17" s="1"/>
  <c r="J98" i="17"/>
  <c r="J98" i="17" a="1"/>
  <c r="I98" i="17" a="1"/>
  <c r="I98" i="17" s="1"/>
  <c r="H98" i="17" a="1"/>
  <c r="H98" i="17" s="1"/>
  <c r="G98" i="17" a="1"/>
  <c r="G98" i="17" s="1"/>
  <c r="J97" i="17" a="1"/>
  <c r="J97" i="17" s="1"/>
  <c r="I97" i="17" a="1"/>
  <c r="I97" i="17" s="1"/>
  <c r="H97" i="17" a="1"/>
  <c r="H97" i="17" s="1"/>
  <c r="G97" i="17" a="1"/>
  <c r="G97" i="17" s="1"/>
  <c r="J96" i="17"/>
  <c r="J96" i="17" a="1"/>
  <c r="I96" i="17" a="1"/>
  <c r="I96" i="17" s="1"/>
  <c r="H96" i="17" a="1"/>
  <c r="H96" i="17" s="1"/>
  <c r="G96" i="17" a="1"/>
  <c r="G96" i="17" s="1"/>
  <c r="J95" i="17" a="1"/>
  <c r="J95" i="17" s="1"/>
  <c r="I95" i="17" a="1"/>
  <c r="I95" i="17" s="1"/>
  <c r="H95" i="17" a="1"/>
  <c r="H95" i="17" s="1"/>
  <c r="G95" i="17" a="1"/>
  <c r="G95" i="17" s="1"/>
  <c r="J94" i="17" a="1"/>
  <c r="J94" i="17" s="1"/>
  <c r="I94" i="17" a="1"/>
  <c r="I94" i="17" s="1"/>
  <c r="H94" i="17" a="1"/>
  <c r="H94" i="17" s="1"/>
  <c r="G94" i="17" a="1"/>
  <c r="G94" i="17" s="1"/>
  <c r="J93" i="17" a="1"/>
  <c r="J93" i="17" s="1"/>
  <c r="I93" i="17" a="1"/>
  <c r="I93" i="17" s="1"/>
  <c r="H93" i="17" a="1"/>
  <c r="H93" i="17" s="1"/>
  <c r="G93" i="17" a="1"/>
  <c r="G93" i="17" s="1"/>
  <c r="J92" i="17" a="1"/>
  <c r="J92" i="17" s="1"/>
  <c r="I92" i="17" a="1"/>
  <c r="I92" i="17" s="1"/>
  <c r="H92" i="17" a="1"/>
  <c r="H92" i="17" s="1"/>
  <c r="G92" i="17" a="1"/>
  <c r="G92" i="17" s="1"/>
  <c r="J91" i="17" a="1"/>
  <c r="J91" i="17" s="1"/>
  <c r="I91" i="17" a="1"/>
  <c r="I91" i="17" s="1"/>
  <c r="H91" i="17" a="1"/>
  <c r="H91" i="17" s="1"/>
  <c r="G91" i="17" a="1"/>
  <c r="G91" i="17" s="1"/>
  <c r="J90" i="17" a="1"/>
  <c r="J90" i="17" s="1"/>
  <c r="I90" i="17" a="1"/>
  <c r="I90" i="17" s="1"/>
  <c r="H90" i="17" a="1"/>
  <c r="H90" i="17" s="1"/>
  <c r="G90" i="17" a="1"/>
  <c r="G90" i="17" s="1"/>
  <c r="J89" i="17" a="1"/>
  <c r="J89" i="17" s="1"/>
  <c r="I89" i="17" a="1"/>
  <c r="I89" i="17" s="1"/>
  <c r="H89" i="17" a="1"/>
  <c r="H89" i="17" s="1"/>
  <c r="G89" i="17" a="1"/>
  <c r="G89" i="17" s="1"/>
  <c r="J88" i="17" a="1"/>
  <c r="J88" i="17" s="1"/>
  <c r="I88" i="17" a="1"/>
  <c r="I88" i="17" s="1"/>
  <c r="H88" i="17" a="1"/>
  <c r="H88" i="17" s="1"/>
  <c r="G88" i="17" a="1"/>
  <c r="G88" i="17" s="1"/>
  <c r="J87" i="17" a="1"/>
  <c r="J87" i="17" s="1"/>
  <c r="I87" i="17" a="1"/>
  <c r="I87" i="17" s="1"/>
  <c r="H87" i="17" a="1"/>
  <c r="H87" i="17" s="1"/>
  <c r="G87" i="17" a="1"/>
  <c r="G87" i="17" s="1"/>
  <c r="J86" i="17" a="1"/>
  <c r="J86" i="17" s="1"/>
  <c r="I86" i="17" a="1"/>
  <c r="I86" i="17" s="1"/>
  <c r="H86" i="17" a="1"/>
  <c r="H86" i="17" s="1"/>
  <c r="G86" i="17" a="1"/>
  <c r="G86" i="17" s="1"/>
  <c r="J85" i="17" a="1"/>
  <c r="J85" i="17" s="1"/>
  <c r="I85" i="17" a="1"/>
  <c r="I85" i="17" s="1"/>
  <c r="H85" i="17" a="1"/>
  <c r="H85" i="17" s="1"/>
  <c r="G85" i="17" a="1"/>
  <c r="G85" i="17" s="1"/>
  <c r="J84" i="17" a="1"/>
  <c r="J84" i="17" s="1"/>
  <c r="I84" i="17" a="1"/>
  <c r="I84" i="17" s="1"/>
  <c r="H84" i="17" a="1"/>
  <c r="H84" i="17" s="1"/>
  <c r="G84" i="17" a="1"/>
  <c r="G84" i="17" s="1"/>
  <c r="J83" i="17" a="1"/>
  <c r="J83" i="17" s="1"/>
  <c r="I83" i="17" a="1"/>
  <c r="I83" i="17" s="1"/>
  <c r="H83" i="17" a="1"/>
  <c r="H83" i="17" s="1"/>
  <c r="G83" i="17" a="1"/>
  <c r="G83" i="17" s="1"/>
  <c r="J82" i="17" a="1"/>
  <c r="J82" i="17" s="1"/>
  <c r="I82" i="17" a="1"/>
  <c r="I82" i="17" s="1"/>
  <c r="H82" i="17" a="1"/>
  <c r="H82" i="17" s="1"/>
  <c r="G82" i="17" a="1"/>
  <c r="G82" i="17" s="1"/>
  <c r="J81" i="17" a="1"/>
  <c r="J81" i="17" s="1"/>
  <c r="I81" i="17" a="1"/>
  <c r="I81" i="17" s="1"/>
  <c r="H81" i="17" a="1"/>
  <c r="H81" i="17" s="1"/>
  <c r="G81" i="17" a="1"/>
  <c r="G81" i="17" s="1"/>
  <c r="J80" i="17" a="1"/>
  <c r="J80" i="17" s="1"/>
  <c r="I80" i="17" a="1"/>
  <c r="I80" i="17" s="1"/>
  <c r="H80" i="17" a="1"/>
  <c r="H80" i="17" s="1"/>
  <c r="G80" i="17" a="1"/>
  <c r="G80" i="17" s="1"/>
  <c r="J79" i="17" a="1"/>
  <c r="J79" i="17" s="1"/>
  <c r="I79" i="17" a="1"/>
  <c r="I79" i="17" s="1"/>
  <c r="H79" i="17" a="1"/>
  <c r="H79" i="17" s="1"/>
  <c r="G79" i="17" a="1"/>
  <c r="G79" i="17" s="1"/>
  <c r="J78" i="17" a="1"/>
  <c r="J78" i="17" s="1"/>
  <c r="I78" i="17" a="1"/>
  <c r="I78" i="17" s="1"/>
  <c r="H78" i="17" a="1"/>
  <c r="H78" i="17" s="1"/>
  <c r="G78" i="17" a="1"/>
  <c r="G78" i="17" s="1"/>
  <c r="J77" i="17" a="1"/>
  <c r="J77" i="17" s="1"/>
  <c r="I77" i="17" a="1"/>
  <c r="I77" i="17" s="1"/>
  <c r="H77" i="17" a="1"/>
  <c r="H77" i="17" s="1"/>
  <c r="G77" i="17" a="1"/>
  <c r="G77" i="17" s="1"/>
  <c r="J76" i="17" a="1"/>
  <c r="J76" i="17" s="1"/>
  <c r="I76" i="17" a="1"/>
  <c r="I76" i="17" s="1"/>
  <c r="H76" i="17" a="1"/>
  <c r="H76" i="17" s="1"/>
  <c r="G76" i="17" a="1"/>
  <c r="G76" i="17" s="1"/>
  <c r="J75" i="17" a="1"/>
  <c r="J75" i="17" s="1"/>
  <c r="I75" i="17" a="1"/>
  <c r="I75" i="17" s="1"/>
  <c r="H75" i="17" a="1"/>
  <c r="H75" i="17" s="1"/>
  <c r="G75" i="17" a="1"/>
  <c r="G75" i="17" s="1"/>
  <c r="J74" i="17" a="1"/>
  <c r="J74" i="17" s="1"/>
  <c r="I74" i="17" a="1"/>
  <c r="I74" i="17" s="1"/>
  <c r="H74" i="17" a="1"/>
  <c r="H74" i="17" s="1"/>
  <c r="G74" i="17" a="1"/>
  <c r="G74" i="17" s="1"/>
  <c r="J73" i="17" a="1"/>
  <c r="J73" i="17" s="1"/>
  <c r="I73" i="17" a="1"/>
  <c r="I73" i="17" s="1"/>
  <c r="H73" i="17" a="1"/>
  <c r="H73" i="17" s="1"/>
  <c r="G73" i="17" a="1"/>
  <c r="G73" i="17" s="1"/>
  <c r="J72" i="17" a="1"/>
  <c r="J72" i="17" s="1"/>
  <c r="I72" i="17" a="1"/>
  <c r="I72" i="17" s="1"/>
  <c r="H72" i="17" a="1"/>
  <c r="H72" i="17" s="1"/>
  <c r="G72" i="17" a="1"/>
  <c r="G72" i="17" s="1"/>
  <c r="J71" i="17" a="1"/>
  <c r="J71" i="17" s="1"/>
  <c r="I71" i="17" a="1"/>
  <c r="I71" i="17" s="1"/>
  <c r="H71" i="17" a="1"/>
  <c r="H71" i="17" s="1"/>
  <c r="G71" i="17" a="1"/>
  <c r="G71" i="17" s="1"/>
  <c r="J70" i="17" a="1"/>
  <c r="J70" i="17" s="1"/>
  <c r="I70" i="17" a="1"/>
  <c r="I70" i="17" s="1"/>
  <c r="H70" i="17" a="1"/>
  <c r="H70" i="17" s="1"/>
  <c r="G70" i="17" a="1"/>
  <c r="G70" i="17" s="1"/>
  <c r="J69" i="17" a="1"/>
  <c r="J69" i="17" s="1"/>
  <c r="I69" i="17" a="1"/>
  <c r="I69" i="17" s="1"/>
  <c r="H69" i="17" a="1"/>
  <c r="H69" i="17" s="1"/>
  <c r="G69" i="17" a="1"/>
  <c r="G69" i="17" s="1"/>
  <c r="J68" i="17" a="1"/>
  <c r="J68" i="17" s="1"/>
  <c r="I68" i="17" a="1"/>
  <c r="I68" i="17" s="1"/>
  <c r="H68" i="17" a="1"/>
  <c r="H68" i="17" s="1"/>
  <c r="G68" i="17" a="1"/>
  <c r="G68" i="17" s="1"/>
  <c r="J67" i="17" a="1"/>
  <c r="J67" i="17" s="1"/>
  <c r="I67" i="17" a="1"/>
  <c r="I67" i="17" s="1"/>
  <c r="H67" i="17" a="1"/>
  <c r="H67" i="17" s="1"/>
  <c r="G67" i="17" a="1"/>
  <c r="G67" i="17" s="1"/>
  <c r="J66" i="17" a="1"/>
  <c r="J66" i="17" s="1"/>
  <c r="I66" i="17" a="1"/>
  <c r="I66" i="17" s="1"/>
  <c r="H66" i="17" a="1"/>
  <c r="H66" i="17" s="1"/>
  <c r="G66" i="17" a="1"/>
  <c r="G66" i="17" s="1"/>
  <c r="J65" i="17" a="1"/>
  <c r="J65" i="17" s="1"/>
  <c r="I65" i="17" a="1"/>
  <c r="I65" i="17" s="1"/>
  <c r="H65" i="17" a="1"/>
  <c r="H65" i="17" s="1"/>
  <c r="G65" i="17" a="1"/>
  <c r="G65" i="17" s="1"/>
  <c r="J64" i="17" a="1"/>
  <c r="J64" i="17" s="1"/>
  <c r="I64" i="17" a="1"/>
  <c r="I64" i="17" s="1"/>
  <c r="H64" i="17" a="1"/>
  <c r="H64" i="17" s="1"/>
  <c r="G64" i="17" a="1"/>
  <c r="G64" i="17" s="1"/>
  <c r="J63" i="17" a="1"/>
  <c r="J63" i="17" s="1"/>
  <c r="I63" i="17" a="1"/>
  <c r="I63" i="17" s="1"/>
  <c r="H63" i="17" a="1"/>
  <c r="H63" i="17" s="1"/>
  <c r="G63" i="17" a="1"/>
  <c r="G63" i="17" s="1"/>
  <c r="J62" i="17" a="1"/>
  <c r="J62" i="17" s="1"/>
  <c r="I62" i="17" a="1"/>
  <c r="I62" i="17" s="1"/>
  <c r="H62" i="17" a="1"/>
  <c r="H62" i="17" s="1"/>
  <c r="G62" i="17" a="1"/>
  <c r="G62" i="17" s="1"/>
  <c r="J61" i="17" a="1"/>
  <c r="J61" i="17" s="1"/>
  <c r="I61" i="17" a="1"/>
  <c r="I61" i="17" s="1"/>
  <c r="H61" i="17" a="1"/>
  <c r="H61" i="17" s="1"/>
  <c r="G61" i="17" a="1"/>
  <c r="G61" i="17" s="1"/>
  <c r="J60" i="17" a="1"/>
  <c r="J60" i="17" s="1"/>
  <c r="I60" i="17" a="1"/>
  <c r="I60" i="17" s="1"/>
  <c r="H60" i="17" a="1"/>
  <c r="H60" i="17" s="1"/>
  <c r="G60" i="17" a="1"/>
  <c r="G60" i="17" s="1"/>
  <c r="J59" i="17" a="1"/>
  <c r="J59" i="17" s="1"/>
  <c r="I59" i="17" a="1"/>
  <c r="I59" i="17" s="1"/>
  <c r="H59" i="17" a="1"/>
  <c r="H59" i="17" s="1"/>
  <c r="G59" i="17" a="1"/>
  <c r="G59" i="17" s="1"/>
  <c r="J58" i="17" a="1"/>
  <c r="J58" i="17" s="1"/>
  <c r="I58" i="17" a="1"/>
  <c r="I58" i="17" s="1"/>
  <c r="H58" i="17" a="1"/>
  <c r="H58" i="17" s="1"/>
  <c r="G58" i="17" a="1"/>
  <c r="G58" i="17" s="1"/>
  <c r="J57" i="17" a="1"/>
  <c r="J57" i="17" s="1"/>
  <c r="I57" i="17" a="1"/>
  <c r="I57" i="17" s="1"/>
  <c r="H57" i="17" a="1"/>
  <c r="H57" i="17" s="1"/>
  <c r="G57" i="17" a="1"/>
  <c r="G57" i="17" s="1"/>
  <c r="J56" i="17" a="1"/>
  <c r="J56" i="17" s="1"/>
  <c r="I56" i="17" a="1"/>
  <c r="I56" i="17" s="1"/>
  <c r="H56" i="17" a="1"/>
  <c r="H56" i="17" s="1"/>
  <c r="G56" i="17" a="1"/>
  <c r="G56" i="17" s="1"/>
  <c r="J55" i="17" a="1"/>
  <c r="J55" i="17" s="1"/>
  <c r="I55" i="17" a="1"/>
  <c r="I55" i="17" s="1"/>
  <c r="H55" i="17" a="1"/>
  <c r="H55" i="17" s="1"/>
  <c r="G55" i="17" a="1"/>
  <c r="G55" i="17" s="1"/>
  <c r="J54" i="17" a="1"/>
  <c r="J54" i="17" s="1"/>
  <c r="I54" i="17" a="1"/>
  <c r="I54" i="17" s="1"/>
  <c r="H54" i="17" a="1"/>
  <c r="H54" i="17" s="1"/>
  <c r="G54" i="17" a="1"/>
  <c r="G54" i="17" s="1"/>
  <c r="J53" i="17" a="1"/>
  <c r="J53" i="17" s="1"/>
  <c r="I53" i="17" a="1"/>
  <c r="I53" i="17" s="1"/>
  <c r="H53" i="17" a="1"/>
  <c r="H53" i="17" s="1"/>
  <c r="G53" i="17" a="1"/>
  <c r="G53" i="17" s="1"/>
  <c r="J52" i="17" a="1"/>
  <c r="J52" i="17" s="1"/>
  <c r="I52" i="17" a="1"/>
  <c r="I52" i="17" s="1"/>
  <c r="H52" i="17" a="1"/>
  <c r="H52" i="17" s="1"/>
  <c r="G52" i="17" a="1"/>
  <c r="G52" i="17" s="1"/>
  <c r="J51" i="17" a="1"/>
  <c r="J51" i="17" s="1"/>
  <c r="I51" i="17" a="1"/>
  <c r="I51" i="17" s="1"/>
  <c r="H51" i="17" a="1"/>
  <c r="H51" i="17" s="1"/>
  <c r="G51" i="17" a="1"/>
  <c r="G51" i="17" s="1"/>
  <c r="J50" i="17" a="1"/>
  <c r="J50" i="17" s="1"/>
  <c r="I50" i="17" a="1"/>
  <c r="I50" i="17" s="1"/>
  <c r="H50" i="17" a="1"/>
  <c r="H50" i="17" s="1"/>
  <c r="G50" i="17" a="1"/>
  <c r="G50" i="17" s="1"/>
  <c r="J49" i="17" a="1"/>
  <c r="J49" i="17" s="1"/>
  <c r="I49" i="17" a="1"/>
  <c r="I49" i="17" s="1"/>
  <c r="H49" i="17" a="1"/>
  <c r="H49" i="17" s="1"/>
  <c r="G49" i="17" a="1"/>
  <c r="G49" i="17" s="1"/>
  <c r="J48" i="17" a="1"/>
  <c r="J48" i="17" s="1"/>
  <c r="I48" i="17" a="1"/>
  <c r="I48" i="17" s="1"/>
  <c r="H48" i="17" a="1"/>
  <c r="H48" i="17" s="1"/>
  <c r="G48" i="17" a="1"/>
  <c r="G48" i="17" s="1"/>
  <c r="J47" i="17" a="1"/>
  <c r="J47" i="17" s="1"/>
  <c r="I47" i="17" a="1"/>
  <c r="I47" i="17" s="1"/>
  <c r="H47" i="17" a="1"/>
  <c r="H47" i="17" s="1"/>
  <c r="G47" i="17" a="1"/>
  <c r="G47" i="17" s="1"/>
  <c r="J46" i="17" a="1"/>
  <c r="J46" i="17" s="1"/>
  <c r="I46" i="17" a="1"/>
  <c r="I46" i="17" s="1"/>
  <c r="H46" i="17" a="1"/>
  <c r="H46" i="17" s="1"/>
  <c r="G46" i="17" a="1"/>
  <c r="G46" i="17" s="1"/>
  <c r="J45" i="17" a="1"/>
  <c r="J45" i="17" s="1"/>
  <c r="I45" i="17" a="1"/>
  <c r="I45" i="17" s="1"/>
  <c r="H45" i="17" a="1"/>
  <c r="H45" i="17" s="1"/>
  <c r="G45" i="17" a="1"/>
  <c r="G45" i="17" s="1"/>
  <c r="J44" i="17" a="1"/>
  <c r="J44" i="17" s="1"/>
  <c r="I44" i="17" a="1"/>
  <c r="I44" i="17" s="1"/>
  <c r="H44" i="17" a="1"/>
  <c r="H44" i="17" s="1"/>
  <c r="G44" i="17" a="1"/>
  <c r="G44" i="17" s="1"/>
  <c r="J43" i="17" a="1"/>
  <c r="J43" i="17" s="1"/>
  <c r="I43" i="17" a="1"/>
  <c r="I43" i="17" s="1"/>
  <c r="H43" i="17" a="1"/>
  <c r="H43" i="17" s="1"/>
  <c r="G43" i="17" a="1"/>
  <c r="G43" i="17" s="1"/>
  <c r="J42" i="17" a="1"/>
  <c r="J42" i="17" s="1"/>
  <c r="I42" i="17" a="1"/>
  <c r="I42" i="17" s="1"/>
  <c r="H42" i="17" a="1"/>
  <c r="H42" i="17" s="1"/>
  <c r="G42" i="17" a="1"/>
  <c r="G42" i="17" s="1"/>
  <c r="J41" i="17" a="1"/>
  <c r="J41" i="17" s="1"/>
  <c r="I41" i="17" a="1"/>
  <c r="I41" i="17" s="1"/>
  <c r="H41" i="17" a="1"/>
  <c r="H41" i="17" s="1"/>
  <c r="G41" i="17" a="1"/>
  <c r="G41" i="17" s="1"/>
  <c r="J40" i="17" a="1"/>
  <c r="J40" i="17" s="1"/>
  <c r="I40" i="17" a="1"/>
  <c r="I40" i="17" s="1"/>
  <c r="H40" i="17" a="1"/>
  <c r="H40" i="17" s="1"/>
  <c r="G40" i="17" a="1"/>
  <c r="G40" i="17" s="1"/>
  <c r="J39" i="17" a="1"/>
  <c r="J39" i="17" s="1"/>
  <c r="I39" i="17" a="1"/>
  <c r="I39" i="17" s="1"/>
  <c r="H39" i="17" a="1"/>
  <c r="H39" i="17" s="1"/>
  <c r="G39" i="17" a="1"/>
  <c r="G39" i="17" s="1"/>
  <c r="J38" i="17" a="1"/>
  <c r="J38" i="17" s="1"/>
  <c r="I38" i="17" a="1"/>
  <c r="I38" i="17" s="1"/>
  <c r="H38" i="17" a="1"/>
  <c r="H38" i="17" s="1"/>
  <c r="G38" i="17" a="1"/>
  <c r="G38" i="17" s="1"/>
  <c r="J37" i="17" a="1"/>
  <c r="J37" i="17" s="1"/>
  <c r="I37" i="17" a="1"/>
  <c r="I37" i="17" s="1"/>
  <c r="H37" i="17" a="1"/>
  <c r="H37" i="17" s="1"/>
  <c r="G37" i="17" a="1"/>
  <c r="G37" i="17" s="1"/>
  <c r="J36" i="17" a="1"/>
  <c r="J36" i="17" s="1"/>
  <c r="I36" i="17" a="1"/>
  <c r="I36" i="17" s="1"/>
  <c r="H36" i="17" a="1"/>
  <c r="H36" i="17" s="1"/>
  <c r="G36" i="17" a="1"/>
  <c r="G36" i="17" s="1"/>
  <c r="J35" i="17" a="1"/>
  <c r="J35" i="17" s="1"/>
  <c r="I35" i="17" a="1"/>
  <c r="I35" i="17" s="1"/>
  <c r="H35" i="17" a="1"/>
  <c r="H35" i="17" s="1"/>
  <c r="G35" i="17" a="1"/>
  <c r="G35" i="17" s="1"/>
  <c r="J34" i="17" a="1"/>
  <c r="J34" i="17" s="1"/>
  <c r="I34" i="17" a="1"/>
  <c r="I34" i="17" s="1"/>
  <c r="H34" i="17" a="1"/>
  <c r="H34" i="17" s="1"/>
  <c r="G34" i="17" a="1"/>
  <c r="G34" i="17" s="1"/>
  <c r="J33" i="17" a="1"/>
  <c r="J33" i="17" s="1"/>
  <c r="I33" i="17" a="1"/>
  <c r="I33" i="17" s="1"/>
  <c r="H33" i="17" a="1"/>
  <c r="H33" i="17" s="1"/>
  <c r="G33" i="17" a="1"/>
  <c r="G33" i="17" s="1"/>
  <c r="J32" i="17" a="1"/>
  <c r="J32" i="17" s="1"/>
  <c r="I32" i="17" a="1"/>
  <c r="I32" i="17" s="1"/>
  <c r="H32" i="17" a="1"/>
  <c r="H32" i="17" s="1"/>
  <c r="G32" i="17" a="1"/>
  <c r="G32" i="17" s="1"/>
  <c r="J31" i="17" a="1"/>
  <c r="J31" i="17" s="1"/>
  <c r="I31" i="17" a="1"/>
  <c r="I31" i="17" s="1"/>
  <c r="H31" i="17" a="1"/>
  <c r="H31" i="17" s="1"/>
  <c r="G31" i="17" a="1"/>
  <c r="G31" i="17" s="1"/>
  <c r="J30" i="17" a="1"/>
  <c r="J30" i="17" s="1"/>
  <c r="I30" i="17" a="1"/>
  <c r="I30" i="17" s="1"/>
  <c r="H30" i="17" a="1"/>
  <c r="H30" i="17" s="1"/>
  <c r="G30" i="17" a="1"/>
  <c r="G30" i="17" s="1"/>
  <c r="J29" i="17" a="1"/>
  <c r="J29" i="17" s="1"/>
  <c r="I29" i="17" a="1"/>
  <c r="I29" i="17" s="1"/>
  <c r="H29" i="17" a="1"/>
  <c r="H29" i="17" s="1"/>
  <c r="G29" i="17" a="1"/>
  <c r="G29" i="17" s="1"/>
  <c r="J28" i="17" a="1"/>
  <c r="J28" i="17" s="1"/>
  <c r="I28" i="17" a="1"/>
  <c r="I28" i="17" s="1"/>
  <c r="H28" i="17" a="1"/>
  <c r="H28" i="17" s="1"/>
  <c r="G28" i="17" a="1"/>
  <c r="G28" i="17" s="1"/>
  <c r="J27" i="17" a="1"/>
  <c r="J27" i="17" s="1"/>
  <c r="I27" i="17" a="1"/>
  <c r="I27" i="17" s="1"/>
  <c r="H27" i="17" a="1"/>
  <c r="H27" i="17" s="1"/>
  <c r="G27" i="17" a="1"/>
  <c r="G27" i="17" s="1"/>
  <c r="J26" i="17" a="1"/>
  <c r="J26" i="17" s="1"/>
  <c r="I26" i="17" a="1"/>
  <c r="I26" i="17" s="1"/>
  <c r="H26" i="17" a="1"/>
  <c r="H26" i="17" s="1"/>
  <c r="G26" i="17" a="1"/>
  <c r="G26" i="17" s="1"/>
  <c r="J25" i="17" a="1"/>
  <c r="J25" i="17" s="1"/>
  <c r="I25" i="17" a="1"/>
  <c r="I25" i="17" s="1"/>
  <c r="H25" i="17" a="1"/>
  <c r="H25" i="17" s="1"/>
  <c r="G25" i="17" a="1"/>
  <c r="G25" i="17" s="1"/>
  <c r="J24" i="17" a="1"/>
  <c r="J24" i="17" s="1"/>
  <c r="I24" i="17" a="1"/>
  <c r="I24" i="17" s="1"/>
  <c r="H24" i="17" a="1"/>
  <c r="H24" i="17" s="1"/>
  <c r="G24" i="17" a="1"/>
  <c r="G24" i="17" s="1"/>
  <c r="J23" i="17" a="1"/>
  <c r="J23" i="17" s="1"/>
  <c r="I23" i="17" a="1"/>
  <c r="I23" i="17" s="1"/>
  <c r="H23" i="17" a="1"/>
  <c r="H23" i="17" s="1"/>
  <c r="G23" i="17" a="1"/>
  <c r="G23" i="17" s="1"/>
  <c r="J22" i="17" a="1"/>
  <c r="J22" i="17" s="1"/>
  <c r="I22" i="17" a="1"/>
  <c r="I22" i="17" s="1"/>
  <c r="H22" i="17" a="1"/>
  <c r="H22" i="17" s="1"/>
  <c r="G22" i="17" a="1"/>
  <c r="G22" i="17" s="1"/>
  <c r="J21" i="17" a="1"/>
  <c r="J21" i="17" s="1"/>
  <c r="I21" i="17" a="1"/>
  <c r="I21" i="17" s="1"/>
  <c r="H21" i="17" a="1"/>
  <c r="H21" i="17" s="1"/>
  <c r="G21" i="17" a="1"/>
  <c r="G21" i="17" s="1"/>
  <c r="J20" i="17" a="1"/>
  <c r="J20" i="17" s="1"/>
  <c r="I20" i="17" a="1"/>
  <c r="I20" i="17" s="1"/>
  <c r="H20" i="17" a="1"/>
  <c r="H20" i="17" s="1"/>
  <c r="G20" i="17" a="1"/>
  <c r="G20" i="17" s="1"/>
  <c r="J19" i="17" a="1"/>
  <c r="J19" i="17" s="1"/>
  <c r="I19" i="17" a="1"/>
  <c r="I19" i="17" s="1"/>
  <c r="H19" i="17" a="1"/>
  <c r="H19" i="17" s="1"/>
  <c r="G19" i="17" a="1"/>
  <c r="G19" i="17" s="1"/>
  <c r="J18" i="17" a="1"/>
  <c r="J18" i="17" s="1"/>
  <c r="I18" i="17" a="1"/>
  <c r="I18" i="17" s="1"/>
  <c r="H18" i="17" a="1"/>
  <c r="H18" i="17" s="1"/>
  <c r="G18" i="17" a="1"/>
  <c r="G18" i="17" s="1"/>
  <c r="J17" i="17" a="1"/>
  <c r="J17" i="17" s="1"/>
  <c r="I17" i="17" a="1"/>
  <c r="I17" i="17" s="1"/>
  <c r="H17" i="17" a="1"/>
  <c r="H17" i="17" s="1"/>
  <c r="G17" i="17" a="1"/>
  <c r="G17" i="17" s="1"/>
  <c r="J16" i="17" a="1"/>
  <c r="J16" i="17" s="1"/>
  <c r="I16" i="17" a="1"/>
  <c r="I16" i="17" s="1"/>
  <c r="H16" i="17" a="1"/>
  <c r="H16" i="17" s="1"/>
  <c r="G16" i="17" a="1"/>
  <c r="G16" i="17" s="1"/>
  <c r="J15" i="17" a="1"/>
  <c r="J15" i="17" s="1"/>
  <c r="I15" i="17" a="1"/>
  <c r="I15" i="17" s="1"/>
  <c r="H15" i="17" a="1"/>
  <c r="H15" i="17" s="1"/>
  <c r="G15" i="17" a="1"/>
  <c r="G15" i="17" s="1"/>
  <c r="J14" i="17" a="1"/>
  <c r="J14" i="17" s="1"/>
  <c r="I14" i="17" a="1"/>
  <c r="I14" i="17" s="1"/>
  <c r="H14" i="17" a="1"/>
  <c r="H14" i="17" s="1"/>
  <c r="G14" i="17" a="1"/>
  <c r="G14" i="17" s="1"/>
  <c r="J13" i="17" a="1"/>
  <c r="J13" i="17" s="1"/>
  <c r="I13" i="17" a="1"/>
  <c r="I13" i="17" s="1"/>
  <c r="H13" i="17" a="1"/>
  <c r="H13" i="17" s="1"/>
  <c r="G13" i="17" a="1"/>
  <c r="G13" i="17" s="1"/>
  <c r="J12" i="17" a="1"/>
  <c r="J12" i="17" s="1"/>
  <c r="I12" i="17" a="1"/>
  <c r="I12" i="17" s="1"/>
  <c r="H12" i="17" a="1"/>
  <c r="H12" i="17" s="1"/>
  <c r="G12" i="17" a="1"/>
  <c r="G12" i="17" s="1"/>
  <c r="J11" i="17" a="1"/>
  <c r="J11" i="17" s="1"/>
  <c r="I11" i="17" a="1"/>
  <c r="I11" i="17" s="1"/>
  <c r="H11" i="17" a="1"/>
  <c r="H11" i="17" s="1"/>
  <c r="G11" i="17" a="1"/>
  <c r="G11" i="17" s="1"/>
  <c r="J10" i="17" a="1"/>
  <c r="J10" i="17" s="1"/>
  <c r="I10" i="17" a="1"/>
  <c r="I10" i="17" s="1"/>
  <c r="H10" i="17" a="1"/>
  <c r="H10" i="17" s="1"/>
  <c r="G10" i="17" a="1"/>
  <c r="G10" i="17" s="1"/>
  <c r="J9" i="17" a="1"/>
  <c r="J9" i="17" s="1"/>
  <c r="I9" i="17" a="1"/>
  <c r="I9" i="17" s="1"/>
  <c r="H9" i="17" a="1"/>
  <c r="H9" i="17" s="1"/>
  <c r="G9" i="17" a="1"/>
  <c r="G9" i="17" s="1"/>
  <c r="J8" i="17" a="1"/>
  <c r="J8" i="17" s="1"/>
  <c r="I8" i="17" a="1"/>
  <c r="I8" i="17" s="1"/>
  <c r="H8" i="17" a="1"/>
  <c r="H8" i="17" s="1"/>
  <c r="G8" i="17" a="1"/>
  <c r="G8" i="17" s="1"/>
  <c r="J7" i="17" a="1"/>
  <c r="J7" i="17" s="1"/>
  <c r="I7" i="17" a="1"/>
  <c r="I7" i="17" s="1"/>
  <c r="H7" i="17" a="1"/>
  <c r="H7" i="17" s="1"/>
  <c r="G7" i="17" a="1"/>
  <c r="G7" i="17" s="1"/>
  <c r="F7" i="17" a="1"/>
  <c r="F7" i="17" s="1"/>
  <c r="D15" i="17"/>
  <c r="D19" i="17" s="1"/>
  <c r="D23" i="17" s="1"/>
  <c r="D27" i="17" s="1"/>
  <c r="D31" i="17" s="1"/>
  <c r="D35" i="17" s="1"/>
  <c r="D39" i="17" s="1"/>
  <c r="D43" i="17" s="1"/>
  <c r="D47" i="17" s="1"/>
  <c r="D51" i="17" s="1"/>
  <c r="D55" i="17" s="1"/>
  <c r="D59" i="17" s="1"/>
  <c r="D63" i="17" s="1"/>
  <c r="D67" i="17" s="1"/>
  <c r="D71" i="17" s="1"/>
  <c r="D75" i="17" s="1"/>
  <c r="D79" i="17" s="1"/>
  <c r="D83" i="17" s="1"/>
  <c r="D87" i="17" s="1"/>
  <c r="D91" i="17" s="1"/>
  <c r="D95" i="17" s="1"/>
  <c r="D99" i="17" s="1"/>
  <c r="D103" i="17" s="1"/>
  <c r="D107" i="17" s="1"/>
  <c r="D111" i="17" s="1"/>
  <c r="D115" i="17" s="1"/>
  <c r="D119" i="17" s="1"/>
  <c r="D123" i="17" s="1"/>
  <c r="D127" i="17" s="1"/>
  <c r="D131" i="17" s="1"/>
  <c r="D135" i="17" s="1"/>
  <c r="D139" i="17" s="1"/>
  <c r="D143" i="17" s="1"/>
  <c r="D147" i="17" s="1"/>
  <c r="D151" i="17" s="1"/>
  <c r="D155" i="17" s="1"/>
  <c r="D159" i="17" s="1"/>
  <c r="D163" i="17" s="1"/>
  <c r="D167" i="17" s="1"/>
  <c r="D171" i="17" s="1"/>
  <c r="D175" i="17" s="1"/>
  <c r="D179" i="17" s="1"/>
  <c r="D183" i="17" s="1"/>
  <c r="D187" i="17" s="1"/>
  <c r="D191" i="17" s="1"/>
  <c r="D195" i="17" s="1"/>
  <c r="D199" i="17" s="1"/>
  <c r="D203" i="17" s="1"/>
  <c r="D207" i="17" s="1"/>
  <c r="D211" i="17" s="1"/>
  <c r="D215" i="17" s="1"/>
  <c r="D219" i="17" s="1"/>
  <c r="D223" i="17" s="1"/>
  <c r="D227" i="17" s="1"/>
  <c r="D231" i="17" s="1"/>
  <c r="D235" i="17" s="1"/>
  <c r="D239" i="17" s="1"/>
  <c r="D243" i="17" s="1"/>
  <c r="D247" i="17" s="1"/>
  <c r="D251" i="17" s="1"/>
  <c r="D255" i="17" s="1"/>
  <c r="D259" i="17" s="1"/>
  <c r="D263" i="17" s="1"/>
  <c r="D267" i="17" s="1"/>
  <c r="D271" i="17" s="1"/>
  <c r="D275" i="17" s="1"/>
  <c r="D279" i="17" s="1"/>
  <c r="D283" i="17" s="1"/>
  <c r="D287" i="17" s="1"/>
  <c r="D291" i="17" s="1"/>
  <c r="D295" i="17" s="1"/>
  <c r="D299" i="17" s="1"/>
  <c r="D303" i="17" s="1"/>
  <c r="D307" i="17" s="1"/>
  <c r="D311" i="17" s="1"/>
  <c r="D315" i="17" s="1"/>
  <c r="D319" i="17" s="1"/>
  <c r="D323" i="17" s="1"/>
  <c r="D327" i="17" s="1"/>
  <c r="D331" i="17" s="1"/>
  <c r="D335" i="17" s="1"/>
  <c r="D339" i="17" s="1"/>
  <c r="D343" i="17" s="1"/>
  <c r="D347" i="17" s="1"/>
  <c r="D351" i="17" s="1"/>
  <c r="D355" i="17" s="1"/>
  <c r="D359" i="17" s="1"/>
  <c r="C15" i="17"/>
  <c r="C19" i="17" s="1"/>
  <c r="C23" i="17" s="1"/>
  <c r="C27" i="17" s="1"/>
  <c r="C31" i="17" s="1"/>
  <c r="C35" i="17" s="1"/>
  <c r="C39" i="17" s="1"/>
  <c r="C43" i="17" s="1"/>
  <c r="C47" i="17" s="1"/>
  <c r="C51" i="17" s="1"/>
  <c r="C55" i="17" s="1"/>
  <c r="C59" i="17" s="1"/>
  <c r="C63" i="17" s="1"/>
  <c r="C67" i="17" s="1"/>
  <c r="C71" i="17" s="1"/>
  <c r="C75" i="17" s="1"/>
  <c r="C79" i="17" s="1"/>
  <c r="C83" i="17" s="1"/>
  <c r="C87" i="17" s="1"/>
  <c r="C91" i="17" s="1"/>
  <c r="C95" i="17" s="1"/>
  <c r="C99" i="17" s="1"/>
  <c r="C103" i="17" s="1"/>
  <c r="C107" i="17" s="1"/>
  <c r="C111" i="17" s="1"/>
  <c r="C115" i="17" s="1"/>
  <c r="C119" i="17" s="1"/>
  <c r="C123" i="17" s="1"/>
  <c r="C127" i="17" s="1"/>
  <c r="C131" i="17" s="1"/>
  <c r="C135" i="17" s="1"/>
  <c r="C139" i="17" s="1"/>
  <c r="C143" i="17" s="1"/>
  <c r="C147" i="17" s="1"/>
  <c r="C151" i="17" s="1"/>
  <c r="C155" i="17" s="1"/>
  <c r="C159" i="17" s="1"/>
  <c r="C163" i="17" s="1"/>
  <c r="C167" i="17" s="1"/>
  <c r="C171" i="17" s="1"/>
  <c r="C175" i="17" s="1"/>
  <c r="C179" i="17" s="1"/>
  <c r="C183" i="17" s="1"/>
  <c r="C187" i="17" s="1"/>
  <c r="C191" i="17" s="1"/>
  <c r="C195" i="17" s="1"/>
  <c r="C199" i="17" s="1"/>
  <c r="C203" i="17" s="1"/>
  <c r="C207" i="17" s="1"/>
  <c r="C211" i="17" s="1"/>
  <c r="C215" i="17" s="1"/>
  <c r="C219" i="17" s="1"/>
  <c r="C223" i="17" s="1"/>
  <c r="C227" i="17" s="1"/>
  <c r="C231" i="17" s="1"/>
  <c r="C235" i="17" s="1"/>
  <c r="C239" i="17" s="1"/>
  <c r="C243" i="17" s="1"/>
  <c r="C247" i="17" s="1"/>
  <c r="C251" i="17" s="1"/>
  <c r="C255" i="17" s="1"/>
  <c r="C259" i="17" s="1"/>
  <c r="C263" i="17" s="1"/>
  <c r="C267" i="17" s="1"/>
  <c r="C271" i="17" s="1"/>
  <c r="C275" i="17" s="1"/>
  <c r="C279" i="17" s="1"/>
  <c r="C283" i="17" s="1"/>
  <c r="C287" i="17" s="1"/>
  <c r="C291" i="17" s="1"/>
  <c r="C295" i="17" s="1"/>
  <c r="C299" i="17" s="1"/>
  <c r="C303" i="17" s="1"/>
  <c r="C307" i="17" s="1"/>
  <c r="C311" i="17" s="1"/>
  <c r="C315" i="17" s="1"/>
  <c r="C319" i="17" s="1"/>
  <c r="C323" i="17" s="1"/>
  <c r="C327" i="17" s="1"/>
  <c r="C331" i="17" s="1"/>
  <c r="C335" i="17" s="1"/>
  <c r="C339" i="17" s="1"/>
  <c r="C343" i="17" s="1"/>
  <c r="C347" i="17" s="1"/>
  <c r="C351" i="17" s="1"/>
  <c r="C355" i="17" s="1"/>
  <c r="C359" i="17" s="1"/>
  <c r="C14" i="17"/>
  <c r="C18" i="17" s="1"/>
  <c r="C22" i="17" s="1"/>
  <c r="C26" i="17" s="1"/>
  <c r="C30" i="17" s="1"/>
  <c r="C34" i="17" s="1"/>
  <c r="C38" i="17" s="1"/>
  <c r="C42" i="17" s="1"/>
  <c r="C46" i="17" s="1"/>
  <c r="C50" i="17" s="1"/>
  <c r="C54" i="17" s="1"/>
  <c r="C58" i="17" s="1"/>
  <c r="C62" i="17" s="1"/>
  <c r="C66" i="17" s="1"/>
  <c r="C70" i="17" s="1"/>
  <c r="C74" i="17" s="1"/>
  <c r="C78" i="17" s="1"/>
  <c r="C82" i="17" s="1"/>
  <c r="C86" i="17" s="1"/>
  <c r="C90" i="17" s="1"/>
  <c r="C94" i="17" s="1"/>
  <c r="C98" i="17" s="1"/>
  <c r="C102" i="17" s="1"/>
  <c r="C106" i="17" s="1"/>
  <c r="C110" i="17" s="1"/>
  <c r="C114" i="17" s="1"/>
  <c r="C118" i="17" s="1"/>
  <c r="C122" i="17" s="1"/>
  <c r="C126" i="17" s="1"/>
  <c r="C130" i="17" s="1"/>
  <c r="C134" i="17" s="1"/>
  <c r="C138" i="17" s="1"/>
  <c r="C142" i="17" s="1"/>
  <c r="C146" i="17" s="1"/>
  <c r="C150" i="17" s="1"/>
  <c r="C154" i="17" s="1"/>
  <c r="C158" i="17" s="1"/>
  <c r="C162" i="17" s="1"/>
  <c r="C166" i="17" s="1"/>
  <c r="C170" i="17" s="1"/>
  <c r="C174" i="17" s="1"/>
  <c r="C178" i="17" s="1"/>
  <c r="C182" i="17" s="1"/>
  <c r="C186" i="17" s="1"/>
  <c r="C190" i="17" s="1"/>
  <c r="C194" i="17" s="1"/>
  <c r="C198" i="17" s="1"/>
  <c r="C202" i="17" s="1"/>
  <c r="C206" i="17" s="1"/>
  <c r="C210" i="17" s="1"/>
  <c r="C214" i="17" s="1"/>
  <c r="C218" i="17" s="1"/>
  <c r="C222" i="17" s="1"/>
  <c r="C226" i="17" s="1"/>
  <c r="C230" i="17" s="1"/>
  <c r="C234" i="17" s="1"/>
  <c r="C238" i="17" s="1"/>
  <c r="C242" i="17" s="1"/>
  <c r="C246" i="17" s="1"/>
  <c r="C250" i="17" s="1"/>
  <c r="C254" i="17" s="1"/>
  <c r="C258" i="17" s="1"/>
  <c r="C262" i="17" s="1"/>
  <c r="C266" i="17" s="1"/>
  <c r="C270" i="17" s="1"/>
  <c r="C274" i="17" s="1"/>
  <c r="C278" i="17" s="1"/>
  <c r="C282" i="17" s="1"/>
  <c r="C286" i="17" s="1"/>
  <c r="C290" i="17" s="1"/>
  <c r="C294" i="17" s="1"/>
  <c r="C298" i="17" s="1"/>
  <c r="C302" i="17" s="1"/>
  <c r="C306" i="17" s="1"/>
  <c r="C310" i="17" s="1"/>
  <c r="C314" i="17" s="1"/>
  <c r="C318" i="17" s="1"/>
  <c r="C322" i="17" s="1"/>
  <c r="C326" i="17" s="1"/>
  <c r="C330" i="17" s="1"/>
  <c r="C334" i="17" s="1"/>
  <c r="C338" i="17" s="1"/>
  <c r="C342" i="17" s="1"/>
  <c r="C346" i="17" s="1"/>
  <c r="C350" i="17" s="1"/>
  <c r="C354" i="17" s="1"/>
  <c r="C358" i="17" s="1"/>
  <c r="B14" i="17"/>
  <c r="B18" i="17" s="1"/>
  <c r="B22" i="17" s="1"/>
  <c r="B26" i="17" s="1"/>
  <c r="B30" i="17" s="1"/>
  <c r="B34" i="17" s="1"/>
  <c r="B38" i="17" s="1"/>
  <c r="B42" i="17" s="1"/>
  <c r="B46" i="17" s="1"/>
  <c r="B50" i="17" s="1"/>
  <c r="B54" i="17" s="1"/>
  <c r="B58" i="17" s="1"/>
  <c r="B62" i="17" s="1"/>
  <c r="B66" i="17" s="1"/>
  <c r="B70" i="17" s="1"/>
  <c r="B74" i="17" s="1"/>
  <c r="B78" i="17" s="1"/>
  <c r="B82" i="17" s="1"/>
  <c r="B86" i="17" s="1"/>
  <c r="B90" i="17" s="1"/>
  <c r="B94" i="17" s="1"/>
  <c r="B98" i="17" s="1"/>
  <c r="B102" i="17" s="1"/>
  <c r="B106" i="17" s="1"/>
  <c r="B110" i="17" s="1"/>
  <c r="B114" i="17" s="1"/>
  <c r="B118" i="17" s="1"/>
  <c r="B122" i="17" s="1"/>
  <c r="B126" i="17" s="1"/>
  <c r="B130" i="17" s="1"/>
  <c r="B134" i="17" s="1"/>
  <c r="B138" i="17" s="1"/>
  <c r="B142" i="17" s="1"/>
  <c r="B146" i="17" s="1"/>
  <c r="B150" i="17" s="1"/>
  <c r="B154" i="17" s="1"/>
  <c r="B158" i="17" s="1"/>
  <c r="B162" i="17" s="1"/>
  <c r="B166" i="17" s="1"/>
  <c r="B170" i="17" s="1"/>
  <c r="B174" i="17" s="1"/>
  <c r="B178" i="17" s="1"/>
  <c r="B182" i="17" s="1"/>
  <c r="B186" i="17" s="1"/>
  <c r="B190" i="17" s="1"/>
  <c r="B194" i="17" s="1"/>
  <c r="B198" i="17" s="1"/>
  <c r="B202" i="17" s="1"/>
  <c r="B206" i="17" s="1"/>
  <c r="B210" i="17" s="1"/>
  <c r="B214" i="17" s="1"/>
  <c r="B218" i="17" s="1"/>
  <c r="B222" i="17" s="1"/>
  <c r="B226" i="17" s="1"/>
  <c r="B230" i="17" s="1"/>
  <c r="B234" i="17" s="1"/>
  <c r="B238" i="17" s="1"/>
  <c r="B242" i="17" s="1"/>
  <c r="B246" i="17" s="1"/>
  <c r="B250" i="17" s="1"/>
  <c r="B254" i="17" s="1"/>
  <c r="B258" i="17" s="1"/>
  <c r="B262" i="17" s="1"/>
  <c r="B266" i="17" s="1"/>
  <c r="B270" i="17" s="1"/>
  <c r="B274" i="17" s="1"/>
  <c r="B278" i="17" s="1"/>
  <c r="B282" i="17" s="1"/>
  <c r="B286" i="17" s="1"/>
  <c r="B290" i="17" s="1"/>
  <c r="B294" i="17" s="1"/>
  <c r="B298" i="17" s="1"/>
  <c r="B302" i="17" s="1"/>
  <c r="B306" i="17" s="1"/>
  <c r="B310" i="17" s="1"/>
  <c r="B314" i="17" s="1"/>
  <c r="B318" i="17" s="1"/>
  <c r="B322" i="17" s="1"/>
  <c r="B326" i="17" s="1"/>
  <c r="B330" i="17" s="1"/>
  <c r="B334" i="17" s="1"/>
  <c r="B338" i="17" s="1"/>
  <c r="B342" i="17" s="1"/>
  <c r="B346" i="17" s="1"/>
  <c r="B350" i="17" s="1"/>
  <c r="B354" i="17" s="1"/>
  <c r="B358" i="17" s="1"/>
  <c r="C13" i="17"/>
  <c r="C17" i="17" s="1"/>
  <c r="C21" i="17" s="1"/>
  <c r="C25" i="17" s="1"/>
  <c r="C29" i="17" s="1"/>
  <c r="C33" i="17" s="1"/>
  <c r="C37" i="17" s="1"/>
  <c r="C41" i="17" s="1"/>
  <c r="C45" i="17" s="1"/>
  <c r="C49" i="17" s="1"/>
  <c r="C53" i="17" s="1"/>
  <c r="C57" i="17" s="1"/>
  <c r="C61" i="17" s="1"/>
  <c r="C65" i="17" s="1"/>
  <c r="C69" i="17" s="1"/>
  <c r="C73" i="17" s="1"/>
  <c r="C77" i="17" s="1"/>
  <c r="C81" i="17" s="1"/>
  <c r="C85" i="17" s="1"/>
  <c r="C89" i="17" s="1"/>
  <c r="C93" i="17" s="1"/>
  <c r="C97" i="17" s="1"/>
  <c r="C101" i="17" s="1"/>
  <c r="C105" i="17" s="1"/>
  <c r="C109" i="17" s="1"/>
  <c r="C113" i="17" s="1"/>
  <c r="C117" i="17" s="1"/>
  <c r="C121" i="17" s="1"/>
  <c r="C125" i="17" s="1"/>
  <c r="C129" i="17" s="1"/>
  <c r="C133" i="17" s="1"/>
  <c r="C137" i="17" s="1"/>
  <c r="C141" i="17" s="1"/>
  <c r="C145" i="17" s="1"/>
  <c r="C149" i="17" s="1"/>
  <c r="C153" i="17" s="1"/>
  <c r="C157" i="17" s="1"/>
  <c r="C161" i="17" s="1"/>
  <c r="C165" i="17" s="1"/>
  <c r="C169" i="17" s="1"/>
  <c r="C173" i="17" s="1"/>
  <c r="C177" i="17" s="1"/>
  <c r="C181" i="17" s="1"/>
  <c r="C185" i="17" s="1"/>
  <c r="C189" i="17" s="1"/>
  <c r="C193" i="17" s="1"/>
  <c r="C197" i="17" s="1"/>
  <c r="C201" i="17" s="1"/>
  <c r="C205" i="17" s="1"/>
  <c r="C209" i="17" s="1"/>
  <c r="C213" i="17" s="1"/>
  <c r="C217" i="17" s="1"/>
  <c r="C221" i="17" s="1"/>
  <c r="C225" i="17" s="1"/>
  <c r="C229" i="17" s="1"/>
  <c r="C233" i="17" s="1"/>
  <c r="C237" i="17" s="1"/>
  <c r="C241" i="17" s="1"/>
  <c r="C245" i="17" s="1"/>
  <c r="C249" i="17" s="1"/>
  <c r="C253" i="17" s="1"/>
  <c r="C257" i="17" s="1"/>
  <c r="C261" i="17" s="1"/>
  <c r="C265" i="17" s="1"/>
  <c r="C269" i="17" s="1"/>
  <c r="C273" i="17" s="1"/>
  <c r="C277" i="17" s="1"/>
  <c r="C281" i="17" s="1"/>
  <c r="C285" i="17" s="1"/>
  <c r="C289" i="17" s="1"/>
  <c r="C293" i="17" s="1"/>
  <c r="C297" i="17" s="1"/>
  <c r="C301" i="17" s="1"/>
  <c r="C305" i="17" s="1"/>
  <c r="C309" i="17" s="1"/>
  <c r="C313" i="17" s="1"/>
  <c r="C317" i="17" s="1"/>
  <c r="C321" i="17" s="1"/>
  <c r="C325" i="17" s="1"/>
  <c r="C329" i="17" s="1"/>
  <c r="C333" i="17" s="1"/>
  <c r="C337" i="17" s="1"/>
  <c r="C341" i="17" s="1"/>
  <c r="C345" i="17" s="1"/>
  <c r="C349" i="17" s="1"/>
  <c r="C353" i="17" s="1"/>
  <c r="C357" i="17" s="1"/>
  <c r="B13" i="17"/>
  <c r="B17" i="17" s="1"/>
  <c r="B21" i="17" s="1"/>
  <c r="B25" i="17" s="1"/>
  <c r="B29" i="17" s="1"/>
  <c r="B33" i="17" s="1"/>
  <c r="B37" i="17" s="1"/>
  <c r="B41" i="17" s="1"/>
  <c r="B45" i="17" s="1"/>
  <c r="B49" i="17" s="1"/>
  <c r="B53" i="17" s="1"/>
  <c r="B57" i="17" s="1"/>
  <c r="B61" i="17" s="1"/>
  <c r="B65" i="17" s="1"/>
  <c r="B69" i="17" s="1"/>
  <c r="B73" i="17" s="1"/>
  <c r="B77" i="17" s="1"/>
  <c r="B81" i="17" s="1"/>
  <c r="B85" i="17" s="1"/>
  <c r="B89" i="17" s="1"/>
  <c r="B93" i="17" s="1"/>
  <c r="B97" i="17" s="1"/>
  <c r="B101" i="17" s="1"/>
  <c r="B105" i="17" s="1"/>
  <c r="B109" i="17" s="1"/>
  <c r="B113" i="17" s="1"/>
  <c r="B117" i="17" s="1"/>
  <c r="B121" i="17" s="1"/>
  <c r="B125" i="17" s="1"/>
  <c r="B129" i="17" s="1"/>
  <c r="B133" i="17" s="1"/>
  <c r="B137" i="17" s="1"/>
  <c r="B141" i="17" s="1"/>
  <c r="B145" i="17" s="1"/>
  <c r="B149" i="17" s="1"/>
  <c r="B153" i="17" s="1"/>
  <c r="B157" i="17" s="1"/>
  <c r="B161" i="17" s="1"/>
  <c r="B165" i="17" s="1"/>
  <c r="B169" i="17" s="1"/>
  <c r="B173" i="17" s="1"/>
  <c r="B177" i="17" s="1"/>
  <c r="B181" i="17" s="1"/>
  <c r="B185" i="17" s="1"/>
  <c r="B189" i="17" s="1"/>
  <c r="B193" i="17" s="1"/>
  <c r="B197" i="17" s="1"/>
  <c r="B201" i="17" s="1"/>
  <c r="B205" i="17" s="1"/>
  <c r="B209" i="17" s="1"/>
  <c r="B213" i="17" s="1"/>
  <c r="B217" i="17" s="1"/>
  <c r="B221" i="17" s="1"/>
  <c r="B225" i="17" s="1"/>
  <c r="B229" i="17" s="1"/>
  <c r="B233" i="17" s="1"/>
  <c r="B237" i="17" s="1"/>
  <c r="B241" i="17" s="1"/>
  <c r="B245" i="17" s="1"/>
  <c r="B249" i="17" s="1"/>
  <c r="B253" i="17" s="1"/>
  <c r="B257" i="17" s="1"/>
  <c r="B261" i="17" s="1"/>
  <c r="B265" i="17" s="1"/>
  <c r="B269" i="17" s="1"/>
  <c r="B273" i="17" s="1"/>
  <c r="B277" i="17" s="1"/>
  <c r="B281" i="17" s="1"/>
  <c r="B285" i="17" s="1"/>
  <c r="B289" i="17" s="1"/>
  <c r="B293" i="17" s="1"/>
  <c r="B297" i="17" s="1"/>
  <c r="B301" i="17" s="1"/>
  <c r="B305" i="17" s="1"/>
  <c r="B309" i="17" s="1"/>
  <c r="B313" i="17" s="1"/>
  <c r="B317" i="17" s="1"/>
  <c r="B321" i="17" s="1"/>
  <c r="B325" i="17" s="1"/>
  <c r="B329" i="17" s="1"/>
  <c r="B333" i="17" s="1"/>
  <c r="B337" i="17" s="1"/>
  <c r="B341" i="17" s="1"/>
  <c r="B345" i="17" s="1"/>
  <c r="B349" i="17" s="1"/>
  <c r="B353" i="17" s="1"/>
  <c r="B357" i="17" s="1"/>
  <c r="C12" i="17"/>
  <c r="C16" i="17" s="1"/>
  <c r="C20" i="17" s="1"/>
  <c r="C24" i="17" s="1"/>
  <c r="C28" i="17" s="1"/>
  <c r="C32" i="17" s="1"/>
  <c r="C36" i="17" s="1"/>
  <c r="C40" i="17" s="1"/>
  <c r="C44" i="17" s="1"/>
  <c r="C48" i="17" s="1"/>
  <c r="C52" i="17" s="1"/>
  <c r="C56" i="17" s="1"/>
  <c r="C60" i="17" s="1"/>
  <c r="C64" i="17" s="1"/>
  <c r="C68" i="17" s="1"/>
  <c r="C72" i="17" s="1"/>
  <c r="C76" i="17" s="1"/>
  <c r="C80" i="17" s="1"/>
  <c r="C84" i="17" s="1"/>
  <c r="C88" i="17" s="1"/>
  <c r="C92" i="17" s="1"/>
  <c r="C96" i="17" s="1"/>
  <c r="C100" i="17" s="1"/>
  <c r="C104" i="17" s="1"/>
  <c r="C108" i="17" s="1"/>
  <c r="C112" i="17" s="1"/>
  <c r="C116" i="17" s="1"/>
  <c r="C120" i="17" s="1"/>
  <c r="C124" i="17" s="1"/>
  <c r="C128" i="17" s="1"/>
  <c r="C132" i="17" s="1"/>
  <c r="C136" i="17" s="1"/>
  <c r="C140" i="17" s="1"/>
  <c r="C144" i="17" s="1"/>
  <c r="C148" i="17" s="1"/>
  <c r="C152" i="17" s="1"/>
  <c r="C156" i="17" s="1"/>
  <c r="C160" i="17" s="1"/>
  <c r="C164" i="17" s="1"/>
  <c r="C168" i="17" s="1"/>
  <c r="C172" i="17" s="1"/>
  <c r="C176" i="17" s="1"/>
  <c r="C180" i="17" s="1"/>
  <c r="C184" i="17" s="1"/>
  <c r="C188" i="17" s="1"/>
  <c r="C192" i="17" s="1"/>
  <c r="C196" i="17" s="1"/>
  <c r="C200" i="17" s="1"/>
  <c r="C204" i="17" s="1"/>
  <c r="C208" i="17" s="1"/>
  <c r="C212" i="17" s="1"/>
  <c r="C216" i="17" s="1"/>
  <c r="C220" i="17" s="1"/>
  <c r="C224" i="17" s="1"/>
  <c r="C228" i="17" s="1"/>
  <c r="C232" i="17" s="1"/>
  <c r="C236" i="17" s="1"/>
  <c r="C240" i="17" s="1"/>
  <c r="C244" i="17" s="1"/>
  <c r="C248" i="17" s="1"/>
  <c r="C252" i="17" s="1"/>
  <c r="C256" i="17" s="1"/>
  <c r="C260" i="17" s="1"/>
  <c r="C264" i="17" s="1"/>
  <c r="C268" i="17" s="1"/>
  <c r="C272" i="17" s="1"/>
  <c r="C276" i="17" s="1"/>
  <c r="C280" i="17" s="1"/>
  <c r="C284" i="17" s="1"/>
  <c r="C288" i="17" s="1"/>
  <c r="C292" i="17" s="1"/>
  <c r="C296" i="17" s="1"/>
  <c r="C300" i="17" s="1"/>
  <c r="C304" i="17" s="1"/>
  <c r="C308" i="17" s="1"/>
  <c r="C312" i="17" s="1"/>
  <c r="C316" i="17" s="1"/>
  <c r="C320" i="17" s="1"/>
  <c r="C324" i="17" s="1"/>
  <c r="C328" i="17" s="1"/>
  <c r="C332" i="17" s="1"/>
  <c r="C336" i="17" s="1"/>
  <c r="C340" i="17" s="1"/>
  <c r="C344" i="17" s="1"/>
  <c r="C348" i="17" s="1"/>
  <c r="C352" i="17" s="1"/>
  <c r="C356" i="17" s="1"/>
  <c r="B12" i="17"/>
  <c r="B16" i="17" s="1"/>
  <c r="B20" i="17" s="1"/>
  <c r="B24" i="17" s="1"/>
  <c r="B28" i="17" s="1"/>
  <c r="B32" i="17" s="1"/>
  <c r="B36" i="17" s="1"/>
  <c r="B40" i="17" s="1"/>
  <c r="B44" i="17" s="1"/>
  <c r="B48" i="17" s="1"/>
  <c r="B52" i="17" s="1"/>
  <c r="B56" i="17" s="1"/>
  <c r="B60" i="17" s="1"/>
  <c r="B64" i="17" s="1"/>
  <c r="B68" i="17" s="1"/>
  <c r="B72" i="17" s="1"/>
  <c r="B76" i="17" s="1"/>
  <c r="B80" i="17" s="1"/>
  <c r="B84" i="17" s="1"/>
  <c r="B88" i="17" s="1"/>
  <c r="B92" i="17" s="1"/>
  <c r="B96" i="17" s="1"/>
  <c r="B100" i="17" s="1"/>
  <c r="B104" i="17" s="1"/>
  <c r="B108" i="17" s="1"/>
  <c r="B112" i="17" s="1"/>
  <c r="B116" i="17" s="1"/>
  <c r="B120" i="17" s="1"/>
  <c r="B124" i="17" s="1"/>
  <c r="B128" i="17" s="1"/>
  <c r="B132" i="17" s="1"/>
  <c r="B136" i="17" s="1"/>
  <c r="B140" i="17" s="1"/>
  <c r="B144" i="17" s="1"/>
  <c r="B148" i="17" s="1"/>
  <c r="B152" i="17" s="1"/>
  <c r="B156" i="17" s="1"/>
  <c r="B160" i="17" s="1"/>
  <c r="B164" i="17" s="1"/>
  <c r="B168" i="17" s="1"/>
  <c r="B172" i="17" s="1"/>
  <c r="B176" i="17" s="1"/>
  <c r="B180" i="17" s="1"/>
  <c r="B184" i="17" s="1"/>
  <c r="B188" i="17" s="1"/>
  <c r="B192" i="17" s="1"/>
  <c r="B196" i="17" s="1"/>
  <c r="B200" i="17" s="1"/>
  <c r="B204" i="17" s="1"/>
  <c r="B208" i="17" s="1"/>
  <c r="B212" i="17" s="1"/>
  <c r="B216" i="17" s="1"/>
  <c r="B220" i="17" s="1"/>
  <c r="B224" i="17" s="1"/>
  <c r="B228" i="17" s="1"/>
  <c r="B232" i="17" s="1"/>
  <c r="B236" i="17" s="1"/>
  <c r="B240" i="17" s="1"/>
  <c r="B244" i="17" s="1"/>
  <c r="B248" i="17" s="1"/>
  <c r="B252" i="17" s="1"/>
  <c r="B256" i="17" s="1"/>
  <c r="B260" i="17" s="1"/>
  <c r="B264" i="17" s="1"/>
  <c r="B268" i="17" s="1"/>
  <c r="B272" i="17" s="1"/>
  <c r="B276" i="17" s="1"/>
  <c r="B280" i="17" s="1"/>
  <c r="B284" i="17" s="1"/>
  <c r="B288" i="17" s="1"/>
  <c r="B292" i="17" s="1"/>
  <c r="B296" i="17" s="1"/>
  <c r="B300" i="17" s="1"/>
  <c r="B304" i="17" s="1"/>
  <c r="B308" i="17" s="1"/>
  <c r="B312" i="17" s="1"/>
  <c r="B316" i="17" s="1"/>
  <c r="B320" i="17" s="1"/>
  <c r="B324" i="17" s="1"/>
  <c r="B328" i="17" s="1"/>
  <c r="B332" i="17" s="1"/>
  <c r="B336" i="17" s="1"/>
  <c r="B340" i="17" s="1"/>
  <c r="B344" i="17" s="1"/>
  <c r="B348" i="17" s="1"/>
  <c r="B352" i="17" s="1"/>
  <c r="B356" i="17" s="1"/>
  <c r="B11" i="17"/>
  <c r="B15" i="17" s="1"/>
  <c r="B19" i="17" s="1"/>
  <c r="B23" i="17" s="1"/>
  <c r="B27" i="17" s="1"/>
  <c r="B31" i="17" s="1"/>
  <c r="B35" i="17" s="1"/>
  <c r="B39" i="17" s="1"/>
  <c r="B43" i="17" s="1"/>
  <c r="B47" i="17" s="1"/>
  <c r="B51" i="17" s="1"/>
  <c r="B55" i="17" s="1"/>
  <c r="B59" i="17" s="1"/>
  <c r="B63" i="17" s="1"/>
  <c r="B67" i="17" s="1"/>
  <c r="B71" i="17" s="1"/>
  <c r="B75" i="17" s="1"/>
  <c r="B79" i="17" s="1"/>
  <c r="B83" i="17" s="1"/>
  <c r="B87" i="17" s="1"/>
  <c r="B91" i="17" s="1"/>
  <c r="B95" i="17" s="1"/>
  <c r="B99" i="17" s="1"/>
  <c r="B103" i="17" s="1"/>
  <c r="B107" i="17" s="1"/>
  <c r="B111" i="17" s="1"/>
  <c r="B115" i="17" s="1"/>
  <c r="B119" i="17" s="1"/>
  <c r="B123" i="17" s="1"/>
  <c r="B127" i="17" s="1"/>
  <c r="B131" i="17" s="1"/>
  <c r="B135" i="17" s="1"/>
  <c r="B139" i="17" s="1"/>
  <c r="B143" i="17" s="1"/>
  <c r="B147" i="17" s="1"/>
  <c r="B151" i="17" s="1"/>
  <c r="B155" i="17" s="1"/>
  <c r="B159" i="17" s="1"/>
  <c r="B163" i="17" s="1"/>
  <c r="B167" i="17" s="1"/>
  <c r="B171" i="17" s="1"/>
  <c r="B175" i="17" s="1"/>
  <c r="B179" i="17" s="1"/>
  <c r="B183" i="17" s="1"/>
  <c r="B187" i="17" s="1"/>
  <c r="B191" i="17" s="1"/>
  <c r="B195" i="17" s="1"/>
  <c r="B199" i="17" s="1"/>
  <c r="B203" i="17" s="1"/>
  <c r="B207" i="17" s="1"/>
  <c r="B211" i="17" s="1"/>
  <c r="B215" i="17" s="1"/>
  <c r="B219" i="17" s="1"/>
  <c r="B223" i="17" s="1"/>
  <c r="B227" i="17" s="1"/>
  <c r="B231" i="17" s="1"/>
  <c r="B235" i="17" s="1"/>
  <c r="B239" i="17" s="1"/>
  <c r="B243" i="17" s="1"/>
  <c r="B247" i="17" s="1"/>
  <c r="B251" i="17" s="1"/>
  <c r="B255" i="17" s="1"/>
  <c r="B259" i="17" s="1"/>
  <c r="B263" i="17" s="1"/>
  <c r="B267" i="17" s="1"/>
  <c r="B271" i="17" s="1"/>
  <c r="B275" i="17" s="1"/>
  <c r="B279" i="17" s="1"/>
  <c r="B283" i="17" s="1"/>
  <c r="B287" i="17" s="1"/>
  <c r="B291" i="17" s="1"/>
  <c r="B295" i="17" s="1"/>
  <c r="B299" i="17" s="1"/>
  <c r="B303" i="17" s="1"/>
  <c r="B307" i="17" s="1"/>
  <c r="B311" i="17" s="1"/>
  <c r="B315" i="17" s="1"/>
  <c r="B319" i="17" s="1"/>
  <c r="B323" i="17" s="1"/>
  <c r="B327" i="17" s="1"/>
  <c r="B331" i="17" s="1"/>
  <c r="B335" i="17" s="1"/>
  <c r="B339" i="17" s="1"/>
  <c r="B343" i="17" s="1"/>
  <c r="B347" i="17" s="1"/>
  <c r="B351" i="17" s="1"/>
  <c r="B355" i="17" s="1"/>
  <c r="E8" i="17"/>
  <c r="E9" i="17" s="1"/>
  <c r="F9" i="17" s="1" a="1"/>
  <c r="F9" i="17" s="1"/>
  <c r="J1" i="17"/>
  <c r="I1" i="17"/>
  <c r="H1" i="17"/>
  <c r="G1" i="17"/>
  <c r="K356" i="17" l="1" a="1"/>
  <c r="K356" i="17" s="1"/>
  <c r="K348" i="17" a="1"/>
  <c r="K348" i="17" s="1"/>
  <c r="K340" i="17" a="1"/>
  <c r="K340" i="17" s="1"/>
  <c r="K332" i="17" a="1"/>
  <c r="K332" i="17" s="1"/>
  <c r="K324" i="17" a="1"/>
  <c r="K324" i="17" s="1"/>
  <c r="K316" i="17" a="1"/>
  <c r="K316" i="17" s="1"/>
  <c r="K308" i="17" a="1"/>
  <c r="K308" i="17" s="1"/>
  <c r="K300" i="17" a="1"/>
  <c r="K300" i="17" s="1"/>
  <c r="K357" i="17" a="1"/>
  <c r="K357" i="17" s="1"/>
  <c r="K349" i="17" a="1"/>
  <c r="K349" i="17" s="1"/>
  <c r="K341" i="17" a="1"/>
  <c r="K341" i="17" s="1"/>
  <c r="K333" i="17" a="1"/>
  <c r="K333" i="17" s="1"/>
  <c r="K325" i="17" a="1"/>
  <c r="K325" i="17" s="1"/>
  <c r="K317" i="17" a="1"/>
  <c r="K317" i="17" s="1"/>
  <c r="K309" i="17" a="1"/>
  <c r="K309" i="17" s="1"/>
  <c r="K301" i="17" a="1"/>
  <c r="K301" i="17" s="1"/>
  <c r="K293" i="17" a="1"/>
  <c r="K293" i="17" s="1"/>
  <c r="K350" i="17" a="1"/>
  <c r="K350" i="17" s="1"/>
  <c r="K342" i="17" a="1"/>
  <c r="K342" i="17" s="1"/>
  <c r="K334" i="17" a="1"/>
  <c r="K334" i="17" s="1"/>
  <c r="K326" i="17" a="1"/>
  <c r="K326" i="17" s="1"/>
  <c r="K318" i="17" a="1"/>
  <c r="K318" i="17" s="1"/>
  <c r="K310" i="17" a="1"/>
  <c r="K310" i="17" s="1"/>
  <c r="K302" i="17" a="1"/>
  <c r="K302" i="17" s="1"/>
  <c r="K294" i="17" a="1"/>
  <c r="K294" i="17" s="1"/>
  <c r="K286" i="17" a="1"/>
  <c r="K286" i="17" s="1"/>
  <c r="K278" i="17" a="1"/>
  <c r="K278" i="17" s="1"/>
  <c r="K351" i="17" a="1"/>
  <c r="K351" i="17" s="1"/>
  <c r="K343" i="17" a="1"/>
  <c r="K343" i="17" s="1"/>
  <c r="K335" i="17" a="1"/>
  <c r="K335" i="17" s="1"/>
  <c r="K327" i="17" a="1"/>
  <c r="K327" i="17" s="1"/>
  <c r="K319" i="17" a="1"/>
  <c r="K319" i="17" s="1"/>
  <c r="K311" i="17" a="1"/>
  <c r="K311" i="17" s="1"/>
  <c r="K303" i="17" a="1"/>
  <c r="K303" i="17" s="1"/>
  <c r="K295" i="17" a="1"/>
  <c r="K295" i="17" s="1"/>
  <c r="K358" i="17" a="1"/>
  <c r="K358" i="17" s="1"/>
  <c r="K352" i="17" a="1"/>
  <c r="K352" i="17" s="1"/>
  <c r="K344" i="17" a="1"/>
  <c r="K344" i="17" s="1"/>
  <c r="K336" i="17" a="1"/>
  <c r="K336" i="17" s="1"/>
  <c r="K328" i="17" a="1"/>
  <c r="K328" i="17" s="1"/>
  <c r="K320" i="17" a="1"/>
  <c r="K320" i="17" s="1"/>
  <c r="K312" i="17" a="1"/>
  <c r="K312" i="17" s="1"/>
  <c r="K304" i="17" a="1"/>
  <c r="K304" i="17" s="1"/>
  <c r="K296" i="17" a="1"/>
  <c r="K296" i="17" s="1"/>
  <c r="K288" i="17" a="1"/>
  <c r="K288" i="17" s="1"/>
  <c r="K353" i="17" a="1"/>
  <c r="K353" i="17" s="1"/>
  <c r="K345" i="17" a="1"/>
  <c r="K345" i="17" s="1"/>
  <c r="K337" i="17" a="1"/>
  <c r="K337" i="17" s="1"/>
  <c r="K329" i="17" a="1"/>
  <c r="K329" i="17" s="1"/>
  <c r="K321" i="17" a="1"/>
  <c r="K321" i="17" s="1"/>
  <c r="K313" i="17" a="1"/>
  <c r="K313" i="17" s="1"/>
  <c r="K305" i="17" a="1"/>
  <c r="K305" i="17" s="1"/>
  <c r="K297" i="17" a="1"/>
  <c r="K297" i="17" s="1"/>
  <c r="K289" i="17" a="1"/>
  <c r="K289" i="17" s="1"/>
  <c r="K281" i="17" a="1"/>
  <c r="K281" i="17" s="1"/>
  <c r="K354" i="17" a="1"/>
  <c r="K354" i="17" s="1"/>
  <c r="K346" i="17" a="1"/>
  <c r="K346" i="17" s="1"/>
  <c r="K338" i="17" a="1"/>
  <c r="K338" i="17" s="1"/>
  <c r="K330" i="17" a="1"/>
  <c r="K330" i="17" s="1"/>
  <c r="K322" i="17" a="1"/>
  <c r="K322" i="17" s="1"/>
  <c r="K314" i="17" a="1"/>
  <c r="K314" i="17" s="1"/>
  <c r="K306" i="17" a="1"/>
  <c r="K306" i="17" s="1"/>
  <c r="K298" i="17" a="1"/>
  <c r="K298" i="17" s="1"/>
  <c r="K290" i="17" a="1"/>
  <c r="K290" i="17" s="1"/>
  <c r="K282" i="17" a="1"/>
  <c r="K282" i="17" s="1"/>
  <c r="K274" i="17" a="1"/>
  <c r="K274" i="17" s="1"/>
  <c r="K339" i="17" a="1"/>
  <c r="K339" i="17" s="1"/>
  <c r="K292" i="17" a="1"/>
  <c r="K292" i="17" s="1"/>
  <c r="K271" i="17" a="1"/>
  <c r="K271" i="17" s="1"/>
  <c r="K347" i="17" a="1"/>
  <c r="K347" i="17" s="1"/>
  <c r="K291" i="17" a="1"/>
  <c r="K291" i="17" s="1"/>
  <c r="K283" i="17" a="1"/>
  <c r="K283" i="17" s="1"/>
  <c r="K279" i="17" a="1"/>
  <c r="K279" i="17" s="1"/>
  <c r="K355" i="17" a="1"/>
  <c r="K355" i="17" s="1"/>
  <c r="K277" i="17" a="1"/>
  <c r="K277" i="17" s="1"/>
  <c r="K275" i="17" a="1"/>
  <c r="K275" i="17" s="1"/>
  <c r="K272" i="17" a="1"/>
  <c r="K272" i="17" s="1"/>
  <c r="K268" i="17" a="1"/>
  <c r="K268" i="17" s="1"/>
  <c r="K299" i="17" a="1"/>
  <c r="K299" i="17" s="1"/>
  <c r="K285" i="17" a="1"/>
  <c r="K285" i="17" s="1"/>
  <c r="K307" i="17" a="1"/>
  <c r="K307" i="17" s="1"/>
  <c r="K287" i="17" a="1"/>
  <c r="K287" i="17" s="1"/>
  <c r="K323" i="17" a="1"/>
  <c r="K323" i="17" s="1"/>
  <c r="K284" i="17" a="1"/>
  <c r="K284" i="17" s="1"/>
  <c r="K276" i="17" a="1"/>
  <c r="K276" i="17" s="1"/>
  <c r="K270" i="17" a="1"/>
  <c r="K270" i="17" s="1"/>
  <c r="K265" i="17" a="1"/>
  <c r="K265" i="17" s="1"/>
  <c r="K315" i="17" a="1"/>
  <c r="K315" i="17" s="1"/>
  <c r="K280" i="17" a="1"/>
  <c r="K280" i="17" s="1"/>
  <c r="K264" i="17" a="1"/>
  <c r="K264" i="17" s="1"/>
  <c r="K256" i="17" a="1"/>
  <c r="K256" i="17" s="1"/>
  <c r="K248" i="17" a="1"/>
  <c r="K248" i="17" s="1"/>
  <c r="K240" i="17" a="1"/>
  <c r="K240" i="17" s="1"/>
  <c r="K232" i="17" a="1"/>
  <c r="K232" i="17" s="1"/>
  <c r="K224" i="17" a="1"/>
  <c r="K224" i="17" s="1"/>
  <c r="K216" i="17" a="1"/>
  <c r="K216" i="17" s="1"/>
  <c r="K208" i="17" a="1"/>
  <c r="K208" i="17" s="1"/>
  <c r="K261" i="17" a="1"/>
  <c r="K261" i="17" s="1"/>
  <c r="K257" i="17" a="1"/>
  <c r="K257" i="17" s="1"/>
  <c r="K249" i="17" a="1"/>
  <c r="K249" i="17" s="1"/>
  <c r="K241" i="17" a="1"/>
  <c r="K241" i="17" s="1"/>
  <c r="K233" i="17" a="1"/>
  <c r="K233" i="17" s="1"/>
  <c r="K225" i="17" a="1"/>
  <c r="K225" i="17" s="1"/>
  <c r="K217" i="17" a="1"/>
  <c r="K217" i="17" s="1"/>
  <c r="K250" i="17" a="1"/>
  <c r="K250" i="17" s="1"/>
  <c r="K242" i="17" a="1"/>
  <c r="K242" i="17" s="1"/>
  <c r="K234" i="17" a="1"/>
  <c r="K234" i="17" s="1"/>
  <c r="K226" i="17" a="1"/>
  <c r="K226" i="17" s="1"/>
  <c r="K218" i="17" a="1"/>
  <c r="K218" i="17" s="1"/>
  <c r="K210" i="17" a="1"/>
  <c r="K210" i="17" s="1"/>
  <c r="K273" i="17" a="1"/>
  <c r="K273" i="17" s="1"/>
  <c r="K262" i="17" a="1"/>
  <c r="K262" i="17" s="1"/>
  <c r="K258" i="17" a="1"/>
  <c r="K258" i="17" s="1"/>
  <c r="K251" i="17" a="1"/>
  <c r="K251" i="17" s="1"/>
  <c r="K243" i="17" a="1"/>
  <c r="K243" i="17" s="1"/>
  <c r="K235" i="17" a="1"/>
  <c r="K235" i="17" s="1"/>
  <c r="K227" i="17" a="1"/>
  <c r="K227" i="17" s="1"/>
  <c r="K267" i="17" a="1"/>
  <c r="K267" i="17" s="1"/>
  <c r="K252" i="17" a="1"/>
  <c r="K252" i="17" s="1"/>
  <c r="K244" i="17" a="1"/>
  <c r="K244" i="17" s="1"/>
  <c r="K236" i="17" a="1"/>
  <c r="K236" i="17" s="1"/>
  <c r="K228" i="17" a="1"/>
  <c r="K228" i="17" s="1"/>
  <c r="K220" i="17" a="1"/>
  <c r="K220" i="17" s="1"/>
  <c r="K212" i="17" a="1"/>
  <c r="K212" i="17" s="1"/>
  <c r="K204" i="17" a="1"/>
  <c r="K204" i="17" s="1"/>
  <c r="K331" i="17" a="1"/>
  <c r="K331" i="17" s="1"/>
  <c r="K269" i="17" a="1"/>
  <c r="K269" i="17" s="1"/>
  <c r="K263" i="17" a="1"/>
  <c r="K263" i="17" s="1"/>
  <c r="K259" i="17" a="1"/>
  <c r="K259" i="17" s="1"/>
  <c r="K253" i="17" a="1"/>
  <c r="K253" i="17" s="1"/>
  <c r="K245" i="17" a="1"/>
  <c r="K245" i="17" s="1"/>
  <c r="K237" i="17" a="1"/>
  <c r="K237" i="17" s="1"/>
  <c r="K229" i="17" a="1"/>
  <c r="K229" i="17" s="1"/>
  <c r="K221" i="17" a="1"/>
  <c r="K221" i="17" s="1"/>
  <c r="K230" i="17" a="1"/>
  <c r="K230" i="17" s="1"/>
  <c r="K222" i="17" a="1"/>
  <c r="K222" i="17" s="1"/>
  <c r="K219" i="17" a="1"/>
  <c r="K219" i="17" s="1"/>
  <c r="K199" i="17" a="1"/>
  <c r="K199" i="17" s="1"/>
  <c r="K239" i="17" a="1"/>
  <c r="K239" i="17" s="1"/>
  <c r="K211" i="17" a="1"/>
  <c r="K211" i="17" s="1"/>
  <c r="K206" i="17" a="1"/>
  <c r="K206" i="17" s="1"/>
  <c r="K200" i="17" a="1"/>
  <c r="K200" i="17" s="1"/>
  <c r="K192" i="17" a="1"/>
  <c r="K192" i="17" s="1"/>
  <c r="K184" i="17" a="1"/>
  <c r="K184" i="17" s="1"/>
  <c r="K238" i="17" a="1"/>
  <c r="K238" i="17" s="1"/>
  <c r="K213" i="17" a="1"/>
  <c r="K213" i="17" s="1"/>
  <c r="K209" i="17" a="1"/>
  <c r="K209" i="17" s="1"/>
  <c r="K201" i="17" a="1"/>
  <c r="K201" i="17" s="1"/>
  <c r="K193" i="17" a="1"/>
  <c r="K193" i="17" s="1"/>
  <c r="K185" i="17" a="1"/>
  <c r="K185" i="17" s="1"/>
  <c r="K247" i="17" a="1"/>
  <c r="K247" i="17" s="1"/>
  <c r="K207" i="17" a="1"/>
  <c r="K207" i="17" s="1"/>
  <c r="K202" i="17" a="1"/>
  <c r="K202" i="17" s="1"/>
  <c r="K194" i="17" a="1"/>
  <c r="K194" i="17" s="1"/>
  <c r="K246" i="17" a="1"/>
  <c r="K246" i="17" s="1"/>
  <c r="K215" i="17" a="1"/>
  <c r="K215" i="17" s="1"/>
  <c r="K203" i="17" a="1"/>
  <c r="K203" i="17" s="1"/>
  <c r="K195" i="17" a="1"/>
  <c r="K195" i="17" s="1"/>
  <c r="K254" i="17" a="1"/>
  <c r="K254" i="17" s="1"/>
  <c r="K223" i="17" a="1"/>
  <c r="K223" i="17" s="1"/>
  <c r="K186" i="17" a="1"/>
  <c r="K186" i="17" s="1"/>
  <c r="K179" i="17" a="1"/>
  <c r="K179" i="17" s="1"/>
  <c r="K172" i="17" a="1"/>
  <c r="K172" i="17" s="1"/>
  <c r="K164" i="17" a="1"/>
  <c r="K164" i="17" s="1"/>
  <c r="K156" i="17" a="1"/>
  <c r="K156" i="17" s="1"/>
  <c r="K148" i="17" a="1"/>
  <c r="K148" i="17" s="1"/>
  <c r="K140" i="17" a="1"/>
  <c r="K140" i="17" s="1"/>
  <c r="K231" i="17" a="1"/>
  <c r="K231" i="17" s="1"/>
  <c r="K197" i="17" a="1"/>
  <c r="K197" i="17" s="1"/>
  <c r="K189" i="17" a="1"/>
  <c r="K189" i="17" s="1"/>
  <c r="K183" i="17" a="1"/>
  <c r="K183" i="17" s="1"/>
  <c r="K173" i="17" a="1"/>
  <c r="K173" i="17" s="1"/>
  <c r="K165" i="17" a="1"/>
  <c r="K165" i="17" s="1"/>
  <c r="K157" i="17" a="1"/>
  <c r="K157" i="17" s="1"/>
  <c r="K149" i="17" a="1"/>
  <c r="K149" i="17" s="1"/>
  <c r="K141" i="17" a="1"/>
  <c r="K141" i="17" s="1"/>
  <c r="K266" i="17" a="1"/>
  <c r="K266" i="17" s="1"/>
  <c r="K180" i="17" a="1"/>
  <c r="K180" i="17" s="1"/>
  <c r="K174" i="17" a="1"/>
  <c r="K174" i="17" s="1"/>
  <c r="K166" i="17" a="1"/>
  <c r="K166" i="17" s="1"/>
  <c r="K158" i="17" a="1"/>
  <c r="K158" i="17" s="1"/>
  <c r="K150" i="17" a="1"/>
  <c r="K150" i="17" s="1"/>
  <c r="K142" i="17" a="1"/>
  <c r="K142" i="17" s="1"/>
  <c r="K196" i="17" a="1"/>
  <c r="K196" i="17" s="1"/>
  <c r="K187" i="17" a="1"/>
  <c r="K187" i="17" s="1"/>
  <c r="K175" i="17" a="1"/>
  <c r="K175" i="17" s="1"/>
  <c r="K167" i="17" a="1"/>
  <c r="K167" i="17" s="1"/>
  <c r="K159" i="17" a="1"/>
  <c r="K159" i="17" s="1"/>
  <c r="K151" i="17" a="1"/>
  <c r="K151" i="17" s="1"/>
  <c r="K143" i="17" a="1"/>
  <c r="K143" i="17" s="1"/>
  <c r="K260" i="17" a="1"/>
  <c r="K260" i="17" s="1"/>
  <c r="K190" i="17" a="1"/>
  <c r="K190" i="17" s="1"/>
  <c r="K181" i="17" a="1"/>
  <c r="K181" i="17" s="1"/>
  <c r="K176" i="17" a="1"/>
  <c r="K176" i="17" s="1"/>
  <c r="K168" i="17" a="1"/>
  <c r="K168" i="17" s="1"/>
  <c r="K160" i="17" a="1"/>
  <c r="K160" i="17" s="1"/>
  <c r="K152" i="17" a="1"/>
  <c r="K152" i="17" s="1"/>
  <c r="K144" i="17" a="1"/>
  <c r="K144" i="17" s="1"/>
  <c r="K136" i="17" a="1"/>
  <c r="K136" i="17" s="1"/>
  <c r="K135" i="17" a="1"/>
  <c r="K135" i="17" s="1"/>
  <c r="K134" i="17" a="1"/>
  <c r="K134" i="17" s="1"/>
  <c r="K255" i="17" a="1"/>
  <c r="K255" i="17" s="1"/>
  <c r="K214" i="17" a="1"/>
  <c r="K214" i="17" s="1"/>
  <c r="K188" i="17" a="1"/>
  <c r="K188" i="17" s="1"/>
  <c r="K182" i="17" a="1"/>
  <c r="K182" i="17" s="1"/>
  <c r="K178" i="17" a="1"/>
  <c r="K178" i="17" s="1"/>
  <c r="K170" i="17" a="1"/>
  <c r="K170" i="17" s="1"/>
  <c r="K162" i="17" a="1"/>
  <c r="K162" i="17" s="1"/>
  <c r="K154" i="17" a="1"/>
  <c r="K154" i="17" s="1"/>
  <c r="K146" i="17" a="1"/>
  <c r="K146" i="17" s="1"/>
  <c r="K138" i="17" a="1"/>
  <c r="K138" i="17" s="1"/>
  <c r="K198" i="17" a="1"/>
  <c r="K198" i="17" s="1"/>
  <c r="K191" i="17" a="1"/>
  <c r="K191" i="17" s="1"/>
  <c r="K171" i="17" a="1"/>
  <c r="K171" i="17" s="1"/>
  <c r="K163" i="17" a="1"/>
  <c r="K163" i="17" s="1"/>
  <c r="K139" i="17" a="1"/>
  <c r="K139" i="17" s="1"/>
  <c r="K133" i="17" a="1"/>
  <c r="K133" i="17" s="1"/>
  <c r="K129" i="17" a="1"/>
  <c r="K129" i="17" s="1"/>
  <c r="K123" i="17" a="1"/>
  <c r="K123" i="17" s="1"/>
  <c r="K115" i="17" a="1"/>
  <c r="K115" i="17" s="1"/>
  <c r="K124" i="17" a="1"/>
  <c r="K124" i="17" s="1"/>
  <c r="K116" i="17" a="1"/>
  <c r="K116" i="17" s="1"/>
  <c r="K108" i="17" a="1"/>
  <c r="K108" i="17" s="1"/>
  <c r="K107" i="17" a="1"/>
  <c r="K107" i="17" s="1"/>
  <c r="K106" i="17" a="1"/>
  <c r="K106" i="17" s="1"/>
  <c r="K105" i="17" a="1"/>
  <c r="K105" i="17" s="1"/>
  <c r="K104" i="17" a="1"/>
  <c r="K104" i="17" s="1"/>
  <c r="K103" i="17" a="1"/>
  <c r="K103" i="17" s="1"/>
  <c r="K102" i="17" a="1"/>
  <c r="K102" i="17" s="1"/>
  <c r="K101" i="17" a="1"/>
  <c r="K101" i="17" s="1"/>
  <c r="K161" i="17" a="1"/>
  <c r="K161" i="17" s="1"/>
  <c r="K147" i="17" a="1"/>
  <c r="K147" i="17" s="1"/>
  <c r="K130" i="17" a="1"/>
  <c r="K130" i="17" s="1"/>
  <c r="K125" i="17" a="1"/>
  <c r="K125" i="17" s="1"/>
  <c r="K117" i="17" a="1"/>
  <c r="K117" i="17" s="1"/>
  <c r="K109" i="17" a="1"/>
  <c r="K109" i="17" s="1"/>
  <c r="K169" i="17" a="1"/>
  <c r="K169" i="17" s="1"/>
  <c r="K137" i="17" a="1"/>
  <c r="K137" i="17" s="1"/>
  <c r="K126" i="17" a="1"/>
  <c r="K126" i="17" s="1"/>
  <c r="K118" i="17" a="1"/>
  <c r="K118" i="17" s="1"/>
  <c r="K110" i="17" a="1"/>
  <c r="K110" i="17" s="1"/>
  <c r="K177" i="17" a="1"/>
  <c r="K177" i="17" s="1"/>
  <c r="K155" i="17" a="1"/>
  <c r="K155" i="17" s="1"/>
  <c r="K131" i="17" a="1"/>
  <c r="K131" i="17" s="1"/>
  <c r="K127" i="17" a="1"/>
  <c r="K127" i="17" s="1"/>
  <c r="K119" i="17" a="1"/>
  <c r="K119" i="17" s="1"/>
  <c r="K111" i="17" a="1"/>
  <c r="K111" i="17" s="1"/>
  <c r="K205" i="17" a="1"/>
  <c r="K205" i="17" s="1"/>
  <c r="K145" i="17" a="1"/>
  <c r="K145" i="17" s="1"/>
  <c r="K120" i="17" a="1"/>
  <c r="K120" i="17" s="1"/>
  <c r="K112" i="17" a="1"/>
  <c r="K112" i="17" s="1"/>
  <c r="K132" i="17" a="1"/>
  <c r="K132" i="17" s="1"/>
  <c r="K128" i="17" a="1"/>
  <c r="K128" i="17" s="1"/>
  <c r="K121" i="17" a="1"/>
  <c r="K121" i="17" s="1"/>
  <c r="K113" i="17" a="1"/>
  <c r="K113" i="17" s="1"/>
  <c r="M11" i="17" a="1"/>
  <c r="M11" i="17" s="1"/>
  <c r="K18" i="17" a="1"/>
  <c r="K18" i="17" s="1"/>
  <c r="M19" i="17" a="1"/>
  <c r="M19" i="17" s="1"/>
  <c r="K26" i="17" a="1"/>
  <c r="K26" i="17" s="1"/>
  <c r="M27" i="17" a="1"/>
  <c r="M27" i="17" s="1"/>
  <c r="K34" i="17" a="1"/>
  <c r="K34" i="17" s="1"/>
  <c r="M35" i="17" a="1"/>
  <c r="M35" i="17" s="1"/>
  <c r="K42" i="17" a="1"/>
  <c r="K42" i="17" s="1"/>
  <c r="M43" i="17" a="1"/>
  <c r="M43" i="17" s="1"/>
  <c r="K50" i="17" a="1"/>
  <c r="K50" i="17" s="1"/>
  <c r="M51" i="17" a="1"/>
  <c r="M51" i="17" s="1"/>
  <c r="M109" i="17" a="1"/>
  <c r="M109" i="17" s="1"/>
  <c r="M148" i="17" a="1"/>
  <c r="M148" i="17" s="1"/>
  <c r="K10" i="17" a="1"/>
  <c r="K10" i="17" s="1"/>
  <c r="K7" i="17" a="1"/>
  <c r="K7" i="17" s="1"/>
  <c r="M8" i="17" a="1"/>
  <c r="M8" i="17" s="1"/>
  <c r="K15" i="17" a="1"/>
  <c r="K15" i="17" s="1"/>
  <c r="M16" i="17" a="1"/>
  <c r="M16" i="17" s="1"/>
  <c r="K23" i="17" a="1"/>
  <c r="K23" i="17" s="1"/>
  <c r="M24" i="17" a="1"/>
  <c r="M24" i="17" s="1"/>
  <c r="K31" i="17" a="1"/>
  <c r="K31" i="17" s="1"/>
  <c r="M32" i="17" a="1"/>
  <c r="M32" i="17" s="1"/>
  <c r="K39" i="17" a="1"/>
  <c r="K39" i="17" s="1"/>
  <c r="M40" i="17" a="1"/>
  <c r="M40" i="17" s="1"/>
  <c r="K47" i="17" a="1"/>
  <c r="K47" i="17" s="1"/>
  <c r="M48" i="17" a="1"/>
  <c r="M48" i="17" s="1"/>
  <c r="K55" i="17" a="1"/>
  <c r="K55" i="17" s="1"/>
  <c r="K57" i="17" a="1"/>
  <c r="K57" i="17" s="1"/>
  <c r="K59" i="17" a="1"/>
  <c r="K59" i="17" s="1"/>
  <c r="K61" i="17" a="1"/>
  <c r="K61" i="17" s="1"/>
  <c r="K63" i="17" a="1"/>
  <c r="K63" i="17" s="1"/>
  <c r="K65" i="17" a="1"/>
  <c r="K65" i="17" s="1"/>
  <c r="K67" i="17" a="1"/>
  <c r="K67" i="17" s="1"/>
  <c r="K69" i="17" a="1"/>
  <c r="K69" i="17" s="1"/>
  <c r="K71" i="17" a="1"/>
  <c r="K71" i="17" s="1"/>
  <c r="K73" i="17" a="1"/>
  <c r="K73" i="17" s="1"/>
  <c r="K75" i="17" a="1"/>
  <c r="K75" i="17" s="1"/>
  <c r="K77" i="17" a="1"/>
  <c r="K77" i="17" s="1"/>
  <c r="K79" i="17" a="1"/>
  <c r="K79" i="17" s="1"/>
  <c r="K81" i="17" a="1"/>
  <c r="K81" i="17" s="1"/>
  <c r="K83" i="17" a="1"/>
  <c r="K83" i="17" s="1"/>
  <c r="K85" i="17" a="1"/>
  <c r="K85" i="17" s="1"/>
  <c r="K87" i="17" a="1"/>
  <c r="K87" i="17" s="1"/>
  <c r="K89" i="17" a="1"/>
  <c r="K89" i="17" s="1"/>
  <c r="K91" i="17" a="1"/>
  <c r="K91" i="17" s="1"/>
  <c r="K93" i="17" a="1"/>
  <c r="K93" i="17" s="1"/>
  <c r="K95" i="17" a="1"/>
  <c r="K95" i="17" s="1"/>
  <c r="K97" i="17" a="1"/>
  <c r="K97" i="17" s="1"/>
  <c r="K99" i="17" a="1"/>
  <c r="K99" i="17" s="1"/>
  <c r="K153" i="17" a="1"/>
  <c r="K153" i="17" s="1"/>
  <c r="M13" i="17" a="1"/>
  <c r="M13" i="17" s="1"/>
  <c r="K20" i="17" a="1"/>
  <c r="K20" i="17" s="1"/>
  <c r="K28" i="17" a="1"/>
  <c r="K28" i="17" s="1"/>
  <c r="M29" i="17" a="1"/>
  <c r="M29" i="17" s="1"/>
  <c r="K36" i="17" a="1"/>
  <c r="K36" i="17" s="1"/>
  <c r="M37" i="17" a="1"/>
  <c r="M37" i="17" s="1"/>
  <c r="K44" i="17" a="1"/>
  <c r="K44" i="17" s="1"/>
  <c r="M45" i="17" a="1"/>
  <c r="M45" i="17" s="1"/>
  <c r="K52" i="17" a="1"/>
  <c r="K52" i="17" s="1"/>
  <c r="M358" i="17" a="1"/>
  <c r="M358" i="17" s="1"/>
  <c r="M357" i="17" a="1"/>
  <c r="M357" i="17" s="1"/>
  <c r="M351" i="17" a="1"/>
  <c r="M351" i="17" s="1"/>
  <c r="M343" i="17" a="1"/>
  <c r="M343" i="17" s="1"/>
  <c r="M335" i="17" a="1"/>
  <c r="M335" i="17" s="1"/>
  <c r="M327" i="17" a="1"/>
  <c r="M327" i="17" s="1"/>
  <c r="M319" i="17" a="1"/>
  <c r="M319" i="17" s="1"/>
  <c r="M311" i="17" a="1"/>
  <c r="M311" i="17" s="1"/>
  <c r="M303" i="17" a="1"/>
  <c r="M303" i="17" s="1"/>
  <c r="M352" i="17" a="1"/>
  <c r="M352" i="17" s="1"/>
  <c r="M344" i="17" a="1"/>
  <c r="M344" i="17" s="1"/>
  <c r="M336" i="17" a="1"/>
  <c r="M336" i="17" s="1"/>
  <c r="M328" i="17" a="1"/>
  <c r="M328" i="17" s="1"/>
  <c r="M320" i="17" a="1"/>
  <c r="M320" i="17" s="1"/>
  <c r="M312" i="17" a="1"/>
  <c r="M312" i="17" s="1"/>
  <c r="M304" i="17" a="1"/>
  <c r="M304" i="17" s="1"/>
  <c r="M296" i="17" a="1"/>
  <c r="M296" i="17" s="1"/>
  <c r="M353" i="17" a="1"/>
  <c r="M353" i="17" s="1"/>
  <c r="M345" i="17" a="1"/>
  <c r="M345" i="17" s="1"/>
  <c r="M337" i="17" a="1"/>
  <c r="M337" i="17" s="1"/>
  <c r="M329" i="17" a="1"/>
  <c r="M329" i="17" s="1"/>
  <c r="M321" i="17" a="1"/>
  <c r="M321" i="17" s="1"/>
  <c r="M313" i="17" a="1"/>
  <c r="M313" i="17" s="1"/>
  <c r="M305" i="17" a="1"/>
  <c r="M305" i="17" s="1"/>
  <c r="M297" i="17" a="1"/>
  <c r="M297" i="17" s="1"/>
  <c r="M289" i="17" a="1"/>
  <c r="M289" i="17" s="1"/>
  <c r="M281" i="17" a="1"/>
  <c r="M281" i="17" s="1"/>
  <c r="M273" i="17" a="1"/>
  <c r="M273" i="17" s="1"/>
  <c r="M272" i="17" a="1"/>
  <c r="M272" i="17" s="1"/>
  <c r="M271" i="17" a="1"/>
  <c r="M271" i="17" s="1"/>
  <c r="M270" i="17" a="1"/>
  <c r="M270" i="17" s="1"/>
  <c r="M269" i="17" a="1"/>
  <c r="M269" i="17" s="1"/>
  <c r="M268" i="17" a="1"/>
  <c r="M268" i="17" s="1"/>
  <c r="M267" i="17" a="1"/>
  <c r="M267" i="17" s="1"/>
  <c r="M354" i="17" a="1"/>
  <c r="M354" i="17" s="1"/>
  <c r="M346" i="17" a="1"/>
  <c r="M346" i="17" s="1"/>
  <c r="M338" i="17" a="1"/>
  <c r="M338" i="17" s="1"/>
  <c r="M330" i="17" a="1"/>
  <c r="M330" i="17" s="1"/>
  <c r="M322" i="17" a="1"/>
  <c r="M322" i="17" s="1"/>
  <c r="M314" i="17" a="1"/>
  <c r="M314" i="17" s="1"/>
  <c r="M306" i="17" a="1"/>
  <c r="M306" i="17" s="1"/>
  <c r="M298" i="17" a="1"/>
  <c r="M298" i="17" s="1"/>
  <c r="M290" i="17" a="1"/>
  <c r="M290" i="17" s="1"/>
  <c r="M355" i="17" a="1"/>
  <c r="M355" i="17" s="1"/>
  <c r="M347" i="17" a="1"/>
  <c r="M347" i="17" s="1"/>
  <c r="M339" i="17" a="1"/>
  <c r="M339" i="17" s="1"/>
  <c r="M331" i="17" a="1"/>
  <c r="M331" i="17" s="1"/>
  <c r="M323" i="17" a="1"/>
  <c r="M323" i="17" s="1"/>
  <c r="M315" i="17" a="1"/>
  <c r="M315" i="17" s="1"/>
  <c r="M307" i="17" a="1"/>
  <c r="M307" i="17" s="1"/>
  <c r="M299" i="17" a="1"/>
  <c r="M299" i="17" s="1"/>
  <c r="M291" i="17" a="1"/>
  <c r="M291" i="17" s="1"/>
  <c r="M283" i="17" a="1"/>
  <c r="M283" i="17" s="1"/>
  <c r="M356" i="17" a="1"/>
  <c r="M356" i="17" s="1"/>
  <c r="M348" i="17" a="1"/>
  <c r="M348" i="17" s="1"/>
  <c r="M340" i="17" a="1"/>
  <c r="M340" i="17" s="1"/>
  <c r="M332" i="17" a="1"/>
  <c r="M332" i="17" s="1"/>
  <c r="M324" i="17" a="1"/>
  <c r="M324" i="17" s="1"/>
  <c r="M316" i="17" a="1"/>
  <c r="M316" i="17" s="1"/>
  <c r="M308" i="17" a="1"/>
  <c r="M308" i="17" s="1"/>
  <c r="M300" i="17" a="1"/>
  <c r="M300" i="17" s="1"/>
  <c r="M292" i="17" a="1"/>
  <c r="M292" i="17" s="1"/>
  <c r="M284" i="17" a="1"/>
  <c r="M284" i="17" s="1"/>
  <c r="M276" i="17" a="1"/>
  <c r="M276" i="17" s="1"/>
  <c r="M349" i="17" a="1"/>
  <c r="M349" i="17" s="1"/>
  <c r="M341" i="17" a="1"/>
  <c r="M341" i="17" s="1"/>
  <c r="M333" i="17" a="1"/>
  <c r="M333" i="17" s="1"/>
  <c r="M325" i="17" a="1"/>
  <c r="M325" i="17" s="1"/>
  <c r="M317" i="17" a="1"/>
  <c r="M317" i="17" s="1"/>
  <c r="M309" i="17" a="1"/>
  <c r="M309" i="17" s="1"/>
  <c r="M301" i="17" a="1"/>
  <c r="M301" i="17" s="1"/>
  <c r="M293" i="17" a="1"/>
  <c r="M293" i="17" s="1"/>
  <c r="M285" i="17" a="1"/>
  <c r="M285" i="17" s="1"/>
  <c r="M277" i="17" a="1"/>
  <c r="M277" i="17" s="1"/>
  <c r="M302" i="17" a="1"/>
  <c r="M302" i="17" s="1"/>
  <c r="M288" i="17" a="1"/>
  <c r="M288" i="17" s="1"/>
  <c r="M310" i="17" a="1"/>
  <c r="M310" i="17" s="1"/>
  <c r="M275" i="17" a="1"/>
  <c r="M275" i="17" s="1"/>
  <c r="M263" i="17" a="1"/>
  <c r="M263" i="17" s="1"/>
  <c r="M318" i="17" a="1"/>
  <c r="M318" i="17" s="1"/>
  <c r="M295" i="17" a="1"/>
  <c r="M295" i="17" s="1"/>
  <c r="M287" i="17" a="1"/>
  <c r="M287" i="17" s="1"/>
  <c r="M326" i="17" a="1"/>
  <c r="M326" i="17" s="1"/>
  <c r="M294" i="17" a="1"/>
  <c r="M294" i="17" s="1"/>
  <c r="M280" i="17" a="1"/>
  <c r="M280" i="17" s="1"/>
  <c r="M278" i="17" a="1"/>
  <c r="M278" i="17" s="1"/>
  <c r="M265" i="17" a="1"/>
  <c r="M265" i="17" s="1"/>
  <c r="M334" i="17" a="1"/>
  <c r="M334" i="17" s="1"/>
  <c r="M282" i="17" a="1"/>
  <c r="M282" i="17" s="1"/>
  <c r="M350" i="17" a="1"/>
  <c r="M350" i="17" s="1"/>
  <c r="M251" i="17" a="1"/>
  <c r="M251" i="17" s="1"/>
  <c r="M243" i="17" a="1"/>
  <c r="M243" i="17" s="1"/>
  <c r="M235" i="17" a="1"/>
  <c r="M235" i="17" s="1"/>
  <c r="M227" i="17" a="1"/>
  <c r="M227" i="17" s="1"/>
  <c r="M219" i="17" a="1"/>
  <c r="M219" i="17" s="1"/>
  <c r="M211" i="17" a="1"/>
  <c r="M211" i="17" s="1"/>
  <c r="M279" i="17" a="1"/>
  <c r="M279" i="17" s="1"/>
  <c r="M274" i="17" a="1"/>
  <c r="M274" i="17" s="1"/>
  <c r="M262" i="17" a="1"/>
  <c r="M262" i="17" s="1"/>
  <c r="M258" i="17" a="1"/>
  <c r="M258" i="17" s="1"/>
  <c r="M252" i="17" a="1"/>
  <c r="M252" i="17" s="1"/>
  <c r="M244" i="17" a="1"/>
  <c r="M244" i="17" s="1"/>
  <c r="M236" i="17" a="1"/>
  <c r="M236" i="17" s="1"/>
  <c r="M228" i="17" a="1"/>
  <c r="M228" i="17" s="1"/>
  <c r="M220" i="17" a="1"/>
  <c r="M220" i="17" s="1"/>
  <c r="M212" i="17" a="1"/>
  <c r="M212" i="17" s="1"/>
  <c r="M342" i="17" a="1"/>
  <c r="M342" i="17" s="1"/>
  <c r="M286" i="17" a="1"/>
  <c r="M286" i="17" s="1"/>
  <c r="M253" i="17" a="1"/>
  <c r="M253" i="17" s="1"/>
  <c r="M245" i="17" a="1"/>
  <c r="M245" i="17" s="1"/>
  <c r="M237" i="17" a="1"/>
  <c r="M237" i="17" s="1"/>
  <c r="M229" i="17" a="1"/>
  <c r="M229" i="17" s="1"/>
  <c r="M221" i="17" a="1"/>
  <c r="M221" i="17" s="1"/>
  <c r="M213" i="17" a="1"/>
  <c r="M213" i="17" s="1"/>
  <c r="M259" i="17" a="1"/>
  <c r="M259" i="17" s="1"/>
  <c r="M254" i="17" a="1"/>
  <c r="M254" i="17" s="1"/>
  <c r="M246" i="17" a="1"/>
  <c r="M246" i="17" s="1"/>
  <c r="M238" i="17" a="1"/>
  <c r="M238" i="17" s="1"/>
  <c r="M230" i="17" a="1"/>
  <c r="M230" i="17" s="1"/>
  <c r="M255" i="17" a="1"/>
  <c r="M255" i="17" s="1"/>
  <c r="M247" i="17" a="1"/>
  <c r="M247" i="17" s="1"/>
  <c r="M239" i="17" a="1"/>
  <c r="M239" i="17" s="1"/>
  <c r="M231" i="17" a="1"/>
  <c r="M231" i="17" s="1"/>
  <c r="M223" i="17" a="1"/>
  <c r="M223" i="17" s="1"/>
  <c r="M215" i="17" a="1"/>
  <c r="M215" i="17" s="1"/>
  <c r="M207" i="17" a="1"/>
  <c r="M207" i="17" s="1"/>
  <c r="M266" i="17" a="1"/>
  <c r="M266" i="17" s="1"/>
  <c r="M260" i="17" a="1"/>
  <c r="M260" i="17" s="1"/>
  <c r="M256" i="17" a="1"/>
  <c r="M256" i="17" s="1"/>
  <c r="M248" i="17" a="1"/>
  <c r="M248" i="17" s="1"/>
  <c r="M240" i="17" a="1"/>
  <c r="M240" i="17" s="1"/>
  <c r="M232" i="17" a="1"/>
  <c r="M232" i="17" s="1"/>
  <c r="M224" i="17" a="1"/>
  <c r="M224" i="17" s="1"/>
  <c r="M216" i="17" a="1"/>
  <c r="M216" i="17" s="1"/>
  <c r="M225" i="17" a="1"/>
  <c r="M225" i="17" s="1"/>
  <c r="M209" i="17" a="1"/>
  <c r="M209" i="17" s="1"/>
  <c r="M195" i="17" a="1"/>
  <c r="M195" i="17" s="1"/>
  <c r="M257" i="17" a="1"/>
  <c r="M257" i="17" s="1"/>
  <c r="M234" i="17" a="1"/>
  <c r="M234" i="17" s="1"/>
  <c r="M203" i="17" a="1"/>
  <c r="M203" i="17" s="1"/>
  <c r="M196" i="17" a="1"/>
  <c r="M196" i="17" s="1"/>
  <c r="M188" i="17" a="1"/>
  <c r="M188" i="17" s="1"/>
  <c r="M233" i="17" a="1"/>
  <c r="M233" i="17" s="1"/>
  <c r="M218" i="17" a="1"/>
  <c r="M218" i="17" s="1"/>
  <c r="M197" i="17" a="1"/>
  <c r="M197" i="17" s="1"/>
  <c r="M189" i="17" a="1"/>
  <c r="M189" i="17" s="1"/>
  <c r="M181" i="17" a="1"/>
  <c r="M181" i="17" s="1"/>
  <c r="M261" i="17" a="1"/>
  <c r="M261" i="17" s="1"/>
  <c r="M242" i="17" a="1"/>
  <c r="M242" i="17" s="1"/>
  <c r="M204" i="17" a="1"/>
  <c r="M204" i="17" s="1"/>
  <c r="M198" i="17" a="1"/>
  <c r="M198" i="17" s="1"/>
  <c r="M241" i="17" a="1"/>
  <c r="M241" i="17" s="1"/>
  <c r="M217" i="17" a="1"/>
  <c r="M217" i="17" s="1"/>
  <c r="M210" i="17" a="1"/>
  <c r="M210" i="17" s="1"/>
  <c r="M208" i="17" a="1"/>
  <c r="M208" i="17" s="1"/>
  <c r="M199" i="17" a="1"/>
  <c r="M199" i="17" s="1"/>
  <c r="M264" i="17" a="1"/>
  <c r="M264" i="17" s="1"/>
  <c r="M249" i="17" a="1"/>
  <c r="M249" i="17" s="1"/>
  <c r="M250" i="17" a="1"/>
  <c r="M250" i="17" s="1"/>
  <c r="M194" i="17" a="1"/>
  <c r="M194" i="17" s="1"/>
  <c r="M190" i="17" a="1"/>
  <c r="M190" i="17" s="1"/>
  <c r="M184" i="17" a="1"/>
  <c r="M184" i="17" s="1"/>
  <c r="M175" i="17" a="1"/>
  <c r="M175" i="17" s="1"/>
  <c r="M167" i="17" a="1"/>
  <c r="M167" i="17" s="1"/>
  <c r="M159" i="17" a="1"/>
  <c r="M159" i="17" s="1"/>
  <c r="M151" i="17" a="1"/>
  <c r="M151" i="17" s="1"/>
  <c r="M143" i="17" a="1"/>
  <c r="M143" i="17" s="1"/>
  <c r="M135" i="17" a="1"/>
  <c r="M135" i="17" s="1"/>
  <c r="M187" i="17" a="1"/>
  <c r="M187" i="17" s="1"/>
  <c r="M176" i="17" a="1"/>
  <c r="M176" i="17" s="1"/>
  <c r="M168" i="17" a="1"/>
  <c r="M168" i="17" s="1"/>
  <c r="M160" i="17" a="1"/>
  <c r="M160" i="17" s="1"/>
  <c r="M152" i="17" a="1"/>
  <c r="M152" i="17" s="1"/>
  <c r="M144" i="17" a="1"/>
  <c r="M144" i="17" s="1"/>
  <c r="M136" i="17" a="1"/>
  <c r="M136" i="17" s="1"/>
  <c r="M206" i="17" a="1"/>
  <c r="M206" i="17" s="1"/>
  <c r="M182" i="17" a="1"/>
  <c r="M182" i="17" s="1"/>
  <c r="M177" i="17" a="1"/>
  <c r="M177" i="17" s="1"/>
  <c r="M169" i="17" a="1"/>
  <c r="M169" i="17" s="1"/>
  <c r="M161" i="17" a="1"/>
  <c r="M161" i="17" s="1"/>
  <c r="M153" i="17" a="1"/>
  <c r="M153" i="17" s="1"/>
  <c r="M145" i="17" a="1"/>
  <c r="M145" i="17" s="1"/>
  <c r="M137" i="17" a="1"/>
  <c r="M137" i="17" s="1"/>
  <c r="M226" i="17" a="1"/>
  <c r="M226" i="17" s="1"/>
  <c r="M205" i="17" a="1"/>
  <c r="M205" i="17" s="1"/>
  <c r="M202" i="17" a="1"/>
  <c r="M202" i="17" s="1"/>
  <c r="M193" i="17" a="1"/>
  <c r="M193" i="17" s="1"/>
  <c r="M191" i="17" a="1"/>
  <c r="M191" i="17" s="1"/>
  <c r="M185" i="17" a="1"/>
  <c r="M185" i="17" s="1"/>
  <c r="M178" i="17" a="1"/>
  <c r="M178" i="17" s="1"/>
  <c r="M170" i="17" a="1"/>
  <c r="M170" i="17" s="1"/>
  <c r="M162" i="17" a="1"/>
  <c r="M162" i="17" s="1"/>
  <c r="M154" i="17" a="1"/>
  <c r="M154" i="17" s="1"/>
  <c r="M146" i="17" a="1"/>
  <c r="M146" i="17" s="1"/>
  <c r="M138" i="17" a="1"/>
  <c r="M138" i="17" s="1"/>
  <c r="M214" i="17" a="1"/>
  <c r="M214" i="17" s="1"/>
  <c r="M171" i="17" a="1"/>
  <c r="M171" i="17" s="1"/>
  <c r="M163" i="17" a="1"/>
  <c r="M163" i="17" s="1"/>
  <c r="M155" i="17" a="1"/>
  <c r="M155" i="17" s="1"/>
  <c r="M147" i="17" a="1"/>
  <c r="M147" i="17" s="1"/>
  <c r="M139" i="17" a="1"/>
  <c r="M139" i="17" s="1"/>
  <c r="M192" i="17" a="1"/>
  <c r="M192" i="17" s="1"/>
  <c r="M186" i="17" a="1"/>
  <c r="M186" i="17" s="1"/>
  <c r="M173" i="17" a="1"/>
  <c r="M173" i="17" s="1"/>
  <c r="M165" i="17" a="1"/>
  <c r="M165" i="17" s="1"/>
  <c r="M157" i="17" a="1"/>
  <c r="M157" i="17" s="1"/>
  <c r="M149" i="17" a="1"/>
  <c r="M149" i="17" s="1"/>
  <c r="M141" i="17" a="1"/>
  <c r="M141" i="17" s="1"/>
  <c r="M200" i="17" a="1"/>
  <c r="M200" i="17" s="1"/>
  <c r="M180" i="17" a="1"/>
  <c r="M180" i="17" s="1"/>
  <c r="M174" i="17" a="1"/>
  <c r="M174" i="17" s="1"/>
  <c r="M166" i="17" a="1"/>
  <c r="M166" i="17" s="1"/>
  <c r="M172" i="17" a="1"/>
  <c r="M172" i="17" s="1"/>
  <c r="M130" i="17" a="1"/>
  <c r="M130" i="17" s="1"/>
  <c r="M126" i="17" a="1"/>
  <c r="M126" i="17" s="1"/>
  <c r="M118" i="17" a="1"/>
  <c r="M118" i="17" s="1"/>
  <c r="M110" i="17" a="1"/>
  <c r="M110" i="17" s="1"/>
  <c r="M156" i="17" a="1"/>
  <c r="M156" i="17" s="1"/>
  <c r="M119" i="17" a="1"/>
  <c r="M119" i="17" s="1"/>
  <c r="M111" i="17" a="1"/>
  <c r="M111" i="17" s="1"/>
  <c r="M222" i="17" a="1"/>
  <c r="M222" i="17" s="1"/>
  <c r="M179" i="17" a="1"/>
  <c r="M179" i="17" s="1"/>
  <c r="M142" i="17" a="1"/>
  <c r="M142" i="17" s="1"/>
  <c r="M134" i="17" a="1"/>
  <c r="M134" i="17" s="1"/>
  <c r="M131" i="17" a="1"/>
  <c r="M131" i="17" s="1"/>
  <c r="M127" i="17" a="1"/>
  <c r="M127" i="17" s="1"/>
  <c r="M120" i="17" a="1"/>
  <c r="M120" i="17" s="1"/>
  <c r="M112" i="17" a="1"/>
  <c r="M112" i="17" s="1"/>
  <c r="M121" i="17" a="1"/>
  <c r="M121" i="17" s="1"/>
  <c r="M113" i="17" a="1"/>
  <c r="M113" i="17" s="1"/>
  <c r="M150" i="17" a="1"/>
  <c r="M150" i="17" s="1"/>
  <c r="M132" i="17" a="1"/>
  <c r="M132" i="17" s="1"/>
  <c r="M128" i="17" a="1"/>
  <c r="M128" i="17" s="1"/>
  <c r="M122" i="17" a="1"/>
  <c r="M122" i="17" s="1"/>
  <c r="M114" i="17" a="1"/>
  <c r="M114" i="17" s="1"/>
  <c r="M140" i="17" a="1"/>
  <c r="M140" i="17" s="1"/>
  <c r="M123" i="17" a="1"/>
  <c r="M123" i="17" s="1"/>
  <c r="M115" i="17" a="1"/>
  <c r="M115" i="17" s="1"/>
  <c r="M107" i="17" a="1"/>
  <c r="M107" i="17" s="1"/>
  <c r="M106" i="17" a="1"/>
  <c r="M106" i="17" s="1"/>
  <c r="M105" i="17" a="1"/>
  <c r="M105" i="17" s="1"/>
  <c r="M104" i="17" a="1"/>
  <c r="M104" i="17" s="1"/>
  <c r="M103" i="17" a="1"/>
  <c r="M103" i="17" s="1"/>
  <c r="M102" i="17" a="1"/>
  <c r="M102" i="17" s="1"/>
  <c r="M101" i="17" a="1"/>
  <c r="M101" i="17" s="1"/>
  <c r="M100" i="17" a="1"/>
  <c r="M100" i="17" s="1"/>
  <c r="M201" i="17" a="1"/>
  <c r="M201" i="17" s="1"/>
  <c r="M158" i="17" a="1"/>
  <c r="M158" i="17" s="1"/>
  <c r="M133" i="17" a="1"/>
  <c r="M133" i="17" s="1"/>
  <c r="M129" i="17" a="1"/>
  <c r="M129" i="17" s="1"/>
  <c r="M124" i="17" a="1"/>
  <c r="M124" i="17" s="1"/>
  <c r="M116" i="17" a="1"/>
  <c r="M116" i="17" s="1"/>
  <c r="M108" i="17" a="1"/>
  <c r="M108" i="17" s="1"/>
  <c r="K12" i="17" a="1"/>
  <c r="K12" i="17" s="1"/>
  <c r="M21" i="17" a="1"/>
  <c r="M21" i="17" s="1"/>
  <c r="K9" i="17" a="1"/>
  <c r="K9" i="17" s="1"/>
  <c r="M10" i="17" a="1"/>
  <c r="M10" i="17" s="1"/>
  <c r="K17" i="17" a="1"/>
  <c r="K17" i="17" s="1"/>
  <c r="M18" i="17" a="1"/>
  <c r="M18" i="17" s="1"/>
  <c r="K25" i="17" a="1"/>
  <c r="K25" i="17" s="1"/>
  <c r="M26" i="17" a="1"/>
  <c r="M26" i="17" s="1"/>
  <c r="K33" i="17" a="1"/>
  <c r="K33" i="17" s="1"/>
  <c r="M34" i="17" a="1"/>
  <c r="M34" i="17" s="1"/>
  <c r="K41" i="17" a="1"/>
  <c r="K41" i="17" s="1"/>
  <c r="M42" i="17" a="1"/>
  <c r="M42" i="17" s="1"/>
  <c r="K49" i="17" a="1"/>
  <c r="K49" i="17" s="1"/>
  <c r="M50" i="17" a="1"/>
  <c r="M50" i="17" s="1"/>
  <c r="M55" i="17" a="1"/>
  <c r="M55" i="17" s="1"/>
  <c r="M57" i="17" a="1"/>
  <c r="M57" i="17" s="1"/>
  <c r="M59" i="17" a="1"/>
  <c r="M59" i="17" s="1"/>
  <c r="M61" i="17" a="1"/>
  <c r="M61" i="17" s="1"/>
  <c r="M63" i="17" a="1"/>
  <c r="M63" i="17" s="1"/>
  <c r="M65" i="17" a="1"/>
  <c r="M65" i="17" s="1"/>
  <c r="M67" i="17" a="1"/>
  <c r="M67" i="17" s="1"/>
  <c r="M69" i="17" a="1"/>
  <c r="M69" i="17" s="1"/>
  <c r="M71" i="17" a="1"/>
  <c r="M71" i="17" s="1"/>
  <c r="M73" i="17" a="1"/>
  <c r="M73" i="17" s="1"/>
  <c r="M75" i="17" a="1"/>
  <c r="M75" i="17" s="1"/>
  <c r="M77" i="17" a="1"/>
  <c r="M77" i="17" s="1"/>
  <c r="M79" i="17" a="1"/>
  <c r="M79" i="17" s="1"/>
  <c r="M81" i="17" a="1"/>
  <c r="M81" i="17" s="1"/>
  <c r="M83" i="17" a="1"/>
  <c r="M83" i="17" s="1"/>
  <c r="M85" i="17" a="1"/>
  <c r="M85" i="17" s="1"/>
  <c r="M87" i="17" a="1"/>
  <c r="M87" i="17" s="1"/>
  <c r="M89" i="17" a="1"/>
  <c r="M89" i="17" s="1"/>
  <c r="M91" i="17" a="1"/>
  <c r="M91" i="17" s="1"/>
  <c r="M93" i="17" a="1"/>
  <c r="M93" i="17" s="1"/>
  <c r="M95" i="17" a="1"/>
  <c r="M95" i="17" s="1"/>
  <c r="M97" i="17" a="1"/>
  <c r="M97" i="17" s="1"/>
  <c r="M99" i="17" a="1"/>
  <c r="M99" i="17" s="1"/>
  <c r="K122" i="17" a="1"/>
  <c r="K122" i="17" s="1"/>
  <c r="M164" i="17" a="1"/>
  <c r="M164" i="17" s="1"/>
  <c r="M15" i="17" a="1"/>
  <c r="M15" i="17" s="1"/>
  <c r="K22" i="17" a="1"/>
  <c r="K22" i="17" s="1"/>
  <c r="M23" i="17" a="1"/>
  <c r="M23" i="17" s="1"/>
  <c r="K30" i="17" a="1"/>
  <c r="K30" i="17" s="1"/>
  <c r="M31" i="17" a="1"/>
  <c r="M31" i="17" s="1"/>
  <c r="K38" i="17" a="1"/>
  <c r="K38" i="17" s="1"/>
  <c r="M39" i="17" a="1"/>
  <c r="M39" i="17" s="1"/>
  <c r="K46" i="17" a="1"/>
  <c r="K46" i="17" s="1"/>
  <c r="M47" i="17" a="1"/>
  <c r="M47" i="17" s="1"/>
  <c r="K54" i="17" a="1"/>
  <c r="K54" i="17" s="1"/>
  <c r="K114" i="17" a="1"/>
  <c r="K114" i="17" s="1"/>
  <c r="K11" i="17" a="1"/>
  <c r="K11" i="17" s="1"/>
  <c r="M12" i="17" a="1"/>
  <c r="M12" i="17" s="1"/>
  <c r="K19" i="17" a="1"/>
  <c r="K19" i="17" s="1"/>
  <c r="M20" i="17" a="1"/>
  <c r="M20" i="17" s="1"/>
  <c r="K27" i="17" a="1"/>
  <c r="K27" i="17" s="1"/>
  <c r="M28" i="17" a="1"/>
  <c r="M28" i="17" s="1"/>
  <c r="K35" i="17" a="1"/>
  <c r="K35" i="17" s="1"/>
  <c r="M36" i="17" a="1"/>
  <c r="M36" i="17" s="1"/>
  <c r="K43" i="17" a="1"/>
  <c r="K43" i="17" s="1"/>
  <c r="M44" i="17" a="1"/>
  <c r="M44" i="17" s="1"/>
  <c r="K51" i="17" a="1"/>
  <c r="K51" i="17" s="1"/>
  <c r="M52" i="17" a="1"/>
  <c r="M52" i="17" s="1"/>
  <c r="K56" i="17" a="1"/>
  <c r="K56" i="17" s="1"/>
  <c r="K58" i="17" a="1"/>
  <c r="K58" i="17" s="1"/>
  <c r="K60" i="17" a="1"/>
  <c r="K60" i="17" s="1"/>
  <c r="K62" i="17" a="1"/>
  <c r="K62" i="17" s="1"/>
  <c r="K64" i="17" a="1"/>
  <c r="K64" i="17" s="1"/>
  <c r="K66" i="17" a="1"/>
  <c r="K66" i="17" s="1"/>
  <c r="K68" i="17" a="1"/>
  <c r="K68" i="17" s="1"/>
  <c r="K70" i="17" a="1"/>
  <c r="K70" i="17" s="1"/>
  <c r="K72" i="17" a="1"/>
  <c r="K72" i="17" s="1"/>
  <c r="K74" i="17" a="1"/>
  <c r="K74" i="17" s="1"/>
  <c r="K76" i="17" a="1"/>
  <c r="K76" i="17" s="1"/>
  <c r="K78" i="17" a="1"/>
  <c r="K78" i="17" s="1"/>
  <c r="K80" i="17" a="1"/>
  <c r="K80" i="17" s="1"/>
  <c r="K82" i="17" a="1"/>
  <c r="K82" i="17" s="1"/>
  <c r="K84" i="17" a="1"/>
  <c r="K84" i="17" s="1"/>
  <c r="K86" i="17" a="1"/>
  <c r="K86" i="17" s="1"/>
  <c r="K88" i="17" a="1"/>
  <c r="K88" i="17" s="1"/>
  <c r="K90" i="17" a="1"/>
  <c r="K90" i="17" s="1"/>
  <c r="K92" i="17" a="1"/>
  <c r="K92" i="17" s="1"/>
  <c r="K94" i="17" a="1"/>
  <c r="K94" i="17" s="1"/>
  <c r="K96" i="17" a="1"/>
  <c r="K96" i="17" s="1"/>
  <c r="K98" i="17" a="1"/>
  <c r="K98" i="17" s="1"/>
  <c r="K100" i="17" a="1"/>
  <c r="K100" i="17" s="1"/>
  <c r="M183" i="17" a="1"/>
  <c r="M183" i="17" s="1"/>
  <c r="M17" i="17" a="1"/>
  <c r="M17" i="17" s="1"/>
  <c r="K24" i="17" a="1"/>
  <c r="K24" i="17" s="1"/>
  <c r="M25" i="17" a="1"/>
  <c r="M25" i="17" s="1"/>
  <c r="K32" i="17" a="1"/>
  <c r="K32" i="17" s="1"/>
  <c r="M33" i="17" a="1"/>
  <c r="M33" i="17" s="1"/>
  <c r="K40" i="17" a="1"/>
  <c r="K40" i="17" s="1"/>
  <c r="M41" i="17" a="1"/>
  <c r="M41" i="17" s="1"/>
  <c r="K48" i="17" a="1"/>
  <c r="K48" i="17" s="1"/>
  <c r="M49" i="17" a="1"/>
  <c r="M49" i="17" s="1"/>
  <c r="M125" i="17" a="1"/>
  <c r="M125" i="17" s="1"/>
  <c r="N110" i="17" a="1"/>
  <c r="N110" i="17" s="1"/>
  <c r="L115" i="17" a="1"/>
  <c r="L115" i="17" s="1"/>
  <c r="N118" i="17" a="1"/>
  <c r="N118" i="17" s="1"/>
  <c r="L123" i="17" a="1"/>
  <c r="L123" i="17" s="1"/>
  <c r="N126" i="17" a="1"/>
  <c r="N126" i="17" s="1"/>
  <c r="N130" i="17" a="1"/>
  <c r="N130" i="17" s="1"/>
  <c r="L140" i="17" a="1"/>
  <c r="L140" i="17" s="1"/>
  <c r="N144" i="17" a="1"/>
  <c r="N144" i="17" s="1"/>
  <c r="N174" i="17" a="1"/>
  <c r="N174" i="17" s="1"/>
  <c r="L185" i="17" a="1"/>
  <c r="L185" i="17" s="1"/>
  <c r="N109" i="17" a="1"/>
  <c r="N109" i="17" s="1"/>
  <c r="L114" i="17" a="1"/>
  <c r="L114" i="17" s="1"/>
  <c r="N117" i="17" a="1"/>
  <c r="N117" i="17" s="1"/>
  <c r="L122" i="17" a="1"/>
  <c r="L122" i="17" s="1"/>
  <c r="N125" i="17" a="1"/>
  <c r="N125" i="17" s="1"/>
  <c r="N158" i="17" a="1"/>
  <c r="N158" i="17" s="1"/>
  <c r="N166" i="17" a="1"/>
  <c r="N166" i="17" s="1"/>
  <c r="L358" i="17" a="1"/>
  <c r="L358" i="17" s="1"/>
  <c r="L357" i="17" a="1"/>
  <c r="L357" i="17" s="1"/>
  <c r="L349" i="17" a="1"/>
  <c r="L349" i="17" s="1"/>
  <c r="L341" i="17" a="1"/>
  <c r="L341" i="17" s="1"/>
  <c r="L333" i="17" a="1"/>
  <c r="L333" i="17" s="1"/>
  <c r="L325" i="17" a="1"/>
  <c r="L325" i="17" s="1"/>
  <c r="L317" i="17" a="1"/>
  <c r="L317" i="17" s="1"/>
  <c r="L309" i="17" a="1"/>
  <c r="L309" i="17" s="1"/>
  <c r="L301" i="17" a="1"/>
  <c r="L301" i="17" s="1"/>
  <c r="L350" i="17" a="1"/>
  <c r="L350" i="17" s="1"/>
  <c r="L342" i="17" a="1"/>
  <c r="L342" i="17" s="1"/>
  <c r="L334" i="17" a="1"/>
  <c r="L334" i="17" s="1"/>
  <c r="L326" i="17" a="1"/>
  <c r="L326" i="17" s="1"/>
  <c r="L318" i="17" a="1"/>
  <c r="L318" i="17" s="1"/>
  <c r="L310" i="17" a="1"/>
  <c r="L310" i="17" s="1"/>
  <c r="L302" i="17" a="1"/>
  <c r="L302" i="17" s="1"/>
  <c r="L294" i="17" a="1"/>
  <c r="L294" i="17" s="1"/>
  <c r="L351" i="17" a="1"/>
  <c r="L351" i="17" s="1"/>
  <c r="L343" i="17" a="1"/>
  <c r="L343" i="17" s="1"/>
  <c r="L335" i="17" a="1"/>
  <c r="L335" i="17" s="1"/>
  <c r="L327" i="17" a="1"/>
  <c r="L327" i="17" s="1"/>
  <c r="L319" i="17" a="1"/>
  <c r="L319" i="17" s="1"/>
  <c r="L311" i="17" a="1"/>
  <c r="L311" i="17" s="1"/>
  <c r="L303" i="17" a="1"/>
  <c r="L303" i="17" s="1"/>
  <c r="L295" i="17" a="1"/>
  <c r="L295" i="17" s="1"/>
  <c r="L287" i="17" a="1"/>
  <c r="L287" i="17" s="1"/>
  <c r="L279" i="17" a="1"/>
  <c r="L279" i="17" s="1"/>
  <c r="L352" i="17" a="1"/>
  <c r="L352" i="17" s="1"/>
  <c r="L344" i="17" a="1"/>
  <c r="L344" i="17" s="1"/>
  <c r="L336" i="17" a="1"/>
  <c r="L336" i="17" s="1"/>
  <c r="L328" i="17" a="1"/>
  <c r="L328" i="17" s="1"/>
  <c r="L320" i="17" a="1"/>
  <c r="L320" i="17" s="1"/>
  <c r="L312" i="17" a="1"/>
  <c r="L312" i="17" s="1"/>
  <c r="L304" i="17" a="1"/>
  <c r="L304" i="17" s="1"/>
  <c r="L296" i="17" a="1"/>
  <c r="L296" i="17" s="1"/>
  <c r="L288" i="17" a="1"/>
  <c r="L288" i="17" s="1"/>
  <c r="L353" i="17" a="1"/>
  <c r="L353" i="17" s="1"/>
  <c r="L345" i="17" a="1"/>
  <c r="L345" i="17" s="1"/>
  <c r="L337" i="17" a="1"/>
  <c r="L337" i="17" s="1"/>
  <c r="L329" i="17" a="1"/>
  <c r="L329" i="17" s="1"/>
  <c r="L321" i="17" a="1"/>
  <c r="L321" i="17" s="1"/>
  <c r="L313" i="17" a="1"/>
  <c r="L313" i="17" s="1"/>
  <c r="L305" i="17" a="1"/>
  <c r="L305" i="17" s="1"/>
  <c r="L297" i="17" a="1"/>
  <c r="L297" i="17" s="1"/>
  <c r="L289" i="17" a="1"/>
  <c r="L289" i="17" s="1"/>
  <c r="L281" i="17" a="1"/>
  <c r="L281" i="17" s="1"/>
  <c r="L354" i="17" a="1"/>
  <c r="L354" i="17" s="1"/>
  <c r="L346" i="17" a="1"/>
  <c r="L346" i="17" s="1"/>
  <c r="L338" i="17" a="1"/>
  <c r="L338" i="17" s="1"/>
  <c r="L330" i="17" a="1"/>
  <c r="L330" i="17" s="1"/>
  <c r="L322" i="17" a="1"/>
  <c r="L322" i="17" s="1"/>
  <c r="L314" i="17" a="1"/>
  <c r="L314" i="17" s="1"/>
  <c r="L306" i="17" a="1"/>
  <c r="L306" i="17" s="1"/>
  <c r="L298" i="17" a="1"/>
  <c r="L298" i="17" s="1"/>
  <c r="L290" i="17" a="1"/>
  <c r="L290" i="17" s="1"/>
  <c r="L282" i="17" a="1"/>
  <c r="L282" i="17" s="1"/>
  <c r="L274" i="17" a="1"/>
  <c r="L274" i="17" s="1"/>
  <c r="L355" i="17" a="1"/>
  <c r="L355" i="17" s="1"/>
  <c r="L347" i="17" a="1"/>
  <c r="L347" i="17" s="1"/>
  <c r="L339" i="17" a="1"/>
  <c r="L339" i="17" s="1"/>
  <c r="L331" i="17" a="1"/>
  <c r="L331" i="17" s="1"/>
  <c r="L323" i="17" a="1"/>
  <c r="L323" i="17" s="1"/>
  <c r="L315" i="17" a="1"/>
  <c r="L315" i="17" s="1"/>
  <c r="L307" i="17" a="1"/>
  <c r="L307" i="17" s="1"/>
  <c r="L299" i="17" a="1"/>
  <c r="L299" i="17" s="1"/>
  <c r="L291" i="17" a="1"/>
  <c r="L291" i="17" s="1"/>
  <c r="L283" i="17" a="1"/>
  <c r="L283" i="17" s="1"/>
  <c r="L275" i="17" a="1"/>
  <c r="L275" i="17" s="1"/>
  <c r="L348" i="17" a="1"/>
  <c r="L348" i="17" s="1"/>
  <c r="L356" i="17" a="1"/>
  <c r="L356" i="17" s="1"/>
  <c r="L277" i="17" a="1"/>
  <c r="L277" i="17" s="1"/>
  <c r="L272" i="17" a="1"/>
  <c r="L272" i="17" s="1"/>
  <c r="L268" i="17" a="1"/>
  <c r="L268" i="17" s="1"/>
  <c r="L300" i="17" a="1"/>
  <c r="L300" i="17" s="1"/>
  <c r="L285" i="17" a="1"/>
  <c r="L285" i="17" s="1"/>
  <c r="L308" i="17" a="1"/>
  <c r="L308" i="17" s="1"/>
  <c r="L273" i="17" a="1"/>
  <c r="L273" i="17" s="1"/>
  <c r="L269" i="17" a="1"/>
  <c r="L269" i="17" s="1"/>
  <c r="L263" i="17" a="1"/>
  <c r="L263" i="17" s="1"/>
  <c r="L316" i="17" a="1"/>
  <c r="L316" i="17" s="1"/>
  <c r="L280" i="17" a="1"/>
  <c r="L280" i="17" s="1"/>
  <c r="L332" i="17" a="1"/>
  <c r="L332" i="17" s="1"/>
  <c r="L293" i="17" a="1"/>
  <c r="L293" i="17" s="1"/>
  <c r="L266" i="17" a="1"/>
  <c r="L266" i="17" s="1"/>
  <c r="L271" i="17" a="1"/>
  <c r="L271" i="17" s="1"/>
  <c r="L261" i="17" a="1"/>
  <c r="L261" i="17" s="1"/>
  <c r="L257" i="17" a="1"/>
  <c r="L257" i="17" s="1"/>
  <c r="L249" i="17" a="1"/>
  <c r="L249" i="17" s="1"/>
  <c r="L241" i="17" a="1"/>
  <c r="L241" i="17" s="1"/>
  <c r="L233" i="17" a="1"/>
  <c r="L233" i="17" s="1"/>
  <c r="L225" i="17" a="1"/>
  <c r="L225" i="17" s="1"/>
  <c r="L217" i="17" a="1"/>
  <c r="L217" i="17" s="1"/>
  <c r="L209" i="17" a="1"/>
  <c r="L209" i="17" s="1"/>
  <c r="L250" i="17" a="1"/>
  <c r="L250" i="17" s="1"/>
  <c r="L242" i="17" a="1"/>
  <c r="L242" i="17" s="1"/>
  <c r="L234" i="17" a="1"/>
  <c r="L234" i="17" s="1"/>
  <c r="L226" i="17" a="1"/>
  <c r="L226" i="17" s="1"/>
  <c r="L218" i="17" a="1"/>
  <c r="L218" i="17" s="1"/>
  <c r="L270" i="17" a="1"/>
  <c r="L270" i="17" s="1"/>
  <c r="L262" i="17" a="1"/>
  <c r="L262" i="17" s="1"/>
  <c r="L258" i="17" a="1"/>
  <c r="L258" i="17" s="1"/>
  <c r="L251" i="17" a="1"/>
  <c r="L251" i="17" s="1"/>
  <c r="L243" i="17" a="1"/>
  <c r="L243" i="17" s="1"/>
  <c r="L235" i="17" a="1"/>
  <c r="L235" i="17" s="1"/>
  <c r="L227" i="17" a="1"/>
  <c r="L227" i="17" s="1"/>
  <c r="L219" i="17" a="1"/>
  <c r="L219" i="17" s="1"/>
  <c r="L211" i="17" a="1"/>
  <c r="L211" i="17" s="1"/>
  <c r="L340" i="17" a="1"/>
  <c r="L340" i="17" s="1"/>
  <c r="L286" i="17" a="1"/>
  <c r="L286" i="17" s="1"/>
  <c r="L278" i="17" a="1"/>
  <c r="L278" i="17" s="1"/>
  <c r="L267" i="17" a="1"/>
  <c r="L267" i="17" s="1"/>
  <c r="L265" i="17" a="1"/>
  <c r="L265" i="17" s="1"/>
  <c r="L252" i="17" a="1"/>
  <c r="L252" i="17" s="1"/>
  <c r="L244" i="17" a="1"/>
  <c r="L244" i="17" s="1"/>
  <c r="L236" i="17" a="1"/>
  <c r="L236" i="17" s="1"/>
  <c r="L228" i="17" a="1"/>
  <c r="L228" i="17" s="1"/>
  <c r="L284" i="17" a="1"/>
  <c r="L284" i="17" s="1"/>
  <c r="L259" i="17" a="1"/>
  <c r="L259" i="17" s="1"/>
  <c r="L253" i="17" a="1"/>
  <c r="L253" i="17" s="1"/>
  <c r="L245" i="17" a="1"/>
  <c r="L245" i="17" s="1"/>
  <c r="L237" i="17" a="1"/>
  <c r="L237" i="17" s="1"/>
  <c r="L229" i="17" a="1"/>
  <c r="L229" i="17" s="1"/>
  <c r="L221" i="17" a="1"/>
  <c r="L221" i="17" s="1"/>
  <c r="L213" i="17" a="1"/>
  <c r="L213" i="17" s="1"/>
  <c r="L205" i="17" a="1"/>
  <c r="L205" i="17" s="1"/>
  <c r="L254" i="17" a="1"/>
  <c r="L254" i="17" s="1"/>
  <c r="L246" i="17" a="1"/>
  <c r="L246" i="17" s="1"/>
  <c r="L238" i="17" a="1"/>
  <c r="L238" i="17" s="1"/>
  <c r="L230" i="17" a="1"/>
  <c r="L230" i="17" s="1"/>
  <c r="L222" i="17" a="1"/>
  <c r="L222" i="17" s="1"/>
  <c r="L324" i="17" a="1"/>
  <c r="L324" i="17" s="1"/>
  <c r="L239" i="17" a="1"/>
  <c r="L239" i="17" s="1"/>
  <c r="L216" i="17" a="1"/>
  <c r="L216" i="17" s="1"/>
  <c r="L206" i="17" a="1"/>
  <c r="L206" i="17" s="1"/>
  <c r="L201" i="17" a="1"/>
  <c r="L201" i="17" s="1"/>
  <c r="L193" i="17" a="1"/>
  <c r="L193" i="17" s="1"/>
  <c r="L248" i="17" a="1"/>
  <c r="L248" i="17" s="1"/>
  <c r="L202" i="17" a="1"/>
  <c r="L202" i="17" s="1"/>
  <c r="L194" i="17" a="1"/>
  <c r="L194" i="17" s="1"/>
  <c r="L186" i="17" a="1"/>
  <c r="L186" i="17" s="1"/>
  <c r="L247" i="17" a="1"/>
  <c r="L247" i="17" s="1"/>
  <c r="L207" i="17" a="1"/>
  <c r="L207" i="17" s="1"/>
  <c r="L195" i="17" a="1"/>
  <c r="L195" i="17" s="1"/>
  <c r="L187" i="17" a="1"/>
  <c r="L187" i="17" s="1"/>
  <c r="L179" i="17" a="1"/>
  <c r="L179" i="17" s="1"/>
  <c r="L292" i="17" a="1"/>
  <c r="L292" i="17" s="1"/>
  <c r="L256" i="17" a="1"/>
  <c r="L256" i="17" s="1"/>
  <c r="L224" i="17" a="1"/>
  <c r="L224" i="17" s="1"/>
  <c r="L215" i="17" a="1"/>
  <c r="L215" i="17" s="1"/>
  <c r="L203" i="17" a="1"/>
  <c r="L203" i="17" s="1"/>
  <c r="L196" i="17" a="1"/>
  <c r="L196" i="17" s="1"/>
  <c r="L260" i="17" a="1"/>
  <c r="L260" i="17" s="1"/>
  <c r="L255" i="17" a="1"/>
  <c r="L255" i="17" s="1"/>
  <c r="L197" i="17" a="1"/>
  <c r="L197" i="17" s="1"/>
  <c r="L276" i="17" a="1"/>
  <c r="L276" i="17" s="1"/>
  <c r="L231" i="17" a="1"/>
  <c r="L231" i="17" s="1"/>
  <c r="L232" i="17" a="1"/>
  <c r="L232" i="17" s="1"/>
  <c r="L192" i="17" a="1"/>
  <c r="L192" i="17" s="1"/>
  <c r="L180" i="17" a="1"/>
  <c r="L180" i="17" s="1"/>
  <c r="L173" i="17" a="1"/>
  <c r="L173" i="17" s="1"/>
  <c r="L165" i="17" a="1"/>
  <c r="L165" i="17" s="1"/>
  <c r="L157" i="17" a="1"/>
  <c r="L157" i="17" s="1"/>
  <c r="L149" i="17" a="1"/>
  <c r="L149" i="17" s="1"/>
  <c r="L141" i="17" a="1"/>
  <c r="L141" i="17" s="1"/>
  <c r="L200" i="17" a="1"/>
  <c r="L200" i="17" s="1"/>
  <c r="L174" i="17" a="1"/>
  <c r="L174" i="17" s="1"/>
  <c r="L166" i="17" a="1"/>
  <c r="L166" i="17" s="1"/>
  <c r="L158" i="17" a="1"/>
  <c r="L158" i="17" s="1"/>
  <c r="L150" i="17" a="1"/>
  <c r="L150" i="17" s="1"/>
  <c r="L142" i="17" a="1"/>
  <c r="L142" i="17" s="1"/>
  <c r="L210" i="17" a="1"/>
  <c r="L210" i="17" s="1"/>
  <c r="L190" i="17" a="1"/>
  <c r="L190" i="17" s="1"/>
  <c r="L184" i="17" a="1"/>
  <c r="L184" i="17" s="1"/>
  <c r="L181" i="17" a="1"/>
  <c r="L181" i="17" s="1"/>
  <c r="L175" i="17" a="1"/>
  <c r="L175" i="17" s="1"/>
  <c r="L167" i="17" a="1"/>
  <c r="L167" i="17" s="1"/>
  <c r="L159" i="17" a="1"/>
  <c r="L159" i="17" s="1"/>
  <c r="L151" i="17" a="1"/>
  <c r="L151" i="17" s="1"/>
  <c r="L143" i="17" a="1"/>
  <c r="L143" i="17" s="1"/>
  <c r="L135" i="17" a="1"/>
  <c r="L135" i="17" s="1"/>
  <c r="L134" i="17" a="1"/>
  <c r="L134" i="17" s="1"/>
  <c r="L133" i="17" a="1"/>
  <c r="L133" i="17" s="1"/>
  <c r="L132" i="17" a="1"/>
  <c r="L132" i="17" s="1"/>
  <c r="L131" i="17" a="1"/>
  <c r="L131" i="17" s="1"/>
  <c r="L130" i="17" a="1"/>
  <c r="L130" i="17" s="1"/>
  <c r="L129" i="17" a="1"/>
  <c r="L129" i="17" s="1"/>
  <c r="L128" i="17" a="1"/>
  <c r="L128" i="17" s="1"/>
  <c r="L127" i="17" a="1"/>
  <c r="L127" i="17" s="1"/>
  <c r="L264" i="17" a="1"/>
  <c r="L264" i="17" s="1"/>
  <c r="L199" i="17" a="1"/>
  <c r="L199" i="17" s="1"/>
  <c r="L176" i="17" a="1"/>
  <c r="L176" i="17" s="1"/>
  <c r="L168" i="17" a="1"/>
  <c r="L168" i="17" s="1"/>
  <c r="L160" i="17" a="1"/>
  <c r="L160" i="17" s="1"/>
  <c r="L152" i="17" a="1"/>
  <c r="L152" i="17" s="1"/>
  <c r="L144" i="17" a="1"/>
  <c r="L144" i="17" s="1"/>
  <c r="L136" i="17" a="1"/>
  <c r="L136" i="17" s="1"/>
  <c r="L223" i="17" a="1"/>
  <c r="L223" i="17" s="1"/>
  <c r="L188" i="17" a="1"/>
  <c r="L188" i="17" s="1"/>
  <c r="L182" i="17" a="1"/>
  <c r="L182" i="17" s="1"/>
  <c r="L177" i="17" a="1"/>
  <c r="L177" i="17" s="1"/>
  <c r="L169" i="17" a="1"/>
  <c r="L169" i="17" s="1"/>
  <c r="L161" i="17" a="1"/>
  <c r="L161" i="17" s="1"/>
  <c r="L153" i="17" a="1"/>
  <c r="L153" i="17" s="1"/>
  <c r="L145" i="17" a="1"/>
  <c r="L145" i="17" s="1"/>
  <c r="L137" i="17" a="1"/>
  <c r="L137" i="17" s="1"/>
  <c r="L220" i="17" a="1"/>
  <c r="L220" i="17" s="1"/>
  <c r="L208" i="17" a="1"/>
  <c r="L208" i="17" s="1"/>
  <c r="L204" i="17" a="1"/>
  <c r="L204" i="17" s="1"/>
  <c r="L171" i="17" a="1"/>
  <c r="L171" i="17" s="1"/>
  <c r="L163" i="17" a="1"/>
  <c r="L163" i="17" s="1"/>
  <c r="L155" i="17" a="1"/>
  <c r="L155" i="17" s="1"/>
  <c r="L147" i="17" a="1"/>
  <c r="L147" i="17" s="1"/>
  <c r="L139" i="17" a="1"/>
  <c r="L139" i="17" s="1"/>
  <c r="L212" i="17" a="1"/>
  <c r="L212" i="17" s="1"/>
  <c r="L189" i="17" a="1"/>
  <c r="L189" i="17" s="1"/>
  <c r="L183" i="17" a="1"/>
  <c r="L183" i="17" s="1"/>
  <c r="L172" i="17" a="1"/>
  <c r="L172" i="17" s="1"/>
  <c r="L164" i="17" a="1"/>
  <c r="L164" i="17" s="1"/>
  <c r="N108" i="17" a="1"/>
  <c r="N108" i="17" s="1"/>
  <c r="L113" i="17" a="1"/>
  <c r="L113" i="17" s="1"/>
  <c r="N116" i="17" a="1"/>
  <c r="N116" i="17" s="1"/>
  <c r="L121" i="17" a="1"/>
  <c r="L121" i="17" s="1"/>
  <c r="N124" i="17" a="1"/>
  <c r="N124" i="17" s="1"/>
  <c r="N129" i="17" a="1"/>
  <c r="N129" i="17" s="1"/>
  <c r="N136" i="17" a="1"/>
  <c r="N136" i="17" s="1"/>
  <c r="N100" i="17" a="1"/>
  <c r="N100" i="17" s="1"/>
  <c r="N101" i="17" a="1"/>
  <c r="N101" i="17" s="1"/>
  <c r="N102" i="17" a="1"/>
  <c r="N102" i="17" s="1"/>
  <c r="N103" i="17" a="1"/>
  <c r="N103" i="17" s="1"/>
  <c r="N104" i="17" a="1"/>
  <c r="N104" i="17" s="1"/>
  <c r="N105" i="17" a="1"/>
  <c r="N105" i="17" s="1"/>
  <c r="N106" i="17" a="1"/>
  <c r="N106" i="17" s="1"/>
  <c r="N107" i="17" a="1"/>
  <c r="N107" i="17" s="1"/>
  <c r="L112" i="17" a="1"/>
  <c r="L112" i="17" s="1"/>
  <c r="N115" i="17" a="1"/>
  <c r="N115" i="17" s="1"/>
  <c r="L120" i="17" a="1"/>
  <c r="L120" i="17" s="1"/>
  <c r="N123" i="17" a="1"/>
  <c r="N123" i="17" s="1"/>
  <c r="L146" i="17" a="1"/>
  <c r="L146" i="17" s="1"/>
  <c r="N150" i="17" a="1"/>
  <c r="N150" i="17" s="1"/>
  <c r="L178" i="17" a="1"/>
  <c r="L178" i="17" s="1"/>
  <c r="L214" i="17" a="1"/>
  <c r="L214" i="17" s="1"/>
  <c r="N353" i="17" a="1"/>
  <c r="N353" i="17" s="1"/>
  <c r="N345" i="17" a="1"/>
  <c r="N345" i="17" s="1"/>
  <c r="N337" i="17" a="1"/>
  <c r="N337" i="17" s="1"/>
  <c r="N329" i="17" a="1"/>
  <c r="N329" i="17" s="1"/>
  <c r="N321" i="17" a="1"/>
  <c r="N321" i="17" s="1"/>
  <c r="N313" i="17" a="1"/>
  <c r="N313" i="17" s="1"/>
  <c r="N305" i="17" a="1"/>
  <c r="N305" i="17" s="1"/>
  <c r="N358" i="17" a="1"/>
  <c r="N358" i="17" s="1"/>
  <c r="N354" i="17" a="1"/>
  <c r="N354" i="17" s="1"/>
  <c r="N346" i="17" a="1"/>
  <c r="N346" i="17" s="1"/>
  <c r="N338" i="17" a="1"/>
  <c r="N338" i="17" s="1"/>
  <c r="N330" i="17" a="1"/>
  <c r="N330" i="17" s="1"/>
  <c r="N322" i="17" a="1"/>
  <c r="N322" i="17" s="1"/>
  <c r="N314" i="17" a="1"/>
  <c r="N314" i="17" s="1"/>
  <c r="N306" i="17" a="1"/>
  <c r="N306" i="17" s="1"/>
  <c r="N298" i="17" a="1"/>
  <c r="N298" i="17" s="1"/>
  <c r="N290" i="17" a="1"/>
  <c r="N290" i="17" s="1"/>
  <c r="N355" i="17" a="1"/>
  <c r="N355" i="17" s="1"/>
  <c r="N347" i="17" a="1"/>
  <c r="N347" i="17" s="1"/>
  <c r="N339" i="17" a="1"/>
  <c r="N339" i="17" s="1"/>
  <c r="N331" i="17" a="1"/>
  <c r="N331" i="17" s="1"/>
  <c r="N323" i="17" a="1"/>
  <c r="N323" i="17" s="1"/>
  <c r="N315" i="17" a="1"/>
  <c r="N315" i="17" s="1"/>
  <c r="N307" i="17" a="1"/>
  <c r="N307" i="17" s="1"/>
  <c r="N299" i="17" a="1"/>
  <c r="N299" i="17" s="1"/>
  <c r="N291" i="17" a="1"/>
  <c r="N291" i="17" s="1"/>
  <c r="N283" i="17" a="1"/>
  <c r="N283" i="17" s="1"/>
  <c r="N275" i="17" a="1"/>
  <c r="N275" i="17" s="1"/>
  <c r="N356" i="17" a="1"/>
  <c r="N356" i="17" s="1"/>
  <c r="N348" i="17" a="1"/>
  <c r="N348" i="17" s="1"/>
  <c r="N340" i="17" a="1"/>
  <c r="N340" i="17" s="1"/>
  <c r="N332" i="17" a="1"/>
  <c r="N332" i="17" s="1"/>
  <c r="N324" i="17" a="1"/>
  <c r="N324" i="17" s="1"/>
  <c r="N316" i="17" a="1"/>
  <c r="N316" i="17" s="1"/>
  <c r="N308" i="17" a="1"/>
  <c r="N308" i="17" s="1"/>
  <c r="N300" i="17" a="1"/>
  <c r="N300" i="17" s="1"/>
  <c r="N292" i="17" a="1"/>
  <c r="N292" i="17" s="1"/>
  <c r="N349" i="17" a="1"/>
  <c r="N349" i="17" s="1"/>
  <c r="N341" i="17" a="1"/>
  <c r="N341" i="17" s="1"/>
  <c r="N333" i="17" a="1"/>
  <c r="N333" i="17" s="1"/>
  <c r="N325" i="17" a="1"/>
  <c r="N325" i="17" s="1"/>
  <c r="N317" i="17" a="1"/>
  <c r="N317" i="17" s="1"/>
  <c r="N309" i="17" a="1"/>
  <c r="N309" i="17" s="1"/>
  <c r="N301" i="17" a="1"/>
  <c r="N301" i="17" s="1"/>
  <c r="N293" i="17" a="1"/>
  <c r="N293" i="17" s="1"/>
  <c r="N285" i="17" a="1"/>
  <c r="N285" i="17" s="1"/>
  <c r="N350" i="17" a="1"/>
  <c r="N350" i="17" s="1"/>
  <c r="N342" i="17" a="1"/>
  <c r="N342" i="17" s="1"/>
  <c r="N334" i="17" a="1"/>
  <c r="N334" i="17" s="1"/>
  <c r="N326" i="17" a="1"/>
  <c r="N326" i="17" s="1"/>
  <c r="N318" i="17" a="1"/>
  <c r="N318" i="17" s="1"/>
  <c r="N310" i="17" a="1"/>
  <c r="N310" i="17" s="1"/>
  <c r="N302" i="17" a="1"/>
  <c r="N302" i="17" s="1"/>
  <c r="N294" i="17" a="1"/>
  <c r="N294" i="17" s="1"/>
  <c r="N286" i="17" a="1"/>
  <c r="N286" i="17" s="1"/>
  <c r="N278" i="17" a="1"/>
  <c r="N278" i="17" s="1"/>
  <c r="N357" i="17" a="1"/>
  <c r="N357" i="17" s="1"/>
  <c r="N351" i="17" a="1"/>
  <c r="N351" i="17" s="1"/>
  <c r="N343" i="17" a="1"/>
  <c r="N343" i="17" s="1"/>
  <c r="N335" i="17" a="1"/>
  <c r="N335" i="17" s="1"/>
  <c r="N327" i="17" a="1"/>
  <c r="N327" i="17" s="1"/>
  <c r="N319" i="17" a="1"/>
  <c r="N319" i="17" s="1"/>
  <c r="N311" i="17" a="1"/>
  <c r="N311" i="17" s="1"/>
  <c r="N303" i="17" a="1"/>
  <c r="N303" i="17" s="1"/>
  <c r="N295" i="17" a="1"/>
  <c r="N295" i="17" s="1"/>
  <c r="N287" i="17" a="1"/>
  <c r="N287" i="17" s="1"/>
  <c r="N279" i="17" a="1"/>
  <c r="N279" i="17" s="1"/>
  <c r="N320" i="17" a="1"/>
  <c r="N320" i="17" s="1"/>
  <c r="N273" i="17" a="1"/>
  <c r="N273" i="17" s="1"/>
  <c r="N328" i="17" a="1"/>
  <c r="N328" i="17" s="1"/>
  <c r="N280" i="17" a="1"/>
  <c r="N280" i="17" s="1"/>
  <c r="N265" i="17" a="1"/>
  <c r="N265" i="17" s="1"/>
  <c r="N336" i="17" a="1"/>
  <c r="N336" i="17" s="1"/>
  <c r="N270" i="17" a="1"/>
  <c r="N270" i="17" s="1"/>
  <c r="N266" i="17" a="1"/>
  <c r="N266" i="17" s="1"/>
  <c r="N344" i="17" a="1"/>
  <c r="N344" i="17" s="1"/>
  <c r="N282" i="17" a="1"/>
  <c r="N282" i="17" s="1"/>
  <c r="N276" i="17" a="1"/>
  <c r="N276" i="17" s="1"/>
  <c r="N352" i="17" a="1"/>
  <c r="N352" i="17" s="1"/>
  <c r="N289" i="17" a="1"/>
  <c r="N289" i="17" s="1"/>
  <c r="N284" i="17" a="1"/>
  <c r="N284" i="17" s="1"/>
  <c r="N304" i="17" a="1"/>
  <c r="N304" i="17" s="1"/>
  <c r="N297" i="17" a="1"/>
  <c r="N297" i="17" s="1"/>
  <c r="N288" i="17" a="1"/>
  <c r="N288" i="17" s="1"/>
  <c r="N281" i="17" a="1"/>
  <c r="N281" i="17" s="1"/>
  <c r="N272" i="17" a="1"/>
  <c r="N272" i="17" s="1"/>
  <c r="N268" i="17" a="1"/>
  <c r="N268" i="17" s="1"/>
  <c r="N274" i="17" a="1"/>
  <c r="N274" i="17" s="1"/>
  <c r="N253" i="17" a="1"/>
  <c r="N253" i="17" s="1"/>
  <c r="N245" i="17" a="1"/>
  <c r="N245" i="17" s="1"/>
  <c r="N237" i="17" a="1"/>
  <c r="N237" i="17" s="1"/>
  <c r="N229" i="17" a="1"/>
  <c r="N229" i="17" s="1"/>
  <c r="N221" i="17" a="1"/>
  <c r="N221" i="17" s="1"/>
  <c r="N213" i="17" a="1"/>
  <c r="N213" i="17" s="1"/>
  <c r="N312" i="17" a="1"/>
  <c r="N312" i="17" s="1"/>
  <c r="N267" i="17" a="1"/>
  <c r="N267" i="17" s="1"/>
  <c r="N259" i="17" a="1"/>
  <c r="N259" i="17" s="1"/>
  <c r="N254" i="17" a="1"/>
  <c r="N254" i="17" s="1"/>
  <c r="N246" i="17" a="1"/>
  <c r="N246" i="17" s="1"/>
  <c r="N238" i="17" a="1"/>
  <c r="N238" i="17" s="1"/>
  <c r="N230" i="17" a="1"/>
  <c r="N230" i="17" s="1"/>
  <c r="N222" i="17" a="1"/>
  <c r="N222" i="17" s="1"/>
  <c r="N214" i="17" a="1"/>
  <c r="N214" i="17" s="1"/>
  <c r="N263" i="17" a="1"/>
  <c r="N263" i="17" s="1"/>
  <c r="N255" i="17" a="1"/>
  <c r="N255" i="17" s="1"/>
  <c r="N247" i="17" a="1"/>
  <c r="N247" i="17" s="1"/>
  <c r="N239" i="17" a="1"/>
  <c r="N239" i="17" s="1"/>
  <c r="N231" i="17" a="1"/>
  <c r="N231" i="17" s="1"/>
  <c r="N223" i="17" a="1"/>
  <c r="N223" i="17" s="1"/>
  <c r="N215" i="17" a="1"/>
  <c r="N215" i="17" s="1"/>
  <c r="N207" i="17" a="1"/>
  <c r="N207" i="17" s="1"/>
  <c r="N260" i="17" a="1"/>
  <c r="N260" i="17" s="1"/>
  <c r="N256" i="17" a="1"/>
  <c r="N256" i="17" s="1"/>
  <c r="N248" i="17" a="1"/>
  <c r="N248" i="17" s="1"/>
  <c r="N240" i="17" a="1"/>
  <c r="N240" i="17" s="1"/>
  <c r="N232" i="17" a="1"/>
  <c r="N232" i="17" s="1"/>
  <c r="N224" i="17" a="1"/>
  <c r="N224" i="17" s="1"/>
  <c r="N277" i="17" a="1"/>
  <c r="N277" i="17" s="1"/>
  <c r="N269" i="17" a="1"/>
  <c r="N269" i="17" s="1"/>
  <c r="N249" i="17" a="1"/>
  <c r="N249" i="17" s="1"/>
  <c r="N241" i="17" a="1"/>
  <c r="N241" i="17" s="1"/>
  <c r="N233" i="17" a="1"/>
  <c r="N233" i="17" s="1"/>
  <c r="N225" i="17" a="1"/>
  <c r="N225" i="17" s="1"/>
  <c r="N217" i="17" a="1"/>
  <c r="N217" i="17" s="1"/>
  <c r="N209" i="17" a="1"/>
  <c r="N209" i="17" s="1"/>
  <c r="N296" i="17" a="1"/>
  <c r="N296" i="17" s="1"/>
  <c r="N264" i="17" a="1"/>
  <c r="N264" i="17" s="1"/>
  <c r="N261" i="17" a="1"/>
  <c r="N261" i="17" s="1"/>
  <c r="N257" i="17" a="1"/>
  <c r="N257" i="17" s="1"/>
  <c r="N250" i="17" a="1"/>
  <c r="N250" i="17" s="1"/>
  <c r="N242" i="17" a="1"/>
  <c r="N242" i="17" s="1"/>
  <c r="N234" i="17" a="1"/>
  <c r="N234" i="17" s="1"/>
  <c r="N226" i="17" a="1"/>
  <c r="N226" i="17" s="1"/>
  <c r="N218" i="17" a="1"/>
  <c r="N218" i="17" s="1"/>
  <c r="N271" i="17" a="1"/>
  <c r="N271" i="17" s="1"/>
  <c r="N243" i="17" a="1"/>
  <c r="N243" i="17" s="1"/>
  <c r="N197" i="17" a="1"/>
  <c r="N197" i="17" s="1"/>
  <c r="N262" i="17" a="1"/>
  <c r="N262" i="17" s="1"/>
  <c r="N252" i="17" a="1"/>
  <c r="N252" i="17" s="1"/>
  <c r="N204" i="17" a="1"/>
  <c r="N204" i="17" s="1"/>
  <c r="N198" i="17" a="1"/>
  <c r="N198" i="17" s="1"/>
  <c r="N190" i="17" a="1"/>
  <c r="N190" i="17" s="1"/>
  <c r="N182" i="17" a="1"/>
  <c r="N182" i="17" s="1"/>
  <c r="N251" i="17" a="1"/>
  <c r="N251" i="17" s="1"/>
  <c r="N210" i="17" a="1"/>
  <c r="N210" i="17" s="1"/>
  <c r="N199" i="17" a="1"/>
  <c r="N199" i="17" s="1"/>
  <c r="N191" i="17" a="1"/>
  <c r="N191" i="17" s="1"/>
  <c r="N183" i="17" a="1"/>
  <c r="N183" i="17" s="1"/>
  <c r="N228" i="17" a="1"/>
  <c r="N228" i="17" s="1"/>
  <c r="N208" i="17" a="1"/>
  <c r="N208" i="17" s="1"/>
  <c r="N205" i="17" a="1"/>
  <c r="N205" i="17" s="1"/>
  <c r="N200" i="17" a="1"/>
  <c r="N200" i="17" s="1"/>
  <c r="N192" i="17" a="1"/>
  <c r="N192" i="17" s="1"/>
  <c r="N227" i="17" a="1"/>
  <c r="N227" i="17" s="1"/>
  <c r="N220" i="17" a="1"/>
  <c r="N220" i="17" s="1"/>
  <c r="N212" i="17" a="1"/>
  <c r="N212" i="17" s="1"/>
  <c r="N201" i="17" a="1"/>
  <c r="N201" i="17" s="1"/>
  <c r="N235" i="17" a="1"/>
  <c r="N235" i="17" s="1"/>
  <c r="N206" i="17" a="1"/>
  <c r="N206" i="17" s="1"/>
  <c r="N203" i="17" a="1"/>
  <c r="N203" i="17" s="1"/>
  <c r="N177" i="17" a="1"/>
  <c r="N177" i="17" s="1"/>
  <c r="N169" i="17" a="1"/>
  <c r="N169" i="17" s="1"/>
  <c r="N161" i="17" a="1"/>
  <c r="N161" i="17" s="1"/>
  <c r="N153" i="17" a="1"/>
  <c r="N153" i="17" s="1"/>
  <c r="N145" i="17" a="1"/>
  <c r="N145" i="17" s="1"/>
  <c r="N137" i="17" a="1"/>
  <c r="N137" i="17" s="1"/>
  <c r="N211" i="17" a="1"/>
  <c r="N211" i="17" s="1"/>
  <c r="N202" i="17" a="1"/>
  <c r="N202" i="17" s="1"/>
  <c r="N193" i="17" a="1"/>
  <c r="N193" i="17" s="1"/>
  <c r="N185" i="17" a="1"/>
  <c r="N185" i="17" s="1"/>
  <c r="N178" i="17" a="1"/>
  <c r="N178" i="17" s="1"/>
  <c r="N170" i="17" a="1"/>
  <c r="N170" i="17" s="1"/>
  <c r="N162" i="17" a="1"/>
  <c r="N162" i="17" s="1"/>
  <c r="N154" i="17" a="1"/>
  <c r="N154" i="17" s="1"/>
  <c r="N146" i="17" a="1"/>
  <c r="N146" i="17" s="1"/>
  <c r="N138" i="17" a="1"/>
  <c r="N138" i="17" s="1"/>
  <c r="N216" i="17" a="1"/>
  <c r="N216" i="17" s="1"/>
  <c r="N196" i="17" a="1"/>
  <c r="N196" i="17" s="1"/>
  <c r="N188" i="17" a="1"/>
  <c r="N188" i="17" s="1"/>
  <c r="N171" i="17" a="1"/>
  <c r="N171" i="17" s="1"/>
  <c r="N163" i="17" a="1"/>
  <c r="N163" i="17" s="1"/>
  <c r="N155" i="17" a="1"/>
  <c r="N155" i="17" s="1"/>
  <c r="N147" i="17" a="1"/>
  <c r="N147" i="17" s="1"/>
  <c r="N139" i="17" a="1"/>
  <c r="N139" i="17" s="1"/>
  <c r="N244" i="17" a="1"/>
  <c r="N244" i="17" s="1"/>
  <c r="N179" i="17" a="1"/>
  <c r="N179" i="17" s="1"/>
  <c r="N172" i="17" a="1"/>
  <c r="N172" i="17" s="1"/>
  <c r="N164" i="17" a="1"/>
  <c r="N164" i="17" s="1"/>
  <c r="N156" i="17" a="1"/>
  <c r="N156" i="17" s="1"/>
  <c r="N148" i="17" a="1"/>
  <c r="N148" i="17" s="1"/>
  <c r="N140" i="17" a="1"/>
  <c r="N140" i="17" s="1"/>
  <c r="N195" i="17" a="1"/>
  <c r="N195" i="17" s="1"/>
  <c r="N186" i="17" a="1"/>
  <c r="N186" i="17" s="1"/>
  <c r="N173" i="17" a="1"/>
  <c r="N173" i="17" s="1"/>
  <c r="N165" i="17" a="1"/>
  <c r="N165" i="17" s="1"/>
  <c r="N157" i="17" a="1"/>
  <c r="N157" i="17" s="1"/>
  <c r="N149" i="17" a="1"/>
  <c r="N149" i="17" s="1"/>
  <c r="N141" i="17" a="1"/>
  <c r="N141" i="17" s="1"/>
  <c r="N236" i="17" a="1"/>
  <c r="N236" i="17" s="1"/>
  <c r="N194" i="17" a="1"/>
  <c r="N194" i="17" s="1"/>
  <c r="N184" i="17" a="1"/>
  <c r="N184" i="17" s="1"/>
  <c r="N175" i="17" a="1"/>
  <c r="N175" i="17" s="1"/>
  <c r="N167" i="17" a="1"/>
  <c r="N167" i="17" s="1"/>
  <c r="N159" i="17" a="1"/>
  <c r="N159" i="17" s="1"/>
  <c r="N151" i="17" a="1"/>
  <c r="N151" i="17" s="1"/>
  <c r="N143" i="17" a="1"/>
  <c r="N143" i="17" s="1"/>
  <c r="N135" i="17" a="1"/>
  <c r="N135" i="17" s="1"/>
  <c r="N134" i="17" a="1"/>
  <c r="N134" i="17" s="1"/>
  <c r="N133" i="17" a="1"/>
  <c r="N133" i="17" s="1"/>
  <c r="N219" i="17" a="1"/>
  <c r="N219" i="17" s="1"/>
  <c r="N187" i="17" a="1"/>
  <c r="N187" i="17" s="1"/>
  <c r="N181" i="17" a="1"/>
  <c r="N181" i="17" s="1"/>
  <c r="N176" i="17" a="1"/>
  <c r="N176" i="17" s="1"/>
  <c r="N168" i="17" a="1"/>
  <c r="N168" i="17" s="1"/>
  <c r="N160" i="17" a="1"/>
  <c r="N160" i="17" s="1"/>
  <c r="L111" i="17" a="1"/>
  <c r="L111" i="17" s="1"/>
  <c r="N114" i="17" a="1"/>
  <c r="N114" i="17" s="1"/>
  <c r="L119" i="17" a="1"/>
  <c r="L119" i="17" s="1"/>
  <c r="N122" i="17" a="1"/>
  <c r="N122" i="17" s="1"/>
  <c r="N128" i="17" a="1"/>
  <c r="N128" i="17" s="1"/>
  <c r="N132" i="17" a="1"/>
  <c r="N132" i="17" s="1"/>
  <c r="L156" i="17" a="1"/>
  <c r="L156" i="17" s="1"/>
  <c r="L170" i="17" a="1"/>
  <c r="L170" i="17" s="1"/>
  <c r="L191" i="17" a="1"/>
  <c r="L191" i="17" s="1"/>
  <c r="L110" i="17" a="1"/>
  <c r="L110" i="17" s="1"/>
  <c r="N113" i="17" a="1"/>
  <c r="N113" i="17" s="1"/>
  <c r="L118" i="17" a="1"/>
  <c r="L118" i="17" s="1"/>
  <c r="N121" i="17" a="1"/>
  <c r="N121" i="17" s="1"/>
  <c r="L126" i="17" a="1"/>
  <c r="L126" i="17" s="1"/>
  <c r="L138" i="17" a="1"/>
  <c r="L138" i="17" s="1"/>
  <c r="N142" i="17" a="1"/>
  <c r="N142" i="17" s="1"/>
  <c r="L162" i="17" a="1"/>
  <c r="L162" i="17" s="1"/>
  <c r="N180" i="17" a="1"/>
  <c r="N180" i="17" s="1"/>
  <c r="L240" i="17" a="1"/>
  <c r="L240" i="17" s="1"/>
  <c r="N112" i="17" a="1"/>
  <c r="N112" i="17" s="1"/>
  <c r="L117" i="17" a="1"/>
  <c r="L117" i="17" s="1"/>
  <c r="N120" i="17" a="1"/>
  <c r="N120" i="17" s="1"/>
  <c r="L125" i="17" a="1"/>
  <c r="L125" i="17" s="1"/>
  <c r="N127" i="17" a="1"/>
  <c r="N127" i="17" s="1"/>
  <c r="N131" i="17" a="1"/>
  <c r="N131" i="17" s="1"/>
  <c r="L148" i="17" a="1"/>
  <c r="L148" i="17" s="1"/>
  <c r="N152" i="17" a="1"/>
  <c r="N152" i="17" s="1"/>
  <c r="N258" i="17" a="1"/>
  <c r="N258" i="17" s="1"/>
  <c r="F8" i="17" a="1"/>
  <c r="F8" i="17" s="1"/>
  <c r="E10" i="17"/>
  <c r="F10" i="17" l="1" a="1"/>
  <c r="F10" i="17" s="1"/>
  <c r="E11" i="17"/>
  <c r="F11" i="17" s="1" a="1"/>
  <c r="F11" i="17" s="1"/>
  <c r="E12" i="17" l="1"/>
  <c r="F12" i="17" s="1" a="1"/>
  <c r="F12" i="17" s="1"/>
  <c r="E13" i="17" l="1"/>
  <c r="F13" i="17" s="1" a="1"/>
  <c r="F13" i="17" s="1"/>
  <c r="E14" i="17" l="1"/>
  <c r="F14" i="17" s="1" a="1"/>
  <c r="F14" i="17" s="1"/>
  <c r="E15" i="17" l="1"/>
  <c r="F15" i="17" s="1" a="1"/>
  <c r="F15" i="17" s="1"/>
  <c r="E16" i="17" l="1"/>
  <c r="F16" i="17" s="1" a="1"/>
  <c r="F16" i="17" s="1"/>
  <c r="E17" i="17" l="1"/>
  <c r="F17" i="17" s="1" a="1"/>
  <c r="F17" i="17" s="1"/>
  <c r="E18" i="17" l="1"/>
  <c r="F18" i="17" s="1" a="1"/>
  <c r="F18" i="17" s="1"/>
  <c r="E19" i="17" l="1"/>
  <c r="F19" i="17" s="1" a="1"/>
  <c r="F19" i="17" s="1"/>
  <c r="E20" i="17" l="1"/>
  <c r="F20" i="17" s="1" a="1"/>
  <c r="F20" i="17" s="1"/>
  <c r="E21" i="17" l="1"/>
  <c r="F21" i="17" s="1" a="1"/>
  <c r="F21" i="17" s="1"/>
  <c r="E22" i="17" l="1"/>
  <c r="F22" i="17" s="1" a="1"/>
  <c r="F22" i="17" s="1"/>
  <c r="E23" i="17" l="1"/>
  <c r="F23" i="17" s="1" a="1"/>
  <c r="F23" i="17" s="1"/>
  <c r="E24" i="17" l="1"/>
  <c r="F24" i="17" s="1" a="1"/>
  <c r="F24" i="17" s="1"/>
  <c r="E25" i="17" l="1"/>
  <c r="F25" i="17" s="1" a="1"/>
  <c r="F25" i="17" s="1"/>
  <c r="E26" i="17" l="1"/>
  <c r="F26" i="17" s="1" a="1"/>
  <c r="F26" i="17" s="1"/>
  <c r="E27" i="17" l="1"/>
  <c r="F27" i="17" s="1" a="1"/>
  <c r="F27" i="17" s="1"/>
  <c r="E28" i="17" l="1"/>
  <c r="F28" i="17" s="1" a="1"/>
  <c r="F28" i="17" s="1"/>
  <c r="E29" i="17" l="1"/>
  <c r="F29" i="17" s="1" a="1"/>
  <c r="F29" i="17" s="1"/>
  <c r="E30" i="17" l="1"/>
  <c r="F30" i="17" s="1" a="1"/>
  <c r="F30" i="17" s="1"/>
  <c r="E31" i="17" l="1"/>
  <c r="F31" i="17" s="1" a="1"/>
  <c r="F31" i="17" s="1"/>
  <c r="E32" i="17" l="1"/>
  <c r="F32" i="17" s="1" a="1"/>
  <c r="F32" i="17" s="1"/>
  <c r="E33" i="17" l="1"/>
  <c r="F33" i="17" s="1" a="1"/>
  <c r="F33" i="17" s="1"/>
  <c r="E34" i="17" l="1"/>
  <c r="F34" i="17" s="1" a="1"/>
  <c r="F34" i="17" s="1"/>
  <c r="E35" i="17" l="1"/>
  <c r="F35" i="17" s="1" a="1"/>
  <c r="F35" i="17" s="1"/>
  <c r="E36" i="17" l="1"/>
  <c r="F36" i="17" s="1" a="1"/>
  <c r="F36" i="17" s="1"/>
  <c r="E37" i="17" l="1"/>
  <c r="F37" i="17" s="1" a="1"/>
  <c r="F37" i="17" s="1"/>
  <c r="E38" i="17" l="1"/>
  <c r="F38" i="17" s="1" a="1"/>
  <c r="F38" i="17" s="1"/>
  <c r="E39" i="17" l="1"/>
  <c r="F39" i="17" s="1" a="1"/>
  <c r="F39" i="17" s="1"/>
  <c r="E40" i="17" l="1"/>
  <c r="F40" i="17" s="1" a="1"/>
  <c r="F40" i="17" s="1"/>
  <c r="E41" i="17" l="1"/>
  <c r="F41" i="17" s="1" a="1"/>
  <c r="F41" i="17" s="1"/>
  <c r="E42" i="17" l="1"/>
  <c r="F42" i="17" s="1" a="1"/>
  <c r="F42" i="17" s="1"/>
  <c r="E43" i="17" l="1"/>
  <c r="F43" i="17" s="1" a="1"/>
  <c r="F43" i="17" s="1"/>
  <c r="E44" i="17" l="1"/>
  <c r="F44" i="17" s="1" a="1"/>
  <c r="F44" i="17" s="1"/>
  <c r="E45" i="17" l="1"/>
  <c r="F45" i="17" s="1" a="1"/>
  <c r="F45" i="17" s="1"/>
  <c r="E46" i="17" l="1"/>
  <c r="F46" i="17" s="1" a="1"/>
  <c r="F46" i="17" s="1"/>
  <c r="E47" i="17" l="1"/>
  <c r="F47" i="17" s="1" a="1"/>
  <c r="F47" i="17" s="1"/>
  <c r="E48" i="17" l="1"/>
  <c r="F48" i="17" s="1" a="1"/>
  <c r="F48" i="17" s="1"/>
  <c r="E49" i="17" l="1"/>
  <c r="F49" i="17" s="1" a="1"/>
  <c r="F49" i="17" s="1"/>
  <c r="E50" i="17" l="1"/>
  <c r="F50" i="17" s="1" a="1"/>
  <c r="F50" i="17" s="1"/>
  <c r="E51" i="17" l="1"/>
  <c r="F51" i="17" s="1" a="1"/>
  <c r="F51" i="17" s="1"/>
  <c r="E52" i="17" l="1"/>
  <c r="F52" i="17" s="1" a="1"/>
  <c r="F52" i="17" s="1"/>
  <c r="E53" i="17" l="1"/>
  <c r="F53" i="17" s="1" a="1"/>
  <c r="F53" i="17" s="1"/>
  <c r="E54" i="17" l="1"/>
  <c r="F54" i="17" s="1" a="1"/>
  <c r="F54" i="17" s="1"/>
  <c r="E55" i="17" l="1"/>
  <c r="F55" i="17" s="1" a="1"/>
  <c r="F55" i="17" s="1"/>
  <c r="E56" i="17" l="1"/>
  <c r="F56" i="17" s="1" a="1"/>
  <c r="F56" i="17" s="1"/>
  <c r="E57" i="17" l="1"/>
  <c r="F57" i="17" s="1" a="1"/>
  <c r="F57" i="17" s="1"/>
  <c r="E58" i="17" l="1"/>
  <c r="F58" i="17" s="1" a="1"/>
  <c r="F58" i="17" s="1"/>
  <c r="E59" i="17" l="1"/>
  <c r="F59" i="17" s="1" a="1"/>
  <c r="F59" i="17" s="1"/>
  <c r="E60" i="17" l="1"/>
  <c r="F60" i="17" s="1" a="1"/>
  <c r="F60" i="17" s="1"/>
  <c r="E61" i="17" l="1"/>
  <c r="F61" i="17" s="1" a="1"/>
  <c r="F61" i="17" s="1"/>
  <c r="E62" i="17" l="1"/>
  <c r="F62" i="17" s="1" a="1"/>
  <c r="F62" i="17" s="1"/>
  <c r="E63" i="17" l="1"/>
  <c r="F63" i="17" s="1" a="1"/>
  <c r="F63" i="17" s="1"/>
  <c r="E64" i="17" l="1"/>
  <c r="F64" i="17" s="1" a="1"/>
  <c r="F64" i="17" s="1"/>
  <c r="E65" i="17" l="1"/>
  <c r="F65" i="17" s="1" a="1"/>
  <c r="F65" i="17" s="1"/>
  <c r="E66" i="17" l="1"/>
  <c r="F66" i="17" s="1" a="1"/>
  <c r="F66" i="17" s="1"/>
  <c r="E67" i="17" l="1"/>
  <c r="F67" i="17" s="1" a="1"/>
  <c r="F67" i="17" s="1"/>
  <c r="E68" i="17" l="1"/>
  <c r="F68" i="17" s="1" a="1"/>
  <c r="F68" i="17" s="1"/>
  <c r="E69" i="17" l="1"/>
  <c r="F69" i="17" s="1" a="1"/>
  <c r="F69" i="17" s="1"/>
  <c r="E70" i="17" l="1"/>
  <c r="F70" i="17" s="1" a="1"/>
  <c r="F70" i="17" s="1"/>
  <c r="E71" i="17" l="1"/>
  <c r="F71" i="17" s="1" a="1"/>
  <c r="F71" i="17" s="1"/>
  <c r="E72" i="17" l="1"/>
  <c r="F72" i="17" s="1" a="1"/>
  <c r="F72" i="17" s="1"/>
  <c r="E73" i="17" l="1"/>
  <c r="F73" i="17" s="1" a="1"/>
  <c r="F73" i="17" s="1"/>
  <c r="E74" i="17" l="1"/>
  <c r="F74" i="17" s="1" a="1"/>
  <c r="F74" i="17" s="1"/>
  <c r="E75" i="17" l="1"/>
  <c r="F75" i="17" s="1" a="1"/>
  <c r="F75" i="17" s="1"/>
  <c r="E76" i="17" l="1"/>
  <c r="F76" i="17" s="1" a="1"/>
  <c r="F76" i="17" s="1"/>
  <c r="E77" i="17" l="1"/>
  <c r="F77" i="17" s="1" a="1"/>
  <c r="F77" i="17" s="1"/>
  <c r="E78" i="17" l="1"/>
  <c r="F78" i="17" s="1" a="1"/>
  <c r="F78" i="17" s="1"/>
  <c r="E79" i="17" l="1"/>
  <c r="F79" i="17" s="1" a="1"/>
  <c r="F79" i="17" s="1"/>
  <c r="E80" i="17" l="1"/>
  <c r="F80" i="17" s="1" a="1"/>
  <c r="F80" i="17" s="1"/>
  <c r="E81" i="17" l="1"/>
  <c r="F81" i="17" s="1" a="1"/>
  <c r="F81" i="17" s="1"/>
  <c r="E82" i="17" l="1"/>
  <c r="F82" i="17" s="1" a="1"/>
  <c r="F82" i="17" s="1"/>
  <c r="E83" i="17" l="1"/>
  <c r="F83" i="17" s="1" a="1"/>
  <c r="F83" i="17" s="1"/>
  <c r="E84" i="17" l="1"/>
  <c r="F84" i="17" s="1" a="1"/>
  <c r="F84" i="17" s="1"/>
  <c r="E85" i="17" l="1"/>
  <c r="F85" i="17" s="1" a="1"/>
  <c r="F85" i="17" s="1"/>
  <c r="E86" i="17" l="1"/>
  <c r="F86" i="17" s="1" a="1"/>
  <c r="F86" i="17" s="1"/>
  <c r="E87" i="17" l="1"/>
  <c r="F87" i="17" s="1" a="1"/>
  <c r="F87" i="17" s="1"/>
  <c r="E88" i="17" l="1"/>
  <c r="F88" i="17" s="1" a="1"/>
  <c r="F88" i="17" s="1"/>
  <c r="E89" i="17" l="1"/>
  <c r="F89" i="17" s="1" a="1"/>
  <c r="F89" i="17" s="1"/>
  <c r="E90" i="17" l="1"/>
  <c r="F90" i="17" s="1" a="1"/>
  <c r="F90" i="17" s="1"/>
  <c r="E91" i="17" l="1"/>
  <c r="F91" i="17" s="1" a="1"/>
  <c r="F91" i="17" s="1"/>
  <c r="E92" i="17" l="1"/>
  <c r="F92" i="17" s="1" a="1"/>
  <c r="F92" i="17" s="1"/>
  <c r="E93" i="17" l="1"/>
  <c r="F93" i="17" s="1" a="1"/>
  <c r="F93" i="17" s="1"/>
  <c r="E94" i="17" l="1"/>
  <c r="F94" i="17" s="1" a="1"/>
  <c r="F94" i="17" s="1"/>
  <c r="E95" i="17" l="1"/>
  <c r="F95" i="17" s="1" a="1"/>
  <c r="F95" i="17" s="1"/>
  <c r="E96" i="17" l="1"/>
  <c r="F96" i="17" s="1" a="1"/>
  <c r="F96" i="17" s="1"/>
  <c r="E97" i="17" l="1"/>
  <c r="F97" i="17" s="1" a="1"/>
  <c r="F97" i="17" s="1"/>
  <c r="E98" i="17" l="1"/>
  <c r="F98" i="17" s="1" a="1"/>
  <c r="F98" i="17" s="1"/>
  <c r="E99" i="17" l="1"/>
  <c r="F99" i="17" s="1" a="1"/>
  <c r="F99" i="17" s="1"/>
  <c r="E100" i="17" l="1"/>
  <c r="F100" i="17" s="1" a="1"/>
  <c r="F100" i="17" s="1"/>
  <c r="E101" i="17" l="1"/>
  <c r="F101" i="17" s="1" a="1"/>
  <c r="F101" i="17" s="1"/>
  <c r="E102" i="17" l="1"/>
  <c r="F102" i="17" s="1" a="1"/>
  <c r="F102" i="17" s="1"/>
  <c r="E103" i="17" l="1"/>
  <c r="F103" i="17" s="1" a="1"/>
  <c r="F103" i="17" s="1"/>
  <c r="E104" i="17" l="1"/>
  <c r="F104" i="17" s="1" a="1"/>
  <c r="F104" i="17" s="1"/>
  <c r="E105" i="17" l="1"/>
  <c r="F105" i="17" s="1" a="1"/>
  <c r="F105" i="17" s="1"/>
  <c r="E106" i="17" l="1"/>
  <c r="F106" i="17" s="1" a="1"/>
  <c r="F106" i="17" s="1"/>
  <c r="E107" i="17" l="1"/>
  <c r="F107" i="17" s="1" a="1"/>
  <c r="F107" i="17" s="1"/>
  <c r="E108" i="17" l="1"/>
  <c r="F108" i="17" s="1" a="1"/>
  <c r="F108" i="17" s="1"/>
  <c r="E109" i="17" l="1"/>
  <c r="F109" i="17" s="1" a="1"/>
  <c r="F109" i="17" s="1"/>
  <c r="E110" i="17" l="1"/>
  <c r="F110" i="17" s="1" a="1"/>
  <c r="F110" i="17" s="1"/>
  <c r="E111" i="17" l="1"/>
  <c r="F111" i="17" s="1" a="1"/>
  <c r="F111" i="17" s="1"/>
  <c r="E112" i="17" l="1"/>
  <c r="F112" i="17" s="1" a="1"/>
  <c r="F112" i="17" s="1"/>
  <c r="E113" i="17" l="1"/>
  <c r="F113" i="17" s="1" a="1"/>
  <c r="F113" i="17" s="1"/>
  <c r="E114" i="17" l="1"/>
  <c r="F114" i="17" s="1" a="1"/>
  <c r="F114" i="17" s="1"/>
  <c r="E115" i="17" l="1"/>
  <c r="F115" i="17" s="1" a="1"/>
  <c r="F115" i="17" s="1"/>
  <c r="E116" i="17" l="1"/>
  <c r="F116" i="17" s="1" a="1"/>
  <c r="F116" i="17" s="1"/>
  <c r="E117" i="17" l="1"/>
  <c r="F117" i="17" s="1" a="1"/>
  <c r="F117" i="17" s="1"/>
  <c r="E118" i="17" l="1"/>
  <c r="F118" i="17" s="1" a="1"/>
  <c r="F118" i="17" s="1"/>
  <c r="E119" i="17" l="1"/>
  <c r="F119" i="17" s="1" a="1"/>
  <c r="F119" i="17" s="1"/>
  <c r="E120" i="17" l="1"/>
  <c r="F120" i="17" s="1" a="1"/>
  <c r="F120" i="17" s="1"/>
  <c r="E121" i="17" l="1"/>
  <c r="F121" i="17" s="1" a="1"/>
  <c r="F121" i="17" s="1"/>
  <c r="E122" i="17" l="1"/>
  <c r="F122" i="17" s="1" a="1"/>
  <c r="F122" i="17" s="1"/>
  <c r="E123" i="17" l="1"/>
  <c r="F123" i="17" s="1" a="1"/>
  <c r="F123" i="17" s="1"/>
  <c r="E124" i="17" l="1"/>
  <c r="F124" i="17" s="1" a="1"/>
  <c r="F124" i="17" s="1"/>
  <c r="E125" i="17" l="1"/>
  <c r="F125" i="17" s="1" a="1"/>
  <c r="F125" i="17" s="1"/>
  <c r="E126" i="17" l="1"/>
  <c r="F126" i="17" s="1" a="1"/>
  <c r="F126" i="17" s="1"/>
  <c r="E127" i="17" l="1"/>
  <c r="F127" i="17" s="1" a="1"/>
  <c r="F127" i="17" s="1"/>
  <c r="E128" i="17" l="1"/>
  <c r="F128" i="17" s="1" a="1"/>
  <c r="F128" i="17" s="1"/>
  <c r="E129" i="17" l="1"/>
  <c r="F129" i="17" s="1" a="1"/>
  <c r="F129" i="17" s="1"/>
  <c r="E130" i="17" l="1"/>
  <c r="F130" i="17" s="1" a="1"/>
  <c r="F130" i="17" s="1"/>
  <c r="E131" i="17" l="1"/>
  <c r="F131" i="17" s="1" a="1"/>
  <c r="F131" i="17" s="1"/>
  <c r="E132" i="17" l="1"/>
  <c r="F132" i="17" s="1" a="1"/>
  <c r="F132" i="17" s="1"/>
  <c r="E133" i="17" l="1"/>
  <c r="F133" i="17" s="1" a="1"/>
  <c r="F133" i="17" s="1"/>
  <c r="E134" i="17" l="1"/>
  <c r="F134" i="17" s="1" a="1"/>
  <c r="F134" i="17" s="1"/>
  <c r="E135" i="17" l="1"/>
  <c r="F135" i="17" s="1" a="1"/>
  <c r="F135" i="17" s="1"/>
  <c r="E136" i="17" l="1"/>
  <c r="F136" i="17" s="1" a="1"/>
  <c r="F136" i="17" s="1"/>
  <c r="E137" i="17" l="1"/>
  <c r="F137" i="17" s="1" a="1"/>
  <c r="F137" i="17" s="1"/>
  <c r="E138" i="17" l="1"/>
  <c r="F138" i="17" s="1" a="1"/>
  <c r="F138" i="17" s="1"/>
  <c r="E139" i="17" l="1"/>
  <c r="F139" i="17" s="1" a="1"/>
  <c r="F139" i="17" s="1"/>
  <c r="E140" i="17" l="1"/>
  <c r="F140" i="17" s="1" a="1"/>
  <c r="F140" i="17" s="1"/>
  <c r="E141" i="17" l="1"/>
  <c r="F141" i="17" s="1" a="1"/>
  <c r="F141" i="17" s="1"/>
  <c r="E142" i="17" l="1"/>
  <c r="F142" i="17" s="1" a="1"/>
  <c r="F142" i="17" s="1"/>
  <c r="E143" i="17" l="1"/>
  <c r="F143" i="17" s="1" a="1"/>
  <c r="F143" i="17" s="1"/>
  <c r="E144" i="17" l="1"/>
  <c r="F144" i="17" s="1" a="1"/>
  <c r="F144" i="17" s="1"/>
  <c r="E145" i="17" l="1"/>
  <c r="F145" i="17" s="1" a="1"/>
  <c r="F145" i="17" s="1"/>
  <c r="E146" i="17" l="1"/>
  <c r="F146" i="17" s="1" a="1"/>
  <c r="F146" i="17" s="1"/>
  <c r="E147" i="17" l="1"/>
  <c r="F147" i="17" s="1" a="1"/>
  <c r="F147" i="17" s="1"/>
  <c r="E148" i="17" l="1"/>
  <c r="F148" i="17" s="1" a="1"/>
  <c r="F148" i="17" s="1"/>
  <c r="E149" i="17" l="1"/>
  <c r="F149" i="17" s="1" a="1"/>
  <c r="F149" i="17" s="1"/>
  <c r="E150" i="17" l="1"/>
  <c r="F150" i="17" s="1" a="1"/>
  <c r="F150" i="17" s="1"/>
  <c r="E151" i="17" l="1"/>
  <c r="F151" i="17" s="1" a="1"/>
  <c r="F151" i="17" s="1"/>
  <c r="E152" i="17" l="1"/>
  <c r="F152" i="17" s="1" a="1"/>
  <c r="F152" i="17" s="1"/>
  <c r="E153" i="17" l="1"/>
  <c r="F153" i="17" s="1" a="1"/>
  <c r="F153" i="17" s="1"/>
  <c r="E154" i="17" l="1"/>
  <c r="F154" i="17" s="1" a="1"/>
  <c r="F154" i="17" s="1"/>
  <c r="E155" i="17" l="1"/>
  <c r="F155" i="17" s="1" a="1"/>
  <c r="F155" i="17" s="1"/>
  <c r="E156" i="17" l="1"/>
  <c r="F156" i="17" s="1" a="1"/>
  <c r="F156" i="17" s="1"/>
  <c r="E157" i="17" l="1"/>
  <c r="F157" i="17" s="1" a="1"/>
  <c r="F157" i="17" s="1"/>
  <c r="E158" i="17" l="1"/>
  <c r="F158" i="17" s="1" a="1"/>
  <c r="F158" i="17" s="1"/>
  <c r="E159" i="17" l="1"/>
  <c r="F159" i="17" s="1" a="1"/>
  <c r="F159" i="17" s="1"/>
  <c r="E160" i="17" l="1"/>
  <c r="F160" i="17" s="1" a="1"/>
  <c r="F160" i="17" s="1"/>
  <c r="E161" i="17" l="1"/>
  <c r="F161" i="17" s="1" a="1"/>
  <c r="F161" i="17" s="1"/>
  <c r="E162" i="17" l="1"/>
  <c r="F162" i="17" s="1" a="1"/>
  <c r="F162" i="17" s="1"/>
  <c r="E163" i="17" l="1"/>
  <c r="F163" i="17" s="1" a="1"/>
  <c r="F163" i="17" s="1"/>
  <c r="E164" i="17" l="1"/>
  <c r="F164" i="17" s="1" a="1"/>
  <c r="F164" i="17" s="1"/>
  <c r="E165" i="17" l="1"/>
  <c r="F165" i="17" s="1" a="1"/>
  <c r="F165" i="17" s="1"/>
  <c r="E166" i="17" l="1"/>
  <c r="F166" i="17" s="1" a="1"/>
  <c r="F166" i="17" s="1"/>
  <c r="E167" i="17" l="1"/>
  <c r="F167" i="17" s="1" a="1"/>
  <c r="F167" i="17" s="1"/>
  <c r="E168" i="17" l="1"/>
  <c r="F168" i="17" s="1" a="1"/>
  <c r="F168" i="17" s="1"/>
  <c r="E169" i="17" l="1"/>
  <c r="F169" i="17" s="1" a="1"/>
  <c r="F169" i="17" s="1"/>
  <c r="E170" i="17" l="1"/>
  <c r="F170" i="17" s="1" a="1"/>
  <c r="F170" i="17" s="1"/>
  <c r="E171" i="17" l="1"/>
  <c r="F171" i="17" s="1" a="1"/>
  <c r="F171" i="17" s="1"/>
  <c r="E172" i="17" l="1"/>
  <c r="F172" i="17" s="1" a="1"/>
  <c r="F172" i="17" s="1"/>
  <c r="E173" i="17" l="1"/>
  <c r="F173" i="17" s="1" a="1"/>
  <c r="F173" i="17" s="1"/>
  <c r="E174" i="17" l="1"/>
  <c r="F174" i="17" s="1" a="1"/>
  <c r="F174" i="17" s="1"/>
  <c r="E175" i="17" l="1"/>
  <c r="F175" i="17" s="1" a="1"/>
  <c r="F175" i="17" s="1"/>
  <c r="E176" i="17" l="1"/>
  <c r="F176" i="17" s="1" a="1"/>
  <c r="F176" i="17" s="1"/>
  <c r="E177" i="17" l="1"/>
  <c r="F177" i="17" s="1" a="1"/>
  <c r="F177" i="17" s="1"/>
  <c r="E178" i="17" l="1"/>
  <c r="F178" i="17" s="1" a="1"/>
  <c r="F178" i="17" s="1"/>
  <c r="E179" i="17" l="1"/>
  <c r="F179" i="17" s="1" a="1"/>
  <c r="F179" i="17" s="1"/>
  <c r="E180" i="17" l="1"/>
  <c r="F180" i="17" s="1" a="1"/>
  <c r="F180" i="17" s="1"/>
  <c r="E181" i="17" l="1"/>
  <c r="F181" i="17" s="1" a="1"/>
  <c r="F181" i="17" s="1"/>
  <c r="E182" i="17" l="1"/>
  <c r="F182" i="17" s="1" a="1"/>
  <c r="F182" i="17" s="1"/>
  <c r="E183" i="17" l="1"/>
  <c r="F183" i="17" s="1" a="1"/>
  <c r="F183" i="17" s="1"/>
  <c r="E184" i="17" l="1"/>
  <c r="F184" i="17" s="1" a="1"/>
  <c r="F184" i="17" s="1"/>
  <c r="E185" i="17" l="1"/>
  <c r="F185" i="17" s="1" a="1"/>
  <c r="F185" i="17" s="1"/>
  <c r="E186" i="17" l="1"/>
  <c r="F186" i="17" s="1" a="1"/>
  <c r="F186" i="17" s="1"/>
  <c r="E187" i="17" l="1"/>
  <c r="F187" i="17" s="1" a="1"/>
  <c r="F187" i="17" s="1"/>
  <c r="E188" i="17" l="1"/>
  <c r="F188" i="17" s="1" a="1"/>
  <c r="F188" i="17" s="1"/>
  <c r="E189" i="17" l="1"/>
  <c r="F189" i="17" s="1" a="1"/>
  <c r="F189" i="17" s="1"/>
  <c r="E190" i="17" l="1"/>
  <c r="F190" i="17" s="1" a="1"/>
  <c r="F190" i="17" s="1"/>
  <c r="E191" i="17" l="1"/>
  <c r="F191" i="17" s="1" a="1"/>
  <c r="F191" i="17" s="1"/>
  <c r="E192" i="17" l="1"/>
  <c r="F192" i="17" s="1" a="1"/>
  <c r="F192" i="17" s="1"/>
  <c r="E193" i="17" l="1"/>
  <c r="F193" i="17" s="1" a="1"/>
  <c r="F193" i="17" s="1"/>
  <c r="E194" i="17" l="1"/>
  <c r="F194" i="17" s="1" a="1"/>
  <c r="F194" i="17" s="1"/>
  <c r="E195" i="17" l="1"/>
  <c r="F195" i="17" s="1" a="1"/>
  <c r="F195" i="17" s="1"/>
  <c r="E196" i="17" l="1"/>
  <c r="F196" i="17" s="1" a="1"/>
  <c r="F196" i="17" s="1"/>
  <c r="E197" i="17" l="1"/>
  <c r="F197" i="17" s="1" a="1"/>
  <c r="F197" i="17" s="1"/>
  <c r="E198" i="17" l="1"/>
  <c r="F198" i="17" s="1" a="1"/>
  <c r="F198" i="17" s="1"/>
  <c r="E199" i="17" l="1"/>
  <c r="F199" i="17" s="1" a="1"/>
  <c r="F199" i="17" s="1"/>
  <c r="E200" i="17" l="1"/>
  <c r="F200" i="17" s="1" a="1"/>
  <c r="F200" i="17" s="1"/>
  <c r="E201" i="17" l="1"/>
  <c r="F201" i="17" s="1" a="1"/>
  <c r="F201" i="17" s="1"/>
  <c r="E202" i="17" l="1"/>
  <c r="F202" i="17" s="1" a="1"/>
  <c r="F202" i="17" s="1"/>
  <c r="E203" i="17" l="1"/>
  <c r="F203" i="17" s="1" a="1"/>
  <c r="F203" i="17" s="1"/>
  <c r="E204" i="17" l="1"/>
  <c r="F204" i="17" s="1" a="1"/>
  <c r="F204" i="17" s="1"/>
  <c r="E205" i="17" l="1"/>
  <c r="F205" i="17" s="1" a="1"/>
  <c r="F205" i="17" s="1"/>
  <c r="E206" i="17" l="1"/>
  <c r="F206" i="17" s="1" a="1"/>
  <c r="F206" i="17" s="1"/>
  <c r="E207" i="17" l="1"/>
  <c r="F207" i="17" s="1" a="1"/>
  <c r="F207" i="17" s="1"/>
  <c r="E208" i="17" l="1"/>
  <c r="F208" i="17" s="1" a="1"/>
  <c r="F208" i="17" s="1"/>
  <c r="E209" i="17" l="1"/>
  <c r="F209" i="17" s="1" a="1"/>
  <c r="F209" i="17" s="1"/>
  <c r="E210" i="17" l="1"/>
  <c r="F210" i="17" s="1" a="1"/>
  <c r="F210" i="17" s="1"/>
  <c r="E211" i="17" l="1"/>
  <c r="F211" i="17" s="1" a="1"/>
  <c r="F211" i="17" s="1"/>
  <c r="E212" i="17" l="1"/>
  <c r="F212" i="17" s="1" a="1"/>
  <c r="F212" i="17" s="1"/>
  <c r="E213" i="17" l="1"/>
  <c r="F213" i="17" s="1" a="1"/>
  <c r="F213" i="17" s="1"/>
  <c r="E214" i="17" l="1"/>
  <c r="F214" i="17" s="1" a="1"/>
  <c r="F214" i="17" s="1"/>
  <c r="E215" i="17" l="1"/>
  <c r="F215" i="17" s="1" a="1"/>
  <c r="F215" i="17" s="1"/>
  <c r="E216" i="17" l="1"/>
  <c r="F216" i="17" s="1" a="1"/>
  <c r="F216" i="17" s="1"/>
  <c r="E217" i="17" l="1"/>
  <c r="F217" i="17" s="1" a="1"/>
  <c r="F217" i="17" s="1"/>
  <c r="E218" i="17" l="1"/>
  <c r="F218" i="17" s="1" a="1"/>
  <c r="F218" i="17" s="1"/>
  <c r="E219" i="17" l="1"/>
  <c r="F219" i="17" s="1" a="1"/>
  <c r="F219" i="17" s="1"/>
  <c r="E220" i="17" l="1"/>
  <c r="F220" i="17" s="1" a="1"/>
  <c r="F220" i="17" s="1"/>
  <c r="E221" i="17" l="1"/>
  <c r="F221" i="17" s="1" a="1"/>
  <c r="F221" i="17" s="1"/>
  <c r="E222" i="17" l="1"/>
  <c r="F222" i="17" s="1" a="1"/>
  <c r="F222" i="17" s="1"/>
  <c r="E223" i="17" l="1"/>
  <c r="F223" i="17" s="1" a="1"/>
  <c r="F223" i="17" s="1"/>
  <c r="E224" i="17" l="1"/>
  <c r="F224" i="17" s="1" a="1"/>
  <c r="F224" i="17" s="1"/>
  <c r="E225" i="17" l="1"/>
  <c r="F225" i="17" s="1" a="1"/>
  <c r="F225" i="17" s="1"/>
  <c r="E226" i="17" l="1"/>
  <c r="F226" i="17" s="1" a="1"/>
  <c r="F226" i="17" s="1"/>
  <c r="E227" i="17" l="1"/>
  <c r="F227" i="17" s="1" a="1"/>
  <c r="F227" i="17" s="1"/>
  <c r="E228" i="17" l="1"/>
  <c r="F228" i="17" s="1" a="1"/>
  <c r="F228" i="17" s="1"/>
  <c r="E229" i="17" l="1"/>
  <c r="F229" i="17" s="1" a="1"/>
  <c r="F229" i="17" s="1"/>
  <c r="E230" i="17" l="1"/>
  <c r="F230" i="17" s="1" a="1"/>
  <c r="F230" i="17" s="1"/>
  <c r="E231" i="17" l="1"/>
  <c r="F231" i="17" s="1" a="1"/>
  <c r="F231" i="17" s="1"/>
  <c r="E232" i="17" l="1"/>
  <c r="F232" i="17" s="1" a="1"/>
  <c r="F232" i="17" s="1"/>
  <c r="E233" i="17" l="1"/>
  <c r="F233" i="17" s="1" a="1"/>
  <c r="F233" i="17" s="1"/>
  <c r="E234" i="17" l="1"/>
  <c r="F234" i="17" s="1" a="1"/>
  <c r="F234" i="17" s="1"/>
  <c r="E235" i="17" l="1"/>
  <c r="F235" i="17" s="1" a="1"/>
  <c r="F235" i="17" s="1"/>
  <c r="E236" i="17" l="1"/>
  <c r="F236" i="17" s="1" a="1"/>
  <c r="F236" i="17" s="1"/>
  <c r="E237" i="17" l="1"/>
  <c r="F237" i="17" s="1" a="1"/>
  <c r="F237" i="17" s="1"/>
  <c r="E238" i="17" l="1"/>
  <c r="F238" i="17" s="1" a="1"/>
  <c r="F238" i="17" s="1"/>
  <c r="E239" i="17" l="1"/>
  <c r="F239" i="17" s="1" a="1"/>
  <c r="F239" i="17" s="1"/>
  <c r="E240" i="17" l="1"/>
  <c r="F240" i="17" s="1" a="1"/>
  <c r="F240" i="17" s="1"/>
  <c r="E241" i="17" l="1"/>
  <c r="F241" i="17" s="1" a="1"/>
  <c r="F241" i="17" s="1"/>
  <c r="E242" i="17" l="1"/>
  <c r="F242" i="17" s="1" a="1"/>
  <c r="F242" i="17" s="1"/>
  <c r="E243" i="17" l="1"/>
  <c r="F243" i="17" s="1" a="1"/>
  <c r="F243" i="17" s="1"/>
  <c r="E244" i="17" l="1"/>
  <c r="F244" i="17" s="1" a="1"/>
  <c r="F244" i="17" s="1"/>
  <c r="E245" i="17" l="1"/>
  <c r="F245" i="17" s="1" a="1"/>
  <c r="F245" i="17" s="1"/>
  <c r="E246" i="17" l="1"/>
  <c r="F246" i="17" s="1" a="1"/>
  <c r="F246" i="17" s="1"/>
  <c r="E247" i="17" l="1"/>
  <c r="F247" i="17" s="1" a="1"/>
  <c r="F247" i="17" s="1"/>
  <c r="E248" i="17" l="1"/>
  <c r="F248" i="17" s="1" a="1"/>
  <c r="F248" i="17" s="1"/>
  <c r="E249" i="17" l="1"/>
  <c r="F249" i="17" s="1" a="1"/>
  <c r="F249" i="17" s="1"/>
  <c r="E250" i="17" l="1"/>
  <c r="F250" i="17" s="1" a="1"/>
  <c r="F250" i="17" s="1"/>
  <c r="E251" i="17" l="1"/>
  <c r="F251" i="17" s="1" a="1"/>
  <c r="F251" i="17" s="1"/>
  <c r="E252" i="17" l="1"/>
  <c r="F252" i="17" s="1" a="1"/>
  <c r="F252" i="17" s="1"/>
  <c r="E253" i="17" l="1"/>
  <c r="F253" i="17" s="1" a="1"/>
  <c r="F253" i="17" s="1"/>
  <c r="E254" i="17" l="1"/>
  <c r="F254" i="17" s="1" a="1"/>
  <c r="F254" i="17" s="1"/>
  <c r="E255" i="17" l="1"/>
  <c r="F255" i="17" s="1" a="1"/>
  <c r="F255" i="17" s="1"/>
  <c r="E256" i="17" l="1"/>
  <c r="F256" i="17" s="1" a="1"/>
  <c r="F256" i="17" s="1"/>
  <c r="E257" i="17" l="1"/>
  <c r="F257" i="17" s="1" a="1"/>
  <c r="F257" i="17" s="1"/>
  <c r="E258" i="17" l="1"/>
  <c r="F258" i="17" s="1" a="1"/>
  <c r="F258" i="17" s="1"/>
  <c r="E259" i="17" l="1"/>
  <c r="F259" i="17" s="1" a="1"/>
  <c r="F259" i="17" s="1"/>
  <c r="E260" i="17" l="1"/>
  <c r="F260" i="17" s="1" a="1"/>
  <c r="F260" i="17" s="1"/>
  <c r="E261" i="17" l="1"/>
  <c r="F261" i="17" s="1" a="1"/>
  <c r="F261" i="17" s="1"/>
  <c r="E262" i="17" l="1"/>
  <c r="F262" i="17" s="1" a="1"/>
  <c r="F262" i="17" s="1"/>
  <c r="E263" i="17" l="1"/>
  <c r="F263" i="17" s="1" a="1"/>
  <c r="F263" i="17" s="1"/>
  <c r="E264" i="17" l="1"/>
  <c r="F264" i="17" s="1" a="1"/>
  <c r="F264" i="17" s="1"/>
  <c r="E265" i="17" l="1"/>
  <c r="F265" i="17" s="1" a="1"/>
  <c r="F265" i="17" s="1"/>
  <c r="E266" i="17" l="1"/>
  <c r="F266" i="17" s="1" a="1"/>
  <c r="F266" i="17" s="1"/>
  <c r="E267" i="17" l="1"/>
  <c r="F267" i="17" s="1" a="1"/>
  <c r="F267" i="17" s="1"/>
  <c r="E268" i="17" l="1"/>
  <c r="F268" i="17" s="1" a="1"/>
  <c r="F268" i="17" s="1"/>
  <c r="E269" i="17" l="1"/>
  <c r="F269" i="17" s="1" a="1"/>
  <c r="F269" i="17" s="1"/>
  <c r="E270" i="17" l="1"/>
  <c r="F270" i="17" s="1" a="1"/>
  <c r="F270" i="17" s="1"/>
  <c r="E271" i="17" l="1"/>
  <c r="F271" i="17" s="1" a="1"/>
  <c r="F271" i="17" s="1"/>
  <c r="E272" i="17" l="1"/>
  <c r="F272" i="17" s="1" a="1"/>
  <c r="F272" i="17" s="1"/>
  <c r="E273" i="17" l="1"/>
  <c r="F273" i="17" s="1" a="1"/>
  <c r="F273" i="17" s="1"/>
  <c r="E274" i="17" l="1"/>
  <c r="F274" i="17" s="1" a="1"/>
  <c r="F274" i="17" s="1"/>
  <c r="E275" i="17" l="1"/>
  <c r="F275" i="17" s="1" a="1"/>
  <c r="F275" i="17" s="1"/>
  <c r="E276" i="17" l="1"/>
  <c r="F276" i="17" s="1" a="1"/>
  <c r="F276" i="17" s="1"/>
  <c r="E277" i="17" l="1"/>
  <c r="F277" i="17" s="1" a="1"/>
  <c r="F277" i="17" s="1"/>
  <c r="E278" i="17" l="1"/>
  <c r="F278" i="17" s="1" a="1"/>
  <c r="F278" i="17" s="1"/>
  <c r="E279" i="17" l="1"/>
  <c r="F279" i="17" s="1" a="1"/>
  <c r="F279" i="17" s="1"/>
  <c r="E280" i="17" l="1"/>
  <c r="F280" i="17" s="1" a="1"/>
  <c r="F280" i="17" s="1"/>
  <c r="E281" i="17" l="1"/>
  <c r="F281" i="17" s="1" a="1"/>
  <c r="F281" i="17" s="1"/>
  <c r="E282" i="17" l="1"/>
  <c r="F282" i="17" s="1" a="1"/>
  <c r="F282" i="17" s="1"/>
  <c r="E283" i="17" l="1"/>
  <c r="F283" i="17" s="1" a="1"/>
  <c r="F283" i="17" s="1"/>
  <c r="E284" i="17" l="1"/>
  <c r="F284" i="17" s="1" a="1"/>
  <c r="F284" i="17" s="1"/>
  <c r="E285" i="17" l="1"/>
  <c r="F285" i="17" s="1" a="1"/>
  <c r="F285" i="17" s="1"/>
  <c r="E286" i="17" l="1"/>
  <c r="F286" i="17" s="1" a="1"/>
  <c r="F286" i="17" s="1"/>
  <c r="E287" i="17" l="1"/>
  <c r="F287" i="17" s="1" a="1"/>
  <c r="F287" i="17" s="1"/>
  <c r="E288" i="17" l="1"/>
  <c r="F288" i="17" s="1" a="1"/>
  <c r="F288" i="17" s="1"/>
  <c r="E289" i="17" l="1"/>
  <c r="F289" i="17" s="1" a="1"/>
  <c r="F289" i="17" s="1"/>
  <c r="E290" i="17" l="1"/>
  <c r="F290" i="17" s="1" a="1"/>
  <c r="F290" i="17" s="1"/>
  <c r="E291" i="17" l="1"/>
  <c r="F291" i="17" s="1" a="1"/>
  <c r="F291" i="17" s="1"/>
  <c r="E292" i="17" l="1"/>
  <c r="F292" i="17" s="1" a="1"/>
  <c r="F292" i="17" s="1"/>
  <c r="E293" i="17" l="1"/>
  <c r="F293" i="17" s="1" a="1"/>
  <c r="F293" i="17" s="1"/>
  <c r="E294" i="17" l="1"/>
  <c r="F294" i="17" s="1" a="1"/>
  <c r="F294" i="17" s="1"/>
  <c r="E295" i="17" l="1"/>
  <c r="F295" i="17" s="1" a="1"/>
  <c r="F295" i="17" s="1"/>
  <c r="E296" i="17" l="1"/>
  <c r="F296" i="17" s="1" a="1"/>
  <c r="F296" i="17" s="1"/>
  <c r="E297" i="17" l="1"/>
  <c r="F297" i="17" s="1" a="1"/>
  <c r="F297" i="17" s="1"/>
  <c r="E298" i="17" l="1"/>
  <c r="F298" i="17" s="1" a="1"/>
  <c r="F298" i="17" s="1"/>
  <c r="E299" i="17" l="1"/>
  <c r="F299" i="17" s="1" a="1"/>
  <c r="F299" i="17" s="1"/>
  <c r="E300" i="17" l="1"/>
  <c r="F300" i="17" s="1" a="1"/>
  <c r="F300" i="17" s="1"/>
  <c r="E301" i="17" l="1"/>
  <c r="F301" i="17" s="1" a="1"/>
  <c r="F301" i="17" s="1"/>
  <c r="E302" i="17" l="1"/>
  <c r="F302" i="17" s="1" a="1"/>
  <c r="F302" i="17" s="1"/>
  <c r="E303" i="17" l="1"/>
  <c r="F303" i="17" s="1" a="1"/>
  <c r="F303" i="17" s="1"/>
  <c r="E304" i="17" l="1"/>
  <c r="F304" i="17" s="1" a="1"/>
  <c r="F304" i="17" s="1"/>
  <c r="E305" i="17" l="1"/>
  <c r="F305" i="17" s="1" a="1"/>
  <c r="F305" i="17" s="1"/>
  <c r="E306" i="17" l="1"/>
  <c r="F306" i="17" s="1" a="1"/>
  <c r="F306" i="17" s="1"/>
  <c r="E307" i="17" l="1"/>
  <c r="F307" i="17" s="1" a="1"/>
  <c r="F307" i="17" s="1"/>
  <c r="E308" i="17" l="1"/>
  <c r="F308" i="17" s="1" a="1"/>
  <c r="F308" i="17" s="1"/>
  <c r="E309" i="17" l="1"/>
  <c r="F309" i="17" s="1" a="1"/>
  <c r="F309" i="17" s="1"/>
  <c r="E310" i="17" l="1"/>
  <c r="F310" i="17" s="1" a="1"/>
  <c r="F310" i="17" s="1"/>
  <c r="E311" i="17" l="1"/>
  <c r="F311" i="17" s="1" a="1"/>
  <c r="F311" i="17" s="1"/>
  <c r="E312" i="17" l="1"/>
  <c r="F312" i="17" s="1" a="1"/>
  <c r="F312" i="17" s="1"/>
  <c r="E313" i="17" l="1"/>
  <c r="F313" i="17" s="1" a="1"/>
  <c r="F313" i="17" s="1"/>
  <c r="E314" i="17" l="1"/>
  <c r="F314" i="17" s="1" a="1"/>
  <c r="F314" i="17" s="1"/>
  <c r="E315" i="17" l="1"/>
  <c r="F315" i="17" s="1" a="1"/>
  <c r="F315" i="17" s="1"/>
  <c r="E316" i="17" l="1"/>
  <c r="F316" i="17" s="1" a="1"/>
  <c r="F316" i="17" s="1"/>
  <c r="E317" i="17" l="1"/>
  <c r="F317" i="17" s="1" a="1"/>
  <c r="F317" i="17" s="1"/>
  <c r="E318" i="17" l="1"/>
  <c r="F318" i="17" s="1" a="1"/>
  <c r="F318" i="17" s="1"/>
  <c r="E319" i="17" l="1"/>
  <c r="F319" i="17" s="1" a="1"/>
  <c r="F319" i="17" s="1"/>
  <c r="E320" i="17" l="1"/>
  <c r="F320" i="17" s="1" a="1"/>
  <c r="F320" i="17" s="1"/>
  <c r="E321" i="17" l="1"/>
  <c r="F321" i="17" s="1" a="1"/>
  <c r="F321" i="17" s="1"/>
  <c r="E322" i="17" l="1"/>
  <c r="F322" i="17" s="1" a="1"/>
  <c r="F322" i="17" s="1"/>
  <c r="E323" i="17" l="1"/>
  <c r="F323" i="17" s="1" a="1"/>
  <c r="F323" i="17" s="1"/>
  <c r="E324" i="17" l="1"/>
  <c r="F324" i="17" s="1" a="1"/>
  <c r="F324" i="17" s="1"/>
  <c r="E325" i="17" l="1"/>
  <c r="F325" i="17" s="1" a="1"/>
  <c r="F325" i="17" s="1"/>
  <c r="E326" i="17" l="1"/>
  <c r="F326" i="17" s="1" a="1"/>
  <c r="F326" i="17" s="1"/>
  <c r="E327" i="17" l="1"/>
  <c r="F327" i="17" s="1" a="1"/>
  <c r="F327" i="17" s="1"/>
  <c r="E328" i="17" l="1"/>
  <c r="F328" i="17" s="1" a="1"/>
  <c r="F328" i="17" s="1"/>
  <c r="E329" i="17" l="1"/>
  <c r="F329" i="17" s="1" a="1"/>
  <c r="F329" i="17" s="1"/>
  <c r="E330" i="17" l="1"/>
  <c r="F330" i="17" s="1" a="1"/>
  <c r="F330" i="17" s="1"/>
  <c r="E331" i="17" l="1"/>
  <c r="F331" i="17" s="1" a="1"/>
  <c r="F331" i="17" s="1"/>
  <c r="E332" i="17" l="1"/>
  <c r="F332" i="17" s="1" a="1"/>
  <c r="F332" i="17" s="1"/>
  <c r="E333" i="17" l="1"/>
  <c r="F333" i="17" s="1" a="1"/>
  <c r="F333" i="17" s="1"/>
  <c r="E334" i="17" l="1"/>
  <c r="F334" i="17" s="1" a="1"/>
  <c r="F334" i="17" s="1"/>
  <c r="E335" i="17" l="1"/>
  <c r="F335" i="17" s="1" a="1"/>
  <c r="F335" i="17" s="1"/>
  <c r="E336" i="17" l="1"/>
  <c r="F336" i="17" s="1" a="1"/>
  <c r="F336" i="17" s="1"/>
  <c r="E337" i="17" l="1"/>
  <c r="F337" i="17" s="1" a="1"/>
  <c r="F337" i="17" s="1"/>
  <c r="E338" i="17" l="1"/>
  <c r="F338" i="17" s="1" a="1"/>
  <c r="F338" i="17" s="1"/>
  <c r="E339" i="17" l="1"/>
  <c r="F339" i="17" s="1" a="1"/>
  <c r="F339" i="17" s="1"/>
  <c r="E340" i="17" l="1"/>
  <c r="F340" i="17" s="1" a="1"/>
  <c r="F340" i="17" s="1"/>
  <c r="E341" i="17" l="1"/>
  <c r="F341" i="17" s="1" a="1"/>
  <c r="F341" i="17" s="1"/>
  <c r="E342" i="17" l="1"/>
  <c r="F342" i="17" s="1" a="1"/>
  <c r="F342" i="17" s="1"/>
  <c r="E343" i="17" l="1"/>
  <c r="F343" i="17" s="1" a="1"/>
  <c r="F343" i="17" s="1"/>
  <c r="E344" i="17" l="1"/>
  <c r="F344" i="17" s="1" a="1"/>
  <c r="F344" i="17" s="1"/>
  <c r="E345" i="17" l="1"/>
  <c r="F345" i="17" s="1" a="1"/>
  <c r="F345" i="17" s="1"/>
  <c r="E346" i="17" l="1"/>
  <c r="F346" i="17" s="1" a="1"/>
  <c r="F346" i="17" s="1"/>
  <c r="E347" i="17" l="1"/>
  <c r="F347" i="17" s="1" a="1"/>
  <c r="F347" i="17" s="1"/>
  <c r="E348" i="17" l="1"/>
  <c r="F348" i="17" s="1" a="1"/>
  <c r="F348" i="17" s="1"/>
  <c r="E349" i="17" l="1"/>
  <c r="F349" i="17" s="1" a="1"/>
  <c r="F349" i="17" s="1"/>
  <c r="E350" i="17" l="1"/>
  <c r="F350" i="17" s="1" a="1"/>
  <c r="F350" i="17" s="1"/>
  <c r="E351" i="17" l="1"/>
  <c r="F351" i="17" s="1" a="1"/>
  <c r="F351" i="17" s="1"/>
  <c r="E352" i="17" l="1"/>
  <c r="F352" i="17" s="1" a="1"/>
  <c r="F352" i="17" s="1"/>
  <c r="E353" i="17" l="1"/>
  <c r="F353" i="17" s="1" a="1"/>
  <c r="F353" i="17" s="1"/>
  <c r="E354" i="17" l="1"/>
  <c r="F354" i="17" s="1" a="1"/>
  <c r="F354" i="17" s="1"/>
  <c r="E355" i="17" l="1"/>
  <c r="F355" i="17" s="1" a="1"/>
  <c r="F355" i="17" s="1"/>
  <c r="E356" i="17" l="1"/>
  <c r="F356" i="17" s="1" a="1"/>
  <c r="F356" i="17" s="1"/>
  <c r="E357" i="17" l="1"/>
  <c r="F357" i="17" s="1" a="1"/>
  <c r="F357" i="17" s="1"/>
  <c r="E358" i="17" l="1"/>
  <c r="F358" i="17" s="1" a="1"/>
  <c r="F358" i="17" s="1"/>
  <c r="E6" i="17" l="1"/>
  <c r="AT41" i="2" l="1"/>
  <c r="BK1" i="2"/>
  <c r="AT1" i="2"/>
  <c r="AU1" i="2"/>
  <c r="AV1" i="2"/>
  <c r="AW1" i="2"/>
  <c r="AX1" i="2"/>
  <c r="AY1" i="2"/>
  <c r="AZ1" i="2"/>
  <c r="BA1" i="2"/>
  <c r="BB1" i="2"/>
  <c r="BC1" i="2"/>
  <c r="BD1" i="2"/>
  <c r="BE1" i="2"/>
  <c r="BF1" i="2"/>
  <c r="BG1" i="2"/>
  <c r="BH1" i="2"/>
  <c r="BI1" i="2"/>
  <c r="BJ1" i="2"/>
  <c r="AS1" i="2"/>
  <c r="AR32" i="2"/>
  <c r="AR36" i="2" s="1"/>
  <c r="AT34" i="2"/>
  <c r="AU34" i="2" s="1"/>
  <c r="AV34" i="2" s="1"/>
  <c r="AT31" i="2"/>
  <c r="AU31" i="2"/>
  <c r="AV31" i="2"/>
  <c r="AW31" i="2"/>
  <c r="AX31" i="2"/>
  <c r="AY31" i="2"/>
  <c r="AZ31" i="2"/>
  <c r="BA31" i="2"/>
  <c r="BB31" i="2"/>
  <c r="BC31" i="2"/>
  <c r="BD31" i="2"/>
  <c r="BE31" i="2"/>
  <c r="BF31" i="2"/>
  <c r="BG31" i="2"/>
  <c r="BH31" i="2"/>
  <c r="BI31" i="2"/>
  <c r="BJ31" i="2"/>
  <c r="BK31" i="2"/>
  <c r="AS31" i="2"/>
  <c r="AS5" i="2"/>
  <c r="AT5" i="2"/>
  <c r="AU5" i="2"/>
  <c r="AV5" i="2"/>
  <c r="AW5" i="2"/>
  <c r="AX5" i="2"/>
  <c r="AY5" i="2"/>
  <c r="AZ5" i="2"/>
  <c r="BA5" i="2"/>
  <c r="BB5" i="2"/>
  <c r="BC5" i="2"/>
  <c r="BD5" i="2"/>
  <c r="BE5" i="2"/>
  <c r="BF5" i="2"/>
  <c r="BG5" i="2"/>
  <c r="BH5" i="2"/>
  <c r="BI5" i="2"/>
  <c r="BJ5" i="2"/>
  <c r="BM5" i="2"/>
  <c r="AS6" i="2"/>
  <c r="AT6" i="2"/>
  <c r="AU6" i="2"/>
  <c r="AV6" i="2"/>
  <c r="AW6" i="2"/>
  <c r="AX6" i="2"/>
  <c r="AY6" i="2"/>
  <c r="AZ6" i="2"/>
  <c r="BA6" i="2"/>
  <c r="BB6" i="2"/>
  <c r="BC6" i="2"/>
  <c r="BD6" i="2"/>
  <c r="BE6" i="2"/>
  <c r="BF6" i="2"/>
  <c r="BG6" i="2"/>
  <c r="BH6" i="2"/>
  <c r="BI6" i="2"/>
  <c r="BJ6" i="2"/>
  <c r="BM6" i="2"/>
  <c r="AS7" i="2"/>
  <c r="AT7" i="2"/>
  <c r="AU7" i="2"/>
  <c r="AV7" i="2"/>
  <c r="AW7" i="2"/>
  <c r="AX7" i="2"/>
  <c r="AY7" i="2"/>
  <c r="AZ7" i="2"/>
  <c r="BA7" i="2"/>
  <c r="BB7" i="2"/>
  <c r="BC7" i="2"/>
  <c r="BD7" i="2"/>
  <c r="BE7" i="2"/>
  <c r="BF7" i="2"/>
  <c r="BG7" i="2"/>
  <c r="BH7" i="2"/>
  <c r="BI7" i="2"/>
  <c r="BJ7" i="2"/>
  <c r="BM7" i="2"/>
  <c r="AS8" i="2"/>
  <c r="AT8" i="2"/>
  <c r="AU8" i="2"/>
  <c r="AV8" i="2"/>
  <c r="AW8" i="2"/>
  <c r="AX8" i="2"/>
  <c r="AY8" i="2"/>
  <c r="AZ8" i="2"/>
  <c r="BA8" i="2"/>
  <c r="BB8" i="2"/>
  <c r="BC8" i="2"/>
  <c r="BD8" i="2"/>
  <c r="BE8" i="2"/>
  <c r="BF8" i="2"/>
  <c r="BG8" i="2"/>
  <c r="BH8" i="2"/>
  <c r="BI8" i="2"/>
  <c r="BJ8" i="2"/>
  <c r="BM8" i="2"/>
  <c r="AS9" i="2"/>
  <c r="AT9" i="2"/>
  <c r="AU9" i="2"/>
  <c r="AV9" i="2"/>
  <c r="AW9" i="2"/>
  <c r="AX9" i="2"/>
  <c r="AY9" i="2"/>
  <c r="AZ9" i="2"/>
  <c r="BA9" i="2"/>
  <c r="BB9" i="2"/>
  <c r="BC9" i="2"/>
  <c r="BD9" i="2"/>
  <c r="BE9" i="2"/>
  <c r="BF9" i="2"/>
  <c r="BG9" i="2"/>
  <c r="BH9" i="2"/>
  <c r="BI9" i="2"/>
  <c r="BJ9" i="2"/>
  <c r="BM9" i="2"/>
  <c r="AS10" i="2"/>
  <c r="AT10" i="2"/>
  <c r="AU10" i="2"/>
  <c r="AV10" i="2"/>
  <c r="AW10" i="2"/>
  <c r="AX10" i="2"/>
  <c r="AY10" i="2"/>
  <c r="AZ10" i="2"/>
  <c r="BA10" i="2"/>
  <c r="BB10" i="2"/>
  <c r="BC10" i="2"/>
  <c r="BD10" i="2"/>
  <c r="BE10" i="2"/>
  <c r="BF10" i="2"/>
  <c r="BG10" i="2"/>
  <c r="BH10" i="2"/>
  <c r="BI10" i="2"/>
  <c r="BJ10" i="2"/>
  <c r="BM10" i="2"/>
  <c r="AS11" i="2"/>
  <c r="AT11" i="2"/>
  <c r="AU11" i="2"/>
  <c r="AV11" i="2"/>
  <c r="AW11" i="2"/>
  <c r="AX11" i="2"/>
  <c r="AY11" i="2"/>
  <c r="AZ11" i="2"/>
  <c r="BA11" i="2"/>
  <c r="BB11" i="2"/>
  <c r="BC11" i="2"/>
  <c r="BD11" i="2"/>
  <c r="BE11" i="2"/>
  <c r="BF11" i="2"/>
  <c r="BG11" i="2"/>
  <c r="BH11" i="2"/>
  <c r="BI11" i="2"/>
  <c r="BJ11" i="2"/>
  <c r="BM11" i="2"/>
  <c r="AS12" i="2"/>
  <c r="AT12" i="2"/>
  <c r="AU12" i="2"/>
  <c r="AV12" i="2"/>
  <c r="AW12" i="2"/>
  <c r="AX12" i="2"/>
  <c r="AY12" i="2"/>
  <c r="AZ12" i="2"/>
  <c r="BA12" i="2"/>
  <c r="BB12" i="2"/>
  <c r="BC12" i="2"/>
  <c r="BD12" i="2"/>
  <c r="BE12" i="2"/>
  <c r="BF12" i="2"/>
  <c r="BG12" i="2"/>
  <c r="BH12" i="2"/>
  <c r="BI12" i="2"/>
  <c r="BJ12" i="2"/>
  <c r="BM12" i="2"/>
  <c r="AS13" i="2"/>
  <c r="AT13" i="2"/>
  <c r="AU13" i="2"/>
  <c r="AV13" i="2"/>
  <c r="AW13" i="2"/>
  <c r="AX13" i="2"/>
  <c r="AY13" i="2"/>
  <c r="AZ13" i="2"/>
  <c r="BA13" i="2"/>
  <c r="BB13" i="2"/>
  <c r="BC13" i="2"/>
  <c r="BD13" i="2"/>
  <c r="BE13" i="2"/>
  <c r="BF13" i="2"/>
  <c r="BG13" i="2"/>
  <c r="BH13" i="2"/>
  <c r="BI13" i="2"/>
  <c r="BJ13" i="2"/>
  <c r="BM13" i="2"/>
  <c r="AS14" i="2"/>
  <c r="AT14" i="2"/>
  <c r="AU14" i="2"/>
  <c r="AV14" i="2"/>
  <c r="AW14" i="2"/>
  <c r="AX14" i="2"/>
  <c r="AY14" i="2"/>
  <c r="AZ14" i="2"/>
  <c r="BA14" i="2"/>
  <c r="BB14" i="2"/>
  <c r="BC14" i="2"/>
  <c r="BD14" i="2"/>
  <c r="BE14" i="2"/>
  <c r="BF14" i="2"/>
  <c r="BG14" i="2"/>
  <c r="BH14" i="2"/>
  <c r="BI14" i="2"/>
  <c r="BJ14" i="2"/>
  <c r="BM14" i="2"/>
  <c r="AS15" i="2"/>
  <c r="AT15" i="2"/>
  <c r="AU15" i="2"/>
  <c r="AV15" i="2"/>
  <c r="AW15" i="2"/>
  <c r="AX15" i="2"/>
  <c r="AY15" i="2"/>
  <c r="AZ15" i="2"/>
  <c r="BA15" i="2"/>
  <c r="BB15" i="2"/>
  <c r="BC15" i="2"/>
  <c r="BD15" i="2"/>
  <c r="BE15" i="2"/>
  <c r="BF15" i="2"/>
  <c r="BG15" i="2"/>
  <c r="BH15" i="2"/>
  <c r="BI15" i="2"/>
  <c r="BJ15" i="2"/>
  <c r="BM15" i="2"/>
  <c r="AS16" i="2"/>
  <c r="AT16" i="2"/>
  <c r="AU16" i="2"/>
  <c r="AV16" i="2"/>
  <c r="AW16" i="2"/>
  <c r="AX16" i="2"/>
  <c r="AY16" i="2"/>
  <c r="AZ16" i="2"/>
  <c r="BA16" i="2"/>
  <c r="BB16" i="2"/>
  <c r="BC16" i="2"/>
  <c r="BD16" i="2"/>
  <c r="BE16" i="2"/>
  <c r="BF16" i="2"/>
  <c r="BG16" i="2"/>
  <c r="BH16" i="2"/>
  <c r="BI16" i="2"/>
  <c r="BJ16" i="2"/>
  <c r="BM16" i="2"/>
  <c r="AS17" i="2"/>
  <c r="AT17" i="2"/>
  <c r="AU17" i="2"/>
  <c r="AV17" i="2"/>
  <c r="AW17" i="2"/>
  <c r="AX17" i="2"/>
  <c r="AY17" i="2"/>
  <c r="AZ17" i="2"/>
  <c r="BA17" i="2"/>
  <c r="BB17" i="2"/>
  <c r="BC17" i="2"/>
  <c r="BD17" i="2"/>
  <c r="BE17" i="2"/>
  <c r="BF17" i="2"/>
  <c r="BG17" i="2"/>
  <c r="BH17" i="2"/>
  <c r="BI17" i="2"/>
  <c r="BJ17" i="2"/>
  <c r="BM17" i="2"/>
  <c r="AS18" i="2"/>
  <c r="AT18" i="2"/>
  <c r="AU18" i="2"/>
  <c r="AV18" i="2"/>
  <c r="AW18" i="2"/>
  <c r="AX18" i="2"/>
  <c r="AY18" i="2"/>
  <c r="AZ18" i="2"/>
  <c r="BA18" i="2"/>
  <c r="BB18" i="2"/>
  <c r="BC18" i="2"/>
  <c r="BD18" i="2"/>
  <c r="BE18" i="2"/>
  <c r="BF18" i="2"/>
  <c r="BG18" i="2"/>
  <c r="BH18" i="2"/>
  <c r="BI18" i="2"/>
  <c r="BJ18" i="2"/>
  <c r="BM18" i="2"/>
  <c r="AS19" i="2"/>
  <c r="AT19" i="2"/>
  <c r="AU19" i="2"/>
  <c r="AV19" i="2"/>
  <c r="AW19" i="2"/>
  <c r="AX19" i="2"/>
  <c r="AY19" i="2"/>
  <c r="AZ19" i="2"/>
  <c r="BA19" i="2"/>
  <c r="BB19" i="2"/>
  <c r="BC19" i="2"/>
  <c r="BD19" i="2"/>
  <c r="BE19" i="2"/>
  <c r="BF19" i="2"/>
  <c r="BG19" i="2"/>
  <c r="BH19" i="2"/>
  <c r="BI19" i="2"/>
  <c r="BJ19" i="2"/>
  <c r="BM19" i="2"/>
  <c r="AS20" i="2"/>
  <c r="AT20" i="2"/>
  <c r="AU20" i="2"/>
  <c r="AV20" i="2"/>
  <c r="AW20" i="2"/>
  <c r="AX20" i="2"/>
  <c r="AY20" i="2"/>
  <c r="AZ20" i="2"/>
  <c r="BA20" i="2"/>
  <c r="BB20" i="2"/>
  <c r="BC20" i="2"/>
  <c r="BD20" i="2"/>
  <c r="BE20" i="2"/>
  <c r="BF20" i="2"/>
  <c r="BG20" i="2"/>
  <c r="BH20" i="2"/>
  <c r="BI20" i="2"/>
  <c r="BJ20" i="2"/>
  <c r="BM20" i="2"/>
  <c r="AS21" i="2"/>
  <c r="AT21" i="2"/>
  <c r="AU21" i="2"/>
  <c r="AV21" i="2"/>
  <c r="AW21" i="2"/>
  <c r="AX21" i="2"/>
  <c r="AY21" i="2"/>
  <c r="AZ21" i="2"/>
  <c r="BA21" i="2"/>
  <c r="BB21" i="2"/>
  <c r="BC21" i="2"/>
  <c r="BD21" i="2"/>
  <c r="BE21" i="2"/>
  <c r="BF21" i="2"/>
  <c r="BG21" i="2"/>
  <c r="BH21" i="2"/>
  <c r="BI21" i="2"/>
  <c r="BJ21" i="2"/>
  <c r="BM21" i="2"/>
  <c r="AS22" i="2"/>
  <c r="AT22" i="2"/>
  <c r="AU22" i="2"/>
  <c r="AV22" i="2"/>
  <c r="AW22" i="2"/>
  <c r="AX22" i="2"/>
  <c r="AY22" i="2"/>
  <c r="AZ22" i="2"/>
  <c r="BA22" i="2"/>
  <c r="BB22" i="2"/>
  <c r="BC22" i="2"/>
  <c r="BD22" i="2"/>
  <c r="BE22" i="2"/>
  <c r="BF22" i="2"/>
  <c r="BG22" i="2"/>
  <c r="BH22" i="2"/>
  <c r="BI22" i="2"/>
  <c r="BJ22" i="2"/>
  <c r="BM22" i="2"/>
  <c r="AS23" i="2"/>
  <c r="AT23" i="2"/>
  <c r="AU23" i="2"/>
  <c r="AV23" i="2"/>
  <c r="AW23" i="2"/>
  <c r="AX23" i="2"/>
  <c r="AY23" i="2"/>
  <c r="AZ23" i="2"/>
  <c r="BA23" i="2"/>
  <c r="BB23" i="2"/>
  <c r="BC23" i="2"/>
  <c r="BD23" i="2"/>
  <c r="BE23" i="2"/>
  <c r="BF23" i="2"/>
  <c r="BG23" i="2"/>
  <c r="BH23" i="2"/>
  <c r="BI23" i="2"/>
  <c r="BJ23" i="2"/>
  <c r="BM23" i="2"/>
  <c r="AS24" i="2"/>
  <c r="AT24" i="2"/>
  <c r="AU24" i="2"/>
  <c r="AV24" i="2"/>
  <c r="AW24" i="2"/>
  <c r="AX24" i="2"/>
  <c r="AY24" i="2"/>
  <c r="AZ24" i="2"/>
  <c r="BA24" i="2"/>
  <c r="BB24" i="2"/>
  <c r="BC24" i="2"/>
  <c r="BD24" i="2"/>
  <c r="BE24" i="2"/>
  <c r="BF24" i="2"/>
  <c r="BG24" i="2"/>
  <c r="BH24" i="2"/>
  <c r="BI24" i="2"/>
  <c r="BJ24" i="2"/>
  <c r="BM24" i="2"/>
  <c r="AS25" i="2"/>
  <c r="AT25" i="2"/>
  <c r="AU25" i="2"/>
  <c r="AV25" i="2"/>
  <c r="AW25" i="2"/>
  <c r="AX25" i="2"/>
  <c r="AY25" i="2"/>
  <c r="AZ25" i="2"/>
  <c r="BA25" i="2"/>
  <c r="BB25" i="2"/>
  <c r="BC25" i="2"/>
  <c r="BD25" i="2"/>
  <c r="BE25" i="2"/>
  <c r="BF25" i="2"/>
  <c r="BG25" i="2"/>
  <c r="BH25" i="2"/>
  <c r="BI25" i="2"/>
  <c r="BJ25" i="2"/>
  <c r="BM25" i="2"/>
  <c r="AS26" i="2"/>
  <c r="AS32" i="2" s="1"/>
  <c r="AT26" i="2"/>
  <c r="AU26" i="2"/>
  <c r="AU32" i="2" s="1"/>
  <c r="AV26" i="2"/>
  <c r="AV32" i="2" s="1"/>
  <c r="AW26" i="2"/>
  <c r="AW32" i="2" s="1"/>
  <c r="AX26" i="2"/>
  <c r="AX32" i="2" s="1"/>
  <c r="AY26" i="2"/>
  <c r="AZ26" i="2"/>
  <c r="BA26" i="2"/>
  <c r="BA32" i="2" s="1"/>
  <c r="BB26" i="2"/>
  <c r="BC26" i="2"/>
  <c r="BC32" i="2" s="1"/>
  <c r="BD26" i="2"/>
  <c r="BD32" i="2" s="1"/>
  <c r="BE26" i="2"/>
  <c r="BE32" i="2" s="1"/>
  <c r="BF26" i="2"/>
  <c r="BF32" i="2" s="1"/>
  <c r="BG26" i="2"/>
  <c r="BH26" i="2"/>
  <c r="BI26" i="2"/>
  <c r="BI32" i="2" s="1"/>
  <c r="BJ26" i="2"/>
  <c r="BM26" i="2"/>
  <c r="BM4" i="2"/>
  <c r="AT4" i="2"/>
  <c r="AU4" i="2"/>
  <c r="AV4" i="2"/>
  <c r="AW4" i="2"/>
  <c r="AX4" i="2"/>
  <c r="AY4" i="2"/>
  <c r="AZ4" i="2"/>
  <c r="BA4" i="2"/>
  <c r="BB4" i="2"/>
  <c r="BC4" i="2"/>
  <c r="BD4" i="2"/>
  <c r="BE4" i="2"/>
  <c r="BF4" i="2"/>
  <c r="BG4" i="2"/>
  <c r="BH4" i="2"/>
  <c r="BI4" i="2"/>
  <c r="BJ4" i="2"/>
  <c r="AS4" i="2"/>
  <c r="BK25" i="2" l="1"/>
  <c r="BK19" i="2"/>
  <c r="BK23" i="2"/>
  <c r="BK20" i="2"/>
  <c r="BK18" i="2"/>
  <c r="BK10" i="2"/>
  <c r="BK22" i="2"/>
  <c r="AT40" i="2"/>
  <c r="AT42" i="2" s="1"/>
  <c r="BK21" i="2"/>
  <c r="AW34" i="2"/>
  <c r="BJ32" i="2"/>
  <c r="BB32" i="2"/>
  <c r="BK12" i="2"/>
  <c r="BH32" i="2"/>
  <c r="AZ32" i="2"/>
  <c r="BK24" i="2"/>
  <c r="BG32" i="2"/>
  <c r="AY32" i="2"/>
  <c r="AT32" i="2"/>
  <c r="BK26" i="2"/>
  <c r="BH30" i="2" s="1"/>
  <c r="BK14" i="2"/>
  <c r="BK4" i="2"/>
  <c r="AT30" i="2"/>
  <c r="BK16" i="2"/>
  <c r="BK8" i="2"/>
  <c r="BK6" i="2"/>
  <c r="BK17" i="2"/>
  <c r="BK15" i="2"/>
  <c r="BK13" i="2"/>
  <c r="BK11" i="2"/>
  <c r="BK9" i="2"/>
  <c r="BK7" i="2"/>
  <c r="BK5" i="2"/>
  <c r="BD30" i="2" l="1"/>
  <c r="AX30" i="2"/>
  <c r="BI30" i="2"/>
  <c r="AU30" i="2"/>
  <c r="BA30" i="2"/>
  <c r="AS30" i="2"/>
  <c r="AY30" i="2"/>
  <c r="BC30" i="2"/>
  <c r="BF30" i="2"/>
  <c r="AW30" i="2"/>
  <c r="AV30" i="2"/>
  <c r="BE30" i="2"/>
  <c r="AX34" i="2"/>
  <c r="BB30" i="2"/>
  <c r="BG30" i="2"/>
  <c r="BJ30" i="2"/>
  <c r="BK32" i="2"/>
  <c r="BM32" i="2" s="1"/>
  <c r="BK30" i="2"/>
  <c r="AZ30" i="2"/>
  <c r="BZ5" i="2"/>
  <c r="CA5" i="2"/>
  <c r="CB5" i="2"/>
  <c r="CC5" i="2"/>
  <c r="CD5" i="2"/>
  <c r="CE5" i="2"/>
  <c r="CF5" i="2"/>
  <c r="CG5" i="2"/>
  <c r="CH5" i="2"/>
  <c r="BZ6" i="2"/>
  <c r="CA6" i="2"/>
  <c r="CB6" i="2"/>
  <c r="CC6" i="2"/>
  <c r="CD6" i="2"/>
  <c r="CE6" i="2"/>
  <c r="CF6" i="2"/>
  <c r="CG6" i="2"/>
  <c r="CH6" i="2"/>
  <c r="BZ7" i="2"/>
  <c r="CA7" i="2"/>
  <c r="CB7" i="2"/>
  <c r="CC7" i="2"/>
  <c r="CD7" i="2"/>
  <c r="CE7" i="2"/>
  <c r="CF7" i="2"/>
  <c r="CG7" i="2"/>
  <c r="CH7" i="2"/>
  <c r="BZ8" i="2"/>
  <c r="CA8" i="2"/>
  <c r="CB8" i="2"/>
  <c r="CC8" i="2"/>
  <c r="CD8" i="2"/>
  <c r="CE8" i="2"/>
  <c r="CF8" i="2"/>
  <c r="CG8" i="2"/>
  <c r="CH8" i="2"/>
  <c r="BZ9" i="2"/>
  <c r="CA9" i="2"/>
  <c r="CB9" i="2"/>
  <c r="CC9" i="2"/>
  <c r="CD9" i="2"/>
  <c r="CE9" i="2"/>
  <c r="CF9" i="2"/>
  <c r="CG9" i="2"/>
  <c r="CH9" i="2"/>
  <c r="BZ10" i="2"/>
  <c r="CA10" i="2"/>
  <c r="CB10" i="2"/>
  <c r="CC10" i="2"/>
  <c r="CD10" i="2"/>
  <c r="CE10" i="2"/>
  <c r="CF10" i="2"/>
  <c r="CG10" i="2"/>
  <c r="CH10" i="2"/>
  <c r="BZ11" i="2"/>
  <c r="CA11" i="2"/>
  <c r="CB11" i="2"/>
  <c r="CC11" i="2"/>
  <c r="CD11" i="2"/>
  <c r="CE11" i="2"/>
  <c r="CF11" i="2"/>
  <c r="CG11" i="2"/>
  <c r="CH11" i="2"/>
  <c r="BZ12" i="2"/>
  <c r="CA12" i="2"/>
  <c r="CB12" i="2"/>
  <c r="CC12" i="2"/>
  <c r="CD12" i="2"/>
  <c r="CE12" i="2"/>
  <c r="CF12" i="2"/>
  <c r="CG12" i="2"/>
  <c r="CH12" i="2"/>
  <c r="BZ13" i="2"/>
  <c r="CA13" i="2"/>
  <c r="CB13" i="2"/>
  <c r="CC13" i="2"/>
  <c r="CD13" i="2"/>
  <c r="CE13" i="2"/>
  <c r="CF13" i="2"/>
  <c r="CG13" i="2"/>
  <c r="CH13" i="2"/>
  <c r="BZ14" i="2"/>
  <c r="CA14" i="2"/>
  <c r="CB14" i="2"/>
  <c r="CC14" i="2"/>
  <c r="CD14" i="2"/>
  <c r="CE14" i="2"/>
  <c r="CF14" i="2"/>
  <c r="CG14" i="2"/>
  <c r="CH14" i="2"/>
  <c r="BZ15" i="2"/>
  <c r="CA15" i="2"/>
  <c r="CB15" i="2"/>
  <c r="CC15" i="2"/>
  <c r="CD15" i="2"/>
  <c r="CE15" i="2"/>
  <c r="CF15" i="2"/>
  <c r="CG15" i="2"/>
  <c r="CH15" i="2"/>
  <c r="BZ16" i="2"/>
  <c r="CA16" i="2"/>
  <c r="CB16" i="2"/>
  <c r="CC16" i="2"/>
  <c r="CD16" i="2"/>
  <c r="CE16" i="2"/>
  <c r="CF16" i="2"/>
  <c r="CG16" i="2"/>
  <c r="CH16" i="2"/>
  <c r="BZ17" i="2"/>
  <c r="CA17" i="2"/>
  <c r="CB17" i="2"/>
  <c r="CC17" i="2"/>
  <c r="CD17" i="2"/>
  <c r="CE17" i="2"/>
  <c r="CF17" i="2"/>
  <c r="CG17" i="2"/>
  <c r="CH17" i="2"/>
  <c r="BZ18" i="2"/>
  <c r="CA18" i="2"/>
  <c r="CB18" i="2"/>
  <c r="CC18" i="2"/>
  <c r="CD18" i="2"/>
  <c r="CE18" i="2"/>
  <c r="CF18" i="2"/>
  <c r="CG18" i="2"/>
  <c r="CH18" i="2"/>
  <c r="BZ19" i="2"/>
  <c r="CA19" i="2"/>
  <c r="CB19" i="2"/>
  <c r="CC19" i="2"/>
  <c r="CD19" i="2"/>
  <c r="CE19" i="2"/>
  <c r="CF19" i="2"/>
  <c r="CG19" i="2"/>
  <c r="CH19" i="2"/>
  <c r="BZ20" i="2"/>
  <c r="CA20" i="2"/>
  <c r="CB20" i="2"/>
  <c r="CC20" i="2"/>
  <c r="CD20" i="2"/>
  <c r="CE20" i="2"/>
  <c r="CF20" i="2"/>
  <c r="CG20" i="2"/>
  <c r="CH20" i="2"/>
  <c r="BZ21" i="2"/>
  <c r="CA21" i="2"/>
  <c r="CB21" i="2"/>
  <c r="CC21" i="2"/>
  <c r="CD21" i="2"/>
  <c r="CE21" i="2"/>
  <c r="CF21" i="2"/>
  <c r="CG21" i="2"/>
  <c r="CH21" i="2"/>
  <c r="BZ22" i="2"/>
  <c r="CA22" i="2"/>
  <c r="CB22" i="2"/>
  <c r="CC22" i="2"/>
  <c r="CD22" i="2"/>
  <c r="CE22" i="2"/>
  <c r="CF22" i="2"/>
  <c r="CG22" i="2"/>
  <c r="CH22" i="2"/>
  <c r="BZ23" i="2"/>
  <c r="CA23" i="2"/>
  <c r="CB23" i="2"/>
  <c r="CC23" i="2"/>
  <c r="CD23" i="2"/>
  <c r="CE23" i="2"/>
  <c r="CF23" i="2"/>
  <c r="CG23" i="2"/>
  <c r="CH23" i="2"/>
  <c r="BZ24" i="2"/>
  <c r="CA24" i="2"/>
  <c r="CB24" i="2"/>
  <c r="CC24" i="2"/>
  <c r="CD24" i="2"/>
  <c r="CE24" i="2"/>
  <c r="CF24" i="2"/>
  <c r="CG24" i="2"/>
  <c r="CH24" i="2"/>
  <c r="BZ25" i="2"/>
  <c r="CA25" i="2"/>
  <c r="CB25" i="2"/>
  <c r="CC25" i="2"/>
  <c r="CD25" i="2"/>
  <c r="CE25" i="2"/>
  <c r="CF25" i="2"/>
  <c r="CG25" i="2"/>
  <c r="CH25" i="2"/>
  <c r="BZ26" i="2"/>
  <c r="CA26" i="2"/>
  <c r="CB26" i="2"/>
  <c r="CC26" i="2"/>
  <c r="CD26" i="2"/>
  <c r="CE26" i="2"/>
  <c r="CF26" i="2"/>
  <c r="CG26" i="2"/>
  <c r="CH26" i="2"/>
  <c r="CH4" i="2"/>
  <c r="CG4" i="2"/>
  <c r="CF4" i="2"/>
  <c r="CE4" i="2"/>
  <c r="CD4" i="2"/>
  <c r="CC4" i="2"/>
  <c r="CB4" i="2"/>
  <c r="CA4" i="2"/>
  <c r="BZ4" i="2"/>
  <c r="AU36" i="2" l="1"/>
  <c r="BS4" i="2"/>
  <c r="BW25" i="2"/>
  <c r="AS36" i="2"/>
  <c r="BR22" i="2"/>
  <c r="BW24" i="2"/>
  <c r="AW35" i="2"/>
  <c r="AW36" i="2"/>
  <c r="AV35" i="2"/>
  <c r="AS35" i="2"/>
  <c r="BR4" i="2"/>
  <c r="AY34" i="2"/>
  <c r="AX35" i="2"/>
  <c r="AX36" i="2"/>
  <c r="AU35" i="2"/>
  <c r="AV36" i="2"/>
  <c r="AT35" i="2"/>
  <c r="AT36" i="2"/>
  <c r="BW17" i="2"/>
  <c r="BW16" i="2"/>
  <c r="BX24" i="2"/>
  <c r="BT20" i="2"/>
  <c r="BV18" i="2"/>
  <c r="BX16" i="2"/>
  <c r="BP16" i="2"/>
  <c r="BQ15" i="2"/>
  <c r="BR14" i="2"/>
  <c r="BT4" i="2"/>
  <c r="BP23" i="2"/>
  <c r="BU18" i="2"/>
  <c r="BX15" i="2"/>
  <c r="BP15" i="2"/>
  <c r="BQ23" i="2"/>
  <c r="BU4" i="2"/>
  <c r="BU19" i="2"/>
  <c r="BX23" i="2"/>
  <c r="BV4" i="2"/>
  <c r="BV26" i="2"/>
  <c r="BP24" i="2"/>
  <c r="BU26" i="2"/>
  <c r="BV17" i="2"/>
  <c r="BV24" i="2"/>
  <c r="BR8" i="2"/>
  <c r="BS7" i="2"/>
  <c r="BT12" i="2"/>
  <c r="BU11" i="2"/>
  <c r="BV10" i="2"/>
  <c r="BW9" i="2"/>
  <c r="BX8" i="2"/>
  <c r="BP8" i="2"/>
  <c r="BQ7" i="2"/>
  <c r="BR6" i="2"/>
  <c r="BU10" i="2"/>
  <c r="BV9" i="2"/>
  <c r="BW8" i="2"/>
  <c r="BX7" i="2"/>
  <c r="BP7" i="2"/>
  <c r="BQ11" i="2"/>
  <c r="BW23" i="2"/>
  <c r="BV16" i="2"/>
  <c r="BW15" i="2"/>
  <c r="BV8" i="2"/>
  <c r="BW7" i="2"/>
  <c r="BT16" i="2"/>
  <c r="BU15" i="2"/>
  <c r="BS9" i="2"/>
  <c r="BT8" i="2"/>
  <c r="BU7" i="2"/>
  <c r="BS13" i="2"/>
  <c r="BS5" i="2"/>
  <c r="BR21" i="2"/>
  <c r="BR13" i="2"/>
  <c r="BU25" i="2"/>
  <c r="BQ21" i="2"/>
  <c r="BT18" i="2"/>
  <c r="BQ13" i="2"/>
  <c r="BQ5" i="2"/>
  <c r="BS26" i="2"/>
  <c r="BT25" i="2"/>
  <c r="BU24" i="2"/>
  <c r="BV23" i="2"/>
  <c r="BW22" i="2"/>
  <c r="BX21" i="2"/>
  <c r="BP21" i="2"/>
  <c r="BQ20" i="2"/>
  <c r="BR19" i="2"/>
  <c r="BS18" i="2"/>
  <c r="BT17" i="2"/>
  <c r="BU16" i="2"/>
  <c r="BV15" i="2"/>
  <c r="BW14" i="2"/>
  <c r="BX13" i="2"/>
  <c r="BP13" i="2"/>
  <c r="BQ12" i="2"/>
  <c r="BR11" i="2"/>
  <c r="BS10" i="2"/>
  <c r="BT9" i="2"/>
  <c r="BU8" i="2"/>
  <c r="BV7" i="2"/>
  <c r="BW6" i="2"/>
  <c r="BX5" i="2"/>
  <c r="BP5" i="2"/>
  <c r="BS15" i="2"/>
  <c r="BQ22" i="2"/>
  <c r="BT11" i="2"/>
  <c r="BQ6" i="2"/>
  <c r="BX14" i="2"/>
  <c r="BS11" i="2"/>
  <c r="BP6" i="2"/>
  <c r="BW13" i="2"/>
  <c r="BR26" i="2"/>
  <c r="BS25" i="2"/>
  <c r="BT24" i="2"/>
  <c r="BU23" i="2"/>
  <c r="BV22" i="2"/>
  <c r="BW21" i="2"/>
  <c r="BX20" i="2"/>
  <c r="BP20" i="2"/>
  <c r="BQ19" i="2"/>
  <c r="BR18" i="2"/>
  <c r="BS17" i="2"/>
  <c r="BR5" i="2"/>
  <c r="BR12" i="2"/>
  <c r="BX6" i="2"/>
  <c r="BX10" i="2"/>
  <c r="BQ26" i="2"/>
  <c r="BR25" i="2"/>
  <c r="BS24" i="2"/>
  <c r="BT23" i="2"/>
  <c r="BU22" i="2"/>
  <c r="BV21" i="2"/>
  <c r="BW20" i="2"/>
  <c r="BX19" i="2"/>
  <c r="BP19" i="2"/>
  <c r="BQ18" i="2"/>
  <c r="BR17" i="2"/>
  <c r="BS16" i="2"/>
  <c r="BT15" i="2"/>
  <c r="BU14" i="2"/>
  <c r="BV13" i="2"/>
  <c r="BW12" i="2"/>
  <c r="BX11" i="2"/>
  <c r="BP11" i="2"/>
  <c r="BQ10" i="2"/>
  <c r="BR9" i="2"/>
  <c r="BS8" i="2"/>
  <c r="BT14" i="2"/>
  <c r="BU5" i="2"/>
  <c r="BV12" i="2"/>
  <c r="BS21" i="2"/>
  <c r="BT19" i="2"/>
  <c r="BQ14" i="2"/>
  <c r="BT26" i="2"/>
  <c r="BP22" i="2"/>
  <c r="BT10" i="2"/>
  <c r="BR10" i="2"/>
  <c r="BQ16" i="2"/>
  <c r="BX26" i="2"/>
  <c r="BP26" i="2"/>
  <c r="BQ25" i="2"/>
  <c r="BR24" i="2"/>
  <c r="BS23" i="2"/>
  <c r="BT22" i="2"/>
  <c r="BU21" i="2"/>
  <c r="BV20" i="2"/>
  <c r="BW19" i="2"/>
  <c r="BX18" i="2"/>
  <c r="BP18" i="2"/>
  <c r="BQ17" i="2"/>
  <c r="CI16" i="2"/>
  <c r="BT13" i="2"/>
  <c r="BR16" i="2"/>
  <c r="BS20" i="2"/>
  <c r="BS12" i="2"/>
  <c r="BX22" i="2"/>
  <c r="BS19" i="2"/>
  <c r="BU17" i="2"/>
  <c r="BP14" i="2"/>
  <c r="BU9" i="2"/>
  <c r="BP10" i="2"/>
  <c r="BR15" i="2"/>
  <c r="BW26" i="2"/>
  <c r="BX25" i="2"/>
  <c r="BP25" i="2"/>
  <c r="BQ24" i="2"/>
  <c r="BR23" i="2"/>
  <c r="BS22" i="2"/>
  <c r="BT21" i="2"/>
  <c r="BU20" i="2"/>
  <c r="BV19" i="2"/>
  <c r="BW18" i="2"/>
  <c r="BX17" i="2"/>
  <c r="BP17" i="2"/>
  <c r="BX9" i="2"/>
  <c r="BP9" i="2"/>
  <c r="BQ8" i="2"/>
  <c r="BR7" i="2"/>
  <c r="BS6" i="2"/>
  <c r="BT5" i="2"/>
  <c r="BV14" i="2"/>
  <c r="CI12" i="2"/>
  <c r="BP4" i="2"/>
  <c r="BQ4" i="2"/>
  <c r="BT7" i="2"/>
  <c r="BU6" i="2"/>
  <c r="BV5" i="2"/>
  <c r="BX4" i="2"/>
  <c r="BU13" i="2"/>
  <c r="BQ9" i="2"/>
  <c r="BW4" i="2"/>
  <c r="BS14" i="2"/>
  <c r="BU12" i="2"/>
  <c r="BV11" i="2"/>
  <c r="BW10" i="2"/>
  <c r="BP12" i="2"/>
  <c r="BW5" i="2"/>
  <c r="BT6" i="2"/>
  <c r="CI15" i="2"/>
  <c r="BX12" i="2"/>
  <c r="BW11" i="2"/>
  <c r="CI25" i="2"/>
  <c r="BV25" i="2"/>
  <c r="CI4" i="2"/>
  <c r="CI20" i="2"/>
  <c r="BR20" i="2"/>
  <c r="BV6" i="2"/>
  <c r="CI14" i="2"/>
  <c r="CI5" i="2"/>
  <c r="CI24" i="2"/>
  <c r="CI23" i="2"/>
  <c r="CI13" i="2"/>
  <c r="CI10" i="2"/>
  <c r="CI26" i="2"/>
  <c r="CI11" i="2"/>
  <c r="CI19" i="2"/>
  <c r="CI18" i="2"/>
  <c r="CI9" i="2"/>
  <c r="CI7" i="2"/>
  <c r="CI6" i="2"/>
  <c r="CI21" i="2"/>
  <c r="CI17" i="2"/>
  <c r="CI8" i="2"/>
  <c r="CI22" i="2"/>
  <c r="AC5" i="2"/>
  <c r="AD5" i="2"/>
  <c r="AE5" i="2"/>
  <c r="AF5" i="2"/>
  <c r="AG5" i="2"/>
  <c r="AC6" i="2"/>
  <c r="AD6" i="2"/>
  <c r="AE6" i="2"/>
  <c r="AF6" i="2"/>
  <c r="AG6" i="2"/>
  <c r="AC7" i="2"/>
  <c r="AD7" i="2"/>
  <c r="AE7" i="2"/>
  <c r="AF7" i="2"/>
  <c r="AG7" i="2"/>
  <c r="AC8" i="2"/>
  <c r="AD8" i="2"/>
  <c r="AE8" i="2"/>
  <c r="AF8" i="2"/>
  <c r="AG8" i="2"/>
  <c r="AC9" i="2"/>
  <c r="AD9" i="2"/>
  <c r="AE9" i="2"/>
  <c r="AF9" i="2"/>
  <c r="AG9" i="2"/>
  <c r="AC10" i="2"/>
  <c r="AD10" i="2"/>
  <c r="AE10" i="2"/>
  <c r="AF10" i="2"/>
  <c r="AG10" i="2"/>
  <c r="AC11" i="2"/>
  <c r="AD11" i="2"/>
  <c r="AE11" i="2"/>
  <c r="AF11" i="2"/>
  <c r="AG11" i="2"/>
  <c r="AC12" i="2"/>
  <c r="AD12" i="2"/>
  <c r="AE12" i="2"/>
  <c r="AF12" i="2"/>
  <c r="AG12" i="2"/>
  <c r="AC13" i="2"/>
  <c r="AD13" i="2"/>
  <c r="AE13" i="2"/>
  <c r="AF13" i="2"/>
  <c r="AG13" i="2"/>
  <c r="AC14" i="2"/>
  <c r="AD14" i="2"/>
  <c r="AE14" i="2"/>
  <c r="AF14" i="2"/>
  <c r="AG14" i="2"/>
  <c r="AC15" i="2"/>
  <c r="AD15" i="2"/>
  <c r="AE15" i="2"/>
  <c r="AF15" i="2"/>
  <c r="AG15" i="2"/>
  <c r="AC16" i="2"/>
  <c r="AD16" i="2"/>
  <c r="AE16" i="2"/>
  <c r="AF16" i="2"/>
  <c r="AG16" i="2"/>
  <c r="AC17" i="2"/>
  <c r="AD17" i="2"/>
  <c r="AE17" i="2"/>
  <c r="AF17" i="2"/>
  <c r="AG17" i="2"/>
  <c r="AC18" i="2"/>
  <c r="AD18" i="2"/>
  <c r="AE18" i="2"/>
  <c r="AF18" i="2"/>
  <c r="AG18" i="2"/>
  <c r="AC19" i="2"/>
  <c r="AD19" i="2"/>
  <c r="AE19" i="2"/>
  <c r="AF19" i="2"/>
  <c r="AG19" i="2"/>
  <c r="AC20" i="2"/>
  <c r="AD20" i="2"/>
  <c r="AE20" i="2"/>
  <c r="AF20" i="2"/>
  <c r="AG20" i="2"/>
  <c r="AC21" i="2"/>
  <c r="AD21" i="2"/>
  <c r="AE21" i="2"/>
  <c r="AF21" i="2"/>
  <c r="AG21" i="2"/>
  <c r="AC22" i="2"/>
  <c r="AD22" i="2"/>
  <c r="AE22" i="2"/>
  <c r="AF22" i="2"/>
  <c r="AG22" i="2"/>
  <c r="AC23" i="2"/>
  <c r="AD23" i="2"/>
  <c r="AE23" i="2"/>
  <c r="AF23" i="2"/>
  <c r="AG23" i="2"/>
  <c r="AC24" i="2"/>
  <c r="AD24" i="2"/>
  <c r="AE24" i="2"/>
  <c r="AF24" i="2"/>
  <c r="AG24" i="2"/>
  <c r="AC25" i="2"/>
  <c r="AD25" i="2"/>
  <c r="AE25" i="2"/>
  <c r="AF25" i="2"/>
  <c r="AG25" i="2"/>
  <c r="AC26" i="2"/>
  <c r="AD26" i="2"/>
  <c r="AE26" i="2"/>
  <c r="AF26" i="2"/>
  <c r="AG26" i="2"/>
  <c r="AC27" i="2"/>
  <c r="AD27" i="2"/>
  <c r="AE27" i="2"/>
  <c r="AF27" i="2"/>
  <c r="AG27" i="2"/>
  <c r="AC28" i="2"/>
  <c r="AD28" i="2"/>
  <c r="AE28" i="2"/>
  <c r="AF28" i="2"/>
  <c r="AG28" i="2"/>
  <c r="AC29" i="2"/>
  <c r="AD29" i="2"/>
  <c r="AE29" i="2"/>
  <c r="AF29" i="2"/>
  <c r="AG29" i="2"/>
  <c r="AC30" i="2"/>
  <c r="AD30" i="2"/>
  <c r="AE30" i="2"/>
  <c r="AF30" i="2"/>
  <c r="AG30" i="2"/>
  <c r="AC31" i="2"/>
  <c r="AD31" i="2"/>
  <c r="AE31" i="2"/>
  <c r="AF31" i="2"/>
  <c r="AG31" i="2"/>
  <c r="AC32" i="2"/>
  <c r="AD32" i="2"/>
  <c r="AE32" i="2"/>
  <c r="AF32" i="2"/>
  <c r="AG32" i="2"/>
  <c r="AC33" i="2"/>
  <c r="AD33" i="2"/>
  <c r="AE33" i="2"/>
  <c r="AF33" i="2"/>
  <c r="AG33" i="2"/>
  <c r="AC34" i="2"/>
  <c r="AD34" i="2"/>
  <c r="AE34" i="2"/>
  <c r="AF34" i="2"/>
  <c r="AG34" i="2"/>
  <c r="AC35" i="2"/>
  <c r="AD35" i="2"/>
  <c r="AE35" i="2"/>
  <c r="AF35" i="2"/>
  <c r="AG35" i="2"/>
  <c r="AC36" i="2"/>
  <c r="AD36" i="2"/>
  <c r="AE36" i="2"/>
  <c r="AF36" i="2"/>
  <c r="AG36" i="2"/>
  <c r="AC37" i="2"/>
  <c r="AD37" i="2"/>
  <c r="AE37" i="2"/>
  <c r="AF37" i="2"/>
  <c r="AG37" i="2"/>
  <c r="AC38" i="2"/>
  <c r="AD38" i="2"/>
  <c r="AE38" i="2"/>
  <c r="AF38" i="2"/>
  <c r="AG38" i="2"/>
  <c r="AC39" i="2"/>
  <c r="AD39" i="2"/>
  <c r="AE39" i="2"/>
  <c r="AF39" i="2"/>
  <c r="AG39" i="2"/>
  <c r="AC40" i="2"/>
  <c r="AD40" i="2"/>
  <c r="AE40" i="2"/>
  <c r="AF40" i="2"/>
  <c r="AG40" i="2"/>
  <c r="AC41" i="2"/>
  <c r="AD41" i="2"/>
  <c r="AE41" i="2"/>
  <c r="AF41" i="2"/>
  <c r="AG41" i="2"/>
  <c r="AC42" i="2"/>
  <c r="AD42" i="2"/>
  <c r="AE42" i="2"/>
  <c r="AF42" i="2"/>
  <c r="AG42" i="2"/>
  <c r="AC43" i="2"/>
  <c r="AD43" i="2"/>
  <c r="AE43" i="2"/>
  <c r="AF43" i="2"/>
  <c r="AG43" i="2"/>
  <c r="AC44" i="2"/>
  <c r="AD44" i="2"/>
  <c r="AE44" i="2"/>
  <c r="AF44" i="2"/>
  <c r="AG44" i="2"/>
  <c r="AC45" i="2"/>
  <c r="AD45" i="2"/>
  <c r="AE45" i="2"/>
  <c r="AF45" i="2"/>
  <c r="AG45" i="2"/>
  <c r="AC46" i="2"/>
  <c r="AD46" i="2"/>
  <c r="AE46" i="2"/>
  <c r="AF46" i="2"/>
  <c r="AG46" i="2"/>
  <c r="AC47" i="2"/>
  <c r="AD47" i="2"/>
  <c r="AE47" i="2"/>
  <c r="AF47" i="2"/>
  <c r="AG47" i="2"/>
  <c r="AC48" i="2"/>
  <c r="AD48" i="2"/>
  <c r="AE48" i="2"/>
  <c r="AF48" i="2"/>
  <c r="AG48" i="2"/>
  <c r="AC49" i="2"/>
  <c r="AD49" i="2"/>
  <c r="AE49" i="2"/>
  <c r="AF49" i="2"/>
  <c r="AG49" i="2"/>
  <c r="AC50" i="2"/>
  <c r="AD50" i="2"/>
  <c r="AE50" i="2"/>
  <c r="AF50" i="2"/>
  <c r="AG50" i="2"/>
  <c r="AC51" i="2"/>
  <c r="AD51" i="2"/>
  <c r="AE51" i="2"/>
  <c r="AF51" i="2"/>
  <c r="AG51" i="2"/>
  <c r="AC52" i="2"/>
  <c r="AD52" i="2"/>
  <c r="AE52" i="2"/>
  <c r="AF52" i="2"/>
  <c r="AG52" i="2"/>
  <c r="AC53" i="2"/>
  <c r="AD53" i="2"/>
  <c r="AE53" i="2"/>
  <c r="AF53" i="2"/>
  <c r="AG53" i="2"/>
  <c r="AC54" i="2"/>
  <c r="AD54" i="2"/>
  <c r="AE54" i="2"/>
  <c r="AF54" i="2"/>
  <c r="AG54" i="2"/>
  <c r="AC55" i="2"/>
  <c r="AD55" i="2"/>
  <c r="AE55" i="2"/>
  <c r="AF55" i="2"/>
  <c r="AG55" i="2"/>
  <c r="AC56" i="2"/>
  <c r="AD56" i="2"/>
  <c r="AE56" i="2"/>
  <c r="AF56" i="2"/>
  <c r="AG56" i="2"/>
  <c r="AC57" i="2"/>
  <c r="AD57" i="2"/>
  <c r="AE57" i="2"/>
  <c r="AF57" i="2"/>
  <c r="AG57" i="2"/>
  <c r="AC58" i="2"/>
  <c r="AD58" i="2"/>
  <c r="AE58" i="2"/>
  <c r="AF58" i="2"/>
  <c r="AG58" i="2"/>
  <c r="AC59" i="2"/>
  <c r="AD59" i="2"/>
  <c r="AE59" i="2"/>
  <c r="AF59" i="2"/>
  <c r="AG59" i="2"/>
  <c r="AC60" i="2"/>
  <c r="AD60" i="2"/>
  <c r="AE60" i="2"/>
  <c r="AF60" i="2"/>
  <c r="AG60" i="2"/>
  <c r="AC61" i="2"/>
  <c r="AD61" i="2"/>
  <c r="AE61" i="2"/>
  <c r="AF61" i="2"/>
  <c r="AG61" i="2"/>
  <c r="AC62" i="2"/>
  <c r="AD62" i="2"/>
  <c r="AE62" i="2"/>
  <c r="AF62" i="2"/>
  <c r="AG62" i="2"/>
  <c r="AC63" i="2"/>
  <c r="AD63" i="2"/>
  <c r="AE63" i="2"/>
  <c r="AF63" i="2"/>
  <c r="AG63" i="2"/>
  <c r="AC64" i="2"/>
  <c r="AD64" i="2"/>
  <c r="AE64" i="2"/>
  <c r="AF64" i="2"/>
  <c r="AG64" i="2"/>
  <c r="AC65" i="2"/>
  <c r="AD65" i="2"/>
  <c r="AE65" i="2"/>
  <c r="AF65" i="2"/>
  <c r="AG65" i="2"/>
  <c r="AC66" i="2"/>
  <c r="AD66" i="2"/>
  <c r="AE66" i="2"/>
  <c r="AF66" i="2"/>
  <c r="AG66" i="2"/>
  <c r="AC67" i="2"/>
  <c r="AD67" i="2"/>
  <c r="AE67" i="2"/>
  <c r="AF67" i="2"/>
  <c r="AG67" i="2"/>
  <c r="AC68" i="2"/>
  <c r="AD68" i="2"/>
  <c r="AE68" i="2"/>
  <c r="AF68" i="2"/>
  <c r="AG68" i="2"/>
  <c r="AC69" i="2"/>
  <c r="AD69" i="2"/>
  <c r="AE69" i="2"/>
  <c r="AF69" i="2"/>
  <c r="AG69" i="2"/>
  <c r="AC70" i="2"/>
  <c r="AD70" i="2"/>
  <c r="AE70" i="2"/>
  <c r="AF70" i="2"/>
  <c r="AG70" i="2"/>
  <c r="AC71" i="2"/>
  <c r="AD71" i="2"/>
  <c r="AE71" i="2"/>
  <c r="AF71" i="2"/>
  <c r="AG71" i="2"/>
  <c r="AC72" i="2"/>
  <c r="AD72" i="2"/>
  <c r="AE72" i="2"/>
  <c r="AF72" i="2"/>
  <c r="AG72" i="2"/>
  <c r="AC73" i="2"/>
  <c r="AD73" i="2"/>
  <c r="AE73" i="2"/>
  <c r="AF73" i="2"/>
  <c r="AG73" i="2"/>
  <c r="AC74" i="2"/>
  <c r="AD74" i="2"/>
  <c r="AE74" i="2"/>
  <c r="AF74" i="2"/>
  <c r="AG74" i="2"/>
  <c r="AC75" i="2"/>
  <c r="AD75" i="2"/>
  <c r="AE75" i="2"/>
  <c r="AF75" i="2"/>
  <c r="AG75" i="2"/>
  <c r="AC76" i="2"/>
  <c r="AD76" i="2"/>
  <c r="AE76" i="2"/>
  <c r="AF76" i="2"/>
  <c r="AG76" i="2"/>
  <c r="AC77" i="2"/>
  <c r="AD77" i="2"/>
  <c r="AE77" i="2"/>
  <c r="AF77" i="2"/>
  <c r="AG77" i="2"/>
  <c r="AC78" i="2"/>
  <c r="AD78" i="2"/>
  <c r="AE78" i="2"/>
  <c r="AF78" i="2"/>
  <c r="AG78" i="2"/>
  <c r="AC79" i="2"/>
  <c r="AD79" i="2"/>
  <c r="AE79" i="2"/>
  <c r="AF79" i="2"/>
  <c r="AG79" i="2"/>
  <c r="AC80" i="2"/>
  <c r="AD80" i="2"/>
  <c r="AE80" i="2"/>
  <c r="AF80" i="2"/>
  <c r="AG80" i="2"/>
  <c r="AC81" i="2"/>
  <c r="AD81" i="2"/>
  <c r="AE81" i="2"/>
  <c r="AF81" i="2"/>
  <c r="AG81" i="2"/>
  <c r="AC82" i="2"/>
  <c r="AD82" i="2"/>
  <c r="AE82" i="2"/>
  <c r="AF82" i="2"/>
  <c r="AG82" i="2"/>
  <c r="AC83" i="2"/>
  <c r="AD83" i="2"/>
  <c r="AE83" i="2"/>
  <c r="AF83" i="2"/>
  <c r="AG83" i="2"/>
  <c r="AC84" i="2"/>
  <c r="AD84" i="2"/>
  <c r="AE84" i="2"/>
  <c r="AF84" i="2"/>
  <c r="AG84" i="2"/>
  <c r="AC85" i="2"/>
  <c r="AD85" i="2"/>
  <c r="AE85" i="2"/>
  <c r="AF85" i="2"/>
  <c r="AG85" i="2"/>
  <c r="AC86" i="2"/>
  <c r="AD86" i="2"/>
  <c r="AE86" i="2"/>
  <c r="AF86" i="2"/>
  <c r="AG86" i="2"/>
  <c r="AC87" i="2"/>
  <c r="AD87" i="2"/>
  <c r="AE87" i="2"/>
  <c r="AF87" i="2"/>
  <c r="AG87" i="2"/>
  <c r="AC88" i="2"/>
  <c r="AD88" i="2"/>
  <c r="AE88" i="2"/>
  <c r="AF88" i="2"/>
  <c r="AG88" i="2"/>
  <c r="AC89" i="2"/>
  <c r="AD89" i="2"/>
  <c r="AE89" i="2"/>
  <c r="AF89" i="2"/>
  <c r="AG89" i="2"/>
  <c r="AC90" i="2"/>
  <c r="AD90" i="2"/>
  <c r="AE90" i="2"/>
  <c r="AF90" i="2"/>
  <c r="AG90" i="2"/>
  <c r="AC91" i="2"/>
  <c r="AD91" i="2"/>
  <c r="AE91" i="2"/>
  <c r="AF91" i="2"/>
  <c r="AG91" i="2"/>
  <c r="AC92" i="2"/>
  <c r="AD92" i="2"/>
  <c r="AE92" i="2"/>
  <c r="AF92" i="2"/>
  <c r="AG92" i="2"/>
  <c r="AC93" i="2"/>
  <c r="AD93" i="2"/>
  <c r="AE93" i="2"/>
  <c r="AF93" i="2"/>
  <c r="AG93" i="2"/>
  <c r="AC94" i="2"/>
  <c r="AD94" i="2"/>
  <c r="AE94" i="2"/>
  <c r="AF94" i="2"/>
  <c r="AG94" i="2"/>
  <c r="AC95" i="2"/>
  <c r="AD95" i="2"/>
  <c r="AE95" i="2"/>
  <c r="AF95" i="2"/>
  <c r="AG95" i="2"/>
  <c r="AC96" i="2"/>
  <c r="AD96" i="2"/>
  <c r="AE96" i="2"/>
  <c r="AF96" i="2"/>
  <c r="AG96" i="2"/>
  <c r="AC97" i="2"/>
  <c r="AD97" i="2"/>
  <c r="AE97" i="2"/>
  <c r="AF97" i="2"/>
  <c r="AG97" i="2"/>
  <c r="AC98" i="2"/>
  <c r="AD98" i="2"/>
  <c r="AE98" i="2"/>
  <c r="AF98" i="2"/>
  <c r="AG98" i="2"/>
  <c r="AC99" i="2"/>
  <c r="AD99" i="2"/>
  <c r="AE99" i="2"/>
  <c r="AF99" i="2"/>
  <c r="AG99" i="2"/>
  <c r="AC100" i="2"/>
  <c r="AD100" i="2"/>
  <c r="AE100" i="2"/>
  <c r="AF100" i="2"/>
  <c r="AG100" i="2"/>
  <c r="AC101" i="2"/>
  <c r="AD101" i="2"/>
  <c r="AE101" i="2"/>
  <c r="AF101" i="2"/>
  <c r="AG101" i="2"/>
  <c r="AC102" i="2"/>
  <c r="AD102" i="2"/>
  <c r="AE102" i="2"/>
  <c r="AF102" i="2"/>
  <c r="AG102" i="2"/>
  <c r="AG4" i="2"/>
  <c r="AF4" i="2"/>
  <c r="AE4" i="2"/>
  <c r="AD4" i="2"/>
  <c r="AC4" i="2"/>
  <c r="Y5" i="2"/>
  <c r="Z5" i="2"/>
  <c r="Y6" i="2"/>
  <c r="Z6" i="2"/>
  <c r="Y7" i="2"/>
  <c r="Z7" i="2"/>
  <c r="Y8" i="2"/>
  <c r="Z8" i="2"/>
  <c r="Y9" i="2"/>
  <c r="Z9" i="2"/>
  <c r="Y10" i="2"/>
  <c r="Z10" i="2"/>
  <c r="Y11" i="2"/>
  <c r="Z11" i="2"/>
  <c r="Y12" i="2"/>
  <c r="Z12" i="2"/>
  <c r="Y13" i="2"/>
  <c r="Z13" i="2"/>
  <c r="Y14" i="2"/>
  <c r="Z14" i="2"/>
  <c r="Y15" i="2"/>
  <c r="Z15" i="2"/>
  <c r="Y16" i="2"/>
  <c r="Z16" i="2"/>
  <c r="Y17" i="2"/>
  <c r="Z17" i="2"/>
  <c r="Y18" i="2"/>
  <c r="Z18" i="2"/>
  <c r="Y19" i="2"/>
  <c r="Z19" i="2"/>
  <c r="Y20" i="2"/>
  <c r="Z20" i="2"/>
  <c r="Y21" i="2"/>
  <c r="Z21" i="2"/>
  <c r="Y22" i="2"/>
  <c r="Z22" i="2"/>
  <c r="Y23" i="2"/>
  <c r="Z23" i="2"/>
  <c r="Y24" i="2"/>
  <c r="Z24" i="2"/>
  <c r="Y25" i="2"/>
  <c r="Z25" i="2"/>
  <c r="Y26" i="2"/>
  <c r="Z26" i="2"/>
  <c r="Z4" i="2"/>
  <c r="Y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4" i="2"/>
  <c r="N5" i="2"/>
  <c r="O5" i="2"/>
  <c r="N6" i="2"/>
  <c r="O6" i="2"/>
  <c r="N7" i="2"/>
  <c r="O7" i="2"/>
  <c r="N8" i="2"/>
  <c r="O8" i="2"/>
  <c r="N9" i="2"/>
  <c r="O9" i="2"/>
  <c r="N10" i="2"/>
  <c r="O10" i="2"/>
  <c r="N11" i="2"/>
  <c r="O11" i="2"/>
  <c r="N12" i="2"/>
  <c r="O12" i="2"/>
  <c r="N13" i="2"/>
  <c r="O13" i="2"/>
  <c r="N14" i="2"/>
  <c r="O14" i="2"/>
  <c r="N15" i="2"/>
  <c r="O15" i="2"/>
  <c r="N16" i="2"/>
  <c r="O16" i="2"/>
  <c r="N17" i="2"/>
  <c r="O17" i="2"/>
  <c r="N18" i="2"/>
  <c r="O18" i="2"/>
  <c r="N19" i="2"/>
  <c r="O19" i="2"/>
  <c r="N20" i="2"/>
  <c r="O20" i="2"/>
  <c r="N21" i="2"/>
  <c r="O21" i="2"/>
  <c r="N22" i="2"/>
  <c r="O22" i="2"/>
  <c r="N23" i="2"/>
  <c r="O23" i="2"/>
  <c r="N24" i="2"/>
  <c r="O24" i="2"/>
  <c r="N25" i="2"/>
  <c r="O25" i="2"/>
  <c r="N26" i="2"/>
  <c r="O26" i="2"/>
  <c r="N27" i="2"/>
  <c r="O27" i="2"/>
  <c r="N28" i="2"/>
  <c r="O28" i="2"/>
  <c r="N29" i="2"/>
  <c r="O29" i="2"/>
  <c r="N30" i="2"/>
  <c r="O30" i="2"/>
  <c r="N31" i="2"/>
  <c r="O31" i="2"/>
  <c r="N32" i="2"/>
  <c r="O32" i="2"/>
  <c r="N33" i="2"/>
  <c r="O33" i="2"/>
  <c r="N34" i="2"/>
  <c r="O34" i="2"/>
  <c r="N35" i="2"/>
  <c r="O35" i="2"/>
  <c r="N36" i="2"/>
  <c r="O36" i="2"/>
  <c r="N37" i="2"/>
  <c r="O37" i="2"/>
  <c r="N38" i="2"/>
  <c r="O38" i="2"/>
  <c r="N39" i="2"/>
  <c r="O39" i="2"/>
  <c r="N40" i="2"/>
  <c r="O40" i="2"/>
  <c r="N41" i="2"/>
  <c r="O41" i="2"/>
  <c r="N42" i="2"/>
  <c r="O42" i="2"/>
  <c r="N43" i="2"/>
  <c r="O43" i="2"/>
  <c r="N44" i="2"/>
  <c r="O44" i="2"/>
  <c r="N45" i="2"/>
  <c r="O45" i="2"/>
  <c r="N46" i="2"/>
  <c r="O46" i="2"/>
  <c r="N47" i="2"/>
  <c r="O47" i="2"/>
  <c r="N48" i="2"/>
  <c r="O48" i="2"/>
  <c r="N49" i="2"/>
  <c r="O49" i="2"/>
  <c r="N50" i="2"/>
  <c r="O50" i="2"/>
  <c r="N51" i="2"/>
  <c r="O51" i="2"/>
  <c r="N52" i="2"/>
  <c r="O52" i="2"/>
  <c r="N53" i="2"/>
  <c r="O53" i="2"/>
  <c r="N54" i="2"/>
  <c r="O54" i="2"/>
  <c r="N55" i="2"/>
  <c r="O55" i="2"/>
  <c r="N56" i="2"/>
  <c r="O56" i="2"/>
  <c r="N57" i="2"/>
  <c r="O57" i="2"/>
  <c r="N58" i="2"/>
  <c r="O58" i="2"/>
  <c r="N59" i="2"/>
  <c r="O59" i="2"/>
  <c r="N60" i="2"/>
  <c r="O60" i="2"/>
  <c r="N61" i="2"/>
  <c r="O61" i="2"/>
  <c r="N62" i="2"/>
  <c r="O62" i="2"/>
  <c r="N63" i="2"/>
  <c r="O63" i="2"/>
  <c r="N64" i="2"/>
  <c r="O64" i="2"/>
  <c r="N65" i="2"/>
  <c r="O65" i="2"/>
  <c r="N66" i="2"/>
  <c r="O66" i="2"/>
  <c r="N67" i="2"/>
  <c r="O67" i="2"/>
  <c r="N68" i="2"/>
  <c r="O68" i="2"/>
  <c r="N69" i="2"/>
  <c r="O69" i="2"/>
  <c r="N70" i="2"/>
  <c r="O70" i="2"/>
  <c r="N71" i="2"/>
  <c r="O71" i="2"/>
  <c r="N72" i="2"/>
  <c r="O72" i="2"/>
  <c r="N73" i="2"/>
  <c r="O73" i="2"/>
  <c r="N74" i="2"/>
  <c r="O74" i="2"/>
  <c r="N75" i="2"/>
  <c r="O75" i="2"/>
  <c r="N76" i="2"/>
  <c r="O76" i="2"/>
  <c r="N77" i="2"/>
  <c r="O77" i="2"/>
  <c r="N78" i="2"/>
  <c r="O78" i="2"/>
  <c r="N79" i="2"/>
  <c r="O79" i="2"/>
  <c r="N80" i="2"/>
  <c r="O80" i="2"/>
  <c r="N81" i="2"/>
  <c r="O81" i="2"/>
  <c r="N82" i="2"/>
  <c r="O82" i="2"/>
  <c r="N83" i="2"/>
  <c r="O83" i="2"/>
  <c r="N84" i="2"/>
  <c r="O84" i="2"/>
  <c r="N85" i="2"/>
  <c r="O85" i="2"/>
  <c r="N86" i="2"/>
  <c r="O86" i="2"/>
  <c r="N87" i="2"/>
  <c r="O87" i="2"/>
  <c r="N88" i="2"/>
  <c r="O88" i="2"/>
  <c r="N89" i="2"/>
  <c r="O89" i="2"/>
  <c r="N90" i="2"/>
  <c r="O90" i="2"/>
  <c r="N91" i="2"/>
  <c r="O91" i="2"/>
  <c r="N92" i="2"/>
  <c r="O92" i="2"/>
  <c r="N93" i="2"/>
  <c r="O93" i="2"/>
  <c r="N94" i="2"/>
  <c r="O94" i="2"/>
  <c r="N95" i="2"/>
  <c r="O95" i="2"/>
  <c r="N96" i="2"/>
  <c r="O96" i="2"/>
  <c r="N97" i="2"/>
  <c r="O97" i="2"/>
  <c r="N98" i="2"/>
  <c r="O98" i="2"/>
  <c r="N99" i="2"/>
  <c r="O99" i="2"/>
  <c r="N100" i="2"/>
  <c r="O100" i="2"/>
  <c r="N101" i="2"/>
  <c r="O101" i="2"/>
  <c r="N102" i="2"/>
  <c r="O102" i="2"/>
  <c r="N103" i="2"/>
  <c r="O103" i="2"/>
  <c r="N104" i="2"/>
  <c r="O104" i="2"/>
  <c r="N105" i="2"/>
  <c r="O105" i="2"/>
  <c r="N106" i="2"/>
  <c r="O106" i="2"/>
  <c r="N107" i="2"/>
  <c r="O107" i="2"/>
  <c r="N108" i="2"/>
  <c r="O108" i="2"/>
  <c r="N109" i="2"/>
  <c r="O4" i="2"/>
  <c r="N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4" i="2"/>
  <c r="AZ34" i="2" l="1"/>
  <c r="AY35" i="2"/>
  <c r="AY36" i="2"/>
  <c r="S66" i="2"/>
  <c r="AH68" i="2"/>
  <c r="AM68" i="2" s="1"/>
  <c r="AH36" i="2"/>
  <c r="AM36" i="2" s="1"/>
  <c r="AH96" i="2"/>
  <c r="AP96" i="2" s="1"/>
  <c r="AH88" i="2"/>
  <c r="AP88" i="2" s="1"/>
  <c r="AH80" i="2"/>
  <c r="AP80" i="2" s="1"/>
  <c r="AH72" i="2"/>
  <c r="AP72" i="2" s="1"/>
  <c r="AH76" i="2"/>
  <c r="AM76" i="2" s="1"/>
  <c r="AH52" i="2"/>
  <c r="AN52" i="2" s="1"/>
  <c r="AH28" i="2"/>
  <c r="AN28" i="2" s="1"/>
  <c r="AH12" i="2"/>
  <c r="AM12" i="2" s="1"/>
  <c r="AH55" i="2"/>
  <c r="AP55" i="2" s="1"/>
  <c r="AH39" i="2"/>
  <c r="AP39" i="2" s="1"/>
  <c r="AH31" i="2"/>
  <c r="AP31" i="2" s="1"/>
  <c r="AH23" i="2"/>
  <c r="AP23" i="2" s="1"/>
  <c r="AH15" i="2"/>
  <c r="AP15" i="2" s="1"/>
  <c r="AH7" i="2"/>
  <c r="AP7" i="2" s="1"/>
  <c r="AH100" i="2"/>
  <c r="AM100" i="2" s="1"/>
  <c r="AH92" i="2"/>
  <c r="AL92" i="2" s="1"/>
  <c r="AH84" i="2"/>
  <c r="AH60" i="2"/>
  <c r="AO60" i="2" s="1"/>
  <c r="AH95" i="2"/>
  <c r="AP95" i="2" s="1"/>
  <c r="AH87" i="2"/>
  <c r="AP87" i="2" s="1"/>
  <c r="AH79" i="2"/>
  <c r="AP79" i="2" s="1"/>
  <c r="AH71" i="2"/>
  <c r="AP71" i="2" s="1"/>
  <c r="AH63" i="2"/>
  <c r="AP63" i="2" s="1"/>
  <c r="AH47" i="2"/>
  <c r="AP47" i="2" s="1"/>
  <c r="AH44" i="2"/>
  <c r="AL44" i="2" s="1"/>
  <c r="AH20" i="2"/>
  <c r="AM20" i="2" s="1"/>
  <c r="AH98" i="2"/>
  <c r="AP98" i="2" s="1"/>
  <c r="AH90" i="2"/>
  <c r="AP90" i="2" s="1"/>
  <c r="AH82" i="2"/>
  <c r="AP82" i="2" s="1"/>
  <c r="AH74" i="2"/>
  <c r="AP74" i="2" s="1"/>
  <c r="AH66" i="2"/>
  <c r="AP66" i="2" s="1"/>
  <c r="AH58" i="2"/>
  <c r="AP58" i="2" s="1"/>
  <c r="AH50" i="2"/>
  <c r="AP50" i="2" s="1"/>
  <c r="AH42" i="2"/>
  <c r="AP42" i="2" s="1"/>
  <c r="AH34" i="2"/>
  <c r="AP34" i="2" s="1"/>
  <c r="AH26" i="2"/>
  <c r="AP26" i="2" s="1"/>
  <c r="AH18" i="2"/>
  <c r="AP18" i="2" s="1"/>
  <c r="AH10" i="2"/>
  <c r="AP10" i="2" s="1"/>
  <c r="AH101" i="2"/>
  <c r="AP101" i="2" s="1"/>
  <c r="AH93" i="2"/>
  <c r="AP93" i="2" s="1"/>
  <c r="AH85" i="2"/>
  <c r="AH77" i="2"/>
  <c r="AP77" i="2" s="1"/>
  <c r="AH69" i="2"/>
  <c r="AP69" i="2" s="1"/>
  <c r="AH61" i="2"/>
  <c r="AP61" i="2" s="1"/>
  <c r="AH53" i="2"/>
  <c r="AH45" i="2"/>
  <c r="AP45" i="2" s="1"/>
  <c r="AH37" i="2"/>
  <c r="AP37" i="2" s="1"/>
  <c r="AH29" i="2"/>
  <c r="AP29" i="2" s="1"/>
  <c r="AH21" i="2"/>
  <c r="AH13" i="2"/>
  <c r="AP13" i="2" s="1"/>
  <c r="AH5" i="2"/>
  <c r="AP5" i="2" s="1"/>
  <c r="AH64" i="2"/>
  <c r="AH24" i="2"/>
  <c r="AH16" i="2"/>
  <c r="AP16" i="2" s="1"/>
  <c r="AH8" i="2"/>
  <c r="AP8" i="2" s="1"/>
  <c r="S90" i="2"/>
  <c r="S58" i="2"/>
  <c r="S50" i="2"/>
  <c r="S34" i="2"/>
  <c r="S26" i="2"/>
  <c r="S18" i="2"/>
  <c r="AH4" i="2"/>
  <c r="AP4" i="2" s="1"/>
  <c r="AH99" i="2"/>
  <c r="AH91" i="2"/>
  <c r="AP91" i="2" s="1"/>
  <c r="AH83" i="2"/>
  <c r="AP83" i="2" s="1"/>
  <c r="AH75" i="2"/>
  <c r="AP75" i="2" s="1"/>
  <c r="AH67" i="2"/>
  <c r="AP67" i="2" s="1"/>
  <c r="AH59" i="2"/>
  <c r="AP59" i="2" s="1"/>
  <c r="AH51" i="2"/>
  <c r="AP51" i="2" s="1"/>
  <c r="AH43" i="2"/>
  <c r="AP43" i="2" s="1"/>
  <c r="AH35" i="2"/>
  <c r="AP35" i="2" s="1"/>
  <c r="AH27" i="2"/>
  <c r="AP27" i="2" s="1"/>
  <c r="AH19" i="2"/>
  <c r="AP19" i="2" s="1"/>
  <c r="AH11" i="2"/>
  <c r="AP11" i="2" s="1"/>
  <c r="AH56" i="2"/>
  <c r="AH32" i="2"/>
  <c r="AP32" i="2" s="1"/>
  <c r="S98" i="2"/>
  <c r="AH102" i="2"/>
  <c r="AP102" i="2" s="1"/>
  <c r="AH94" i="2"/>
  <c r="AP94" i="2" s="1"/>
  <c r="AH86" i="2"/>
  <c r="AP86" i="2" s="1"/>
  <c r="AH78" i="2"/>
  <c r="AP78" i="2" s="1"/>
  <c r="AH70" i="2"/>
  <c r="AP70" i="2" s="1"/>
  <c r="AH62" i="2"/>
  <c r="AP62" i="2" s="1"/>
  <c r="AH54" i="2"/>
  <c r="AP54" i="2" s="1"/>
  <c r="AH46" i="2"/>
  <c r="AP46" i="2" s="1"/>
  <c r="AH38" i="2"/>
  <c r="AP38" i="2" s="1"/>
  <c r="AH30" i="2"/>
  <c r="AP30" i="2" s="1"/>
  <c r="AH22" i="2"/>
  <c r="AP22" i="2" s="1"/>
  <c r="AH14" i="2"/>
  <c r="AP14" i="2" s="1"/>
  <c r="AH6" i="2"/>
  <c r="AP6" i="2" s="1"/>
  <c r="AH48" i="2"/>
  <c r="AP48" i="2" s="1"/>
  <c r="AH40" i="2"/>
  <c r="S4" i="2"/>
  <c r="S102" i="2"/>
  <c r="S94" i="2"/>
  <c r="S86" i="2"/>
  <c r="S78" i="2"/>
  <c r="S70" i="2"/>
  <c r="S62" i="2"/>
  <c r="S54" i="2"/>
  <c r="S46" i="2"/>
  <c r="S38" i="2"/>
  <c r="S30" i="2"/>
  <c r="S22" i="2"/>
  <c r="S14" i="2"/>
  <c r="S6" i="2"/>
  <c r="AH97" i="2"/>
  <c r="AP97" i="2" s="1"/>
  <c r="AH89" i="2"/>
  <c r="AH81" i="2"/>
  <c r="AP81" i="2" s="1"/>
  <c r="AH73" i="2"/>
  <c r="AP73" i="2" s="1"/>
  <c r="AH65" i="2"/>
  <c r="AP65" i="2" s="1"/>
  <c r="AH57" i="2"/>
  <c r="AP57" i="2" s="1"/>
  <c r="AH49" i="2"/>
  <c r="AP49" i="2" s="1"/>
  <c r="AH41" i="2"/>
  <c r="AH33" i="2"/>
  <c r="AP33" i="2" s="1"/>
  <c r="AH25" i="2"/>
  <c r="AH17" i="2"/>
  <c r="AP17" i="2" s="1"/>
  <c r="AH9" i="2"/>
  <c r="AP9" i="2" s="1"/>
  <c r="S24" i="2"/>
  <c r="S13" i="2"/>
  <c r="S77" i="2"/>
  <c r="S45" i="2"/>
  <c r="S82" i="2"/>
  <c r="S104" i="2"/>
  <c r="S96" i="2"/>
  <c r="S88" i="2"/>
  <c r="S80" i="2"/>
  <c r="S72" i="2"/>
  <c r="S64" i="2"/>
  <c r="S56" i="2"/>
  <c r="S48" i="2"/>
  <c r="S40" i="2"/>
  <c r="S32" i="2"/>
  <c r="S16" i="2"/>
  <c r="S8" i="2"/>
  <c r="S103" i="2"/>
  <c r="S95" i="2"/>
  <c r="S87" i="2"/>
  <c r="S79" i="2"/>
  <c r="S71" i="2"/>
  <c r="S63" i="2"/>
  <c r="S55" i="2"/>
  <c r="S47" i="2"/>
  <c r="S39" i="2"/>
  <c r="S31" i="2"/>
  <c r="S23" i="2"/>
  <c r="S15" i="2"/>
  <c r="S7" i="2"/>
  <c r="S97" i="2"/>
  <c r="S65" i="2"/>
  <c r="S33" i="2"/>
  <c r="S101" i="2"/>
  <c r="S93" i="2"/>
  <c r="S85" i="2"/>
  <c r="S69" i="2"/>
  <c r="S61" i="2"/>
  <c r="S53" i="2"/>
  <c r="S37" i="2"/>
  <c r="S29" i="2"/>
  <c r="S21" i="2"/>
  <c r="S5" i="2"/>
  <c r="S84" i="2"/>
  <c r="S76" i="2"/>
  <c r="S105" i="2"/>
  <c r="S89" i="2"/>
  <c r="S81" i="2"/>
  <c r="S73" i="2"/>
  <c r="S57" i="2"/>
  <c r="S49" i="2"/>
  <c r="S41" i="2"/>
  <c r="S25" i="2"/>
  <c r="S17" i="2"/>
  <c r="S9" i="2"/>
  <c r="S106" i="2"/>
  <c r="S74" i="2"/>
  <c r="S42" i="2"/>
  <c r="S10" i="2"/>
  <c r="S109" i="2"/>
  <c r="S108" i="2"/>
  <c r="S100" i="2"/>
  <c r="S92" i="2"/>
  <c r="S68" i="2"/>
  <c r="S60" i="2"/>
  <c r="S52" i="2"/>
  <c r="S44" i="2"/>
  <c r="S36" i="2"/>
  <c r="S28" i="2"/>
  <c r="S20" i="2"/>
  <c r="S12" i="2"/>
  <c r="S107" i="2"/>
  <c r="S99" i="2"/>
  <c r="S91" i="2"/>
  <c r="S83" i="2"/>
  <c r="S75" i="2"/>
  <c r="S67" i="2"/>
  <c r="S59" i="2"/>
  <c r="S51" i="2"/>
  <c r="S43" i="2"/>
  <c r="S35" i="2"/>
  <c r="S27" i="2"/>
  <c r="S19" i="2"/>
  <c r="S11" i="2"/>
  <c r="AK26" i="2" l="1"/>
  <c r="AL88" i="2"/>
  <c r="AN68" i="2"/>
  <c r="AK68" i="2"/>
  <c r="BA34" i="2"/>
  <c r="AZ35" i="2"/>
  <c r="AZ36" i="2"/>
  <c r="AK34" i="2"/>
  <c r="AK91" i="2"/>
  <c r="AK11" i="2"/>
  <c r="AK98" i="2"/>
  <c r="AO29" i="2"/>
  <c r="AO88" i="2"/>
  <c r="AM14" i="2"/>
  <c r="AM30" i="2"/>
  <c r="AO31" i="2"/>
  <c r="AL80" i="2"/>
  <c r="AN47" i="2"/>
  <c r="AN88" i="2"/>
  <c r="AO63" i="2"/>
  <c r="AL96" i="2"/>
  <c r="AM15" i="2"/>
  <c r="AM63" i="2"/>
  <c r="AK58" i="2"/>
  <c r="AO77" i="2"/>
  <c r="AN15" i="2"/>
  <c r="AN63" i="2"/>
  <c r="AK36" i="2"/>
  <c r="AO52" i="2"/>
  <c r="AM55" i="2"/>
  <c r="AK70" i="2"/>
  <c r="AL35" i="2"/>
  <c r="AL81" i="2"/>
  <c r="AL59" i="2"/>
  <c r="AN55" i="2"/>
  <c r="AL31" i="2"/>
  <c r="AO45" i="2"/>
  <c r="AO39" i="2"/>
  <c r="AO87" i="2"/>
  <c r="AO68" i="2"/>
  <c r="AO93" i="2"/>
  <c r="AN95" i="2"/>
  <c r="AL68" i="2"/>
  <c r="AM5" i="2"/>
  <c r="AN72" i="2"/>
  <c r="AN9" i="2"/>
  <c r="AL32" i="2"/>
  <c r="AL63" i="2"/>
  <c r="AM31" i="2"/>
  <c r="AK78" i="2"/>
  <c r="AL30" i="2"/>
  <c r="AP68" i="2"/>
  <c r="AM79" i="2"/>
  <c r="AK90" i="2"/>
  <c r="AM82" i="2"/>
  <c r="AK79" i="2"/>
  <c r="AK6" i="2"/>
  <c r="AK46" i="2"/>
  <c r="AK102" i="2"/>
  <c r="AL67" i="2"/>
  <c r="AO33" i="2"/>
  <c r="AK77" i="2"/>
  <c r="AO54" i="2"/>
  <c r="AL93" i="2"/>
  <c r="AO32" i="2"/>
  <c r="AK51" i="2"/>
  <c r="AM35" i="2"/>
  <c r="AO94" i="2"/>
  <c r="AK47" i="2"/>
  <c r="AK97" i="2"/>
  <c r="AO23" i="2"/>
  <c r="AM11" i="2"/>
  <c r="AO14" i="2"/>
  <c r="AO91" i="2"/>
  <c r="AN79" i="2"/>
  <c r="AK13" i="2"/>
  <c r="AL69" i="2"/>
  <c r="AK55" i="2"/>
  <c r="AN36" i="2"/>
  <c r="AM69" i="2"/>
  <c r="AK30" i="2"/>
  <c r="AN54" i="2"/>
  <c r="AO78" i="2"/>
  <c r="AN12" i="2"/>
  <c r="AN100" i="2"/>
  <c r="AL65" i="2"/>
  <c r="AL4" i="2"/>
  <c r="AO65" i="2"/>
  <c r="AO75" i="2"/>
  <c r="AL83" i="2"/>
  <c r="AK57" i="2"/>
  <c r="AL49" i="2"/>
  <c r="AN87" i="2"/>
  <c r="AM80" i="2"/>
  <c r="AK9" i="2"/>
  <c r="AM39" i="2"/>
  <c r="AO61" i="2"/>
  <c r="AL43" i="2"/>
  <c r="AK14" i="2"/>
  <c r="AL33" i="2"/>
  <c r="AK54" i="2"/>
  <c r="AK94" i="2"/>
  <c r="AN17" i="2"/>
  <c r="AL14" i="2"/>
  <c r="AK35" i="2"/>
  <c r="AO55" i="2"/>
  <c r="AO71" i="2"/>
  <c r="AL94" i="2"/>
  <c r="AL27" i="2"/>
  <c r="AK45" i="2"/>
  <c r="AM91" i="2"/>
  <c r="AL5" i="2"/>
  <c r="AL29" i="2"/>
  <c r="AL36" i="2"/>
  <c r="AN48" i="2"/>
  <c r="AN29" i="2"/>
  <c r="AL87" i="2"/>
  <c r="AM13" i="2"/>
  <c r="AM37" i="2"/>
  <c r="AL52" i="2"/>
  <c r="AN93" i="2"/>
  <c r="AK72" i="2"/>
  <c r="AK88" i="2"/>
  <c r="AN86" i="2"/>
  <c r="AN31" i="2"/>
  <c r="AK67" i="2"/>
  <c r="AO13" i="2"/>
  <c r="AM87" i="2"/>
  <c r="AK48" i="2"/>
  <c r="AK38" i="2"/>
  <c r="AN71" i="2"/>
  <c r="AL38" i="2"/>
  <c r="AK59" i="2"/>
  <c r="AK75" i="2"/>
  <c r="AN22" i="2"/>
  <c r="AM75" i="2"/>
  <c r="AM8" i="2"/>
  <c r="AO30" i="2"/>
  <c r="AN59" i="2"/>
  <c r="AM88" i="2"/>
  <c r="AL7" i="2"/>
  <c r="AO48" i="2"/>
  <c r="AN80" i="2"/>
  <c r="AP36" i="2"/>
  <c r="AM92" i="2"/>
  <c r="AK15" i="2"/>
  <c r="AK39" i="2"/>
  <c r="AO4" i="2"/>
  <c r="AM52" i="2"/>
  <c r="AM98" i="2"/>
  <c r="AM94" i="2"/>
  <c r="AL102" i="2"/>
  <c r="AM10" i="2"/>
  <c r="AO83" i="2"/>
  <c r="AN34" i="2"/>
  <c r="AN73" i="2"/>
  <c r="AK49" i="2"/>
  <c r="AM71" i="2"/>
  <c r="AM62" i="2"/>
  <c r="AL17" i="2"/>
  <c r="AN39" i="2"/>
  <c r="AK62" i="2"/>
  <c r="AL97" i="2"/>
  <c r="AK27" i="2"/>
  <c r="AK43" i="2"/>
  <c r="AL62" i="2"/>
  <c r="AL78" i="2"/>
  <c r="AK4" i="2"/>
  <c r="AK8" i="2"/>
  <c r="AO97" i="2"/>
  <c r="AN67" i="2"/>
  <c r="AN91" i="2"/>
  <c r="AK71" i="2"/>
  <c r="AK87" i="2"/>
  <c r="AK50" i="2"/>
  <c r="AN61" i="2"/>
  <c r="AN50" i="2"/>
  <c r="AM78" i="2"/>
  <c r="AN10" i="2"/>
  <c r="AM59" i="2"/>
  <c r="AM16" i="2"/>
  <c r="AN43" i="2"/>
  <c r="AM90" i="2"/>
  <c r="AO27" i="2"/>
  <c r="AL50" i="2"/>
  <c r="AN76" i="2"/>
  <c r="AN90" i="2"/>
  <c r="AK80" i="2"/>
  <c r="AO26" i="2"/>
  <c r="AK73" i="2"/>
  <c r="AN65" i="2"/>
  <c r="AM49" i="2"/>
  <c r="AM65" i="2"/>
  <c r="AO46" i="2"/>
  <c r="AM26" i="2"/>
  <c r="AN74" i="2"/>
  <c r="AK7" i="2"/>
  <c r="AK31" i="2"/>
  <c r="AO36" i="2"/>
  <c r="AM50" i="2"/>
  <c r="AM4" i="2"/>
  <c r="AO66" i="2"/>
  <c r="AN37" i="2"/>
  <c r="AN98" i="2"/>
  <c r="AL16" i="2"/>
  <c r="AM43" i="2"/>
  <c r="AM67" i="2"/>
  <c r="AO34" i="2"/>
  <c r="AN27" i="2"/>
  <c r="AK42" i="2"/>
  <c r="AL39" i="2"/>
  <c r="AO10" i="2"/>
  <c r="AO35" i="2"/>
  <c r="AO67" i="2"/>
  <c r="AO80" i="2"/>
  <c r="AP21" i="2"/>
  <c r="AK21" i="2"/>
  <c r="AL21" i="2"/>
  <c r="AN21" i="2"/>
  <c r="AM21" i="2"/>
  <c r="AO21" i="2"/>
  <c r="AP41" i="2"/>
  <c r="AO41" i="2"/>
  <c r="AK41" i="2"/>
  <c r="AN41" i="2"/>
  <c r="AL41" i="2"/>
  <c r="AM41" i="2"/>
  <c r="AP99" i="2"/>
  <c r="AK99" i="2"/>
  <c r="AL99" i="2"/>
  <c r="AM99" i="2"/>
  <c r="AN99" i="2"/>
  <c r="AO99" i="2"/>
  <c r="AP64" i="2"/>
  <c r="AN64" i="2"/>
  <c r="AM64" i="2"/>
  <c r="AK64" i="2"/>
  <c r="AO64" i="2"/>
  <c r="AP89" i="2"/>
  <c r="AK89" i="2"/>
  <c r="AN89" i="2"/>
  <c r="AL89" i="2"/>
  <c r="AM89" i="2"/>
  <c r="AO89" i="2"/>
  <c r="AP53" i="2"/>
  <c r="AK53" i="2"/>
  <c r="AL53" i="2"/>
  <c r="AO53" i="2"/>
  <c r="AN53" i="2"/>
  <c r="AM53" i="2"/>
  <c r="AP56" i="2"/>
  <c r="AK56" i="2"/>
  <c r="AN56" i="2"/>
  <c r="AL56" i="2"/>
  <c r="AO56" i="2"/>
  <c r="AM56" i="2"/>
  <c r="AP40" i="2"/>
  <c r="AN40" i="2"/>
  <c r="AK40" i="2"/>
  <c r="AL40" i="2"/>
  <c r="AO40" i="2"/>
  <c r="AM40" i="2"/>
  <c r="AP24" i="2"/>
  <c r="AL24" i="2"/>
  <c r="AK24" i="2"/>
  <c r="AO24" i="2"/>
  <c r="AM24" i="2"/>
  <c r="AN24" i="2"/>
  <c r="AP25" i="2"/>
  <c r="AK25" i="2"/>
  <c r="AM25" i="2"/>
  <c r="AL25" i="2"/>
  <c r="AN25" i="2"/>
  <c r="AO25" i="2"/>
  <c r="AL64" i="2"/>
  <c r="AP85" i="2"/>
  <c r="AK85" i="2"/>
  <c r="AM85" i="2"/>
  <c r="AL85" i="2"/>
  <c r="AO85" i="2"/>
  <c r="AN85" i="2"/>
  <c r="AL54" i="2"/>
  <c r="AO79" i="2"/>
  <c r="AN33" i="2"/>
  <c r="AK5" i="2"/>
  <c r="AN14" i="2"/>
  <c r="AK37" i="2"/>
  <c r="AN46" i="2"/>
  <c r="AO57" i="2"/>
  <c r="AK69" i="2"/>
  <c r="AN78" i="2"/>
  <c r="AK101" i="2"/>
  <c r="AO6" i="2"/>
  <c r="AN19" i="2"/>
  <c r="AM32" i="2"/>
  <c r="AL45" i="2"/>
  <c r="AO70" i="2"/>
  <c r="AN83" i="2"/>
  <c r="AM96" i="2"/>
  <c r="AO8" i="2"/>
  <c r="AM58" i="2"/>
  <c r="AO96" i="2"/>
  <c r="AL98" i="2"/>
  <c r="AK92" i="2"/>
  <c r="AP92" i="2"/>
  <c r="AN8" i="2"/>
  <c r="AN16" i="2"/>
  <c r="AM29" i="2"/>
  <c r="AL82" i="2"/>
  <c r="AN45" i="2"/>
  <c r="AL71" i="2"/>
  <c r="AN4" i="2"/>
  <c r="AN58" i="2"/>
  <c r="AO18" i="2"/>
  <c r="AO44" i="2"/>
  <c r="AL75" i="2"/>
  <c r="AN97" i="2"/>
  <c r="AN44" i="2"/>
  <c r="AL66" i="2"/>
  <c r="AK84" i="2"/>
  <c r="AP84" i="2"/>
  <c r="AM95" i="2"/>
  <c r="AK66" i="2"/>
  <c r="AM77" i="2"/>
  <c r="AM66" i="2"/>
  <c r="AM86" i="2"/>
  <c r="AK22" i="2"/>
  <c r="AK32" i="2"/>
  <c r="AK17" i="2"/>
  <c r="AN7" i="2"/>
  <c r="AM17" i="2"/>
  <c r="AM27" i="2"/>
  <c r="AL48" i="2"/>
  <c r="AM101" i="2"/>
  <c r="AO72" i="2"/>
  <c r="AL18" i="2"/>
  <c r="AK12" i="2"/>
  <c r="AP12" i="2"/>
  <c r="AL12" i="2"/>
  <c r="AO5" i="2"/>
  <c r="AO37" i="2"/>
  <c r="AO69" i="2"/>
  <c r="AO101" i="2"/>
  <c r="AL51" i="2"/>
  <c r="AL9" i="2"/>
  <c r="AL57" i="2"/>
  <c r="AL73" i="2"/>
  <c r="AL6" i="2"/>
  <c r="AK19" i="2"/>
  <c r="AM57" i="2"/>
  <c r="AL70" i="2"/>
  <c r="AK83" i="2"/>
  <c r="AO95" i="2"/>
  <c r="AK16" i="2"/>
  <c r="AM46" i="2"/>
  <c r="AN6" i="2"/>
  <c r="AO17" i="2"/>
  <c r="AK29" i="2"/>
  <c r="AN38" i="2"/>
  <c r="AO49" i="2"/>
  <c r="AK61" i="2"/>
  <c r="AN70" i="2"/>
  <c r="AO81" i="2"/>
  <c r="AK93" i="2"/>
  <c r="AN102" i="2"/>
  <c r="AO22" i="2"/>
  <c r="AN35" i="2"/>
  <c r="AM48" i="2"/>
  <c r="AL61" i="2"/>
  <c r="AO86" i="2"/>
  <c r="AL15" i="2"/>
  <c r="AM34" i="2"/>
  <c r="AN69" i="2"/>
  <c r="AO59" i="2"/>
  <c r="AO74" i="2"/>
  <c r="AN5" i="2"/>
  <c r="AL47" i="2"/>
  <c r="AN77" i="2"/>
  <c r="AK100" i="2"/>
  <c r="AP100" i="2"/>
  <c r="AK10" i="2"/>
  <c r="AO19" i="2"/>
  <c r="AL42" i="2"/>
  <c r="AL58" i="2"/>
  <c r="AL90" i="2"/>
  <c r="AO16" i="2"/>
  <c r="AN18" i="2"/>
  <c r="AN66" i="2"/>
  <c r="AO50" i="2"/>
  <c r="AO100" i="2"/>
  <c r="AO58" i="2"/>
  <c r="AK44" i="2"/>
  <c r="AP44" i="2"/>
  <c r="AK60" i="2"/>
  <c r="AP60" i="2"/>
  <c r="AK20" i="2"/>
  <c r="AP20" i="2"/>
  <c r="AN20" i="2"/>
  <c r="AO28" i="2"/>
  <c r="AK95" i="2"/>
  <c r="AO51" i="2"/>
  <c r="AM42" i="2"/>
  <c r="AO15" i="2"/>
  <c r="AK81" i="2"/>
  <c r="AN23" i="2"/>
  <c r="AM38" i="2"/>
  <c r="AM72" i="2"/>
  <c r="AO42" i="2"/>
  <c r="AL60" i="2"/>
  <c r="AN60" i="2"/>
  <c r="AM7" i="2"/>
  <c r="AM23" i="2"/>
  <c r="AM22" i="2"/>
  <c r="AN57" i="2"/>
  <c r="AM6" i="2"/>
  <c r="AN49" i="2"/>
  <c r="AO7" i="2"/>
  <c r="AM33" i="2"/>
  <c r="AL46" i="2"/>
  <c r="AM97" i="2"/>
  <c r="AM54" i="2"/>
  <c r="AL8" i="2"/>
  <c r="AM19" i="2"/>
  <c r="AM51" i="2"/>
  <c r="AL72" i="2"/>
  <c r="AM83" i="2"/>
  <c r="AN11" i="2"/>
  <c r="AL37" i="2"/>
  <c r="AO62" i="2"/>
  <c r="AN75" i="2"/>
  <c r="AL101" i="2"/>
  <c r="AO20" i="2"/>
  <c r="AM74" i="2"/>
  <c r="AL26" i="2"/>
  <c r="AK74" i="2"/>
  <c r="AN13" i="2"/>
  <c r="AL55" i="2"/>
  <c r="AL84" i="2"/>
  <c r="AO12" i="2"/>
  <c r="AL10" i="2"/>
  <c r="AN32" i="2"/>
  <c r="AO43" i="2"/>
  <c r="AM61" i="2"/>
  <c r="AM93" i="2"/>
  <c r="AL23" i="2"/>
  <c r="AK76" i="2"/>
  <c r="AP76" i="2"/>
  <c r="AN26" i="2"/>
  <c r="AL76" i="2"/>
  <c r="AN84" i="2"/>
  <c r="AL91" i="2"/>
  <c r="AM102" i="2"/>
  <c r="AL100" i="2"/>
  <c r="AK28" i="2"/>
  <c r="AP28" i="2"/>
  <c r="AO84" i="2"/>
  <c r="AM47" i="2"/>
  <c r="AK96" i="2"/>
  <c r="AK86" i="2"/>
  <c r="AK82" i="2"/>
  <c r="AK33" i="2"/>
  <c r="AK65" i="2"/>
  <c r="AK18" i="2"/>
  <c r="AM81" i="2"/>
  <c r="AN101" i="2"/>
  <c r="AL95" i="2"/>
  <c r="AL11" i="2"/>
  <c r="AM9" i="2"/>
  <c r="AL22" i="2"/>
  <c r="AO47" i="2"/>
  <c r="AM73" i="2"/>
  <c r="AL86" i="2"/>
  <c r="AL19" i="2"/>
  <c r="AO9" i="2"/>
  <c r="AN30" i="2"/>
  <c r="AN62" i="2"/>
  <c r="AO73" i="2"/>
  <c r="AN94" i="2"/>
  <c r="AO98" i="2"/>
  <c r="AL13" i="2"/>
  <c r="AO38" i="2"/>
  <c r="AN51" i="2"/>
  <c r="AL77" i="2"/>
  <c r="AO102" i="2"/>
  <c r="AL20" i="2"/>
  <c r="AM44" i="2"/>
  <c r="AL79" i="2"/>
  <c r="AK63" i="2"/>
  <c r="AL74" i="2"/>
  <c r="AM18" i="2"/>
  <c r="AM60" i="2"/>
  <c r="AM84" i="2"/>
  <c r="AN42" i="2"/>
  <c r="AO11" i="2"/>
  <c r="AK23" i="2"/>
  <c r="AL34" i="2"/>
  <c r="AM45" i="2"/>
  <c r="AN96" i="2"/>
  <c r="AM28" i="2"/>
  <c r="AK52" i="2"/>
  <c r="AP52" i="2"/>
  <c r="AL28" i="2"/>
  <c r="AN82" i="2"/>
  <c r="AO82" i="2"/>
  <c r="AN92" i="2"/>
  <c r="AM70" i="2"/>
  <c r="AN81" i="2"/>
  <c r="AO92" i="2"/>
  <c r="AO90" i="2"/>
  <c r="AO76" i="2"/>
  <c r="BB34" i="2" l="1"/>
  <c r="BA35" i="2"/>
  <c r="BA36" i="2"/>
  <c r="BC34" i="2" l="1"/>
  <c r="BB35" i="2"/>
  <c r="BB36" i="2"/>
  <c r="BD34" i="2" l="1"/>
  <c r="BC35" i="2"/>
  <c r="BC36" i="2"/>
  <c r="BE34" i="2" l="1"/>
  <c r="BD36" i="2"/>
  <c r="BD35" i="2"/>
  <c r="BF34" i="2" l="1"/>
  <c r="BE36" i="2"/>
  <c r="BE35" i="2"/>
  <c r="BG34" i="2" l="1"/>
  <c r="BF35" i="2"/>
  <c r="BF36" i="2"/>
  <c r="BH34" i="2" l="1"/>
  <c r="BG35" i="2"/>
  <c r="BG36" i="2"/>
  <c r="BI34" i="2" l="1"/>
  <c r="BH35" i="2"/>
  <c r="BH36" i="2"/>
  <c r="BJ34" i="2" l="1"/>
  <c r="BI35" i="2"/>
  <c r="BI36" i="2"/>
  <c r="BK34" i="2" l="1"/>
  <c r="BJ35" i="2"/>
  <c r="BJ36" i="2"/>
  <c r="BK35" i="2" l="1"/>
  <c r="BK36" i="2"/>
  <c r="BM36" i="2" s="1"/>
  <c r="AS37" i="2" l="1"/>
  <c r="AV37" i="2"/>
  <c r="AX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Goodwin</author>
  </authors>
  <commentList>
    <comment ref="DE1" authorId="0" shapeId="0" xr:uid="{B214274E-FA36-4AA7-B7BC-6744E4DA5E16}">
      <text>
        <r>
          <rPr>
            <b/>
            <sz val="9"/>
            <color indexed="81"/>
            <rFont val="Tahoma"/>
            <family val="2"/>
          </rPr>
          <t>Andrew Goodwin:</t>
        </r>
        <r>
          <rPr>
            <sz val="9"/>
            <color indexed="81"/>
            <rFont val="Tahoma"/>
            <family val="2"/>
          </rPr>
          <t xml:space="preserve">
Excludes periods distorted by lockdowns (Q1 2020-Q2 2021)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<sst xmlns="http://schemas.openxmlformats.org/spreadsheetml/2006/main" count="1870" uniqueCount="1444">
  <si>
    <t>MGSX@UK</t>
  </si>
  <si>
    <t>UKSEURA@UK</t>
  </si>
  <si>
    <t>198001 !M</t>
  </si>
  <si>
    <t>198001</t>
  </si>
  <si>
    <t>.DTLM</t>
  </si>
  <si>
    <t>.LSOURCE</t>
  </si>
  <si>
    <t>.TN</t>
  </si>
  <si>
    <t>.T1</t>
  </si>
  <si>
    <t>.DESC</t>
  </si>
  <si>
    <t>Dec-17-2024 07:25</t>
  </si>
  <si>
    <t>Office for National Statistics</t>
  </si>
  <si>
    <t>Sep-2024</t>
  </si>
  <si>
    <t>Feb-1971</t>
  </si>
  <si>
    <t>UK: LFS: Unemployment Rate: Aged 16 and Over (SA, %)</t>
  </si>
  <si>
    <t>Dec-17-2024 07:04</t>
  </si>
  <si>
    <t>Oct-2024</t>
  </si>
  <si>
    <t>Jun-1992</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</si>
  <si>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</si>
  <si>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</si>
  <si>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</si>
  <si>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</si>
  <si>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</si>
  <si>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</si>
  <si>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</si>
  <si>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</si>
  <si>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</si>
  <si>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</si>
  <si>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</si>
  <si>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</si>
  <si>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</si>
  <si>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</si>
  <si>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</si>
  <si>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</si>
  <si>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</si>
  <si>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</si>
  <si>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</si>
  <si>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</si>
  <si>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</si>
  <si>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</si>
  <si>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</si>
  <si>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</si>
  <si>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</si>
  <si>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</si>
  <si>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</si>
  <si>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</si>
  <si>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</si>
  <si>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</si>
  <si>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</si>
  <si>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</si>
  <si>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</si>
  <si>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</si>
  <si>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</si>
  <si>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</si>
  <si>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</si>
  <si>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</si>
  <si>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</si>
  <si>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</si>
  <si>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</si>
  <si>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</si>
  <si>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</si>
  <si>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</si>
  <si>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</si>
  <si>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</si>
  <si>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</si>
  <si>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</si>
  <si>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</si>
  <si>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</si>
  <si>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</si>
  <si>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</si>
  <si>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</si>
  <si>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</si>
  <si>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</si>
  <si>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</si>
  <si>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</si>
  <si>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</si>
  <si>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</si>
  <si>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</si>
  <si>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</si>
  <si>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</si>
  <si>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</si>
  <si>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</si>
  <si>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</si>
  <si>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</si>
  <si>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</si>
  <si>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</si>
  <si>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</si>
  <si>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</si>
  <si>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</si>
  <si>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</si>
  <si>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</si>
  <si>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</si>
  <si>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</si>
  <si>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</si>
  <si>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</si>
  <si>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</si>
  <si>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</si>
  <si>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</si>
  <si>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</si>
  <si>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</si>
  <si>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</si>
  <si>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</si>
  <si>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</si>
  <si>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</si>
  <si>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</si>
  <si>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</si>
  <si>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</si>
  <si>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</si>
  <si>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</si>
  <si>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</si>
  <si>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</si>
  <si>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</si>
  <si>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</si>
  <si>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</si>
  <si>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</si>
  <si>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</si>
  <si>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</si>
  <si>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</si>
  <si>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</si>
  <si>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</si>
  <si>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</si>
  <si>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</si>
  <si>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</si>
  <si>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</si>
  <si>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</si>
  <si>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</si>
  <si>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</si>
  <si>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</si>
  <si>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</si>
  <si>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</si>
  <si>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</si>
  <si>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</si>
  <si>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</si>
  <si>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</si>
  <si>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</si>
  <si>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</si>
  <si>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</si>
  <si>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</si>
  <si>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</si>
  <si>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</si>
  <si>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</si>
  <si>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</si>
  <si>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</si>
  <si>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</si>
  <si>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</si>
  <si>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</si>
  <si>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</si>
  <si>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</si>
  <si>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</si>
  <si>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</si>
  <si>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</si>
  <si>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</si>
  <si>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</si>
  <si>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</si>
  <si>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</si>
  <si>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</si>
  <si>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</si>
  <si>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</si>
  <si>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</si>
  <si>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</si>
  <si>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</si>
  <si>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</si>
  <si>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</si>
  <si>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</si>
  <si>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</si>
  <si>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</si>
  <si>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</si>
  <si>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</si>
  <si>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</si>
  <si>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</si>
  <si>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</si>
  <si>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</si>
  <si>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</si>
  <si>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</si>
  <si>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</si>
  <si>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</si>
  <si>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</si>
  <si>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</si>
  <si>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</si>
  <si>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</si>
  <si>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</si>
  <si>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</si>
  <si>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</si>
  <si>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</si>
  <si>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</si>
  <si>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</si>
  <si>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</si>
  <si>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</si>
  <si>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</si>
  <si>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</si>
  <si>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</si>
  <si>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</si>
  <si>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</si>
  <si>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</si>
  <si>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</si>
  <si>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</si>
  <si>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</si>
  <si>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</si>
  <si>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</si>
  <si>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</si>
  <si>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</si>
  <si>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</si>
  <si>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</si>
  <si>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</si>
  <si>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</si>
  <si>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</si>
  <si>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</si>
  <si>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</si>
  <si>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</si>
  <si>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</si>
  <si>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</si>
  <si>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</si>
  <si>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</si>
  <si>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</si>
  <si>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</si>
  <si>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</si>
  <si>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</si>
  <si>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</si>
  <si>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</si>
  <si>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</si>
  <si>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</si>
  <si>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</si>
  <si>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</si>
  <si>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</si>
  <si>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</si>
  <si>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</si>
  <si>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</si>
  <si>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</si>
  <si>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</si>
  <si>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</si>
  <si>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</si>
  <si>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</si>
  <si>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</si>
  <si>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</si>
  <si>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</si>
  <si>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</si>
  <si>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</si>
  <si>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</si>
  <si>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</si>
  <si>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</si>
  <si>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</si>
  <si>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</si>
  <si>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</si>
  <si>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</si>
  <si>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</si>
  <si>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</si>
  <si>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</si>
  <si>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</si>
  <si>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</si>
  <si>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</si>
  <si>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</si>
  <si>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</si>
  <si>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</si>
  <si>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</si>
  <si>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</si>
  <si>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</si>
  <si>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</si>
  <si>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</si>
  <si>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</si>
  <si>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</si>
  <si>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</si>
  <si>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</si>
  <si>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</si>
  <si>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</si>
  <si>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</si>
  <si>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</si>
  <si>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</si>
  <si>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</si>
  <si>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</si>
  <si>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</si>
  <si>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</si>
  <si>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</si>
  <si>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</si>
  <si>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</si>
  <si>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</si>
  <si>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</si>
  <si>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</si>
  <si>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</si>
  <si>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</si>
  <si>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</si>
  <si>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</si>
  <si>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</si>
  <si>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</si>
  <si>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</si>
  <si>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</si>
  <si>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</si>
  <si>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</si>
  <si>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</si>
  <si>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</si>
  <si>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</si>
  <si>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</si>
  <si>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</si>
  <si>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</si>
  <si>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</si>
  <si>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</si>
  <si>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</si>
  <si>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</si>
  <si>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</si>
  <si>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</si>
  <si>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</si>
  <si>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</si>
  <si>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</si>
  <si>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</si>
  <si>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</si>
  <si>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</si>
  <si>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</si>
  <si>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</si>
  <si>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</si>
  <si>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</si>
  <si>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</si>
  <si>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</si>
  <si>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</si>
  <si>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</si>
  <si>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</si>
  <si>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</si>
  <si>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</si>
  <si>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</si>
  <si>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</si>
  <si>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</si>
  <si>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</si>
  <si>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</si>
  <si>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</si>
  <si>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</si>
  <si>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</si>
  <si>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</si>
  <si>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</si>
  <si>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</si>
  <si>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</si>
  <si>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</si>
  <si>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</si>
  <si>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</si>
  <si>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</si>
  <si>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</si>
  <si>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</si>
  <si>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</si>
  <si>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</si>
  <si>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</si>
  <si>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</si>
  <si>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</si>
  <si>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</si>
  <si>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</si>
  <si>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</si>
  <si>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</si>
  <si>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</si>
  <si>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</si>
  <si>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</si>
  <si>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</si>
  <si>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</si>
  <si>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</si>
  <si>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</si>
  <si>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</si>
  <si>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</si>
  <si>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</si>
  <si>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</si>
  <si>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</si>
  <si>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</si>
  <si>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</si>
  <si>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</si>
  <si>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</si>
  <si>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</si>
  <si>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</si>
  <si>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</si>
  <si>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</si>
  <si>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</si>
  <si>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</si>
  <si>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</si>
  <si>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</si>
  <si>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</si>
  <si>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</si>
  <si>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</si>
  <si>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</si>
  <si>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</si>
  <si>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</si>
  <si>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</si>
  <si>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</si>
  <si>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</si>
  <si>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</si>
  <si>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</si>
  <si>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</si>
  <si>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</si>
  <si>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</si>
  <si>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</si>
  <si>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</si>
  <si>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</si>
  <si>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</si>
  <si>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</si>
  <si>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</si>
  <si>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</si>
  <si>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</si>
  <si>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</si>
  <si>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</si>
  <si>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</si>
  <si>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</si>
  <si>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</si>
  <si>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</si>
  <si>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</si>
  <si>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</si>
  <si>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</si>
  <si>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</si>
  <si>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</si>
  <si>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</si>
  <si>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</si>
  <si>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</si>
  <si>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</si>
  <si>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</si>
  <si>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</si>
  <si>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</si>
  <si>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</si>
  <si>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</si>
  <si>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</si>
  <si>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</si>
  <si>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</si>
  <si>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</si>
  <si>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</si>
  <si>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</si>
  <si>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</si>
  <si>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</si>
  <si>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</si>
  <si>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</si>
  <si>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</si>
  <si>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</si>
  <si>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</si>
  <si>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</si>
  <si>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</si>
  <si>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</si>
  <si>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</si>
  <si>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</si>
  <si>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</si>
  <si>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</si>
  <si>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</si>
  <si>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</si>
  <si>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</si>
  <si>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</si>
  <si>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</si>
  <si>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</si>
  <si>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</si>
  <si>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</si>
  <si>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</si>
  <si>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</si>
  <si>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</si>
  <si>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</si>
  <si>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</si>
  <si>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</si>
  <si>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</si>
  <si>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</si>
  <si>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</si>
  <si>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</si>
  <si>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</si>
  <si>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</si>
  <si>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</si>
  <si>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</si>
  <si>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</si>
  <si>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</si>
  <si>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</si>
  <si>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</si>
  <si>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</si>
  <si>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</si>
  <si>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</si>
  <si>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</si>
  <si>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</si>
  <si>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</si>
  <si>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</si>
  <si>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</si>
  <si>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</si>
  <si>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</si>
  <si>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</si>
  <si>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</si>
  <si>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</si>
  <si>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</si>
  <si>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</si>
  <si>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</si>
  <si>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</si>
  <si>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</si>
  <si>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</si>
  <si>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</si>
  <si>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</si>
  <si>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</si>
  <si>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</si>
  <si>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</si>
  <si>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</si>
  <si>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</si>
  <si>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</si>
  <si>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</si>
  <si>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</si>
  <si>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</si>
  <si>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</si>
  <si>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</si>
  <si>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</si>
  <si>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</si>
  <si>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</si>
  <si>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</si>
  <si>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</si>
  <si>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</si>
  <si>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</si>
  <si>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</si>
  <si>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</si>
  <si>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</si>
  <si>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</si>
  <si>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</si>
  <si>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</si>
  <si>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</si>
  <si>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</si>
  <si>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</si>
  <si>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</si>
  <si>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</si>
  <si>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</si>
  <si>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</si>
  <si>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</si>
  <si>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</si>
  <si>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</si>
  <si>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</si>
  <si>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</si>
  <si>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</si>
  <si>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</si>
  <si>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</si>
  <si>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</si>
  <si>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</si>
  <si>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</si>
  <si>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</si>
  <si>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</si>
  <si>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</si>
  <si>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</si>
  <si>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</si>
  <si>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</si>
  <si>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</si>
  <si>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</si>
  <si>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</si>
  <si>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</si>
  <si>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</si>
  <si>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</si>
  <si>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</si>
  <si>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</si>
  <si>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</si>
  <si>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</si>
  <si>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</si>
  <si>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</si>
  <si>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</si>
  <si>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</si>
  <si>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</si>
  <si>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</si>
  <si>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</si>
  <si>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</si>
  <si>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</si>
  <si>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</si>
  <si>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</si>
  <si>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</si>
  <si>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</si>
  <si>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</si>
  <si>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</si>
  <si>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</si>
  <si>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</si>
  <si>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</si>
  <si>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</si>
  <si>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</si>
  <si>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</si>
  <si>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Single month range - max</t>
  </si>
  <si>
    <t>Range of single-month estimates</t>
  </si>
  <si>
    <t>Single month range - min</t>
  </si>
  <si>
    <t>Single month rate</t>
  </si>
  <si>
    <t>Three-month rate</t>
  </si>
  <si>
    <t>LFS unemployment - single-month &amp; three-month rates</t>
  </si>
  <si>
    <t>LFS unemployment - single-month range &amp; 3-month rate</t>
  </si>
  <si>
    <t>G7AUQ@UK</t>
  </si>
  <si>
    <t>G7K5Q@UK</t>
  </si>
  <si>
    <t>G7GOQ@UK</t>
  </si>
  <si>
    <t>MFY7Q@UK</t>
  </si>
  <si>
    <t>MFY5Q@UK</t>
  </si>
  <si>
    <t>19801 !Q</t>
  </si>
  <si>
    <t>19801</t>
  </si>
  <si>
    <t>Dec-17-2024 07:20</t>
  </si>
  <si>
    <t>Q3-2024</t>
  </si>
  <si>
    <t>Q2-1991</t>
  </si>
  <si>
    <t>UK: Total Public Sector Employment (SA, Thous)</t>
  </si>
  <si>
    <t>Q1-1999</t>
  </si>
  <si>
    <t>UK: Total Private Sector Employment (SA, Thous)</t>
  </si>
  <si>
    <t>UK: Total Employment [Labor Force Survey] (SA, Thous)</t>
  </si>
  <si>
    <t>UK: Public Sector Employment ex Major Reclassifications (SA. Thous)</t>
  </si>
  <si>
    <t>UK: Private Sector Employment ex Major Reclassifications (SA. % of Employed)</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</si>
  <si>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</si>
  <si>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</si>
  <si>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</si>
  <si>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</si>
  <si>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</si>
  <si>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</si>
  <si>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</si>
  <si>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</si>
  <si>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</si>
  <si>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</si>
  <si>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</si>
  <si>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</si>
  <si>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</si>
  <si>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</si>
  <si>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</si>
  <si>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</si>
  <si>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</si>
  <si>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</si>
  <si>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</si>
  <si>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</si>
  <si>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</si>
  <si>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</si>
  <si>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</si>
  <si>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</si>
  <si>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</si>
  <si>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</si>
  <si>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</si>
  <si>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</si>
  <si>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</si>
  <si>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</si>
  <si>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</si>
  <si>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</si>
  <si>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</si>
  <si>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</si>
  <si>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</si>
  <si>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</si>
  <si>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</si>
  <si>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</si>
  <si>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</si>
  <si>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</si>
  <si>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</si>
  <si>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</si>
  <si>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</si>
  <si>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</si>
  <si>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</si>
  <si>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</si>
  <si>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</si>
  <si>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</si>
  <si>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</si>
  <si>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</si>
  <si>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</si>
  <si>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</si>
  <si>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</si>
  <si>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</si>
  <si>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</si>
  <si>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</si>
  <si>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</si>
  <si>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</si>
  <si>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</si>
  <si>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</si>
  <si>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</si>
  <si>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</si>
  <si>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</si>
  <si>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</si>
  <si>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</si>
  <si>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</si>
  <si>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</si>
  <si>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</si>
  <si>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</si>
  <si>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</si>
  <si>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</si>
  <si>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</si>
  <si>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</si>
  <si>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</si>
  <si>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</si>
  <si>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</si>
  <si>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</si>
  <si>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</si>
  <si>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</si>
  <si>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</si>
  <si>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</si>
  <si>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</si>
  <si>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</si>
  <si>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</si>
  <si>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</si>
  <si>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</si>
  <si>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</si>
  <si>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</si>
  <si>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</si>
  <si>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</si>
  <si>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</si>
  <si>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</si>
  <si>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</si>
  <si>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</si>
  <si>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</si>
  <si>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</si>
  <si>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</si>
  <si>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</si>
  <si>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</si>
  <si>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</si>
  <si>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</si>
  <si>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</si>
  <si>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</si>
  <si>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</si>
  <si>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</si>
  <si>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</si>
  <si>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</si>
  <si>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</si>
  <si>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</si>
  <si>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</si>
  <si>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</si>
  <si>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</si>
  <si>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</si>
  <si>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</si>
  <si>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</si>
  <si>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</si>
  <si>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</si>
  <si>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</si>
  <si>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</si>
  <si>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</si>
  <si>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</si>
  <si>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</si>
  <si>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</si>
  <si>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</si>
  <si>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</si>
  <si>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</si>
  <si>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</si>
  <si>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</si>
  <si>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</si>
  <si>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</si>
  <si>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</si>
  <si>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</si>
  <si>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</si>
  <si>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</si>
  <si>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</si>
  <si>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</si>
  <si>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</si>
  <si>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</si>
  <si>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</si>
  <si>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</si>
  <si>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</si>
  <si>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</si>
  <si>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</si>
  <si>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</si>
  <si>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</si>
  <si>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</si>
  <si>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</si>
  <si>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</si>
  <si>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</si>
  <si>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</si>
  <si>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</si>
  <si>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</si>
  <si>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</si>
  <si>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</si>
  <si>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</si>
  <si>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</si>
  <si>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</si>
  <si>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</si>
  <si>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</si>
  <si>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</si>
  <si>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</si>
  <si>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</si>
  <si>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</si>
  <si>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</si>
  <si>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</si>
  <si>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</si>
  <si>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</si>
  <si>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</si>
  <si>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</si>
  <si>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</si>
  <si>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</si>
  <si>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</si>
  <si>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</si>
  <si>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</si>
  <si>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</si>
  <si>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</si>
  <si>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</si>
  <si>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</si>
  <si>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MFZ2Q@UK</t>
  </si>
  <si>
    <t>UK: Private Sector Employment ex Major Reclassifications (SA. Thous)</t>
  </si>
  <si>
    <t>G9BZQ@UK</t>
  </si>
  <si>
    <t>G9C2Q@UK</t>
  </si>
  <si>
    <t>MFY9Q@UK</t>
  </si>
  <si>
    <t>UK: Public Sector Employment as % of Total Employment (SA, %)</t>
  </si>
  <si>
    <t>UK: Private Sector Employment as % of Total Employment (SA, %)</t>
  </si>
  <si>
    <t>UK: Public Sector Employment ex Major Reclassifications (SA. % of Employed)</t>
  </si>
  <si>
    <t>Change in jobs since 2019 - private vs public</t>
  </si>
  <si>
    <t>Private sector</t>
  </si>
  <si>
    <t>Public sector</t>
  </si>
  <si>
    <t>G7ERQ@UK</t>
  </si>
  <si>
    <t>G7EUQ@UK</t>
  </si>
  <si>
    <t>G7EXQ@UK</t>
  </si>
  <si>
    <t>G7F2Q@UK</t>
  </si>
  <si>
    <t>G7F5Q@UK</t>
  </si>
  <si>
    <t>G7FGQ@UK</t>
  </si>
  <si>
    <t>G7FJQ@UK</t>
  </si>
  <si>
    <t>G7FMQ@UK</t>
  </si>
  <si>
    <t>UK: Public Sector Employment: Construction (SA, Thous)</t>
  </si>
  <si>
    <t>UK: Public Sector Employment: HM Forces (SA, Thous)</t>
  </si>
  <si>
    <t>UK: Public Sector Employment: Police [including Civilians] (SA, Thous)</t>
  </si>
  <si>
    <t>UK: Public Sector Employment: Public Administration (SA, Thous)</t>
  </si>
  <si>
    <t>UK: Public Sector Employment: Education (SA, Thous)</t>
  </si>
  <si>
    <t>UK: Public Sector Employment: National Health Service (SA, Thous)</t>
  </si>
  <si>
    <t>UK: Public Sector Employment: Other Health and Social Work (SA, Thous)</t>
  </si>
  <si>
    <t>UK: Public Sector Employment: Other Public Sector (SA, Thous)</t>
  </si>
  <si>
    <t>Composition of public sector employment</t>
  </si>
  <si>
    <t>NHS</t>
  </si>
  <si>
    <t>Education</t>
  </si>
  <si>
    <t>Public administration</t>
  </si>
  <si>
    <t>Police</t>
  </si>
  <si>
    <t>HM forces</t>
  </si>
  <si>
    <t>Other</t>
  </si>
  <si>
    <t>Composition of public sector employment (shares)</t>
  </si>
  <si>
    <t>Change in WFJ since 2019</t>
  </si>
  <si>
    <t>Q2-1978</t>
  </si>
  <si>
    <t>DYDCQ@UK</t>
  </si>
  <si>
    <t>JWR5Q@UK</t>
  </si>
  <si>
    <t>JWR6Q@UK</t>
  </si>
  <si>
    <t>JWR7Q@UK</t>
  </si>
  <si>
    <t>JWR8Q@UK</t>
  </si>
  <si>
    <t>JWR9Q@UK</t>
  </si>
  <si>
    <t>JWS2Q@UK</t>
  </si>
  <si>
    <t>JWT8Q@UK</t>
  </si>
  <si>
    <t>JWS3Q@UK</t>
  </si>
  <si>
    <t>JWS4Q@UK</t>
  </si>
  <si>
    <t>JWS5Q@UK</t>
  </si>
  <si>
    <t>JWS6Q@UK</t>
  </si>
  <si>
    <t>JWS7Q@UK</t>
  </si>
  <si>
    <t>JWS8Q@UK</t>
  </si>
  <si>
    <t>JWS9Q@UK</t>
  </si>
  <si>
    <t>JWT2Q@UK</t>
  </si>
  <si>
    <t>JWT3Q@UK</t>
  </si>
  <si>
    <t>JWT4Q@UK</t>
  </si>
  <si>
    <t>JWT5Q@UK</t>
  </si>
  <si>
    <t>JWT6Q@UK</t>
  </si>
  <si>
    <t>Q2-1959</t>
  </si>
  <si>
    <t>UK: Total Workforce Jobs [Count of Jobs, Not People] (SA, Thous)</t>
  </si>
  <si>
    <t>UK: Workforce Jobs: Agriculture, Forestry &amp; Fishing(SA, Thous)</t>
  </si>
  <si>
    <t>UK: Workforce Jobs: Mining &amp; Quarrying(SA, Thous)</t>
  </si>
  <si>
    <t>UK: Workforce Jobs: Manufacturing(SA, Thous)</t>
  </si>
  <si>
    <t>UK: Workforce Jobs: Electricity, Gas, Steam &amp; Air-Conditioning Supply(SA, Thous)</t>
  </si>
  <si>
    <t>UK: Workforce Jobs: Water Supply, Waste Management &amp; Remediation(SA, Thous)</t>
  </si>
  <si>
    <t>UK: Workforce Jobs: Construction(SA, Thous)</t>
  </si>
  <si>
    <t>UK: Workforce Jobs: Total Services(SA, Thous)</t>
  </si>
  <si>
    <t>UK: Workforce Jobs: Wholesale/Retail Trade, Motor Vehicle Repair(SA, Thous)</t>
  </si>
  <si>
    <t>UK: Workforce Jobs: Transportation &amp; Storage(SA, Thous)</t>
  </si>
  <si>
    <t>UK: Workforce Jobs: Accommodation &amp; Food Services(SA, Thous)</t>
  </si>
  <si>
    <t>UK: Workforce Jobs: Information &amp; Communication(SA, Thous)</t>
  </si>
  <si>
    <t>UK: Workforce Jobs: Financial &amp; Insurance Activities(SA, Thous)</t>
  </si>
  <si>
    <t>UK: Workforce Jobs: Real Estate Activities(SA, Thous)</t>
  </si>
  <si>
    <t>UK: Workforce Jobs: Professional Scientific &amp; Technical Activities(SA, Thous)</t>
  </si>
  <si>
    <t>UK: Workforce Jobs: Administrative &amp; Support Services(SA, Thous)</t>
  </si>
  <si>
    <t>UK: Workforce Jobs: Public Administration, Defense, Social Security(SA, Thous)</t>
  </si>
  <si>
    <t>UK: Workforce Jobs: Education(SA, Thous)</t>
  </si>
  <si>
    <t>UK: Workforce Jobs: Human Health &amp; Social Work Activities(SA, Thous)</t>
  </si>
  <si>
    <t>UK: Workforce Jobs: Arts, Entertainment &amp; Recreation(SA, Thous)</t>
  </si>
  <si>
    <t>JWT7Q@UK</t>
  </si>
  <si>
    <t>KW78Q@UK</t>
  </si>
  <si>
    <t>UK: Workforce Jobs: Other Service Activities(SA, Thous)</t>
  </si>
  <si>
    <t>UK: Workforce Jobs: People Employed by Households, etc. (SA, Thous)</t>
  </si>
  <si>
    <t>Agriculture</t>
  </si>
  <si>
    <t>Extraction &amp; utilities</t>
  </si>
  <si>
    <t>Manufacturing</t>
  </si>
  <si>
    <t>Construction</t>
  </si>
  <si>
    <t>Distribution, accommodation &amp; food</t>
  </si>
  <si>
    <t>Transport &amp; comms</t>
  </si>
  <si>
    <t>Financial services</t>
  </si>
  <si>
    <t>Business services</t>
  </si>
  <si>
    <t>Public services</t>
  </si>
  <si>
    <t>Check</t>
  </si>
  <si>
    <t>Extraction</t>
  </si>
  <si>
    <t>Utilities</t>
  </si>
  <si>
    <t>Water</t>
  </si>
  <si>
    <t>Wholesale &amp; retail</t>
  </si>
  <si>
    <t>Transport</t>
  </si>
  <si>
    <t>Accommodation &amp; food</t>
  </si>
  <si>
    <t>Communications</t>
  </si>
  <si>
    <t>Real estate</t>
  </si>
  <si>
    <t>Professional services</t>
  </si>
  <si>
    <t>Administrative services</t>
  </si>
  <si>
    <t>Public admin</t>
  </si>
  <si>
    <t>Health</t>
  </si>
  <si>
    <t>Art &amp; recreation</t>
  </si>
  <si>
    <t>Other services</t>
  </si>
  <si>
    <t>Total</t>
  </si>
  <si>
    <t>Big 4</t>
  </si>
  <si>
    <t>Share</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</si>
  <si>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</si>
  <si>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</si>
  <si>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</si>
  <si>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</si>
  <si>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</si>
  <si>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</si>
  <si>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</si>
  <si>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</si>
  <si>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</si>
  <si>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</si>
  <si>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</si>
  <si>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</si>
  <si>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</si>
  <si>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</si>
  <si>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</si>
  <si>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</si>
  <si>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</si>
  <si>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</si>
  <si>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</si>
  <si>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</si>
  <si>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</si>
  <si>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</si>
  <si>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</si>
  <si>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</si>
  <si>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</si>
  <si>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</si>
  <si>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</si>
  <si>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</si>
  <si>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</si>
  <si>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</si>
  <si>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</si>
  <si>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</si>
  <si>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</si>
  <si>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</si>
  <si>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</si>
  <si>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</si>
  <si>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</si>
  <si>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</si>
  <si>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</si>
  <si>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</si>
  <si>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</si>
  <si>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</si>
  <si>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</si>
  <si>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</si>
  <si>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</si>
  <si>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</si>
  <si>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</si>
  <si>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</si>
  <si>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</si>
  <si>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</si>
  <si>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</si>
  <si>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</si>
  <si>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</si>
  <si>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</si>
  <si>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</si>
  <si>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</si>
  <si>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</si>
  <si>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</si>
  <si>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</si>
  <si>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</si>
  <si>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</si>
  <si>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</si>
  <si>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</si>
  <si>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</si>
  <si>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</si>
  <si>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</si>
  <si>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</si>
  <si>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</si>
  <si>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</si>
  <si>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</si>
  <si>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</si>
  <si>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</si>
  <si>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</si>
  <si>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</si>
  <si>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</si>
  <si>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</si>
  <si>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</si>
  <si>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</si>
  <si>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</si>
  <si>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</si>
  <si>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</si>
  <si>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</si>
  <si>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</si>
  <si>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</si>
  <si>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</si>
  <si>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</si>
  <si>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</si>
  <si>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</si>
  <si>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</si>
  <si>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</si>
  <si>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</si>
  <si>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</si>
  <si>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</si>
  <si>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</si>
  <si>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</si>
  <si>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</si>
  <si>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</si>
  <si>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</si>
  <si>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</si>
  <si>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</si>
  <si>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</si>
  <si>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</si>
  <si>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</si>
  <si>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</si>
  <si>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</si>
  <si>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</si>
  <si>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</si>
  <si>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</si>
  <si>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</si>
  <si>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</si>
  <si>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</si>
  <si>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</si>
  <si>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</si>
  <si>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</si>
  <si>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</si>
  <si>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</si>
  <si>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</si>
  <si>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</si>
  <si>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</si>
  <si>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</si>
  <si>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</si>
  <si>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</si>
  <si>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</si>
  <si>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</si>
  <si>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</si>
  <si>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</si>
  <si>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</si>
  <si>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</si>
  <si>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</si>
  <si>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</si>
  <si>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</si>
  <si>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</si>
  <si>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</si>
  <si>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</si>
  <si>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</si>
  <si>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</si>
  <si>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</si>
  <si>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</si>
  <si>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</si>
  <si>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</si>
  <si>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</si>
  <si>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</si>
  <si>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</si>
  <si>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</si>
  <si>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</si>
  <si>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</si>
  <si>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</si>
  <si>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</si>
  <si>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</si>
  <si>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</si>
  <si>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</si>
  <si>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</si>
  <si>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</si>
  <si>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</si>
  <si>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</si>
  <si>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</si>
  <si>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</si>
  <si>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</si>
  <si>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</si>
  <si>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</si>
  <si>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</si>
  <si>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</si>
  <si>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</si>
  <si>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</si>
  <si>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</si>
  <si>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</si>
  <si>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</si>
  <si>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</si>
  <si>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</si>
  <si>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</si>
  <si>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</si>
  <si>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</si>
  <si>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</si>
  <si>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</si>
  <si>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</si>
  <si>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</si>
  <si>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</si>
  <si>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</si>
  <si>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</si>
  <si>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</si>
  <si>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</si>
  <si>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</si>
  <si>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</si>
  <si>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</si>
  <si>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</si>
  <si>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</si>
  <si>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</si>
  <si>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</si>
  <si>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</si>
  <si>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</si>
  <si>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</si>
  <si>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</si>
  <si>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</si>
  <si>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</si>
  <si>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</si>
  <si>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</si>
  <si>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</si>
  <si>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</si>
  <si>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</si>
  <si>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</si>
  <si>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</si>
  <si>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</si>
  <si>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</si>
  <si>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</si>
  <si>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</si>
  <si>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</si>
  <si>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</si>
  <si>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</si>
  <si>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</si>
  <si>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</si>
  <si>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</si>
  <si>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</si>
  <si>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</si>
  <si>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</si>
  <si>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</si>
  <si>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</si>
  <si>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</si>
  <si>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</si>
  <si>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</si>
  <si>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</si>
  <si>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</si>
  <si>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</si>
  <si>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</si>
  <si>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</si>
  <si>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</si>
  <si>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</si>
  <si>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</si>
  <si>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</si>
  <si>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</si>
  <si>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</si>
  <si>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</si>
  <si>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</si>
  <si>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</si>
  <si>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</si>
  <si>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</si>
  <si>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</si>
  <si>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</si>
  <si>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</si>
  <si>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</si>
  <si>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</si>
  <si>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</si>
  <si>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</si>
  <si>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</si>
  <si>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</si>
  <si>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</si>
  <si>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</si>
  <si>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</si>
  <si>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</si>
  <si>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</si>
  <si>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</si>
  <si>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</si>
  <si>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</si>
  <si>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</si>
  <si>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</si>
  <si>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</si>
  <si>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</si>
  <si>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</si>
  <si>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</si>
  <si>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</si>
  <si>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</si>
  <si>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</si>
  <si>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</si>
  <si>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</si>
  <si>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</si>
  <si>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</si>
  <si>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</si>
  <si>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</si>
  <si>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</si>
  <si>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</si>
  <si>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</si>
  <si>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</si>
  <si>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</si>
  <si>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</si>
  <si>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</si>
  <si>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</si>
  <si>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</si>
  <si>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</si>
  <si>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</si>
  <si>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</si>
  <si>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</si>
  <si>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</si>
  <si>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</si>
  <si>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</si>
  <si>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</si>
  <si>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</si>
  <si>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</si>
  <si>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</si>
  <si>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</si>
  <si>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</si>
  <si>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</si>
  <si>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</si>
  <si>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</si>
  <si>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</si>
  <si>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</si>
  <si>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</si>
  <si>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</si>
  <si>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</si>
  <si>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</si>
  <si>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</si>
  <si>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</si>
  <si>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</si>
  <si>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</si>
  <si>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</si>
  <si>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</si>
  <si>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</si>
  <si>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</si>
  <si>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</si>
  <si>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</si>
  <si>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</si>
  <si>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</si>
  <si>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</si>
  <si>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</si>
  <si>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</si>
  <si>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</si>
  <si>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</si>
  <si>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</si>
  <si>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</si>
  <si>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</si>
  <si>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</si>
  <si>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</si>
  <si>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</si>
  <si>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</si>
  <si>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</si>
  <si>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</si>
  <si>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</si>
  <si>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</si>
  <si>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</si>
  <si>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</si>
  <si>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</si>
  <si>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</si>
  <si>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</si>
  <si>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</si>
  <si>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</si>
  <si>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</si>
  <si>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</si>
  <si>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</si>
  <si>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</si>
  <si>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</si>
  <si>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</si>
  <si>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</si>
  <si>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</si>
  <si>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</si>
  <si>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</si>
  <si>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</si>
  <si>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</si>
  <si>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</si>
  <si>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</si>
  <si>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</si>
  <si>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</si>
  <si>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</si>
  <si>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</si>
  <si>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</si>
  <si>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</si>
  <si>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</si>
  <si>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</si>
  <si>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</si>
  <si>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</si>
  <si>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</si>
  <si>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</si>
  <si>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</si>
  <si>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</si>
  <si>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</si>
  <si>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</si>
  <si>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</si>
  <si>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</si>
  <si>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</si>
  <si>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</si>
  <si>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</si>
  <si>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</si>
  <si>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</si>
  <si>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</si>
  <si>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Costs, unit wage costs, whole economy, nominal</t>
  </si>
  <si>
    <t>JAN008L</t>
  </si>
  <si>
    <t>Index</t>
  </si>
  <si>
    <t>NA</t>
  </si>
  <si>
    <t>Level</t>
  </si>
  <si>
    <t>Oxford Economics calculation using Office for National Statistics data</t>
  </si>
  <si>
    <t>WC = 242.3075 * (PEWFP * (1.000000 + TPR) + PEOCR) / GDP + (R(WC))</t>
  </si>
  <si>
    <t>GBR</t>
  </si>
  <si>
    <t>WC</t>
  </si>
  <si>
    <t>JAN008L.db</t>
  </si>
  <si>
    <t>Tax revenue, employer social security contributions, LCU</t>
  </si>
  <si>
    <t>Pound</t>
  </si>
  <si>
    <t>Millions</t>
  </si>
  <si>
    <t>Office for National Statistics\Haver Analytics</t>
  </si>
  <si>
    <t>RNFSQ@UK</t>
  </si>
  <si>
    <t xml:space="preserve">UK: IA: CG: Resources: Employers' Social Contributions (SA, Mil.GBP) </t>
  </si>
  <si>
    <t>TP</t>
  </si>
  <si>
    <t>Company profits, LCU</t>
  </si>
  <si>
    <t>CGBZQ@UK</t>
  </si>
  <si>
    <t xml:space="preserve">U.K.: Gross Operating Surplus of Corporations (SA, Mil.Pounds) </t>
  </si>
  <si>
    <t>COGTP</t>
  </si>
  <si>
    <t>GDP, nominal, LCU</t>
  </si>
  <si>
    <t>YBHAQ@UK</t>
  </si>
  <si>
    <t xml:space="preserve">U.K.: Gross Domestic Product (SA, Mil.Pounds) </t>
  </si>
  <si>
    <t>GDP!</t>
  </si>
  <si>
    <t>Average Weekly Earnings (total pay)</t>
  </si>
  <si>
    <t>Pound per Employee</t>
  </si>
  <si>
    <t>KAB9@UK</t>
  </si>
  <si>
    <t>GB: AWE, Total Pay: Whole Economy (SA, GBP)</t>
  </si>
  <si>
    <t>WAGEWKLY</t>
  </si>
  <si>
    <t>UK</t>
  </si>
  <si>
    <t>L</t>
  </si>
  <si>
    <t>CYs</t>
  </si>
  <si>
    <t>FYs</t>
  </si>
  <si>
    <t>FY end</t>
  </si>
  <si>
    <t>Wages and salaries, LCU</t>
  </si>
  <si>
    <t>ROYJQ@UK</t>
  </si>
  <si>
    <t xml:space="preserve">UK: HH &amp; NPISH: Income: Wages and Salaries (SA, Mil.GBP) </t>
  </si>
  <si>
    <t>PEWFP</t>
  </si>
  <si>
    <t>Income, personal disposable, nominal, LCU</t>
  </si>
  <si>
    <t>RPHQQ@UK</t>
  </si>
  <si>
    <t xml:space="preserve">UK: HH &amp; NPISH: Gross Disposable Income (SA, Mil.GBP) </t>
  </si>
  <si>
    <t>PEDY!</t>
  </si>
  <si>
    <t>Income, personal disposable, real, LCU</t>
  </si>
  <si>
    <t>chained 2022</t>
  </si>
  <si>
    <t>NRJRQ@UK</t>
  </si>
  <si>
    <t>UK: HH &amp; NPISH: Real Household Disposable Income (SA, Mil.Chn.2022.Pounds)</t>
  </si>
  <si>
    <t>PEDY</t>
  </si>
  <si>
    <t>Consumption, private deflator</t>
  </si>
  <si>
    <t>Consumption, private, nominal/Consumption, private, real * 100</t>
  </si>
  <si>
    <t>PC</t>
  </si>
  <si>
    <t>Unit wage costs &amp; profits</t>
  </si>
  <si>
    <t>Unit wage costs (LHS)</t>
  </si>
  <si>
    <t>Corporate profits (RHS)</t>
  </si>
  <si>
    <t>Labour income cont to PEDY</t>
  </si>
  <si>
    <t>Labour income</t>
  </si>
  <si>
    <t>Labour income cont to PEDY!</t>
  </si>
  <si>
    <t>Nominal household income</t>
  </si>
  <si>
    <t>Real household income</t>
  </si>
  <si>
    <t>UKNEMW@UK</t>
  </si>
  <si>
    <t>Oct-30-2024 11:52</t>
  </si>
  <si>
    <t>Low Pay Commission</t>
  </si>
  <si>
    <t>Mar-2026</t>
  </si>
  <si>
    <t>Apr-1999</t>
  </si>
  <si>
    <t>UK: National Minimum Wage/National Living Wage (NSA, GBP/hr)</t>
  </si>
  <si>
    <t>202411</t>
  </si>
  <si>
    <t>202412</t>
  </si>
  <si>
    <t>202501</t>
  </si>
  <si>
    <t>202502</t>
  </si>
  <si>
    <t>202503</t>
  </si>
  <si>
    <t>202504</t>
  </si>
  <si>
    <t>202505</t>
  </si>
  <si>
    <t>202506</t>
  </si>
  <si>
    <t>202507</t>
  </si>
  <si>
    <t>202508</t>
  </si>
  <si>
    <t>202509</t>
  </si>
  <si>
    <t>202510</t>
  </si>
  <si>
    <t>202511</t>
  </si>
  <si>
    <t>202512</t>
  </si>
  <si>
    <t>202601</t>
  </si>
  <si>
    <t>202602</t>
  </si>
  <si>
    <t>202603</t>
  </si>
  <si>
    <t>Reaction to the Change in National Insurance contribution following the November Budget</t>
  </si>
  <si>
    <t>Lower employee wages</t>
  </si>
  <si>
    <t>Lower number of employees</t>
  </si>
  <si>
    <t>Higher prices</t>
  </si>
  <si>
    <t>Lower profit margins</t>
  </si>
  <si>
    <t>None of the above</t>
  </si>
  <si>
    <r>
      <rPr>
        <b/>
        <sz val="11"/>
        <color theme="1"/>
        <rFont val="Calibri"/>
        <family val="2"/>
        <scheme val="minor"/>
      </rPr>
      <t>Source:</t>
    </r>
    <r>
      <rPr>
        <sz val="11"/>
        <color theme="1"/>
        <rFont val="Calibri"/>
        <family val="2"/>
        <scheme val="minor"/>
      </rPr>
      <t xml:space="preserve"> Decision Maker Panel</t>
    </r>
  </si>
  <si>
    <t>Notes:</t>
  </si>
  <si>
    <t xml:space="preserve">Data are based on responses to the question: 'How do you expect your business to respond to the changes to employer National Insurance contributions announced in the November 2024 Budget?’ Breaking down into NLW, the firms, the following question was used: ‘Approximately, what percentage of your employees were paid at the compulsory National Living Wage/National Minimum Wage in each of the following periods?’ Firms could chose multiple options
</t>
  </si>
  <si>
    <t>Data are average percentage impacts.</t>
  </si>
  <si>
    <t>Return to Contents</t>
  </si>
  <si>
    <t>BoE DMP</t>
  </si>
  <si>
    <t>UKNEJ@UK</t>
  </si>
  <si>
    <t>BEIRQ@UK</t>
  </si>
  <si>
    <t>MGSCQ@UK</t>
  </si>
  <si>
    <t>UNVAL1@UK</t>
  </si>
  <si>
    <t>UBCMERD@UK</t>
  </si>
  <si>
    <t>UBCSERD@UK</t>
  </si>
  <si>
    <t>Dec-17-2024 07:03</t>
  </si>
  <si>
    <t>Q3-2024 &lt;- Nov-2024</t>
  </si>
  <si>
    <t>Q2-2001 &lt;- Apr-2001</t>
  </si>
  <si>
    <t>UK: Job Vacancies Excluding Agriculture, Forestry &amp; Fishing (NSA, Thous)</t>
  </si>
  <si>
    <t>Dec-17-2024 07:18</t>
  </si>
  <si>
    <t>Q1-1971</t>
  </si>
  <si>
    <t>UK: LFS: Unemployed: Aged 16 &amp; Over (SA, Thous)</t>
  </si>
  <si>
    <t>Q2-1995</t>
  </si>
  <si>
    <t>UK: LFS: ILO Redundancy Rate (SA, Per 1000 Employees)</t>
  </si>
  <si>
    <t>Dec-19-2024 12:02</t>
  </si>
  <si>
    <t>Bank of England</t>
  </si>
  <si>
    <t>Q1-2005 &lt;- Jan-2005</t>
  </si>
  <si>
    <t>UK: BoE Agents' Survey: Labor Market: Recruitment Difficulties (NSA, % Bal)</t>
  </si>
  <si>
    <t>Jan-06-2025 00:01</t>
  </si>
  <si>
    <t>The British Chambers of Commerce</t>
  </si>
  <si>
    <t>Q4-2024</t>
  </si>
  <si>
    <t>Q1-1989</t>
  </si>
  <si>
    <t>UK: BCC Survey: Manufacturing: Recruitment Difficulties (% of Cos)</t>
  </si>
  <si>
    <t>UK: BCC Survey: Service: Recruitment Difficulties (% of Cos)</t>
  </si>
  <si>
    <t>20244</t>
  </si>
  <si>
    <t>Measures of labour market health</t>
  </si>
  <si>
    <t xml:space="preserve">Table 1: Most labor market variables continue to move in a looser direction </t>
  </si>
  <si>
    <t>April indicators versus:</t>
  </si>
  <si>
    <t>Data source</t>
  </si>
  <si>
    <t xml:space="preserve">Unemployment </t>
  </si>
  <si>
    <t>U3 unemployment rate.</t>
  </si>
  <si>
    <t>looser</t>
  </si>
  <si>
    <t>April household survey</t>
  </si>
  <si>
    <t>U6 unemployment rate</t>
  </si>
  <si>
    <t>Initial claims</t>
  </si>
  <si>
    <t>tighter</t>
  </si>
  <si>
    <t>Weekly jobless claims report</t>
  </si>
  <si>
    <t>Long-term unemployment</t>
  </si>
  <si>
    <t>Challenger job cuts</t>
  </si>
  <si>
    <t xml:space="preserve">Challenger </t>
  </si>
  <si>
    <t>Involuntary part-time employment</t>
  </si>
  <si>
    <t>Flows from unemployed to employed</t>
  </si>
  <si>
    <t>Job losers</t>
  </si>
  <si>
    <t>Hiring</t>
  </si>
  <si>
    <t>Private payroll employment</t>
  </si>
  <si>
    <t>April establishment survey</t>
  </si>
  <si>
    <t>Temporary jobs</t>
  </si>
  <si>
    <t>Average hours worked</t>
  </si>
  <si>
    <t>JOLTS hiring rate</t>
  </si>
  <si>
    <t>March JOLTS report</t>
  </si>
  <si>
    <t>ISM manufacturing employment</t>
  </si>
  <si>
    <t>ISM manufacturing service</t>
  </si>
  <si>
    <t>NFIB plans to hire</t>
  </si>
  <si>
    <t>NFIB small business optimism survey</t>
  </si>
  <si>
    <t>Balance</t>
  </si>
  <si>
    <t>NFIB vacancies</t>
  </si>
  <si>
    <t>Job leavers</t>
  </si>
  <si>
    <t>JOLTS quits rate</t>
  </si>
  <si>
    <t>Conference Board jobs plentiful</t>
  </si>
  <si>
    <t>April consumer confidence report</t>
  </si>
  <si>
    <t>Average hourly earnings</t>
  </si>
  <si>
    <t>Labor supply</t>
  </si>
  <si>
    <t>Employment-to-population ratio</t>
  </si>
  <si>
    <t xml:space="preserve">Labor force participation rate </t>
  </si>
  <si>
    <t>neutral</t>
  </si>
  <si>
    <t>Source: Oxford Economics/Haver Analytics</t>
  </si>
  <si>
    <t>Unemployment rate</t>
  </si>
  <si>
    <t>Unemployed &gt;12 months</t>
  </si>
  <si>
    <t>Redundancy rate</t>
  </si>
  <si>
    <t>Latest (Q3 2024)</t>
  </si>
  <si>
    <t>MGSXQ@UK</t>
  </si>
  <si>
    <t>YBWHQ@UK</t>
  </si>
  <si>
    <t>Q2-1992</t>
  </si>
  <si>
    <t>UK: LFS: Unemployed: Aged 16 &amp; Over: Over 12 Months (SA, Thous)</t>
  </si>
  <si>
    <t>MGSLQ@UK</t>
  </si>
  <si>
    <t>UK: LFS: Working Age Population: Age 16 &amp; Over (NSA, Thous)</t>
  </si>
  <si>
    <t>UK: LFS: Economic Activity Rate: Aged 16 and Over (SA, %)</t>
  </si>
  <si>
    <t>MGWGQ@UK</t>
  </si>
  <si>
    <t>Average hours</t>
  </si>
  <si>
    <t>Participation rate</t>
  </si>
  <si>
    <t>Vacancy/ Unemployed ratio</t>
  </si>
  <si>
    <t>BoE recruitment difficulties</t>
  </si>
  <si>
    <t>BCC recruitment difficulties</t>
  </si>
  <si>
    <t>V/U ratio</t>
  </si>
  <si>
    <t>-ve</t>
  </si>
  <si>
    <t>LF24Q@UK</t>
  </si>
  <si>
    <t>UK: LFS: Employment Rate: Aged 16 to 64 (SA, %)</t>
  </si>
  <si>
    <t>YBUVQ@UK</t>
  </si>
  <si>
    <t>UK: LFS: Average Actual Weekly Hours Worked: All Workers (SA, Hours)</t>
  </si>
  <si>
    <t>Post-2010 average</t>
  </si>
  <si>
    <t>Av</t>
  </si>
  <si>
    <t>STDEV</t>
  </si>
  <si>
    <t>KAC4@UK</t>
  </si>
  <si>
    <t>Dec-17-2024 07:21</t>
  </si>
  <si>
    <t>Q3-2024 &lt;- Oct-2024</t>
  </si>
  <si>
    <t>Q1-2000 &lt;- Jan-2000</t>
  </si>
  <si>
    <t>Great Britain: AWE, Total Pay: Private Sector (SA, GBP)</t>
  </si>
  <si>
    <t>UK: LFS: Employment: Aged 16 and Over (SA, Thous)</t>
  </si>
  <si>
    <t>MGRZQ@UK</t>
  </si>
  <si>
    <t>Employment growth</t>
  </si>
  <si>
    <t>UKSEPEP@UK</t>
  </si>
  <si>
    <t>Dec-17-2024 07:27</t>
  </si>
  <si>
    <t>Q3-2014 &lt;- Jul-2014</t>
  </si>
  <si>
    <t>UK: Paid Employees: PAYE Real Time Information [RTI] (SA, Number)</t>
  </si>
  <si>
    <t>MGRNQ@UK</t>
  </si>
  <si>
    <t>UK: LFS: Employees (SA, Thous)</t>
  </si>
  <si>
    <t>HMRC payroll employment</t>
  </si>
  <si>
    <t>UK: LFS: Part-Time Workers: Couldn't Find Full-Time Job (SA, Thous)</t>
  </si>
  <si>
    <t>UK: LFS: Economically Inactive: Wants a Job (SA, Thous)</t>
  </si>
  <si>
    <t>LFM2Q@UK</t>
  </si>
  <si>
    <t>YCCXQ@UK</t>
  </si>
  <si>
    <t>Underemployment</t>
  </si>
  <si>
    <t>Underemployment rate</t>
  </si>
  <si>
    <t>Private sector regular pay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</si>
</sst>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16"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sz val="11"/>
      <color indexed="16"/>
      <name val="Calibri"/>
      <family val="2"/>
      <scheme val="minor"/>
    </font>
    <font>
      <sz val="11"/>
      <color rgb="FF000000"/>
      <name val="Calibri"/>
      <family val="2"/>
    </font>
    <font>
      <b/>
      <sz val="11"/>
      <color rgb="FFFFFFFF"/>
      <name val="Calibri"/>
      <family val="2"/>
    </font>
    <font>
      <u/>
      <sz val="11"/>
      <color theme="10"/>
      <name val="Calibri"/>
      <family val="2"/>
      <scheme val="minor"/>
    </font>
    <font>
      <i/>
      <sz val="11"/>
      <color theme="1"/>
      <name val="Calibri"/>
      <family val="2"/>
    </font>
    <font>
      <sz val="11"/>
      <color theme="1"/>
      <name val="Calibri"/>
      <family val="2"/>
    </font>
    <font>
      <sz val="10.5"/>
      <color rgb="FF7B7C77"/>
      <name val="Segoe UI"/>
      <family val="2"/>
    </font>
    <font>
      <sz val="10"/>
      <color theme="1"/>
      <name val="Times New Roman"/>
      <family val="1"/>
    </font>
    <font>
      <b/>
      <sz val="10.5"/>
      <color rgb="FFFFFFFF"/>
      <name val="Segoe UI"/>
      <family val="2"/>
    </font>
    <font>
      <sz val="10"/>
      <color rgb="FF495057"/>
      <name val="Segoe UI"/>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004A80"/>
      </patternFill>
    </fill>
    <fill>
      <patternFill patternType="solid">
        <fgColor rgb="FF003469"/>
        <bgColor indexed="64"/>
      </patternFill>
    </fill>
  </fills>
  <borders count="10">
    <border>
      <left/>
      <right/>
      <top/>
      <bottom/>
      <diagonal/>
    </border>
    <border>
      <left style="thin">
        <color rgb="FF363636"/>
      </left>
      <right style="thin">
        <color rgb="FF363636"/>
      </right>
      <top style="thin">
        <color rgb="FF363636"/>
      </top>
      <bottom style="thin">
        <color rgb="FF363636"/>
      </bottom>
      <diagonal/>
    </border>
    <border>
      <left style="medium">
        <color rgb="FF7B7C77"/>
      </left>
      <right/>
      <top style="medium">
        <color rgb="FF7B7C77"/>
      </top>
      <bottom/>
      <diagonal/>
    </border>
    <border>
      <left/>
      <right/>
      <top style="medium">
        <color rgb="FF7B7C77"/>
      </top>
      <bottom/>
      <diagonal/>
    </border>
    <border>
      <left/>
      <right style="medium">
        <color rgb="FF7B7C77"/>
      </right>
      <top style="medium">
        <color rgb="FF7B7C77"/>
      </top>
      <bottom/>
      <diagonal/>
    </border>
    <border>
      <left style="medium">
        <color rgb="FF7B7C77"/>
      </left>
      <right/>
      <top/>
      <bottom/>
      <diagonal/>
    </border>
    <border>
      <left/>
      <right style="medium">
        <color rgb="FF7B7C77"/>
      </right>
      <top/>
      <bottom/>
      <diagonal/>
    </border>
    <border>
      <left style="medium">
        <color rgb="FF7B7C77"/>
      </left>
      <right/>
      <top/>
      <bottom style="medium">
        <color rgb="FF7B7C77"/>
      </bottom>
      <diagonal/>
    </border>
    <border>
      <left/>
      <right/>
      <top/>
      <bottom style="medium">
        <color rgb="FF7B7C77"/>
      </bottom>
      <diagonal/>
    </border>
    <border>
      <left/>
      <right style="medium">
        <color rgb="FF7B7C77"/>
      </right>
      <top/>
      <bottom style="medium">
        <color rgb="FF7B7C77"/>
      </bottom>
      <diagonal/>
    </border>
  </borders>
  <cellStyleXfs count="6">
    <xf numFmtId="0" fontId="0" fillId="0" borderId="0"/>
    <xf numFmtId="9" fontId="2" fillId="0" borderId="0" applyFont="0" applyFill="0" applyBorder="0" applyAlignment="0" applyProtection="0"/>
    <xf numFmtId="0" fontId="3" fillId="0" borderId="0"/>
    <xf numFmtId="0" fontId="2" fillId="0" borderId="0"/>
    <xf numFmtId="0" fontId="5" fillId="0" borderId="0"/>
    <xf numFmtId="0" fontId="7" fillId="0" borderId="0" applyNumberFormat="0" applyFill="0" applyBorder="0" applyAlignment="0" applyProtection="0"/>
  </cellStyleXfs>
  <cellXfs count="39">
    <xf numFmtId="0" fontId="0" fillId="0" borderId="0" xfId="0"/>
    <xf numFmtId="0" fontId="0" fillId="0" borderId="0" xfId="0" quotePrefix="1"/>
    <xf numFmtId="164" fontId="0" fillId="0" borderId="0" xfId="0" applyNumberFormat="1"/>
    <xf numFmtId="165" fontId="0" fillId="0" borderId="0" xfId="0" applyNumberFormat="1"/>
    <xf numFmtId="0" fontId="0" fillId="0" borderId="0" xfId="0" applyAlignment="1">
      <alignment wrapText="1"/>
    </xf>
    <xf numFmtId="17" fontId="0" fillId="0" borderId="0" xfId="0" applyNumberFormat="1"/>
    <xf numFmtId="0" fontId="1" fillId="0" borderId="0" xfId="0" applyFont="1"/>
    <xf numFmtId="0" fontId="0" fillId="0" borderId="0" xfId="0" applyFill="1"/>
    <xf numFmtId="1" fontId="0" fillId="0" borderId="0" xfId="0" applyNumberFormat="1"/>
    <xf numFmtId="14" fontId="0" fillId="0" borderId="0" xfId="0" applyNumberFormat="1"/>
    <xf numFmtId="2" fontId="0" fillId="0" borderId="0" xfId="0" applyNumberFormat="1"/>
    <xf numFmtId="166" fontId="0" fillId="0" borderId="0" xfId="0" applyNumberFormat="1"/>
    <xf numFmtId="166" fontId="4" fillId="0" borderId="0" xfId="0" applyNumberFormat="1" applyFont="1"/>
    <xf numFmtId="0" fontId="2" fillId="0" borderId="0" xfId="3"/>
    <xf numFmtId="0" fontId="2" fillId="0" borderId="0" xfId="3" applyAlignment="1">
      <alignment horizontal="right"/>
    </xf>
    <xf numFmtId="0" fontId="6" fillId="2" borderId="1" xfId="4" applyFont="1" applyFill="1" applyBorder="1" applyAlignment="1">
      <alignment horizontal="left" wrapText="1"/>
    </xf>
    <xf numFmtId="0" fontId="7" fillId="0" borderId="0" xfId="5"/>
    <xf numFmtId="1" fontId="0" fillId="0" borderId="0" xfId="1" applyNumberFormat="1" applyFont="1"/>
    <xf numFmtId="164" fontId="8" fillId="0" borderId="0" xfId="0" applyNumberFormat="1" applyFont="1" applyAlignment="1">
      <alignment horizontal="center"/>
    </xf>
    <xf numFmtId="0" fontId="1" fillId="0" borderId="0" xfId="0" applyFont="1" applyAlignment="1">
      <alignment horizontal="center" wrapText="1"/>
    </xf>
    <xf numFmtId="164" fontId="9" fillId="0" borderId="0" xfId="0" applyNumberFormat="1" applyFont="1" applyAlignment="1">
      <alignment horizontal="center"/>
    </xf>
    <xf numFmtId="0" fontId="10" fillId="0" borderId="0" xfId="0" applyFont="1" applyAlignment="1">
      <alignment horizontal="center" vertical="center"/>
    </xf>
    <xf numFmtId="0" fontId="10" fillId="0" borderId="0" xfId="0" applyFont="1" applyAlignment="1">
      <alignment vertical="center"/>
    </xf>
    <xf numFmtId="0" fontId="11" fillId="3" borderId="2" xfId="0" applyFont="1" applyFill="1" applyBorder="1" applyAlignment="1">
      <alignment vertical="top"/>
    </xf>
    <xf numFmtId="0" fontId="12" fillId="3" borderId="3" xfId="0" applyFont="1" applyFill="1" applyBorder="1" applyAlignment="1">
      <alignment vertical="center"/>
    </xf>
    <xf numFmtId="17" fontId="12" fillId="3" borderId="3" xfId="0" applyNumberFormat="1" applyFont="1" applyFill="1" applyBorder="1" applyAlignment="1">
      <alignment vertical="center"/>
    </xf>
    <xf numFmtId="0" fontId="12" fillId="3" borderId="4" xfId="0" applyFont="1" applyFill="1" applyBorder="1" applyAlignment="1">
      <alignment vertical="center"/>
    </xf>
    <xf numFmtId="0" fontId="10" fillId="0" borderId="5" xfId="0" applyFont="1" applyBorder="1" applyAlignment="1">
      <alignment vertical="center"/>
    </xf>
    <xf numFmtId="0" fontId="10" fillId="0" borderId="6" xfId="0" applyFont="1" applyBorder="1" applyAlignment="1">
      <alignment vertical="center"/>
    </xf>
    <xf numFmtId="0" fontId="11" fillId="0" borderId="5" xfId="0" applyFont="1" applyBorder="1" applyAlignment="1">
      <alignment vertical="top"/>
    </xf>
    <xf numFmtId="0" fontId="11" fillId="0" borderId="7" xfId="0" applyFont="1" applyBorder="1" applyAlignment="1">
      <alignment vertical="top"/>
    </xf>
    <xf numFmtId="0" fontId="10" fillId="0" borderId="8" xfId="0" applyFont="1" applyBorder="1" applyAlignment="1">
      <alignment vertical="center"/>
    </xf>
    <xf numFmtId="0" fontId="10" fillId="0" borderId="8" xfId="0" applyFont="1" applyBorder="1" applyAlignment="1">
      <alignment horizontal="center" vertical="center"/>
    </xf>
    <xf numFmtId="0" fontId="10" fillId="0" borderId="9" xfId="0" applyFont="1" applyBorder="1" applyAlignment="1">
      <alignment vertical="center"/>
    </xf>
    <xf numFmtId="0" fontId="13" fillId="0" borderId="0" xfId="0" applyFont="1" applyAlignment="1">
      <alignment horizontal="center" vertical="center"/>
    </xf>
    <xf numFmtId="0" fontId="0" fillId="0" borderId="0" xfId="0" applyAlignment="1">
      <alignment horizontal="left"/>
    </xf>
    <xf numFmtId="0" fontId="0" fillId="0" borderId="0" xfId="0" applyFont="1"/>
    <xf numFmtId="0" fontId="0" fillId="0" borderId="0" xfId="0" applyAlignment="1">
      <alignment horizontal="center"/>
    </xf>
    <xf numFmtId="0" fontId="1" fillId="0" borderId="0" xfId="0" applyFont="1" applyAlignment="1">
      <alignment horizontal="center" wrapText="1"/>
    </xf>
  </cellXfs>
  <cellStyles count="6">
    <cellStyle name="Hyperlink" xfId="5" builtinId="8"/>
    <cellStyle name="Normal" xfId="0" builtinId="0"/>
    <cellStyle name="Normal 2" xfId="2" xr:uid="{C4CA7049-D613-4AAC-81D8-27288F5206AB}"/>
    <cellStyle name="Normal 2 5" xfId="3" xr:uid="{10420136-F7B3-4719-8FC8-FE4A2674724C}"/>
    <cellStyle name="Normal 3" xfId="4" xr:uid="{1C179679-BA27-48CE-A22D-98ACC79DE8D6}"/>
    <cellStyle name="Percent" xfId="1" builtinId="5"/>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worksheet" Target="worksheets/sheet9.xml"/><Relationship Id="rId18" Type="http://schemas.openxmlformats.org/officeDocument/2006/relationships/chartsheet" Target="chartsheets/sheet8.xml"/><Relationship Id="rId26" Type="http://schemas.openxmlformats.org/officeDocument/2006/relationships/sharedStrings" Target="sharedStrings.xml"/><Relationship Id="rId3" Type="http://schemas.openxmlformats.org/officeDocument/2006/relationships/chartsheet" Target="chartsheets/sheet2.xml"/><Relationship Id="rId21" Type="http://schemas.openxmlformats.org/officeDocument/2006/relationships/chartsheet" Target="chartsheets/sheet11.xml"/><Relationship Id="rId7" Type="http://schemas.openxmlformats.org/officeDocument/2006/relationships/worksheet" Target="worksheets/sheet3.xml"/><Relationship Id="rId12" Type="http://schemas.openxmlformats.org/officeDocument/2006/relationships/worksheet" Target="worksheets/sheet8.xml"/><Relationship Id="rId17" Type="http://schemas.openxmlformats.org/officeDocument/2006/relationships/chartsheet" Target="chartsheets/sheet7.xml"/><Relationship Id="rId25" Type="http://schemas.openxmlformats.org/officeDocument/2006/relationships/styles" Target="styles.xml"/><Relationship Id="rId2" Type="http://schemas.openxmlformats.org/officeDocument/2006/relationships/chartsheet" Target="chartsheets/sheet1.xml"/><Relationship Id="rId16" Type="http://schemas.openxmlformats.org/officeDocument/2006/relationships/chartsheet" Target="chartsheets/sheet6.xml"/><Relationship Id="rId20" Type="http://schemas.openxmlformats.org/officeDocument/2006/relationships/chartsheet" Target="chartsheets/sheet10.xml"/><Relationship Id="rId1" Type="http://schemas.openxmlformats.org/officeDocument/2006/relationships/worksheet" Target="worksheets/sheet1.xml"/><Relationship Id="rId6" Type="http://schemas.openxmlformats.org/officeDocument/2006/relationships/worksheet" Target="worksheets/sheet2.xml"/><Relationship Id="rId11" Type="http://schemas.openxmlformats.org/officeDocument/2006/relationships/worksheet" Target="worksheets/sheet7.xml"/><Relationship Id="rId24" Type="http://schemas.openxmlformats.org/officeDocument/2006/relationships/theme" Target="theme/theme1.xml"/><Relationship Id="rId5" Type="http://schemas.openxmlformats.org/officeDocument/2006/relationships/chartsheet" Target="chartsheets/sheet4.xml"/><Relationship Id="rId15" Type="http://schemas.openxmlformats.org/officeDocument/2006/relationships/chartsheet" Target="chartsheets/sheet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6.xml"/><Relationship Id="rId19" Type="http://schemas.openxmlformats.org/officeDocument/2006/relationships/chartsheet" Target="chartsheets/sheet9.xml"/><Relationship Id="rId4" Type="http://schemas.openxmlformats.org/officeDocument/2006/relationships/chartsheet" Target="chartsheets/sheet3.xml"/><Relationship Id="rId9" Type="http://schemas.openxmlformats.org/officeDocument/2006/relationships/worksheet" Target="worksheets/sheet5.xml"/><Relationship Id="rId14" Type="http://schemas.openxmlformats.org/officeDocument/2006/relationships/worksheet" Target="worksheets/sheet10.xml"/><Relationship Id="rId22" Type="http://schemas.openxmlformats.org/officeDocument/2006/relationships/chartsheet" Target="chartsheets/sheet1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7.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1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81558570431227"/>
          <c:y val="0.14372543162318854"/>
          <c:w val="0.59810715047630736"/>
          <c:h val="0.74957577054603641"/>
        </c:manualLayout>
      </c:layout>
      <c:radarChart>
        <c:radarStyle val="marker"/>
        <c:varyColors val="0"/>
        <c:ser>
          <c:idx val="0"/>
          <c:order val="0"/>
          <c:tx>
            <c:strRef>
              <c:f>'Chart Data'!$DT$4</c:f>
              <c:strCache>
                <c:ptCount val="1"/>
                <c:pt idx="0">
                  <c:v>Latest (Q3 2024)</c:v>
                </c:pt>
              </c:strCache>
            </c:strRef>
          </c:tx>
          <c:spPr>
            <a:ln w="38100">
              <a:solidFill>
                <a:srgbClr val="BD1B21"/>
              </a:solidFill>
              <a:prstDash val="solid"/>
            </a:ln>
            <a:effectLst/>
          </c:spPr>
          <c:marker>
            <c:symbol val="none"/>
          </c:marker>
          <c:dLbls>
            <c:delete val="1"/>
          </c:dLbls>
          <c:cat>
            <c:strRef>
              <c:f>'Chart Data'!$DU$3:$ED$3</c:f>
              <c:strCache>
                <c:ptCount val="10"/>
                <c:pt idx="0">
                  <c:v>Unemployment rate*</c:v>
                </c:pt>
                <c:pt idx="1">
                  <c:v>Unemployed &gt;12 months*</c:v>
                </c:pt>
                <c:pt idx="2">
                  <c:v>Underemployment*</c:v>
                </c:pt>
                <c:pt idx="3">
                  <c:v>Redundancy rate*</c:v>
                </c:pt>
                <c:pt idx="4">
                  <c:v>Vacancy/ Unemployed ratio*</c:v>
                </c:pt>
                <c:pt idx="5">
                  <c:v>Average hours*</c:v>
                </c:pt>
                <c:pt idx="6">
                  <c:v>HMRC payroll employment</c:v>
                </c:pt>
                <c:pt idx="7">
                  <c:v>BoE recruitment difficulties</c:v>
                </c:pt>
                <c:pt idx="8">
                  <c:v>Private sector regular pay growth</c:v>
                </c:pt>
                <c:pt idx="9">
                  <c:v>Participation rate*</c:v>
                </c:pt>
              </c:strCache>
            </c:strRef>
          </c:cat>
          <c:val>
            <c:numRef>
              <c:f>'Chart Data'!$DU$4:$ED$4</c:f>
              <c:numCache>
                <c:formatCode>0.00</c:formatCode>
                <c:ptCount val="10"/>
                <c:pt idx="0">
                  <c:v>0.74375285721054851</c:v>
                </c:pt>
                <c:pt idx="1">
                  <c:v>0.88680620558112333</c:v>
                </c:pt>
                <c:pt idx="2">
                  <c:v>1.1066330921456566</c:v>
                </c:pt>
                <c:pt idx="3">
                  <c:v>0.76255478466588855</c:v>
                </c:pt>
                <c:pt idx="4">
                  <c:v>0.43375454981318146</c:v>
                </c:pt>
                <c:pt idx="5">
                  <c:v>0.61151881338135383</c:v>
                </c:pt>
                <c:pt idx="6">
                  <c:v>-0.1092838269757079</c:v>
                </c:pt>
                <c:pt idx="7">
                  <c:v>7.8334033397937865E-4</c:v>
                </c:pt>
                <c:pt idx="8">
                  <c:v>1.2174405418956289</c:v>
                </c:pt>
                <c:pt idx="9">
                  <c:v>-0.72365551992863963</c:v>
                </c:pt>
              </c:numCache>
            </c:numRef>
          </c:val>
          <c:extLst>
            <c:ext xmlns:c16="http://schemas.microsoft.com/office/drawing/2014/chart" uri="{C3380CC4-5D6E-409C-BE32-E72D297353CC}">
              <c16:uniqueId val="{00000000-821F-4B4C-9812-B5DD0942B371}"/>
            </c:ext>
          </c:extLst>
        </c:ser>
        <c:ser>
          <c:idx val="1"/>
          <c:order val="1"/>
          <c:tx>
            <c:strRef>
              <c:f>'Chart Data'!$DT$5</c:f>
              <c:strCache>
                <c:ptCount val="1"/>
                <c:pt idx="0">
                  <c:v>2023</c:v>
                </c:pt>
              </c:strCache>
            </c:strRef>
          </c:tx>
          <c:spPr>
            <a:ln w="38100">
              <a:solidFill>
                <a:srgbClr val="003469"/>
              </a:solidFill>
              <a:prstDash val="solid"/>
            </a:ln>
            <a:effectLst/>
          </c:spPr>
          <c:marker>
            <c:symbol val="none"/>
          </c:marker>
          <c:dLbls>
            <c:delete val="1"/>
          </c:dLbls>
          <c:cat>
            <c:strRef>
              <c:f>'Chart Data'!$DU$3:$ED$3</c:f>
              <c:strCache>
                <c:ptCount val="10"/>
                <c:pt idx="0">
                  <c:v>Unemployment rate*</c:v>
                </c:pt>
                <c:pt idx="1">
                  <c:v>Unemployed &gt;12 months*</c:v>
                </c:pt>
                <c:pt idx="2">
                  <c:v>Underemployment*</c:v>
                </c:pt>
                <c:pt idx="3">
                  <c:v>Redundancy rate*</c:v>
                </c:pt>
                <c:pt idx="4">
                  <c:v>Vacancy/ Unemployed ratio*</c:v>
                </c:pt>
                <c:pt idx="5">
                  <c:v>Average hours*</c:v>
                </c:pt>
                <c:pt idx="6">
                  <c:v>HMRC payroll employment</c:v>
                </c:pt>
                <c:pt idx="7">
                  <c:v>BoE recruitment difficulties</c:v>
                </c:pt>
                <c:pt idx="8">
                  <c:v>Private sector regular pay growth</c:v>
                </c:pt>
                <c:pt idx="9">
                  <c:v>Participation rate*</c:v>
                </c:pt>
              </c:strCache>
            </c:strRef>
          </c:cat>
          <c:val>
            <c:numRef>
              <c:f>'Chart Data'!$DU$5:$ED$5</c:f>
              <c:numCache>
                <c:formatCode>0.00</c:formatCode>
                <c:ptCount val="10"/>
                <c:pt idx="0">
                  <c:v>0.89598297418346795</c:v>
                </c:pt>
                <c:pt idx="1">
                  <c:v>1.078584602748883</c:v>
                </c:pt>
                <c:pt idx="2">
                  <c:v>1.3531895107609198</c:v>
                </c:pt>
                <c:pt idx="3">
                  <c:v>0.72211627335784923</c:v>
                </c:pt>
                <c:pt idx="4">
                  <c:v>1.095134927741189</c:v>
                </c:pt>
                <c:pt idx="5">
                  <c:v>-1.4268772312231894</c:v>
                </c:pt>
                <c:pt idx="6">
                  <c:v>0.6860267298491356</c:v>
                </c:pt>
                <c:pt idx="7">
                  <c:v>0.52718804476812375</c:v>
                </c:pt>
                <c:pt idx="8">
                  <c:v>1.952205186378845</c:v>
                </c:pt>
                <c:pt idx="9">
                  <c:v>-0.95047292169734554</c:v>
                </c:pt>
              </c:numCache>
            </c:numRef>
          </c:val>
          <c:extLst>
            <c:ext xmlns:c16="http://schemas.microsoft.com/office/drawing/2014/chart" uri="{C3380CC4-5D6E-409C-BE32-E72D297353CC}">
              <c16:uniqueId val="{00000001-821F-4B4C-9812-B5DD0942B371}"/>
            </c:ext>
          </c:extLst>
        </c:ser>
        <c:ser>
          <c:idx val="2"/>
          <c:order val="2"/>
          <c:tx>
            <c:strRef>
              <c:f>'Chart Data'!$DT$6</c:f>
              <c:strCache>
                <c:ptCount val="1"/>
                <c:pt idx="0">
                  <c:v>2019</c:v>
                </c:pt>
              </c:strCache>
            </c:strRef>
          </c:tx>
          <c:spPr>
            <a:ln w="38100">
              <a:solidFill>
                <a:srgbClr val="D1A21E"/>
              </a:solidFill>
              <a:prstDash val="solid"/>
            </a:ln>
            <a:effectLst/>
          </c:spPr>
          <c:marker>
            <c:symbol val="none"/>
          </c:marker>
          <c:dLbls>
            <c:delete val="1"/>
          </c:dLbls>
          <c:cat>
            <c:strRef>
              <c:f>'Chart Data'!$DU$3:$ED$3</c:f>
              <c:strCache>
                <c:ptCount val="10"/>
                <c:pt idx="0">
                  <c:v>Unemployment rate*</c:v>
                </c:pt>
                <c:pt idx="1">
                  <c:v>Unemployed &gt;12 months*</c:v>
                </c:pt>
                <c:pt idx="2">
                  <c:v>Underemployment*</c:v>
                </c:pt>
                <c:pt idx="3">
                  <c:v>Redundancy rate*</c:v>
                </c:pt>
                <c:pt idx="4">
                  <c:v>Vacancy/ Unemployed ratio*</c:v>
                </c:pt>
                <c:pt idx="5">
                  <c:v>Average hours*</c:v>
                </c:pt>
                <c:pt idx="6">
                  <c:v>HMRC payroll employment</c:v>
                </c:pt>
                <c:pt idx="7">
                  <c:v>BoE recruitment difficulties</c:v>
                </c:pt>
                <c:pt idx="8">
                  <c:v>Private sector regular pay growth</c:v>
                </c:pt>
                <c:pt idx="9">
                  <c:v>Participation rate*</c:v>
                </c:pt>
              </c:strCache>
            </c:strRef>
          </c:cat>
          <c:val>
            <c:numRef>
              <c:f>'Chart Data'!$DU$6:$ED$6</c:f>
              <c:numCache>
                <c:formatCode>0.00</c:formatCode>
                <c:ptCount val="10"/>
                <c:pt idx="0">
                  <c:v>0.99949945372505344</c:v>
                </c:pt>
                <c:pt idx="1">
                  <c:v>0.9306431983293304</c:v>
                </c:pt>
                <c:pt idx="2">
                  <c:v>0.99695733953593579</c:v>
                </c:pt>
                <c:pt idx="3">
                  <c:v>0.42826309118609523</c:v>
                </c:pt>
                <c:pt idx="4">
                  <c:v>0.62782345504314507</c:v>
                </c:pt>
                <c:pt idx="5">
                  <c:v>-0.33258040727759697</c:v>
                </c:pt>
                <c:pt idx="6">
                  <c:v>-8.6403277416581492E-2</c:v>
                </c:pt>
                <c:pt idx="7">
                  <c:v>0.99568823171451215</c:v>
                </c:pt>
                <c:pt idx="8">
                  <c:v>0.21155321906954644</c:v>
                </c:pt>
                <c:pt idx="9">
                  <c:v>1.9981533012956596</c:v>
                </c:pt>
              </c:numCache>
            </c:numRef>
          </c:val>
          <c:extLst>
            <c:ext xmlns:c16="http://schemas.microsoft.com/office/drawing/2014/chart" uri="{C3380CC4-5D6E-409C-BE32-E72D297353CC}">
              <c16:uniqueId val="{00000002-821F-4B4C-9812-B5DD0942B371}"/>
            </c:ext>
          </c:extLst>
        </c:ser>
        <c:ser>
          <c:idx val="3"/>
          <c:order val="3"/>
          <c:tx>
            <c:strRef>
              <c:f>'Chart Data'!$DT$7</c:f>
              <c:strCache>
                <c:ptCount val="1"/>
                <c:pt idx="0">
                  <c:v>Post-2010 average</c:v>
                </c:pt>
              </c:strCache>
            </c:strRef>
          </c:tx>
          <c:spPr>
            <a:ln w="19050">
              <a:solidFill>
                <a:srgbClr val="495057"/>
              </a:solidFill>
            </a:ln>
          </c:spPr>
          <c:marker>
            <c:symbol val="none"/>
          </c:marker>
          <c:dLbls>
            <c:delete val="1"/>
          </c:dLbls>
          <c:cat>
            <c:strRef>
              <c:f>'Chart Data'!$DU$3:$ED$3</c:f>
              <c:strCache>
                <c:ptCount val="10"/>
                <c:pt idx="0">
                  <c:v>Unemployment rate*</c:v>
                </c:pt>
                <c:pt idx="1">
                  <c:v>Unemployed &gt;12 months*</c:v>
                </c:pt>
                <c:pt idx="2">
                  <c:v>Underemployment*</c:v>
                </c:pt>
                <c:pt idx="3">
                  <c:v>Redundancy rate*</c:v>
                </c:pt>
                <c:pt idx="4">
                  <c:v>Vacancy/ Unemployed ratio*</c:v>
                </c:pt>
                <c:pt idx="5">
                  <c:v>Average hours*</c:v>
                </c:pt>
                <c:pt idx="6">
                  <c:v>HMRC payroll employment</c:v>
                </c:pt>
                <c:pt idx="7">
                  <c:v>BoE recruitment difficulties</c:v>
                </c:pt>
                <c:pt idx="8">
                  <c:v>Private sector regular pay growth</c:v>
                </c:pt>
                <c:pt idx="9">
                  <c:v>Participation rate*</c:v>
                </c:pt>
              </c:strCache>
            </c:strRef>
          </c:cat>
          <c:val>
            <c:numRef>
              <c:f>'Chart Data'!$DU$7:$ED$7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A05A-406A-8988-A637490D2695}"/>
            </c:ext>
          </c:extLst>
        </c:ser>
        <c:dLbls>
          <c:showLegendKey val="0"/>
          <c:showVal val="1"/>
          <c:showCatName val="0"/>
          <c:showSerName val="0"/>
          <c:showPercent val="0"/>
          <c:showBubbleSize val="0"/>
        </c:dLbls>
        <c:axId val="393923200"/>
        <c:axId val="393921664"/>
      </c:radarChart>
      <c:valAx>
        <c:axId val="393921664"/>
        <c:scaling>
          <c:orientation val="minMax"/>
        </c:scaling>
        <c:delete val="0"/>
        <c:axPos val="l"/>
        <c:majorGridlines>
          <c:spPr>
            <a:ln w="6350">
              <a:solidFill>
                <a:srgbClr val="D0CDC9"/>
              </a:solidFill>
            </a:ln>
          </c:spPr>
        </c:majorGridlines>
        <c:numFmt formatCode="General" sourceLinked="0"/>
        <c:majorTickMark val="out"/>
        <c:minorTickMark val="none"/>
        <c:tickLblPos val="none"/>
        <c:spPr>
          <a:ln w="9525">
            <a:noFill/>
          </a:ln>
        </c:spPr>
        <c:txPr>
          <a:bodyPr/>
          <a:lstStyle/>
          <a:p>
            <a:pPr>
              <a:defRPr sz="1800">
                <a:solidFill>
                  <a:srgbClr val="3F3F3F"/>
                </a:solidFill>
                <a:latin typeface="Segoe UI" panose="020B0502040204020203" pitchFamily="34" charset="0"/>
                <a:cs typeface="Segoe UI" panose="020B0502040204020203" pitchFamily="34" charset="0"/>
              </a:defRPr>
            </a:pPr>
            <a:endParaRPr lang="en-US"/>
          </a:p>
        </c:txPr>
        <c:crossAx val="393923200"/>
        <c:crosses val="max"/>
        <c:crossBetween val="between"/>
      </c:valAx>
      <c:catAx>
        <c:axId val="393923200"/>
        <c:scaling>
          <c:orientation val="maxMin"/>
        </c:scaling>
        <c:delete val="0"/>
        <c:axPos val="b"/>
        <c:majorGridlines/>
        <c:numFmt formatCode="yyyy" sourceLinked="0"/>
        <c:majorTickMark val="none"/>
        <c:minorTickMark val="none"/>
        <c:tickLblPos val="low"/>
        <c:txPr>
          <a:bodyPr/>
          <a:lstStyle/>
          <a:p>
            <a:pPr>
              <a:defRPr sz="1800" baseline="0">
                <a:solidFill>
                  <a:srgbClr val="495057"/>
                </a:solidFill>
                <a:latin typeface="Segoe UI" panose="020B0502040204020203" pitchFamily="34" charset="0"/>
                <a:cs typeface="Segoe UI" panose="020B0502040204020203" pitchFamily="34" charset="0"/>
              </a:defRPr>
            </a:pPr>
            <a:endParaRPr lang="en-US"/>
          </a:p>
        </c:txPr>
        <c:crossAx val="393921664"/>
        <c:crosses val="autoZero"/>
        <c:auto val="1"/>
        <c:lblAlgn val="ctr"/>
        <c:lblOffset val="100"/>
        <c:noMultiLvlLbl val="0"/>
      </c:catAx>
      <c:spPr>
        <a:noFill/>
      </c:spPr>
    </c:plotArea>
    <c:legend>
      <c:legendPos val="t"/>
      <c:layout>
        <c:manualLayout>
          <c:xMode val="edge"/>
          <c:yMode val="edge"/>
          <c:x val="0.68019538235686638"/>
          <c:y val="1.0436913207631219E-2"/>
          <c:w val="0.30473870427213545"/>
          <c:h val="0.1823772028496437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a:effectLst/>
  </c:spPr>
  <c:txPr>
    <a:bodyPr/>
    <a:lstStyle/>
    <a:p>
      <a:pPr>
        <a:defRPr sz="1600">
          <a:latin typeface="Arial" panose="020B0604020202020204" pitchFamily="34" charset="0"/>
          <a:cs typeface="Arial" panose="020B0604020202020204" pitchFamily="34" charset="0"/>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3653483992466E-3"/>
          <c:y val="0.12464589235127478"/>
          <c:w val="0.98090816614024945"/>
          <c:h val="0.80830972615675167"/>
        </c:manualLayout>
      </c:layout>
      <c:lineChart>
        <c:grouping val="standard"/>
        <c:varyColors val="0"/>
        <c:ser>
          <c:idx val="0"/>
          <c:order val="0"/>
          <c:tx>
            <c:strRef>
              <c:f>'Chart Data'!$N$3</c:f>
              <c:strCache>
                <c:ptCount val="1"/>
                <c:pt idx="0">
                  <c:v>Single month rate</c:v>
                </c:pt>
              </c:strCache>
            </c:strRef>
          </c:tx>
          <c:spPr>
            <a:ln w="38100">
              <a:noFill/>
            </a:ln>
          </c:spPr>
          <c:marker>
            <c:symbol val="diamond"/>
            <c:size val="12"/>
            <c:spPr>
              <a:solidFill>
                <a:srgbClr val="BD1B21"/>
              </a:solidFill>
              <a:ln w="6350">
                <a:solidFill>
                  <a:srgbClr val="495057"/>
                </a:solidFill>
              </a:ln>
            </c:spPr>
          </c:marker>
          <c:cat>
            <c:numRef>
              <c:f>'Chart Data'!$M$4:$M$111</c:f>
              <c:numCache>
                <c:formatCode>mmm\-yy</c:formatCode>
                <c:ptCount val="10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numCache>
            </c:numRef>
          </c:cat>
          <c:val>
            <c:numRef>
              <c:f>'Chart Data'!$N$4:$N$111</c:f>
              <c:numCache>
                <c:formatCode>General</c:formatCode>
                <c:ptCount val="108"/>
                <c:pt idx="0">
                  <c:v>4.9260000000000002</c:v>
                </c:pt>
                <c:pt idx="1">
                  <c:v>5.1159999999999997</c:v>
                </c:pt>
                <c:pt idx="2">
                  <c:v>5.1660000000000004</c:v>
                </c:pt>
                <c:pt idx="3">
                  <c:v>4.7279999999999998</c:v>
                </c:pt>
                <c:pt idx="4">
                  <c:v>4.8810000000000002</c:v>
                </c:pt>
                <c:pt idx="5">
                  <c:v>5.1449999999999996</c:v>
                </c:pt>
                <c:pt idx="6">
                  <c:v>4.657</c:v>
                </c:pt>
                <c:pt idx="7">
                  <c:v>5.1059999999999999</c:v>
                </c:pt>
                <c:pt idx="8">
                  <c:v>4.7359999999999998</c:v>
                </c:pt>
                <c:pt idx="9">
                  <c:v>4.6589999999999998</c:v>
                </c:pt>
                <c:pt idx="10">
                  <c:v>4.952</c:v>
                </c:pt>
                <c:pt idx="11">
                  <c:v>4.5940000000000003</c:v>
                </c:pt>
                <c:pt idx="12">
                  <c:v>4.593</c:v>
                </c:pt>
                <c:pt idx="13">
                  <c:v>4.7089999999999996</c:v>
                </c:pt>
                <c:pt idx="14">
                  <c:v>4.3710000000000004</c:v>
                </c:pt>
                <c:pt idx="15">
                  <c:v>4.5599999999999996</c:v>
                </c:pt>
                <c:pt idx="16">
                  <c:v>4.391</c:v>
                </c:pt>
                <c:pt idx="17">
                  <c:v>4.3109999999999999</c:v>
                </c:pt>
                <c:pt idx="18">
                  <c:v>4.3310000000000004</c:v>
                </c:pt>
                <c:pt idx="19">
                  <c:v>4.3310000000000004</c:v>
                </c:pt>
                <c:pt idx="20">
                  <c:v>4.133</c:v>
                </c:pt>
                <c:pt idx="21">
                  <c:v>4.2880000000000003</c:v>
                </c:pt>
                <c:pt idx="22">
                  <c:v>4.38</c:v>
                </c:pt>
                <c:pt idx="23">
                  <c:v>4.3940000000000001</c:v>
                </c:pt>
                <c:pt idx="24">
                  <c:v>4.173</c:v>
                </c:pt>
                <c:pt idx="25">
                  <c:v>4.0579999999999998</c:v>
                </c:pt>
                <c:pt idx="26">
                  <c:v>4.3840000000000003</c:v>
                </c:pt>
                <c:pt idx="27">
                  <c:v>4.1589999999999998</c:v>
                </c:pt>
                <c:pt idx="28">
                  <c:v>3.9380000000000002</c:v>
                </c:pt>
                <c:pt idx="29">
                  <c:v>4.0359999999999996</c:v>
                </c:pt>
                <c:pt idx="30">
                  <c:v>4.133</c:v>
                </c:pt>
                <c:pt idx="31">
                  <c:v>3.9260000000000002</c:v>
                </c:pt>
                <c:pt idx="32">
                  <c:v>4.1849999999999996</c:v>
                </c:pt>
                <c:pt idx="33">
                  <c:v>4.101</c:v>
                </c:pt>
                <c:pt idx="34">
                  <c:v>3.8290000000000002</c:v>
                </c:pt>
                <c:pt idx="35">
                  <c:v>4.1429999999999998</c:v>
                </c:pt>
                <c:pt idx="36">
                  <c:v>3.8639999999999999</c:v>
                </c:pt>
                <c:pt idx="37">
                  <c:v>3.8220000000000001</c:v>
                </c:pt>
                <c:pt idx="38">
                  <c:v>3.8140000000000001</c:v>
                </c:pt>
                <c:pt idx="39">
                  <c:v>3.8889999999999998</c:v>
                </c:pt>
                <c:pt idx="40">
                  <c:v>3.6880000000000002</c:v>
                </c:pt>
                <c:pt idx="41">
                  <c:v>4.0830000000000002</c:v>
                </c:pt>
                <c:pt idx="42">
                  <c:v>3.782</c:v>
                </c:pt>
                <c:pt idx="43">
                  <c:v>3.7749999999999999</c:v>
                </c:pt>
                <c:pt idx="44">
                  <c:v>4.0759999999999996</c:v>
                </c:pt>
                <c:pt idx="45">
                  <c:v>3.5489999999999999</c:v>
                </c:pt>
                <c:pt idx="46">
                  <c:v>3.8690000000000002</c:v>
                </c:pt>
                <c:pt idx="47">
                  <c:v>3.8039999999999998</c:v>
                </c:pt>
                <c:pt idx="48">
                  <c:v>3.9950000000000001</c:v>
                </c:pt>
                <c:pt idx="49">
                  <c:v>4.0549999999999997</c:v>
                </c:pt>
                <c:pt idx="50">
                  <c:v>4.2530000000000001</c:v>
                </c:pt>
                <c:pt idx="51">
                  <c:v>3.9670000000000001</c:v>
                </c:pt>
                <c:pt idx="52">
                  <c:v>4.1589999999999998</c:v>
                </c:pt>
                <c:pt idx="53">
                  <c:v>4.1150000000000002</c:v>
                </c:pt>
                <c:pt idx="54">
                  <c:v>4.8090000000000002</c:v>
                </c:pt>
                <c:pt idx="55">
                  <c:v>4.9640000000000004</c:v>
                </c:pt>
                <c:pt idx="56">
                  <c:v>5.1349999999999998</c:v>
                </c:pt>
                <c:pt idx="57">
                  <c:v>5.3769999999999998</c:v>
                </c:pt>
                <c:pt idx="58">
                  <c:v>5.173</c:v>
                </c:pt>
                <c:pt idx="59">
                  <c:v>5.2610000000000001</c:v>
                </c:pt>
                <c:pt idx="60">
                  <c:v>5.0519999999999996</c:v>
                </c:pt>
                <c:pt idx="61">
                  <c:v>4.8360000000000003</c:v>
                </c:pt>
                <c:pt idx="62">
                  <c:v>4.8440000000000003</c:v>
                </c:pt>
                <c:pt idx="63">
                  <c:v>4.782</c:v>
                </c:pt>
                <c:pt idx="64">
                  <c:v>4.7590000000000003</c:v>
                </c:pt>
                <c:pt idx="65">
                  <c:v>4.4660000000000002</c:v>
                </c:pt>
                <c:pt idx="66">
                  <c:v>4.4889999999999999</c:v>
                </c:pt>
                <c:pt idx="67">
                  <c:v>4.601</c:v>
                </c:pt>
                <c:pt idx="68">
                  <c:v>4.069</c:v>
                </c:pt>
                <c:pt idx="69">
                  <c:v>4.25</c:v>
                </c:pt>
                <c:pt idx="70">
                  <c:v>4.3710000000000004</c:v>
                </c:pt>
                <c:pt idx="71">
                  <c:v>3.931</c:v>
                </c:pt>
                <c:pt idx="72">
                  <c:v>3.9740000000000002</c:v>
                </c:pt>
                <c:pt idx="73">
                  <c:v>3.8839999999999999</c:v>
                </c:pt>
                <c:pt idx="74">
                  <c:v>3.4830000000000001</c:v>
                </c:pt>
                <c:pt idx="75">
                  <c:v>4.08</c:v>
                </c:pt>
                <c:pt idx="76">
                  <c:v>3.6560000000000001</c:v>
                </c:pt>
                <c:pt idx="77">
                  <c:v>3.56</c:v>
                </c:pt>
                <c:pt idx="78">
                  <c:v>3.6669999999999998</c:v>
                </c:pt>
                <c:pt idx="79">
                  <c:v>3.5750000000000002</c:v>
                </c:pt>
                <c:pt idx="80">
                  <c:v>3.9239999999999999</c:v>
                </c:pt>
                <c:pt idx="81">
                  <c:v>4.0620000000000003</c:v>
                </c:pt>
                <c:pt idx="82">
                  <c:v>3.706</c:v>
                </c:pt>
                <c:pt idx="83">
                  <c:v>3.9689999999999999</c:v>
                </c:pt>
                <c:pt idx="84">
                  <c:v>3.9620000000000002</c:v>
                </c:pt>
                <c:pt idx="85">
                  <c:v>3.9980000000000002</c:v>
                </c:pt>
                <c:pt idx="86">
                  <c:v>3.9790000000000001</c:v>
                </c:pt>
                <c:pt idx="87">
                  <c:v>3.6869999999999998</c:v>
                </c:pt>
                <c:pt idx="88">
                  <c:v>4.32</c:v>
                </c:pt>
                <c:pt idx="89">
                  <c:v>4.641</c:v>
                </c:pt>
                <c:pt idx="90">
                  <c:v>4.0590000000000002</c:v>
                </c:pt>
                <c:pt idx="91">
                  <c:v>4.0999999999999996</c:v>
                </c:pt>
                <c:pt idx="92">
                  <c:v>4.202</c:v>
                </c:pt>
                <c:pt idx="93">
                  <c:v>3.7650000000000001</c:v>
                </c:pt>
                <c:pt idx="94">
                  <c:v>3.9449999999999998</c:v>
                </c:pt>
                <c:pt idx="95">
                  <c:v>3.94</c:v>
                </c:pt>
                <c:pt idx="96">
                  <c:v>4.3</c:v>
                </c:pt>
                <c:pt idx="97">
                  <c:v>4.3250000000000002</c:v>
                </c:pt>
                <c:pt idx="98">
                  <c:v>4.4269999999999996</c:v>
                </c:pt>
                <c:pt idx="99">
                  <c:v>4.343</c:v>
                </c:pt>
                <c:pt idx="100">
                  <c:v>4.4980000000000002</c:v>
                </c:pt>
                <c:pt idx="101">
                  <c:v>3.77</c:v>
                </c:pt>
                <c:pt idx="102">
                  <c:v>4.3499999999999996</c:v>
                </c:pt>
                <c:pt idx="103">
                  <c:v>4.1070000000000002</c:v>
                </c:pt>
                <c:pt idx="104">
                  <c:v>4.3920000000000003</c:v>
                </c:pt>
                <c:pt idx="105">
                  <c:v>4.3220000000000001</c:v>
                </c:pt>
              </c:numCache>
            </c:numRef>
          </c:val>
          <c:smooth val="0"/>
          <c:extLst>
            <c:ext xmlns:c16="http://schemas.microsoft.com/office/drawing/2014/chart" uri="{C3380CC4-5D6E-409C-BE32-E72D297353CC}">
              <c16:uniqueId val="{00000000-E850-417B-95DA-4ED900504230}"/>
            </c:ext>
          </c:extLst>
        </c:ser>
        <c:ser>
          <c:idx val="1"/>
          <c:order val="1"/>
          <c:tx>
            <c:strRef>
              <c:f>'Chart Data'!$O$3</c:f>
              <c:strCache>
                <c:ptCount val="1"/>
                <c:pt idx="0">
                  <c:v>Three-month rate</c:v>
                </c:pt>
              </c:strCache>
            </c:strRef>
          </c:tx>
          <c:spPr>
            <a:ln w="38100">
              <a:solidFill>
                <a:srgbClr val="003469"/>
              </a:solidFill>
            </a:ln>
          </c:spPr>
          <c:marker>
            <c:symbol val="none"/>
          </c:marker>
          <c:cat>
            <c:numRef>
              <c:f>'Chart Data'!$M$4:$M$111</c:f>
              <c:numCache>
                <c:formatCode>mmm\-yy</c:formatCode>
                <c:ptCount val="10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numCache>
            </c:numRef>
          </c:cat>
          <c:val>
            <c:numRef>
              <c:f>'Chart Data'!$O$4:$O$111</c:f>
              <c:numCache>
                <c:formatCode>0.000</c:formatCode>
                <c:ptCount val="108"/>
                <c:pt idx="0">
                  <c:v>5.0999999999999996</c:v>
                </c:pt>
                <c:pt idx="1">
                  <c:v>5.0999999999999996</c:v>
                </c:pt>
                <c:pt idx="2">
                  <c:v>5</c:v>
                </c:pt>
                <c:pt idx="3">
                  <c:v>4.9000000000000004</c:v>
                </c:pt>
                <c:pt idx="4">
                  <c:v>4.9000000000000004</c:v>
                </c:pt>
                <c:pt idx="5">
                  <c:v>4.9000000000000004</c:v>
                </c:pt>
                <c:pt idx="6">
                  <c:v>5</c:v>
                </c:pt>
                <c:pt idx="7">
                  <c:v>4.8</c:v>
                </c:pt>
                <c:pt idx="8">
                  <c:v>4.8</c:v>
                </c:pt>
                <c:pt idx="9">
                  <c:v>4.8</c:v>
                </c:pt>
                <c:pt idx="10">
                  <c:v>4.7</c:v>
                </c:pt>
                <c:pt idx="11">
                  <c:v>4.7</c:v>
                </c:pt>
                <c:pt idx="12">
                  <c:v>4.5999999999999996</c:v>
                </c:pt>
                <c:pt idx="13">
                  <c:v>4.5999999999999996</c:v>
                </c:pt>
                <c:pt idx="14">
                  <c:v>4.5</c:v>
                </c:pt>
                <c:pt idx="15">
                  <c:v>4.4000000000000004</c:v>
                </c:pt>
                <c:pt idx="16">
                  <c:v>4.4000000000000004</c:v>
                </c:pt>
                <c:pt idx="17">
                  <c:v>4.3</c:v>
                </c:pt>
                <c:pt idx="18">
                  <c:v>4.3</c:v>
                </c:pt>
                <c:pt idx="19">
                  <c:v>4.3</c:v>
                </c:pt>
                <c:pt idx="20">
                  <c:v>4.2</c:v>
                </c:pt>
                <c:pt idx="21">
                  <c:v>4.3</c:v>
                </c:pt>
                <c:pt idx="22">
                  <c:v>4.4000000000000004</c:v>
                </c:pt>
                <c:pt idx="23">
                  <c:v>4.3</c:v>
                </c:pt>
                <c:pt idx="24">
                  <c:v>4.2</c:v>
                </c:pt>
                <c:pt idx="25">
                  <c:v>4.2</c:v>
                </c:pt>
                <c:pt idx="26">
                  <c:v>4.2</c:v>
                </c:pt>
                <c:pt idx="27">
                  <c:v>4.2</c:v>
                </c:pt>
                <c:pt idx="28">
                  <c:v>4</c:v>
                </c:pt>
                <c:pt idx="29">
                  <c:v>4</c:v>
                </c:pt>
                <c:pt idx="30">
                  <c:v>4</c:v>
                </c:pt>
                <c:pt idx="31">
                  <c:v>4.0999999999999996</c:v>
                </c:pt>
                <c:pt idx="32">
                  <c:v>4.0999999999999996</c:v>
                </c:pt>
                <c:pt idx="33">
                  <c:v>4</c:v>
                </c:pt>
                <c:pt idx="34">
                  <c:v>4</c:v>
                </c:pt>
                <c:pt idx="35">
                  <c:v>3.9</c:v>
                </c:pt>
                <c:pt idx="36">
                  <c:v>4</c:v>
                </c:pt>
                <c:pt idx="37">
                  <c:v>3.8</c:v>
                </c:pt>
                <c:pt idx="38">
                  <c:v>3.8</c:v>
                </c:pt>
                <c:pt idx="39">
                  <c:v>3.8</c:v>
                </c:pt>
                <c:pt idx="40">
                  <c:v>3.9</c:v>
                </c:pt>
                <c:pt idx="41">
                  <c:v>3.9</c:v>
                </c:pt>
                <c:pt idx="42">
                  <c:v>3.9</c:v>
                </c:pt>
                <c:pt idx="43">
                  <c:v>3.9</c:v>
                </c:pt>
                <c:pt idx="44">
                  <c:v>3.8</c:v>
                </c:pt>
                <c:pt idx="45">
                  <c:v>3.8</c:v>
                </c:pt>
                <c:pt idx="46">
                  <c:v>3.7</c:v>
                </c:pt>
                <c:pt idx="47">
                  <c:v>3.9</c:v>
                </c:pt>
                <c:pt idx="48">
                  <c:v>3.9</c:v>
                </c:pt>
                <c:pt idx="49">
                  <c:v>4.0999999999999996</c:v>
                </c:pt>
                <c:pt idx="50">
                  <c:v>4.0999999999999996</c:v>
                </c:pt>
                <c:pt idx="51">
                  <c:v>4.0999999999999996</c:v>
                </c:pt>
                <c:pt idx="52">
                  <c:v>4.0999999999999996</c:v>
                </c:pt>
                <c:pt idx="53">
                  <c:v>4.4000000000000004</c:v>
                </c:pt>
                <c:pt idx="54">
                  <c:v>4.5999999999999996</c:v>
                </c:pt>
                <c:pt idx="55">
                  <c:v>5</c:v>
                </c:pt>
                <c:pt idx="56">
                  <c:v>5.2</c:v>
                </c:pt>
                <c:pt idx="57">
                  <c:v>5.2</c:v>
                </c:pt>
                <c:pt idx="58">
                  <c:v>5.3</c:v>
                </c:pt>
                <c:pt idx="59">
                  <c:v>5.2</c:v>
                </c:pt>
                <c:pt idx="60">
                  <c:v>5</c:v>
                </c:pt>
                <c:pt idx="61">
                  <c:v>4.9000000000000004</c:v>
                </c:pt>
                <c:pt idx="62">
                  <c:v>4.8</c:v>
                </c:pt>
                <c:pt idx="63">
                  <c:v>4.8</c:v>
                </c:pt>
                <c:pt idx="64">
                  <c:v>4.7</c:v>
                </c:pt>
                <c:pt idx="65">
                  <c:v>4.5999999999999996</c:v>
                </c:pt>
                <c:pt idx="66">
                  <c:v>4.5</c:v>
                </c:pt>
                <c:pt idx="67">
                  <c:v>4.4000000000000004</c:v>
                </c:pt>
                <c:pt idx="68">
                  <c:v>4.3</c:v>
                </c:pt>
                <c:pt idx="69">
                  <c:v>4.2</c:v>
                </c:pt>
                <c:pt idx="70">
                  <c:v>4.2</c:v>
                </c:pt>
                <c:pt idx="71">
                  <c:v>4.0999999999999996</c:v>
                </c:pt>
                <c:pt idx="72">
                  <c:v>3.9</c:v>
                </c:pt>
                <c:pt idx="73">
                  <c:v>3.8</c:v>
                </c:pt>
                <c:pt idx="74">
                  <c:v>3.8</c:v>
                </c:pt>
                <c:pt idx="75">
                  <c:v>3.7</c:v>
                </c:pt>
                <c:pt idx="76">
                  <c:v>3.8</c:v>
                </c:pt>
                <c:pt idx="77">
                  <c:v>3.6</c:v>
                </c:pt>
                <c:pt idx="78">
                  <c:v>3.6</c:v>
                </c:pt>
                <c:pt idx="79">
                  <c:v>3.7</c:v>
                </c:pt>
                <c:pt idx="80">
                  <c:v>3.8</c:v>
                </c:pt>
                <c:pt idx="81">
                  <c:v>3.9</c:v>
                </c:pt>
                <c:pt idx="82">
                  <c:v>3.9</c:v>
                </c:pt>
                <c:pt idx="83">
                  <c:v>3.9</c:v>
                </c:pt>
                <c:pt idx="84">
                  <c:v>4</c:v>
                </c:pt>
                <c:pt idx="85">
                  <c:v>4</c:v>
                </c:pt>
                <c:pt idx="86">
                  <c:v>3.9</c:v>
                </c:pt>
                <c:pt idx="87">
                  <c:v>4</c:v>
                </c:pt>
                <c:pt idx="88">
                  <c:v>4.2</c:v>
                </c:pt>
                <c:pt idx="89">
                  <c:v>4.3</c:v>
                </c:pt>
                <c:pt idx="90">
                  <c:v>4.3</c:v>
                </c:pt>
                <c:pt idx="91">
                  <c:v>4.0999999999999996</c:v>
                </c:pt>
                <c:pt idx="92">
                  <c:v>4</c:v>
                </c:pt>
                <c:pt idx="93">
                  <c:v>4</c:v>
                </c:pt>
                <c:pt idx="94">
                  <c:v>3.9</c:v>
                </c:pt>
                <c:pt idx="95">
                  <c:v>4.0999999999999996</c:v>
                </c:pt>
                <c:pt idx="96">
                  <c:v>4.2</c:v>
                </c:pt>
                <c:pt idx="97">
                  <c:v>4.3</c:v>
                </c:pt>
                <c:pt idx="98">
                  <c:v>4.4000000000000004</c:v>
                </c:pt>
                <c:pt idx="99">
                  <c:v>4.4000000000000004</c:v>
                </c:pt>
                <c:pt idx="100">
                  <c:v>4.2</c:v>
                </c:pt>
                <c:pt idx="101">
                  <c:v>4.2</c:v>
                </c:pt>
                <c:pt idx="102">
                  <c:v>4.0999999999999996</c:v>
                </c:pt>
                <c:pt idx="103">
                  <c:v>4.3</c:v>
                </c:pt>
                <c:pt idx="104">
                  <c:v>4.3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5"/>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5"/>
      </c:valAx>
      <c:spPr>
        <a:noFill/>
        <a:ln w="25400">
          <a:noFill/>
        </a:ln>
      </c:spPr>
    </c:plotArea>
    <c:legend>
      <c:legendPos val="t"/>
      <c:layout>
        <c:manualLayout>
          <c:xMode val="edge"/>
          <c:yMode val="edge"/>
          <c:x val="0.22325773685069031"/>
          <c:y val="8.9666525395373731E-2"/>
          <c:w val="0.6148530925159779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33520350364824969"/>
          <c:y val="9.2469136958188883E-2"/>
          <c:w val="0.62651057464528759"/>
          <c:h val="0.76731463415105294"/>
        </c:manualLayout>
      </c:layout>
      <c:barChart>
        <c:barDir val="bar"/>
        <c:grouping val="clustered"/>
        <c:varyColors val="0"/>
        <c:ser>
          <c:idx val="0"/>
          <c:order val="0"/>
          <c:spPr>
            <a:solidFill>
              <a:schemeClr val="accent1"/>
            </a:solidFill>
            <a:ln w="6350">
              <a:solidFill>
                <a:srgbClr val="495057"/>
              </a:solidFill>
            </a:ln>
            <a:effectLst/>
          </c:spPr>
          <c:invertIfNegative val="0"/>
          <c:dPt>
            <c:idx val="0"/>
            <c:invertIfNegative val="0"/>
            <c:bubble3D val="0"/>
            <c:spPr>
              <a:solidFill>
                <a:srgbClr val="002060"/>
              </a:solidFill>
              <a:ln w="6350">
                <a:solidFill>
                  <a:srgbClr val="495057"/>
                </a:solidFill>
              </a:ln>
              <a:effectLst/>
            </c:spPr>
            <c:extLst>
              <c:ext xmlns:c16="http://schemas.microsoft.com/office/drawing/2014/chart" uri="{C3380CC4-5D6E-409C-BE32-E72D297353CC}">
                <c16:uniqueId val="{00000001-6A22-49BA-B3C0-EBCC9488AB8C}"/>
              </c:ext>
            </c:extLst>
          </c:dPt>
          <c:dPt>
            <c:idx val="3"/>
            <c:invertIfNegative val="0"/>
            <c:bubble3D val="0"/>
            <c:spPr>
              <a:solidFill>
                <a:srgbClr val="002060"/>
              </a:solidFill>
              <a:ln w="6350">
                <a:solidFill>
                  <a:srgbClr val="495057"/>
                </a:solidFill>
              </a:ln>
              <a:effectLst/>
            </c:spPr>
            <c:extLst>
              <c:ext xmlns:c16="http://schemas.microsoft.com/office/drawing/2014/chart" uri="{C3380CC4-5D6E-409C-BE32-E72D297353CC}">
                <c16:uniqueId val="{00000002-6A22-49BA-B3C0-EBCC9488AB8C}"/>
              </c:ext>
            </c:extLst>
          </c:dPt>
          <c:dPt>
            <c:idx val="5"/>
            <c:invertIfNegative val="0"/>
            <c:bubble3D val="0"/>
            <c:spPr>
              <a:solidFill>
                <a:srgbClr val="002060"/>
              </a:solidFill>
              <a:ln w="6350">
                <a:solidFill>
                  <a:srgbClr val="495057"/>
                </a:solidFill>
              </a:ln>
              <a:effectLst/>
            </c:spPr>
            <c:extLst>
              <c:ext xmlns:c16="http://schemas.microsoft.com/office/drawing/2014/chart" uri="{C3380CC4-5D6E-409C-BE32-E72D297353CC}">
                <c16:uniqueId val="{00000003-6A22-49BA-B3C0-EBCC9488AB8C}"/>
              </c:ext>
            </c:extLst>
          </c:dPt>
          <c:cat>
            <c:strRef>
              <c:f>'Chart Data'!$AS$35:$BK$35</c:f>
              <c:strCache>
                <c:ptCount val="19"/>
                <c:pt idx="0">
                  <c:v>Health</c:v>
                </c:pt>
                <c:pt idx="1">
                  <c:v>Professional services</c:v>
                </c:pt>
                <c:pt idx="2">
                  <c:v>Accommodation &amp; food</c:v>
                </c:pt>
                <c:pt idx="3">
                  <c:v>Public admin</c:v>
                </c:pt>
                <c:pt idx="4">
                  <c:v>Communications</c:v>
                </c:pt>
                <c:pt idx="5">
                  <c:v>Education</c:v>
                </c:pt>
                <c:pt idx="6">
                  <c:v>Transport</c:v>
                </c:pt>
                <c:pt idx="7">
                  <c:v>Real estate</c:v>
                </c:pt>
                <c:pt idx="8">
                  <c:v>Art &amp; recreation</c:v>
                </c:pt>
                <c:pt idx="9">
                  <c:v>Financial services</c:v>
                </c:pt>
                <c:pt idx="10">
                  <c:v>Water</c:v>
                </c:pt>
                <c:pt idx="11">
                  <c:v>Utilities</c:v>
                </c:pt>
                <c:pt idx="12">
                  <c:v>Extraction</c:v>
                </c:pt>
                <c:pt idx="13">
                  <c:v>Agriculture</c:v>
                </c:pt>
                <c:pt idx="14">
                  <c:v>Other services</c:v>
                </c:pt>
                <c:pt idx="15">
                  <c:v>Administrative services</c:v>
                </c:pt>
                <c:pt idx="16">
                  <c:v>Construction</c:v>
                </c:pt>
                <c:pt idx="17">
                  <c:v>Manufacturing</c:v>
                </c:pt>
                <c:pt idx="18">
                  <c:v>Wholesale &amp; retail</c:v>
                </c:pt>
              </c:strCache>
            </c:strRef>
          </c:cat>
          <c:val>
            <c:numRef>
              <c:f>'Chart Data'!$AS$36:$BK$36</c:f>
              <c:numCache>
                <c:formatCode>0</c:formatCode>
                <c:ptCount val="19"/>
                <c:pt idx="0">
                  <c:v>629.75</c:v>
                </c:pt>
                <c:pt idx="1">
                  <c:v>316</c:v>
                </c:pt>
                <c:pt idx="2">
                  <c:v>203</c:v>
                </c:pt>
                <c:pt idx="3">
                  <c:v>202.25</c:v>
                </c:pt>
                <c:pt idx="4">
                  <c:v>132.75</c:v>
                </c:pt>
                <c:pt idx="5">
                  <c:v>115</c:v>
                </c:pt>
                <c:pt idx="6">
                  <c:v>82</c:v>
                </c:pt>
                <c:pt idx="7">
                  <c:v>76.25</c:v>
                </c:pt>
                <c:pt idx="8">
                  <c:v>63.25</c:v>
                </c:pt>
                <c:pt idx="9">
                  <c:v>47.75</c:v>
                </c:pt>
                <c:pt idx="10">
                  <c:v>19.5</c:v>
                </c:pt>
                <c:pt idx="11">
                  <c:v>-0.75</c:v>
                </c:pt>
                <c:pt idx="12">
                  <c:v>-15.25</c:v>
                </c:pt>
                <c:pt idx="13">
                  <c:v>-37.25</c:v>
                </c:pt>
                <c:pt idx="14">
                  <c:v>-51.5</c:v>
                </c:pt>
                <c:pt idx="15">
                  <c:v>-74.5</c:v>
                </c:pt>
                <c:pt idx="16">
                  <c:v>-106.25</c:v>
                </c:pt>
                <c:pt idx="17">
                  <c:v>-110.75</c:v>
                </c:pt>
                <c:pt idx="18">
                  <c:v>-264.5</c:v>
                </c:pt>
              </c:numCache>
            </c:numRef>
          </c:val>
          <c:extLst>
            <c:ext xmlns:c16="http://schemas.microsoft.com/office/drawing/2014/chart" uri="{C3380CC4-5D6E-409C-BE32-E72D297353CC}">
              <c16:uniqueId val="{00000000-6A22-49BA-B3C0-EBCC9488AB8C}"/>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low"/>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tickLblSkip val="1"/>
        <c:noMultiLvlLbl val="0"/>
      </c:catAx>
      <c:valAx>
        <c:axId val="16313396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majorUnit val="200"/>
      </c:valAx>
      <c:spPr>
        <a:noFill/>
        <a:ln w="25400">
          <a:noFill/>
        </a:ln>
        <a:effectLst/>
      </c:spPr>
    </c:plotArea>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108474781348194E-2"/>
          <c:y val="0.14714391023940784"/>
          <c:w val="0.9316683016866999"/>
          <c:h val="0.62226528433999573"/>
        </c:manualLayout>
      </c:layout>
      <c:barChart>
        <c:barDir val="col"/>
        <c:grouping val="clustered"/>
        <c:varyColors val="0"/>
        <c:ser>
          <c:idx val="0"/>
          <c:order val="0"/>
          <c:tx>
            <c:strRef>
              <c:f>'Chart Data'!$CO$9</c:f>
              <c:strCache>
                <c:ptCount val="1"/>
                <c:pt idx="0">
                  <c:v>Nov-24</c:v>
                </c:pt>
              </c:strCache>
            </c:strRef>
          </c:tx>
          <c:spPr>
            <a:solidFill>
              <a:srgbClr val="BD1B21"/>
            </a:solidFill>
            <a:ln w="6350">
              <a:solidFill>
                <a:srgbClr val="495057"/>
              </a:solidFill>
            </a:ln>
          </c:spPr>
          <c:invertIfNegative val="0"/>
          <c:cat>
            <c:strRef>
              <c:f>'Chart Data'!$CP$8:$CU$8</c:f>
              <c:strCache>
                <c:ptCount val="6"/>
                <c:pt idx="0">
                  <c:v>Lower profit margins</c:v>
                </c:pt>
                <c:pt idx="1">
                  <c:v>Higher prices</c:v>
                </c:pt>
                <c:pt idx="2">
                  <c:v>Lower number of employees</c:v>
                </c:pt>
                <c:pt idx="3">
                  <c:v>Lower employee wages</c:v>
                </c:pt>
                <c:pt idx="4">
                  <c:v>Other</c:v>
                </c:pt>
                <c:pt idx="5">
                  <c:v>None of the above</c:v>
                </c:pt>
              </c:strCache>
            </c:strRef>
          </c:cat>
          <c:val>
            <c:numRef>
              <c:f>'Chart Data'!$CP$9:$CU$9</c:f>
              <c:numCache>
                <c:formatCode>General</c:formatCode>
                <c:ptCount val="6"/>
                <c:pt idx="0">
                  <c:v>58.72</c:v>
                </c:pt>
                <c:pt idx="1">
                  <c:v>53.64</c:v>
                </c:pt>
                <c:pt idx="2">
                  <c:v>53.68</c:v>
                </c:pt>
                <c:pt idx="3">
                  <c:v>37.880000000000003</c:v>
                </c:pt>
                <c:pt idx="4">
                  <c:v>7.51</c:v>
                </c:pt>
                <c:pt idx="5">
                  <c:v>2.67</c:v>
                </c:pt>
              </c:numCache>
            </c:numRef>
          </c:val>
          <c:extLst>
            <c:ext xmlns:c16="http://schemas.microsoft.com/office/drawing/2014/chart" uri="{C3380CC4-5D6E-409C-BE32-E72D297353CC}">
              <c16:uniqueId val="{00000000-35D6-4E4B-91F4-0D9ED376BC7E}"/>
            </c:ext>
          </c:extLst>
        </c:ser>
        <c:ser>
          <c:idx val="1"/>
          <c:order val="1"/>
          <c:tx>
            <c:strRef>
              <c:f>'Chart Data'!$CO$10</c:f>
              <c:strCache>
                <c:ptCount val="1"/>
                <c:pt idx="0">
                  <c:v>Dec-24</c:v>
                </c:pt>
              </c:strCache>
            </c:strRef>
          </c:tx>
          <c:spPr>
            <a:solidFill>
              <a:srgbClr val="003469"/>
            </a:solidFill>
            <a:ln w="6350">
              <a:solidFill>
                <a:srgbClr val="495057"/>
              </a:solidFill>
            </a:ln>
          </c:spPr>
          <c:invertIfNegative val="0"/>
          <c:cat>
            <c:strRef>
              <c:f>'Chart Data'!$CP$8:$CU$8</c:f>
              <c:strCache>
                <c:ptCount val="6"/>
                <c:pt idx="0">
                  <c:v>Lower profit margins</c:v>
                </c:pt>
                <c:pt idx="1">
                  <c:v>Higher prices</c:v>
                </c:pt>
                <c:pt idx="2">
                  <c:v>Lower number of employees</c:v>
                </c:pt>
                <c:pt idx="3">
                  <c:v>Lower employee wages</c:v>
                </c:pt>
                <c:pt idx="4">
                  <c:v>Other</c:v>
                </c:pt>
                <c:pt idx="5">
                  <c:v>None of the above</c:v>
                </c:pt>
              </c:strCache>
            </c:strRef>
          </c:cat>
          <c:val>
            <c:numRef>
              <c:f>'Chart Data'!$CP$10:$CU$10</c:f>
              <c:numCache>
                <c:formatCode>General</c:formatCode>
                <c:ptCount val="6"/>
                <c:pt idx="0">
                  <c:v>63.5</c:v>
                </c:pt>
                <c:pt idx="1">
                  <c:v>54.45</c:v>
                </c:pt>
                <c:pt idx="2">
                  <c:v>52.76</c:v>
                </c:pt>
                <c:pt idx="3">
                  <c:v>40.67</c:v>
                </c:pt>
                <c:pt idx="4">
                  <c:v>7.33</c:v>
                </c:pt>
                <c:pt idx="5">
                  <c:v>3.75</c:v>
                </c:pt>
              </c:numCache>
            </c:numRef>
          </c:val>
          <c:extLst>
            <c:ext xmlns:c16="http://schemas.microsoft.com/office/drawing/2014/chart" uri="{C3380CC4-5D6E-409C-BE32-E72D297353CC}">
              <c16:uniqueId val="{00000001-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0.32676691889865683"/>
          <c:y val="8.9653456938550896E-2"/>
          <c:w val="0.31811728728231203"/>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3653483992466E-3"/>
          <c:y val="0.12464589235127478"/>
          <c:w val="0.98090816614024945"/>
          <c:h val="0.80830972615675167"/>
        </c:manualLayout>
      </c:layout>
      <c:areaChart>
        <c:grouping val="stacked"/>
        <c:varyColors val="0"/>
        <c:ser>
          <c:idx val="0"/>
          <c:order val="0"/>
          <c:tx>
            <c:strRef>
              <c:f>'Chart Data'!$R$3</c:f>
              <c:strCache>
                <c:ptCount val="1"/>
                <c:pt idx="0">
                  <c:v>Single month range - min</c:v>
                </c:pt>
              </c:strCache>
            </c:strRef>
          </c:tx>
          <c:spPr>
            <a:noFill/>
            <a:ln w="38100">
              <a:noFill/>
            </a:ln>
          </c:spPr>
          <c:cat>
            <c:numRef>
              <c:f>'Chart Data'!$Q$4:$Q$111</c:f>
              <c:numCache>
                <c:formatCode>mmm\-yy</c:formatCode>
                <c:ptCount val="10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numCache>
            </c:numRef>
          </c:cat>
          <c:val>
            <c:numRef>
              <c:f>'Chart Data'!$R$4:$R$111</c:f>
              <c:numCache>
                <c:formatCode>General</c:formatCode>
                <c:ptCount val="108"/>
                <c:pt idx="0">
                  <c:v>4.9260000000000002</c:v>
                </c:pt>
                <c:pt idx="1">
                  <c:v>4.9260000000000002</c:v>
                </c:pt>
                <c:pt idx="2">
                  <c:v>4.7279999999999998</c:v>
                </c:pt>
                <c:pt idx="3">
                  <c:v>4.7279999999999998</c:v>
                </c:pt>
                <c:pt idx="4">
                  <c:v>4.7279999999999998</c:v>
                </c:pt>
                <c:pt idx="5">
                  <c:v>4.657</c:v>
                </c:pt>
                <c:pt idx="6">
                  <c:v>4.657</c:v>
                </c:pt>
                <c:pt idx="7">
                  <c:v>4.657</c:v>
                </c:pt>
                <c:pt idx="8">
                  <c:v>4.6589999999999998</c:v>
                </c:pt>
                <c:pt idx="9">
                  <c:v>4.6589999999999998</c:v>
                </c:pt>
                <c:pt idx="10">
                  <c:v>4.5940000000000003</c:v>
                </c:pt>
                <c:pt idx="11">
                  <c:v>4.593</c:v>
                </c:pt>
                <c:pt idx="12">
                  <c:v>4.593</c:v>
                </c:pt>
                <c:pt idx="13">
                  <c:v>4.3710000000000004</c:v>
                </c:pt>
                <c:pt idx="14">
                  <c:v>4.3710000000000004</c:v>
                </c:pt>
                <c:pt idx="15">
                  <c:v>4.3710000000000004</c:v>
                </c:pt>
                <c:pt idx="16">
                  <c:v>4.3109999999999999</c:v>
                </c:pt>
                <c:pt idx="17">
                  <c:v>4.3109999999999999</c:v>
                </c:pt>
                <c:pt idx="18">
                  <c:v>4.3109999999999999</c:v>
                </c:pt>
                <c:pt idx="19">
                  <c:v>4.133</c:v>
                </c:pt>
                <c:pt idx="20">
                  <c:v>4.133</c:v>
                </c:pt>
                <c:pt idx="21">
                  <c:v>4.133</c:v>
                </c:pt>
                <c:pt idx="22">
                  <c:v>4.2880000000000003</c:v>
                </c:pt>
                <c:pt idx="23">
                  <c:v>4.173</c:v>
                </c:pt>
                <c:pt idx="24">
                  <c:v>4.0579999999999998</c:v>
                </c:pt>
                <c:pt idx="25">
                  <c:v>4.0579999999999998</c:v>
                </c:pt>
                <c:pt idx="26">
                  <c:v>4.0579999999999998</c:v>
                </c:pt>
                <c:pt idx="27">
                  <c:v>3.9380000000000002</c:v>
                </c:pt>
                <c:pt idx="28">
                  <c:v>3.9380000000000002</c:v>
                </c:pt>
                <c:pt idx="29">
                  <c:v>3.9380000000000002</c:v>
                </c:pt>
                <c:pt idx="30">
                  <c:v>3.9260000000000002</c:v>
                </c:pt>
                <c:pt idx="31">
                  <c:v>3.9260000000000002</c:v>
                </c:pt>
                <c:pt idx="32">
                  <c:v>3.9260000000000002</c:v>
                </c:pt>
                <c:pt idx="33">
                  <c:v>3.8290000000000002</c:v>
                </c:pt>
                <c:pt idx="34">
                  <c:v>3.8290000000000002</c:v>
                </c:pt>
                <c:pt idx="35">
                  <c:v>3.8290000000000002</c:v>
                </c:pt>
                <c:pt idx="36">
                  <c:v>3.8220000000000001</c:v>
                </c:pt>
                <c:pt idx="37">
                  <c:v>3.8140000000000001</c:v>
                </c:pt>
                <c:pt idx="38">
                  <c:v>3.8140000000000001</c:v>
                </c:pt>
                <c:pt idx="39">
                  <c:v>3.6880000000000002</c:v>
                </c:pt>
                <c:pt idx="40">
                  <c:v>3.6880000000000002</c:v>
                </c:pt>
                <c:pt idx="41">
                  <c:v>3.6880000000000002</c:v>
                </c:pt>
                <c:pt idx="42">
                  <c:v>3.7749999999999999</c:v>
                </c:pt>
                <c:pt idx="43">
                  <c:v>3.7749999999999999</c:v>
                </c:pt>
                <c:pt idx="44">
                  <c:v>3.5489999999999999</c:v>
                </c:pt>
                <c:pt idx="45">
                  <c:v>3.5489999999999999</c:v>
                </c:pt>
                <c:pt idx="46">
                  <c:v>3.5489999999999999</c:v>
                </c:pt>
                <c:pt idx="47">
                  <c:v>3.8039999999999998</c:v>
                </c:pt>
                <c:pt idx="48">
                  <c:v>3.8039999999999998</c:v>
                </c:pt>
                <c:pt idx="49">
                  <c:v>3.9950000000000001</c:v>
                </c:pt>
                <c:pt idx="50">
                  <c:v>3.9670000000000001</c:v>
                </c:pt>
                <c:pt idx="51">
                  <c:v>3.9670000000000001</c:v>
                </c:pt>
                <c:pt idx="52">
                  <c:v>3.9670000000000001</c:v>
                </c:pt>
                <c:pt idx="53">
                  <c:v>4.1150000000000002</c:v>
                </c:pt>
                <c:pt idx="54">
                  <c:v>4.1150000000000002</c:v>
                </c:pt>
                <c:pt idx="55">
                  <c:v>4.8090000000000002</c:v>
                </c:pt>
                <c:pt idx="56">
                  <c:v>4.9640000000000004</c:v>
                </c:pt>
                <c:pt idx="57">
                  <c:v>5.1349999999999998</c:v>
                </c:pt>
                <c:pt idx="58">
                  <c:v>5.173</c:v>
                </c:pt>
                <c:pt idx="59">
                  <c:v>5.0519999999999996</c:v>
                </c:pt>
                <c:pt idx="60">
                  <c:v>4.8360000000000003</c:v>
                </c:pt>
                <c:pt idx="61">
                  <c:v>4.8360000000000003</c:v>
                </c:pt>
                <c:pt idx="62">
                  <c:v>4.782</c:v>
                </c:pt>
                <c:pt idx="63">
                  <c:v>4.7590000000000003</c:v>
                </c:pt>
                <c:pt idx="64">
                  <c:v>4.4660000000000002</c:v>
                </c:pt>
                <c:pt idx="65">
                  <c:v>4.4660000000000002</c:v>
                </c:pt>
                <c:pt idx="66">
                  <c:v>4.4660000000000002</c:v>
                </c:pt>
                <c:pt idx="67">
                  <c:v>4.069</c:v>
                </c:pt>
                <c:pt idx="68">
                  <c:v>4.069</c:v>
                </c:pt>
                <c:pt idx="69">
                  <c:v>4.069</c:v>
                </c:pt>
                <c:pt idx="70">
                  <c:v>3.931</c:v>
                </c:pt>
                <c:pt idx="71">
                  <c:v>3.931</c:v>
                </c:pt>
                <c:pt idx="72">
                  <c:v>3.8839999999999999</c:v>
                </c:pt>
                <c:pt idx="73">
                  <c:v>3.4830000000000001</c:v>
                </c:pt>
                <c:pt idx="74">
                  <c:v>3.4830000000000001</c:v>
                </c:pt>
                <c:pt idx="75">
                  <c:v>3.4830000000000001</c:v>
                </c:pt>
                <c:pt idx="76">
                  <c:v>3.56</c:v>
                </c:pt>
                <c:pt idx="77">
                  <c:v>3.56</c:v>
                </c:pt>
                <c:pt idx="78">
                  <c:v>3.56</c:v>
                </c:pt>
                <c:pt idx="79">
                  <c:v>3.5750000000000002</c:v>
                </c:pt>
                <c:pt idx="80">
                  <c:v>3.5750000000000002</c:v>
                </c:pt>
                <c:pt idx="81">
                  <c:v>3.706</c:v>
                </c:pt>
                <c:pt idx="82">
                  <c:v>3.706</c:v>
                </c:pt>
                <c:pt idx="83">
                  <c:v>3.706</c:v>
                </c:pt>
                <c:pt idx="84">
                  <c:v>3.9620000000000002</c:v>
                </c:pt>
                <c:pt idx="85">
                  <c:v>3.9620000000000002</c:v>
                </c:pt>
                <c:pt idx="86">
                  <c:v>3.6869999999999998</c:v>
                </c:pt>
                <c:pt idx="87">
                  <c:v>3.6869999999999998</c:v>
                </c:pt>
                <c:pt idx="88">
                  <c:v>3.6869999999999998</c:v>
                </c:pt>
                <c:pt idx="89">
                  <c:v>4.0590000000000002</c:v>
                </c:pt>
                <c:pt idx="90">
                  <c:v>4.0590000000000002</c:v>
                </c:pt>
                <c:pt idx="91">
                  <c:v>4.0590000000000002</c:v>
                </c:pt>
                <c:pt idx="92">
                  <c:v>3.7650000000000001</c:v>
                </c:pt>
                <c:pt idx="93">
                  <c:v>3.7650000000000001</c:v>
                </c:pt>
                <c:pt idx="94">
                  <c:v>3.7650000000000001</c:v>
                </c:pt>
                <c:pt idx="95">
                  <c:v>3.94</c:v>
                </c:pt>
                <c:pt idx="96">
                  <c:v>3.94</c:v>
                </c:pt>
                <c:pt idx="97">
                  <c:v>4.3</c:v>
                </c:pt>
                <c:pt idx="98">
                  <c:v>4.3250000000000002</c:v>
                </c:pt>
                <c:pt idx="99">
                  <c:v>4.343</c:v>
                </c:pt>
                <c:pt idx="100">
                  <c:v>3.77</c:v>
                </c:pt>
                <c:pt idx="101">
                  <c:v>3.77</c:v>
                </c:pt>
                <c:pt idx="102">
                  <c:v>3.77</c:v>
                </c:pt>
                <c:pt idx="103">
                  <c:v>4.1070000000000002</c:v>
                </c:pt>
                <c:pt idx="104">
                  <c:v>4.1070000000000002</c:v>
                </c:pt>
                <c:pt idx="105">
                  <c:v>4.3220000000000001</c:v>
                </c:pt>
              </c:numCache>
            </c:numRef>
          </c:val>
          <c:extLst>
            <c:ext xmlns:c16="http://schemas.microsoft.com/office/drawing/2014/chart" uri="{C3380CC4-5D6E-409C-BE32-E72D297353CC}">
              <c16:uniqueId val="{00000000-E850-417B-95DA-4ED900504230}"/>
            </c:ext>
          </c:extLst>
        </c:ser>
        <c:ser>
          <c:idx val="1"/>
          <c:order val="1"/>
          <c:tx>
            <c:strRef>
              <c:f>'Chart Data'!$S$3</c:f>
              <c:strCache>
                <c:ptCount val="1"/>
                <c:pt idx="0">
                  <c:v>Range of single-month estimates</c:v>
                </c:pt>
              </c:strCache>
            </c:strRef>
          </c:tx>
          <c:spPr>
            <a:solidFill>
              <a:srgbClr val="7B7C77">
                <a:alpha val="70000"/>
              </a:srgbClr>
            </a:solidFill>
            <a:ln w="38100">
              <a:noFill/>
            </a:ln>
          </c:spPr>
          <c:cat>
            <c:numRef>
              <c:f>'Chart Data'!$Q$4:$Q$111</c:f>
              <c:numCache>
                <c:formatCode>mmm\-yy</c:formatCode>
                <c:ptCount val="10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numCache>
            </c:numRef>
          </c:cat>
          <c:val>
            <c:numRef>
              <c:f>'Chart Data'!$S$4:$S$111</c:f>
              <c:numCache>
                <c:formatCode>0.000</c:formatCode>
                <c:ptCount val="108"/>
                <c:pt idx="0">
                  <c:v>0.32699999999999996</c:v>
                </c:pt>
                <c:pt idx="1">
                  <c:v>0.24000000000000021</c:v>
                </c:pt>
                <c:pt idx="2">
                  <c:v>0.43800000000000061</c:v>
                </c:pt>
                <c:pt idx="3">
                  <c:v>0.43800000000000061</c:v>
                </c:pt>
                <c:pt idx="4">
                  <c:v>0.41699999999999982</c:v>
                </c:pt>
                <c:pt idx="5">
                  <c:v>0.48799999999999955</c:v>
                </c:pt>
                <c:pt idx="6">
                  <c:v>0.48799999999999955</c:v>
                </c:pt>
                <c:pt idx="7">
                  <c:v>0.44899999999999984</c:v>
                </c:pt>
                <c:pt idx="8">
                  <c:v>0.44700000000000006</c:v>
                </c:pt>
                <c:pt idx="9">
                  <c:v>0.29300000000000015</c:v>
                </c:pt>
                <c:pt idx="10">
                  <c:v>0.35799999999999965</c:v>
                </c:pt>
                <c:pt idx="11">
                  <c:v>0.35899999999999999</c:v>
                </c:pt>
                <c:pt idx="12">
                  <c:v>0.11599999999999966</c:v>
                </c:pt>
                <c:pt idx="13">
                  <c:v>0.33799999999999919</c:v>
                </c:pt>
                <c:pt idx="14">
                  <c:v>0.33799999999999919</c:v>
                </c:pt>
                <c:pt idx="15">
                  <c:v>0.18899999999999917</c:v>
                </c:pt>
                <c:pt idx="16">
                  <c:v>0.24899999999999967</c:v>
                </c:pt>
                <c:pt idx="17">
                  <c:v>8.0000000000000071E-2</c:v>
                </c:pt>
                <c:pt idx="18">
                  <c:v>2.0000000000000462E-2</c:v>
                </c:pt>
                <c:pt idx="19">
                  <c:v>0.1980000000000004</c:v>
                </c:pt>
                <c:pt idx="20">
                  <c:v>0.1980000000000004</c:v>
                </c:pt>
                <c:pt idx="21">
                  <c:v>0.24699999999999989</c:v>
                </c:pt>
                <c:pt idx="22">
                  <c:v>0.10599999999999987</c:v>
                </c:pt>
                <c:pt idx="23">
                  <c:v>0.22100000000000009</c:v>
                </c:pt>
                <c:pt idx="24">
                  <c:v>0.3360000000000003</c:v>
                </c:pt>
                <c:pt idx="25">
                  <c:v>0.32600000000000051</c:v>
                </c:pt>
                <c:pt idx="26">
                  <c:v>0.32600000000000051</c:v>
                </c:pt>
                <c:pt idx="27">
                  <c:v>0.44600000000000017</c:v>
                </c:pt>
                <c:pt idx="28">
                  <c:v>0.22099999999999964</c:v>
                </c:pt>
                <c:pt idx="29">
                  <c:v>0.19499999999999984</c:v>
                </c:pt>
                <c:pt idx="30">
                  <c:v>0.20699999999999985</c:v>
                </c:pt>
                <c:pt idx="31">
                  <c:v>0.25899999999999945</c:v>
                </c:pt>
                <c:pt idx="32">
                  <c:v>0.25899999999999945</c:v>
                </c:pt>
                <c:pt idx="33">
                  <c:v>0.35599999999999943</c:v>
                </c:pt>
                <c:pt idx="34">
                  <c:v>0.31399999999999961</c:v>
                </c:pt>
                <c:pt idx="35">
                  <c:v>0.31399999999999961</c:v>
                </c:pt>
                <c:pt idx="36">
                  <c:v>0.32099999999999973</c:v>
                </c:pt>
                <c:pt idx="37">
                  <c:v>4.9999999999999822E-2</c:v>
                </c:pt>
                <c:pt idx="38">
                  <c:v>7.4999999999999734E-2</c:v>
                </c:pt>
                <c:pt idx="39">
                  <c:v>0.20099999999999962</c:v>
                </c:pt>
                <c:pt idx="40">
                  <c:v>0.39500000000000002</c:v>
                </c:pt>
                <c:pt idx="41">
                  <c:v>0.39500000000000002</c:v>
                </c:pt>
                <c:pt idx="42">
                  <c:v>0.30800000000000027</c:v>
                </c:pt>
                <c:pt idx="43">
                  <c:v>0.30099999999999971</c:v>
                </c:pt>
                <c:pt idx="44">
                  <c:v>0.52699999999999969</c:v>
                </c:pt>
                <c:pt idx="45">
                  <c:v>0.52699999999999969</c:v>
                </c:pt>
                <c:pt idx="46">
                  <c:v>0.32000000000000028</c:v>
                </c:pt>
                <c:pt idx="47">
                  <c:v>0.19100000000000028</c:v>
                </c:pt>
                <c:pt idx="48">
                  <c:v>0.25099999999999989</c:v>
                </c:pt>
                <c:pt idx="49">
                  <c:v>0.25800000000000001</c:v>
                </c:pt>
                <c:pt idx="50">
                  <c:v>0.28600000000000003</c:v>
                </c:pt>
                <c:pt idx="51">
                  <c:v>0.28600000000000003</c:v>
                </c:pt>
                <c:pt idx="52">
                  <c:v>0.19199999999999973</c:v>
                </c:pt>
                <c:pt idx="53">
                  <c:v>0.69399999999999995</c:v>
                </c:pt>
                <c:pt idx="54">
                  <c:v>0.8490000000000002</c:v>
                </c:pt>
                <c:pt idx="55">
                  <c:v>0.32599999999999962</c:v>
                </c:pt>
                <c:pt idx="56">
                  <c:v>0.41299999999999937</c:v>
                </c:pt>
                <c:pt idx="57">
                  <c:v>0.24199999999999999</c:v>
                </c:pt>
                <c:pt idx="58">
                  <c:v>0.20399999999999974</c:v>
                </c:pt>
                <c:pt idx="59">
                  <c:v>0.20900000000000052</c:v>
                </c:pt>
                <c:pt idx="60">
                  <c:v>0.42499999999999982</c:v>
                </c:pt>
                <c:pt idx="61">
                  <c:v>0.2159999999999993</c:v>
                </c:pt>
                <c:pt idx="62">
                  <c:v>6.2000000000000277E-2</c:v>
                </c:pt>
                <c:pt idx="63">
                  <c:v>8.4999999999999964E-2</c:v>
                </c:pt>
                <c:pt idx="64">
                  <c:v>0.31599999999999984</c:v>
                </c:pt>
                <c:pt idx="65">
                  <c:v>0.29300000000000015</c:v>
                </c:pt>
                <c:pt idx="66">
                  <c:v>0.13499999999999979</c:v>
                </c:pt>
                <c:pt idx="67">
                  <c:v>0.53200000000000003</c:v>
                </c:pt>
                <c:pt idx="68">
                  <c:v>0.53200000000000003</c:v>
                </c:pt>
                <c:pt idx="69">
                  <c:v>0.30200000000000049</c:v>
                </c:pt>
                <c:pt idx="70">
                  <c:v>0.44000000000000039</c:v>
                </c:pt>
                <c:pt idx="71">
                  <c:v>0.44000000000000039</c:v>
                </c:pt>
                <c:pt idx="72">
                  <c:v>9.0000000000000302E-2</c:v>
                </c:pt>
                <c:pt idx="73">
                  <c:v>0.4910000000000001</c:v>
                </c:pt>
                <c:pt idx="74">
                  <c:v>0.59699999999999998</c:v>
                </c:pt>
                <c:pt idx="75">
                  <c:v>0.59699999999999998</c:v>
                </c:pt>
                <c:pt idx="76">
                  <c:v>0.52</c:v>
                </c:pt>
                <c:pt idx="77">
                  <c:v>0.10699999999999976</c:v>
                </c:pt>
                <c:pt idx="78">
                  <c:v>0.10699999999999976</c:v>
                </c:pt>
                <c:pt idx="79">
                  <c:v>0.34899999999999975</c:v>
                </c:pt>
                <c:pt idx="80">
                  <c:v>0.4870000000000001</c:v>
                </c:pt>
                <c:pt idx="81">
                  <c:v>0.35600000000000032</c:v>
                </c:pt>
                <c:pt idx="82">
                  <c:v>0.35600000000000032</c:v>
                </c:pt>
                <c:pt idx="83">
                  <c:v>0.2629999999999999</c:v>
                </c:pt>
                <c:pt idx="84">
                  <c:v>3.6000000000000032E-2</c:v>
                </c:pt>
                <c:pt idx="85">
                  <c:v>3.6000000000000032E-2</c:v>
                </c:pt>
                <c:pt idx="86">
                  <c:v>0.31100000000000039</c:v>
                </c:pt>
                <c:pt idx="87">
                  <c:v>0.63300000000000045</c:v>
                </c:pt>
                <c:pt idx="88">
                  <c:v>0.95400000000000018</c:v>
                </c:pt>
                <c:pt idx="89">
                  <c:v>0.58199999999999985</c:v>
                </c:pt>
                <c:pt idx="90">
                  <c:v>0.58199999999999985</c:v>
                </c:pt>
                <c:pt idx="91">
                  <c:v>0.14299999999999979</c:v>
                </c:pt>
                <c:pt idx="92">
                  <c:v>0.43699999999999983</c:v>
                </c:pt>
                <c:pt idx="93">
                  <c:v>0.43699999999999983</c:v>
                </c:pt>
                <c:pt idx="94">
                  <c:v>0.17999999999999972</c:v>
                </c:pt>
                <c:pt idx="95">
                  <c:v>0.35999999999999988</c:v>
                </c:pt>
                <c:pt idx="96">
                  <c:v>0.38500000000000023</c:v>
                </c:pt>
                <c:pt idx="97">
                  <c:v>0.12699999999999978</c:v>
                </c:pt>
                <c:pt idx="98">
                  <c:v>0.10199999999999942</c:v>
                </c:pt>
                <c:pt idx="99">
                  <c:v>0.15500000000000025</c:v>
                </c:pt>
                <c:pt idx="100">
                  <c:v>0.7280000000000002</c:v>
                </c:pt>
                <c:pt idx="101">
                  <c:v>0.7280000000000002</c:v>
                </c:pt>
                <c:pt idx="102">
                  <c:v>0.57999999999999963</c:v>
                </c:pt>
                <c:pt idx="103">
                  <c:v>0.28500000000000014</c:v>
                </c:pt>
                <c:pt idx="104">
                  <c:v>0.28500000000000014</c:v>
                </c:pt>
                <c:pt idx="105">
                  <c:v>7.0000000000000284E-2</c:v>
                </c:pt>
              </c:numCache>
            </c:numRef>
          </c:val>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axId val="263607040"/>
        <c:axId val="263608576"/>
      </c:areaChart>
      <c:lineChart>
        <c:grouping val="standard"/>
        <c:varyColors val="0"/>
        <c:ser>
          <c:idx val="2"/>
          <c:order val="2"/>
          <c:tx>
            <c:strRef>
              <c:f>'Chart Data'!$T$3</c:f>
              <c:strCache>
                <c:ptCount val="1"/>
                <c:pt idx="0">
                  <c:v>Three-month rate</c:v>
                </c:pt>
              </c:strCache>
            </c:strRef>
          </c:tx>
          <c:spPr>
            <a:ln w="38100">
              <a:solidFill>
                <a:srgbClr val="BD1B21"/>
              </a:solidFill>
            </a:ln>
          </c:spPr>
          <c:marker>
            <c:symbol val="none"/>
          </c:marker>
          <c:cat>
            <c:numRef>
              <c:f>'Chart Data'!$Q$4:$Q$111</c:f>
              <c:numCache>
                <c:formatCode>mmm\-yy</c:formatCode>
                <c:ptCount val="10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numCache>
            </c:numRef>
          </c:cat>
          <c:val>
            <c:numRef>
              <c:f>'Chart Data'!$T$4:$T$111</c:f>
              <c:numCache>
                <c:formatCode>0.000</c:formatCode>
                <c:ptCount val="108"/>
                <c:pt idx="0">
                  <c:v>5.0999999999999996</c:v>
                </c:pt>
                <c:pt idx="1">
                  <c:v>5.0999999999999996</c:v>
                </c:pt>
                <c:pt idx="2">
                  <c:v>5</c:v>
                </c:pt>
                <c:pt idx="3">
                  <c:v>4.9000000000000004</c:v>
                </c:pt>
                <c:pt idx="4">
                  <c:v>4.9000000000000004</c:v>
                </c:pt>
                <c:pt idx="5">
                  <c:v>4.9000000000000004</c:v>
                </c:pt>
                <c:pt idx="6">
                  <c:v>5</c:v>
                </c:pt>
                <c:pt idx="7">
                  <c:v>4.8</c:v>
                </c:pt>
                <c:pt idx="8">
                  <c:v>4.8</c:v>
                </c:pt>
                <c:pt idx="9">
                  <c:v>4.8</c:v>
                </c:pt>
                <c:pt idx="10">
                  <c:v>4.7</c:v>
                </c:pt>
                <c:pt idx="11">
                  <c:v>4.7</c:v>
                </c:pt>
                <c:pt idx="12">
                  <c:v>4.5999999999999996</c:v>
                </c:pt>
                <c:pt idx="13">
                  <c:v>4.5999999999999996</c:v>
                </c:pt>
                <c:pt idx="14">
                  <c:v>4.5</c:v>
                </c:pt>
                <c:pt idx="15">
                  <c:v>4.4000000000000004</c:v>
                </c:pt>
                <c:pt idx="16">
                  <c:v>4.4000000000000004</c:v>
                </c:pt>
                <c:pt idx="17">
                  <c:v>4.3</c:v>
                </c:pt>
                <c:pt idx="18">
                  <c:v>4.3</c:v>
                </c:pt>
                <c:pt idx="19">
                  <c:v>4.3</c:v>
                </c:pt>
                <c:pt idx="20">
                  <c:v>4.2</c:v>
                </c:pt>
                <c:pt idx="21">
                  <c:v>4.3</c:v>
                </c:pt>
                <c:pt idx="22">
                  <c:v>4.4000000000000004</c:v>
                </c:pt>
                <c:pt idx="23">
                  <c:v>4.3</c:v>
                </c:pt>
                <c:pt idx="24">
                  <c:v>4.2</c:v>
                </c:pt>
                <c:pt idx="25">
                  <c:v>4.2</c:v>
                </c:pt>
                <c:pt idx="26">
                  <c:v>4.2</c:v>
                </c:pt>
                <c:pt idx="27">
                  <c:v>4.2</c:v>
                </c:pt>
                <c:pt idx="28">
                  <c:v>4</c:v>
                </c:pt>
                <c:pt idx="29">
                  <c:v>4</c:v>
                </c:pt>
                <c:pt idx="30">
                  <c:v>4</c:v>
                </c:pt>
                <c:pt idx="31">
                  <c:v>4.0999999999999996</c:v>
                </c:pt>
                <c:pt idx="32">
                  <c:v>4.0999999999999996</c:v>
                </c:pt>
                <c:pt idx="33">
                  <c:v>4</c:v>
                </c:pt>
                <c:pt idx="34">
                  <c:v>4</c:v>
                </c:pt>
                <c:pt idx="35">
                  <c:v>3.9</c:v>
                </c:pt>
                <c:pt idx="36">
                  <c:v>4</c:v>
                </c:pt>
                <c:pt idx="37">
                  <c:v>3.8</c:v>
                </c:pt>
                <c:pt idx="38">
                  <c:v>3.8</c:v>
                </c:pt>
                <c:pt idx="39">
                  <c:v>3.8</c:v>
                </c:pt>
                <c:pt idx="40">
                  <c:v>3.9</c:v>
                </c:pt>
                <c:pt idx="41">
                  <c:v>3.9</c:v>
                </c:pt>
                <c:pt idx="42">
                  <c:v>3.9</c:v>
                </c:pt>
                <c:pt idx="43">
                  <c:v>3.9</c:v>
                </c:pt>
                <c:pt idx="44">
                  <c:v>3.8</c:v>
                </c:pt>
                <c:pt idx="45">
                  <c:v>3.8</c:v>
                </c:pt>
                <c:pt idx="46">
                  <c:v>3.7</c:v>
                </c:pt>
                <c:pt idx="47">
                  <c:v>3.9</c:v>
                </c:pt>
                <c:pt idx="48">
                  <c:v>3.9</c:v>
                </c:pt>
                <c:pt idx="49">
                  <c:v>4.0999999999999996</c:v>
                </c:pt>
                <c:pt idx="50">
                  <c:v>4.0999999999999996</c:v>
                </c:pt>
                <c:pt idx="51">
                  <c:v>4.0999999999999996</c:v>
                </c:pt>
                <c:pt idx="52">
                  <c:v>4.0999999999999996</c:v>
                </c:pt>
                <c:pt idx="53">
                  <c:v>4.4000000000000004</c:v>
                </c:pt>
                <c:pt idx="54">
                  <c:v>4.5999999999999996</c:v>
                </c:pt>
                <c:pt idx="55">
                  <c:v>5</c:v>
                </c:pt>
                <c:pt idx="56">
                  <c:v>5.2</c:v>
                </c:pt>
                <c:pt idx="57">
                  <c:v>5.2</c:v>
                </c:pt>
                <c:pt idx="58">
                  <c:v>5.3</c:v>
                </c:pt>
                <c:pt idx="59">
                  <c:v>5.2</c:v>
                </c:pt>
                <c:pt idx="60">
                  <c:v>5</c:v>
                </c:pt>
                <c:pt idx="61">
                  <c:v>4.9000000000000004</c:v>
                </c:pt>
                <c:pt idx="62">
                  <c:v>4.8</c:v>
                </c:pt>
                <c:pt idx="63">
                  <c:v>4.8</c:v>
                </c:pt>
                <c:pt idx="64">
                  <c:v>4.7</c:v>
                </c:pt>
                <c:pt idx="65">
                  <c:v>4.5999999999999996</c:v>
                </c:pt>
                <c:pt idx="66">
                  <c:v>4.5</c:v>
                </c:pt>
                <c:pt idx="67">
                  <c:v>4.4000000000000004</c:v>
                </c:pt>
                <c:pt idx="68">
                  <c:v>4.3</c:v>
                </c:pt>
                <c:pt idx="69">
                  <c:v>4.2</c:v>
                </c:pt>
                <c:pt idx="70">
                  <c:v>4.2</c:v>
                </c:pt>
                <c:pt idx="71">
                  <c:v>4.0999999999999996</c:v>
                </c:pt>
                <c:pt idx="72">
                  <c:v>3.9</c:v>
                </c:pt>
                <c:pt idx="73">
                  <c:v>3.8</c:v>
                </c:pt>
                <c:pt idx="74">
                  <c:v>3.8</c:v>
                </c:pt>
                <c:pt idx="75">
                  <c:v>3.7</c:v>
                </c:pt>
                <c:pt idx="76">
                  <c:v>3.8</c:v>
                </c:pt>
                <c:pt idx="77">
                  <c:v>3.6</c:v>
                </c:pt>
                <c:pt idx="78">
                  <c:v>3.6</c:v>
                </c:pt>
                <c:pt idx="79">
                  <c:v>3.7</c:v>
                </c:pt>
                <c:pt idx="80">
                  <c:v>3.8</c:v>
                </c:pt>
                <c:pt idx="81">
                  <c:v>3.9</c:v>
                </c:pt>
                <c:pt idx="82">
                  <c:v>3.9</c:v>
                </c:pt>
                <c:pt idx="83">
                  <c:v>3.9</c:v>
                </c:pt>
                <c:pt idx="84">
                  <c:v>4</c:v>
                </c:pt>
                <c:pt idx="85">
                  <c:v>4</c:v>
                </c:pt>
                <c:pt idx="86">
                  <c:v>3.9</c:v>
                </c:pt>
                <c:pt idx="87">
                  <c:v>4</c:v>
                </c:pt>
                <c:pt idx="88">
                  <c:v>4.2</c:v>
                </c:pt>
                <c:pt idx="89">
                  <c:v>4.3</c:v>
                </c:pt>
                <c:pt idx="90">
                  <c:v>4.3</c:v>
                </c:pt>
                <c:pt idx="91">
                  <c:v>4.0999999999999996</c:v>
                </c:pt>
                <c:pt idx="92">
                  <c:v>4</c:v>
                </c:pt>
                <c:pt idx="93">
                  <c:v>4</c:v>
                </c:pt>
                <c:pt idx="94">
                  <c:v>3.9</c:v>
                </c:pt>
                <c:pt idx="95">
                  <c:v>4.0999999999999996</c:v>
                </c:pt>
                <c:pt idx="96">
                  <c:v>4.2</c:v>
                </c:pt>
                <c:pt idx="97">
                  <c:v>4.3</c:v>
                </c:pt>
                <c:pt idx="98">
                  <c:v>4.4000000000000004</c:v>
                </c:pt>
                <c:pt idx="99">
                  <c:v>4.4000000000000004</c:v>
                </c:pt>
                <c:pt idx="100">
                  <c:v>4.2</c:v>
                </c:pt>
                <c:pt idx="101">
                  <c:v>4.2</c:v>
                </c:pt>
                <c:pt idx="102">
                  <c:v>4.0999999999999996</c:v>
                </c:pt>
                <c:pt idx="103">
                  <c:v>4.3</c:v>
                </c:pt>
                <c:pt idx="104">
                  <c:v>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5"/>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5"/>
      </c:valAx>
      <c:spPr>
        <a:noFill/>
        <a:ln w="25400">
          <a:noFill/>
        </a:ln>
      </c:spPr>
    </c:plotArea>
    <c:legend>
      <c:legendPos val="t"/>
      <c:legendEntry>
        <c:idx val="0"/>
        <c:delete val="1"/>
      </c:legendEntry>
      <c:layout>
        <c:manualLayout>
          <c:xMode val="edge"/>
          <c:yMode val="edge"/>
          <c:x val="0.26807313492593088"/>
          <c:y val="7.6446506509632473E-2"/>
          <c:w val="0.47521070035737056"/>
          <c:h val="0.1093692608537247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stacked"/>
        <c:varyColors val="0"/>
        <c:ser>
          <c:idx val="0"/>
          <c:order val="0"/>
          <c:tx>
            <c:strRef>
              <c:f>'Chart Data'!$Y$3</c:f>
              <c:strCache>
                <c:ptCount val="1"/>
                <c:pt idx="0">
                  <c:v>Public sector</c:v>
                </c:pt>
              </c:strCache>
            </c:strRef>
          </c:tx>
          <c:spPr>
            <a:solidFill>
              <a:srgbClr val="BD1B21"/>
            </a:solidFill>
            <a:ln w="6350">
              <a:solidFill>
                <a:srgbClr val="495057">
                  <a:lumMod val="100000"/>
                </a:srgbClr>
              </a:solidFill>
              <a:prstDash val="solid"/>
            </a:ln>
          </c:spPr>
          <c:invertIfNegative val="0"/>
          <c:cat>
            <c:numRef>
              <c:f>'Chart Data'!$X$4:$X$27</c:f>
              <c:numCache>
                <c:formatCode>m/d/yyyy</c:formatCode>
                <c:ptCount val="24"/>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numCache>
            </c:numRef>
          </c:cat>
          <c:val>
            <c:numRef>
              <c:f>'Chart Data'!$Y$4:$Y$27</c:f>
              <c:numCache>
                <c:formatCode>0</c:formatCode>
                <c:ptCount val="24"/>
                <c:pt idx="0">
                  <c:v>-30.75</c:v>
                </c:pt>
                <c:pt idx="1">
                  <c:v>-10.75</c:v>
                </c:pt>
                <c:pt idx="2">
                  <c:v>13.25</c:v>
                </c:pt>
                <c:pt idx="3">
                  <c:v>28.25</c:v>
                </c:pt>
                <c:pt idx="4">
                  <c:v>53.25</c:v>
                </c:pt>
                <c:pt idx="5">
                  <c:v>97.25</c:v>
                </c:pt>
                <c:pt idx="6">
                  <c:v>104.25</c:v>
                </c:pt>
                <c:pt idx="7">
                  <c:v>134.25</c:v>
                </c:pt>
                <c:pt idx="8">
                  <c:v>214.25</c:v>
                </c:pt>
                <c:pt idx="9">
                  <c:v>225.25</c:v>
                </c:pt>
                <c:pt idx="10">
                  <c:v>242.25</c:v>
                </c:pt>
                <c:pt idx="11">
                  <c:v>261.25</c:v>
                </c:pt>
                <c:pt idx="12">
                  <c:v>280.25</c:v>
                </c:pt>
                <c:pt idx="13">
                  <c:v>293.25</c:v>
                </c:pt>
                <c:pt idx="14">
                  <c:v>309.25</c:v>
                </c:pt>
                <c:pt idx="15">
                  <c:v>337.25</c:v>
                </c:pt>
                <c:pt idx="16">
                  <c:v>373.25</c:v>
                </c:pt>
                <c:pt idx="17">
                  <c:v>412.25</c:v>
                </c:pt>
                <c:pt idx="18">
                  <c:v>461.25</c:v>
                </c:pt>
                <c:pt idx="19">
                  <c:v>493.25</c:v>
                </c:pt>
                <c:pt idx="20">
                  <c:v>519.25</c:v>
                </c:pt>
                <c:pt idx="21">
                  <c:v>544.25</c:v>
                </c:pt>
                <c:pt idx="22">
                  <c:v>559.25</c:v>
                </c:pt>
              </c:numCache>
            </c:numRef>
          </c:val>
          <c:extLst>
            <c:ext xmlns:c16="http://schemas.microsoft.com/office/drawing/2014/chart" uri="{C3380CC4-5D6E-409C-BE32-E72D297353CC}">
              <c16:uniqueId val="{00000000-146E-4599-A5E6-C1D44CA8266C}"/>
            </c:ext>
          </c:extLst>
        </c:ser>
        <c:ser>
          <c:idx val="1"/>
          <c:order val="1"/>
          <c:tx>
            <c:strRef>
              <c:f>'Chart Data'!$Z$3</c:f>
              <c:strCache>
                <c:ptCount val="1"/>
                <c:pt idx="0">
                  <c:v>Private sector</c:v>
                </c:pt>
              </c:strCache>
            </c:strRef>
          </c:tx>
          <c:spPr>
            <a:solidFill>
              <a:srgbClr val="003469"/>
            </a:solidFill>
            <a:ln w="6350">
              <a:solidFill>
                <a:srgbClr val="495057">
                  <a:lumMod val="100000"/>
                </a:srgbClr>
              </a:solidFill>
              <a:prstDash val="solid"/>
            </a:ln>
          </c:spPr>
          <c:invertIfNegative val="0"/>
          <c:cat>
            <c:numRef>
              <c:f>'Chart Data'!$X$4:$X$27</c:f>
              <c:numCache>
                <c:formatCode>m/d/yyyy</c:formatCode>
                <c:ptCount val="24"/>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numCache>
            </c:numRef>
          </c:cat>
          <c:val>
            <c:numRef>
              <c:f>'Chart Data'!$Z$4:$Z$27</c:f>
              <c:numCache>
                <c:formatCode>0</c:formatCode>
                <c:ptCount val="24"/>
                <c:pt idx="0">
                  <c:v>-64.75</c:v>
                </c:pt>
                <c:pt idx="1">
                  <c:v>-22.75</c:v>
                </c:pt>
                <c:pt idx="2">
                  <c:v>-47.75</c:v>
                </c:pt>
                <c:pt idx="3">
                  <c:v>135.25</c:v>
                </c:pt>
                <c:pt idx="4">
                  <c:v>-172.75</c:v>
                </c:pt>
                <c:pt idx="5">
                  <c:v>-458.75</c:v>
                </c:pt>
                <c:pt idx="6">
                  <c:v>-723.75</c:v>
                </c:pt>
                <c:pt idx="7">
                  <c:v>-801.75</c:v>
                </c:pt>
                <c:pt idx="8">
                  <c:v>-840.75</c:v>
                </c:pt>
                <c:pt idx="9">
                  <c:v>-639.75</c:v>
                </c:pt>
                <c:pt idx="10">
                  <c:v>-491.75</c:v>
                </c:pt>
                <c:pt idx="11">
                  <c:v>-460.75</c:v>
                </c:pt>
                <c:pt idx="12">
                  <c:v>-343.75</c:v>
                </c:pt>
                <c:pt idx="13">
                  <c:v>-314.75</c:v>
                </c:pt>
                <c:pt idx="14">
                  <c:v>-280.75</c:v>
                </c:pt>
                <c:pt idx="15">
                  <c:v>-112.75</c:v>
                </c:pt>
                <c:pt idx="16">
                  <c:v>163.25</c:v>
                </c:pt>
                <c:pt idx="17">
                  <c:v>-68.75</c:v>
                </c:pt>
                <c:pt idx="18">
                  <c:v>-39.75</c:v>
                </c:pt>
                <c:pt idx="19">
                  <c:v>-109.75</c:v>
                </c:pt>
                <c:pt idx="20">
                  <c:v>-110.75</c:v>
                </c:pt>
                <c:pt idx="21">
                  <c:v>113.25</c:v>
                </c:pt>
                <c:pt idx="22">
                  <c:v>271.25</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4"/>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35558862500548633"/>
          <c:y val="0.13822761494264404"/>
          <c:w val="0.25271830483020902"/>
          <c:h val="0.1121160424516996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275951445243039E-2"/>
          <c:y val="0.14714391023940784"/>
          <c:w val="0.91300843290743738"/>
          <c:h val="0.72098065726343374"/>
        </c:manualLayout>
      </c:layout>
      <c:barChart>
        <c:barDir val="col"/>
        <c:grouping val="stacked"/>
        <c:varyColors val="0"/>
        <c:ser>
          <c:idx val="0"/>
          <c:order val="0"/>
          <c:tx>
            <c:strRef>
              <c:f>'Chart Data'!$AC$3</c:f>
              <c:strCache>
                <c:ptCount val="1"/>
                <c:pt idx="0">
                  <c:v>NHS</c:v>
                </c:pt>
              </c:strCache>
            </c:strRef>
          </c:tx>
          <c:spPr>
            <a:solidFill>
              <a:srgbClr val="BD1B21"/>
            </a:solidFill>
            <a:ln w="12700">
              <a:noFill/>
              <a:prstDash val="solid"/>
            </a:ln>
          </c:spPr>
          <c:invertIfNegative val="0"/>
          <c:cat>
            <c:numRef>
              <c:f>'Chart Data'!$AB$4:$AB$103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Data'!$AC$4:$AC$103</c:f>
              <c:numCache>
                <c:formatCode>0</c:formatCode>
                <c:ptCount val="100"/>
                <c:pt idx="0">
                  <c:v>1197</c:v>
                </c:pt>
                <c:pt idx="1">
                  <c:v>1204</c:v>
                </c:pt>
                <c:pt idx="2">
                  <c:v>1213</c:v>
                </c:pt>
                <c:pt idx="3">
                  <c:v>1223</c:v>
                </c:pt>
                <c:pt idx="4">
                  <c:v>1235</c:v>
                </c:pt>
                <c:pt idx="5">
                  <c:v>1249</c:v>
                </c:pt>
                <c:pt idx="6">
                  <c:v>1263</c:v>
                </c:pt>
                <c:pt idx="7">
                  <c:v>1278</c:v>
                </c:pt>
                <c:pt idx="8">
                  <c:v>1292</c:v>
                </c:pt>
                <c:pt idx="9">
                  <c:v>1309</c:v>
                </c:pt>
                <c:pt idx="10">
                  <c:v>1325</c:v>
                </c:pt>
                <c:pt idx="11">
                  <c:v>1341</c:v>
                </c:pt>
                <c:pt idx="12">
                  <c:v>1359</c:v>
                </c:pt>
                <c:pt idx="13">
                  <c:v>1374</c:v>
                </c:pt>
                <c:pt idx="14">
                  <c:v>1391</c:v>
                </c:pt>
                <c:pt idx="15">
                  <c:v>1408</c:v>
                </c:pt>
                <c:pt idx="16">
                  <c:v>1426</c:v>
                </c:pt>
                <c:pt idx="17">
                  <c:v>1430</c:v>
                </c:pt>
                <c:pt idx="18">
                  <c:v>1443</c:v>
                </c:pt>
                <c:pt idx="19">
                  <c:v>1456</c:v>
                </c:pt>
                <c:pt idx="20">
                  <c:v>1466</c:v>
                </c:pt>
                <c:pt idx="21">
                  <c:v>1480</c:v>
                </c:pt>
                <c:pt idx="22">
                  <c:v>1485</c:v>
                </c:pt>
                <c:pt idx="23">
                  <c:v>1488</c:v>
                </c:pt>
                <c:pt idx="24">
                  <c:v>1484</c:v>
                </c:pt>
                <c:pt idx="25">
                  <c:v>1477</c:v>
                </c:pt>
                <c:pt idx="26">
                  <c:v>1460</c:v>
                </c:pt>
                <c:pt idx="27">
                  <c:v>1447</c:v>
                </c:pt>
                <c:pt idx="28">
                  <c:v>1448</c:v>
                </c:pt>
                <c:pt idx="29">
                  <c:v>1443</c:v>
                </c:pt>
                <c:pt idx="30">
                  <c:v>1444</c:v>
                </c:pt>
                <c:pt idx="31">
                  <c:v>1447</c:v>
                </c:pt>
                <c:pt idx="32">
                  <c:v>1451</c:v>
                </c:pt>
                <c:pt idx="33">
                  <c:v>1463</c:v>
                </c:pt>
                <c:pt idx="34">
                  <c:v>1483</c:v>
                </c:pt>
                <c:pt idx="35">
                  <c:v>1503</c:v>
                </c:pt>
                <c:pt idx="36">
                  <c:v>1503</c:v>
                </c:pt>
                <c:pt idx="37">
                  <c:v>1530</c:v>
                </c:pt>
                <c:pt idx="38">
                  <c:v>1546</c:v>
                </c:pt>
                <c:pt idx="39">
                  <c:v>1552</c:v>
                </c:pt>
                <c:pt idx="40">
                  <c:v>1557</c:v>
                </c:pt>
                <c:pt idx="41">
                  <c:v>1559</c:v>
                </c:pt>
                <c:pt idx="42">
                  <c:v>1551</c:v>
                </c:pt>
                <c:pt idx="43">
                  <c:v>1545</c:v>
                </c:pt>
                <c:pt idx="44">
                  <c:v>1539</c:v>
                </c:pt>
                <c:pt idx="45">
                  <c:v>1531</c:v>
                </c:pt>
                <c:pt idx="46">
                  <c:v>1523</c:v>
                </c:pt>
                <c:pt idx="47">
                  <c:v>1515</c:v>
                </c:pt>
                <c:pt idx="48">
                  <c:v>1507</c:v>
                </c:pt>
                <c:pt idx="49">
                  <c:v>1504</c:v>
                </c:pt>
                <c:pt idx="50">
                  <c:v>1502</c:v>
                </c:pt>
                <c:pt idx="51">
                  <c:v>1505</c:v>
                </c:pt>
                <c:pt idx="52">
                  <c:v>1508</c:v>
                </c:pt>
                <c:pt idx="53">
                  <c:v>1505</c:v>
                </c:pt>
                <c:pt idx="54">
                  <c:v>1512</c:v>
                </c:pt>
                <c:pt idx="55">
                  <c:v>1516</c:v>
                </c:pt>
                <c:pt idx="56">
                  <c:v>1523</c:v>
                </c:pt>
                <c:pt idx="57">
                  <c:v>1528</c:v>
                </c:pt>
                <c:pt idx="58">
                  <c:v>1534</c:v>
                </c:pt>
                <c:pt idx="59">
                  <c:v>1538</c:v>
                </c:pt>
                <c:pt idx="60">
                  <c:v>1545</c:v>
                </c:pt>
                <c:pt idx="61">
                  <c:v>1551</c:v>
                </c:pt>
                <c:pt idx="62">
                  <c:v>1559</c:v>
                </c:pt>
                <c:pt idx="63">
                  <c:v>1571</c:v>
                </c:pt>
                <c:pt idx="64">
                  <c:v>1579</c:v>
                </c:pt>
                <c:pt idx="65">
                  <c:v>1589</c:v>
                </c:pt>
                <c:pt idx="66">
                  <c:v>1596</c:v>
                </c:pt>
                <c:pt idx="67">
                  <c:v>1601</c:v>
                </c:pt>
                <c:pt idx="68">
                  <c:v>1613</c:v>
                </c:pt>
                <c:pt idx="69">
                  <c:v>1623</c:v>
                </c:pt>
                <c:pt idx="70">
                  <c:v>1629</c:v>
                </c:pt>
                <c:pt idx="71">
                  <c:v>1639</c:v>
                </c:pt>
                <c:pt idx="72">
                  <c:v>1642</c:v>
                </c:pt>
                <c:pt idx="73">
                  <c:v>1650</c:v>
                </c:pt>
                <c:pt idx="74">
                  <c:v>1663</c:v>
                </c:pt>
                <c:pt idx="75">
                  <c:v>1671</c:v>
                </c:pt>
                <c:pt idx="76">
                  <c:v>1682</c:v>
                </c:pt>
                <c:pt idx="77">
                  <c:v>1695</c:v>
                </c:pt>
                <c:pt idx="78">
                  <c:v>1711</c:v>
                </c:pt>
                <c:pt idx="79">
                  <c:v>1727</c:v>
                </c:pt>
                <c:pt idx="80">
                  <c:v>1744</c:v>
                </c:pt>
                <c:pt idx="81">
                  <c:v>1783</c:v>
                </c:pt>
                <c:pt idx="82">
                  <c:v>1778</c:v>
                </c:pt>
                <c:pt idx="83">
                  <c:v>1792</c:v>
                </c:pt>
                <c:pt idx="84">
                  <c:v>1835</c:v>
                </c:pt>
                <c:pt idx="85">
                  <c:v>1847</c:v>
                </c:pt>
                <c:pt idx="86">
                  <c:v>1850</c:v>
                </c:pt>
                <c:pt idx="87">
                  <c:v>1862</c:v>
                </c:pt>
                <c:pt idx="88">
                  <c:v>1874</c:v>
                </c:pt>
                <c:pt idx="89">
                  <c:v>1884</c:v>
                </c:pt>
                <c:pt idx="90">
                  <c:v>1899</c:v>
                </c:pt>
                <c:pt idx="91">
                  <c:v>1916</c:v>
                </c:pt>
                <c:pt idx="92">
                  <c:v>1938</c:v>
                </c:pt>
                <c:pt idx="93">
                  <c:v>1963</c:v>
                </c:pt>
                <c:pt idx="94">
                  <c:v>1983</c:v>
                </c:pt>
                <c:pt idx="95">
                  <c:v>2004</c:v>
                </c:pt>
                <c:pt idx="96">
                  <c:v>2017</c:v>
                </c:pt>
                <c:pt idx="97">
                  <c:v>2028</c:v>
                </c:pt>
                <c:pt idx="98">
                  <c:v>2040</c:v>
                </c:pt>
              </c:numCache>
            </c:numRef>
          </c:val>
          <c:extLst>
            <c:ext xmlns:c16="http://schemas.microsoft.com/office/drawing/2014/chart" uri="{C3380CC4-5D6E-409C-BE32-E72D297353CC}">
              <c16:uniqueId val="{00000000-146E-4599-A5E6-C1D44CA8266C}"/>
            </c:ext>
          </c:extLst>
        </c:ser>
        <c:ser>
          <c:idx val="1"/>
          <c:order val="1"/>
          <c:tx>
            <c:strRef>
              <c:f>'Chart Data'!$AD$3</c:f>
              <c:strCache>
                <c:ptCount val="1"/>
                <c:pt idx="0">
                  <c:v>Education</c:v>
                </c:pt>
              </c:strCache>
            </c:strRef>
          </c:tx>
          <c:spPr>
            <a:solidFill>
              <a:srgbClr val="003469"/>
            </a:solidFill>
            <a:ln w="12700">
              <a:noFill/>
              <a:prstDash val="solid"/>
            </a:ln>
          </c:spPr>
          <c:invertIfNegative val="0"/>
          <c:cat>
            <c:numRef>
              <c:f>'Chart Data'!$AB$4:$AB$103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Data'!$AD$4:$AD$103</c:f>
              <c:numCache>
                <c:formatCode>0</c:formatCode>
                <c:ptCount val="100"/>
                <c:pt idx="0">
                  <c:v>1406</c:v>
                </c:pt>
                <c:pt idx="1">
                  <c:v>1441</c:v>
                </c:pt>
                <c:pt idx="2">
                  <c:v>1455</c:v>
                </c:pt>
                <c:pt idx="3">
                  <c:v>1457</c:v>
                </c:pt>
                <c:pt idx="4">
                  <c:v>1463</c:v>
                </c:pt>
                <c:pt idx="5">
                  <c:v>1468</c:v>
                </c:pt>
                <c:pt idx="6">
                  <c:v>1465</c:v>
                </c:pt>
                <c:pt idx="7">
                  <c:v>1467</c:v>
                </c:pt>
                <c:pt idx="8">
                  <c:v>1471</c:v>
                </c:pt>
                <c:pt idx="9">
                  <c:v>1473</c:v>
                </c:pt>
                <c:pt idx="10">
                  <c:v>1500</c:v>
                </c:pt>
                <c:pt idx="11">
                  <c:v>1510</c:v>
                </c:pt>
                <c:pt idx="12">
                  <c:v>1516</c:v>
                </c:pt>
                <c:pt idx="13">
                  <c:v>1531</c:v>
                </c:pt>
                <c:pt idx="14">
                  <c:v>1535</c:v>
                </c:pt>
                <c:pt idx="15">
                  <c:v>1557</c:v>
                </c:pt>
                <c:pt idx="16">
                  <c:v>1560</c:v>
                </c:pt>
                <c:pt idx="17">
                  <c:v>1569</c:v>
                </c:pt>
                <c:pt idx="18">
                  <c:v>1573</c:v>
                </c:pt>
                <c:pt idx="19">
                  <c:v>1576</c:v>
                </c:pt>
                <c:pt idx="20">
                  <c:v>1581</c:v>
                </c:pt>
                <c:pt idx="21">
                  <c:v>1583</c:v>
                </c:pt>
                <c:pt idx="22">
                  <c:v>1593</c:v>
                </c:pt>
                <c:pt idx="23">
                  <c:v>1599</c:v>
                </c:pt>
                <c:pt idx="24">
                  <c:v>1603</c:v>
                </c:pt>
                <c:pt idx="25">
                  <c:v>1609</c:v>
                </c:pt>
                <c:pt idx="26">
                  <c:v>1611</c:v>
                </c:pt>
                <c:pt idx="27">
                  <c:v>1611</c:v>
                </c:pt>
                <c:pt idx="28">
                  <c:v>1618</c:v>
                </c:pt>
                <c:pt idx="29">
                  <c:v>1623</c:v>
                </c:pt>
                <c:pt idx="30">
                  <c:v>1628</c:v>
                </c:pt>
                <c:pt idx="31">
                  <c:v>1634</c:v>
                </c:pt>
                <c:pt idx="32">
                  <c:v>1630</c:v>
                </c:pt>
                <c:pt idx="33">
                  <c:v>1637</c:v>
                </c:pt>
                <c:pt idx="34">
                  <c:v>1646</c:v>
                </c:pt>
                <c:pt idx="35">
                  <c:v>1649</c:v>
                </c:pt>
                <c:pt idx="36">
                  <c:v>1662</c:v>
                </c:pt>
                <c:pt idx="37">
                  <c:v>1657</c:v>
                </c:pt>
                <c:pt idx="38">
                  <c:v>1656</c:v>
                </c:pt>
                <c:pt idx="39">
                  <c:v>1673</c:v>
                </c:pt>
                <c:pt idx="40">
                  <c:v>1671</c:v>
                </c:pt>
                <c:pt idx="41">
                  <c:v>1688</c:v>
                </c:pt>
                <c:pt idx="42">
                  <c:v>1664</c:v>
                </c:pt>
                <c:pt idx="43">
                  <c:v>1658</c:v>
                </c:pt>
                <c:pt idx="44">
                  <c:v>1659</c:v>
                </c:pt>
                <c:pt idx="45">
                  <c:v>1662</c:v>
                </c:pt>
                <c:pt idx="46">
                  <c:v>1668</c:v>
                </c:pt>
                <c:pt idx="47">
                  <c:v>1664</c:v>
                </c:pt>
                <c:pt idx="48">
                  <c:v>1683</c:v>
                </c:pt>
                <c:pt idx="49">
                  <c:v>1663</c:v>
                </c:pt>
                <c:pt idx="50">
                  <c:v>1660</c:v>
                </c:pt>
                <c:pt idx="51">
                  <c:v>1659</c:v>
                </c:pt>
                <c:pt idx="52">
                  <c:v>1659</c:v>
                </c:pt>
                <c:pt idx="53">
                  <c:v>1683</c:v>
                </c:pt>
                <c:pt idx="54">
                  <c:v>1693</c:v>
                </c:pt>
                <c:pt idx="55">
                  <c:v>1699</c:v>
                </c:pt>
                <c:pt idx="56">
                  <c:v>1699</c:v>
                </c:pt>
                <c:pt idx="57">
                  <c:v>1694</c:v>
                </c:pt>
                <c:pt idx="58">
                  <c:v>1689</c:v>
                </c:pt>
                <c:pt idx="59">
                  <c:v>1691</c:v>
                </c:pt>
                <c:pt idx="60">
                  <c:v>1688</c:v>
                </c:pt>
                <c:pt idx="61">
                  <c:v>1689</c:v>
                </c:pt>
                <c:pt idx="62">
                  <c:v>1682</c:v>
                </c:pt>
                <c:pt idx="63">
                  <c:v>1681</c:v>
                </c:pt>
                <c:pt idx="64">
                  <c:v>1680</c:v>
                </c:pt>
                <c:pt idx="65">
                  <c:v>1676</c:v>
                </c:pt>
                <c:pt idx="66">
                  <c:v>1678</c:v>
                </c:pt>
                <c:pt idx="67">
                  <c:v>1671</c:v>
                </c:pt>
                <c:pt idx="68">
                  <c:v>1668</c:v>
                </c:pt>
                <c:pt idx="69">
                  <c:v>1662</c:v>
                </c:pt>
                <c:pt idx="70">
                  <c:v>1650</c:v>
                </c:pt>
                <c:pt idx="71">
                  <c:v>1644</c:v>
                </c:pt>
                <c:pt idx="72">
                  <c:v>1644</c:v>
                </c:pt>
                <c:pt idx="73">
                  <c:v>1644</c:v>
                </c:pt>
                <c:pt idx="74">
                  <c:v>1636</c:v>
                </c:pt>
                <c:pt idx="75">
                  <c:v>1637</c:v>
                </c:pt>
                <c:pt idx="76">
                  <c:v>1635</c:v>
                </c:pt>
                <c:pt idx="77">
                  <c:v>1636</c:v>
                </c:pt>
                <c:pt idx="78">
                  <c:v>1630</c:v>
                </c:pt>
                <c:pt idx="79">
                  <c:v>1624</c:v>
                </c:pt>
                <c:pt idx="80">
                  <c:v>1622</c:v>
                </c:pt>
                <c:pt idx="81">
                  <c:v>1618</c:v>
                </c:pt>
                <c:pt idx="82">
                  <c:v>1623</c:v>
                </c:pt>
                <c:pt idx="83">
                  <c:v>1623</c:v>
                </c:pt>
                <c:pt idx="84">
                  <c:v>1621</c:v>
                </c:pt>
                <c:pt idx="85">
                  <c:v>1625</c:v>
                </c:pt>
                <c:pt idx="86">
                  <c:v>1628</c:v>
                </c:pt>
                <c:pt idx="87">
                  <c:v>1630</c:v>
                </c:pt>
                <c:pt idx="88">
                  <c:v>1632</c:v>
                </c:pt>
                <c:pt idx="89">
                  <c:v>1632</c:v>
                </c:pt>
                <c:pt idx="90">
                  <c:v>1624</c:v>
                </c:pt>
                <c:pt idx="91">
                  <c:v>1628</c:v>
                </c:pt>
                <c:pt idx="92">
                  <c:v>1634</c:v>
                </c:pt>
                <c:pt idx="93">
                  <c:v>1637</c:v>
                </c:pt>
                <c:pt idx="94">
                  <c:v>1657</c:v>
                </c:pt>
                <c:pt idx="95">
                  <c:v>1656</c:v>
                </c:pt>
                <c:pt idx="96">
                  <c:v>1654</c:v>
                </c:pt>
                <c:pt idx="97">
                  <c:v>1654</c:v>
                </c:pt>
                <c:pt idx="98">
                  <c:v>1658</c:v>
                </c:pt>
              </c:numCache>
            </c:numRef>
          </c:val>
          <c:extLst>
            <c:ext xmlns:c16="http://schemas.microsoft.com/office/drawing/2014/chart" uri="{C3380CC4-5D6E-409C-BE32-E72D297353CC}">
              <c16:uniqueId val="{00000001-146E-4599-A5E6-C1D44CA8266C}"/>
            </c:ext>
          </c:extLst>
        </c:ser>
        <c:ser>
          <c:idx val="2"/>
          <c:order val="2"/>
          <c:tx>
            <c:strRef>
              <c:f>'Chart Data'!$AE$3</c:f>
              <c:strCache>
                <c:ptCount val="1"/>
                <c:pt idx="0">
                  <c:v>Public administration</c:v>
                </c:pt>
              </c:strCache>
            </c:strRef>
          </c:tx>
          <c:spPr>
            <a:solidFill>
              <a:srgbClr val="D1A21E"/>
            </a:solidFill>
            <a:ln w="12700">
              <a:noFill/>
              <a:prstDash val="solid"/>
            </a:ln>
          </c:spPr>
          <c:invertIfNegative val="0"/>
          <c:cat>
            <c:numRef>
              <c:f>'Chart Data'!$AB$4:$AB$103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Data'!$AE$4:$AE$103</c:f>
              <c:numCache>
                <c:formatCode>0</c:formatCode>
                <c:ptCount val="100"/>
                <c:pt idx="0">
                  <c:v>1184</c:v>
                </c:pt>
                <c:pt idx="1">
                  <c:v>1178</c:v>
                </c:pt>
                <c:pt idx="2">
                  <c:v>1177</c:v>
                </c:pt>
                <c:pt idx="3">
                  <c:v>1177</c:v>
                </c:pt>
                <c:pt idx="4">
                  <c:v>1181</c:v>
                </c:pt>
                <c:pt idx="5">
                  <c:v>1185</c:v>
                </c:pt>
                <c:pt idx="6">
                  <c:v>1188</c:v>
                </c:pt>
                <c:pt idx="7">
                  <c:v>1197</c:v>
                </c:pt>
                <c:pt idx="8">
                  <c:v>1204</c:v>
                </c:pt>
                <c:pt idx="9">
                  <c:v>1212</c:v>
                </c:pt>
                <c:pt idx="10">
                  <c:v>1215</c:v>
                </c:pt>
                <c:pt idx="11">
                  <c:v>1236</c:v>
                </c:pt>
                <c:pt idx="12">
                  <c:v>1246</c:v>
                </c:pt>
                <c:pt idx="13">
                  <c:v>1257</c:v>
                </c:pt>
                <c:pt idx="14">
                  <c:v>1260</c:v>
                </c:pt>
                <c:pt idx="15">
                  <c:v>1258</c:v>
                </c:pt>
                <c:pt idx="16">
                  <c:v>1267</c:v>
                </c:pt>
                <c:pt idx="17">
                  <c:v>1270</c:v>
                </c:pt>
                <c:pt idx="18">
                  <c:v>1279</c:v>
                </c:pt>
                <c:pt idx="19">
                  <c:v>1278</c:v>
                </c:pt>
                <c:pt idx="20">
                  <c:v>1280</c:v>
                </c:pt>
                <c:pt idx="21">
                  <c:v>1287</c:v>
                </c:pt>
                <c:pt idx="22">
                  <c:v>1284</c:v>
                </c:pt>
                <c:pt idx="23">
                  <c:v>1284</c:v>
                </c:pt>
                <c:pt idx="24">
                  <c:v>1284</c:v>
                </c:pt>
                <c:pt idx="25">
                  <c:v>1283</c:v>
                </c:pt>
                <c:pt idx="26">
                  <c:v>1283</c:v>
                </c:pt>
                <c:pt idx="27">
                  <c:v>1280</c:v>
                </c:pt>
                <c:pt idx="28">
                  <c:v>1276</c:v>
                </c:pt>
                <c:pt idx="29">
                  <c:v>1269</c:v>
                </c:pt>
                <c:pt idx="30">
                  <c:v>1269</c:v>
                </c:pt>
                <c:pt idx="31">
                  <c:v>1257</c:v>
                </c:pt>
                <c:pt idx="32">
                  <c:v>1234</c:v>
                </c:pt>
                <c:pt idx="33">
                  <c:v>1226</c:v>
                </c:pt>
                <c:pt idx="34">
                  <c:v>1208</c:v>
                </c:pt>
                <c:pt idx="35">
                  <c:v>1210</c:v>
                </c:pt>
                <c:pt idx="36">
                  <c:v>1208</c:v>
                </c:pt>
                <c:pt idx="37">
                  <c:v>1208</c:v>
                </c:pt>
                <c:pt idx="38">
                  <c:v>1220</c:v>
                </c:pt>
                <c:pt idx="39">
                  <c:v>1213</c:v>
                </c:pt>
                <c:pt idx="40">
                  <c:v>1213</c:v>
                </c:pt>
                <c:pt idx="41">
                  <c:v>1200</c:v>
                </c:pt>
                <c:pt idx="42">
                  <c:v>1181</c:v>
                </c:pt>
                <c:pt idx="43">
                  <c:v>1175</c:v>
                </c:pt>
                <c:pt idx="44">
                  <c:v>1164</c:v>
                </c:pt>
                <c:pt idx="45">
                  <c:v>1120</c:v>
                </c:pt>
                <c:pt idx="46">
                  <c:v>1109</c:v>
                </c:pt>
                <c:pt idx="47">
                  <c:v>1093</c:v>
                </c:pt>
                <c:pt idx="48">
                  <c:v>1080</c:v>
                </c:pt>
                <c:pt idx="49">
                  <c:v>1078</c:v>
                </c:pt>
                <c:pt idx="50">
                  <c:v>1070</c:v>
                </c:pt>
                <c:pt idx="51">
                  <c:v>1069</c:v>
                </c:pt>
                <c:pt idx="52">
                  <c:v>1072</c:v>
                </c:pt>
                <c:pt idx="53">
                  <c:v>1072</c:v>
                </c:pt>
                <c:pt idx="54">
                  <c:v>1073</c:v>
                </c:pt>
                <c:pt idx="55">
                  <c:v>1061</c:v>
                </c:pt>
                <c:pt idx="56">
                  <c:v>1059</c:v>
                </c:pt>
                <c:pt idx="57">
                  <c:v>1059</c:v>
                </c:pt>
                <c:pt idx="58">
                  <c:v>1053</c:v>
                </c:pt>
                <c:pt idx="59">
                  <c:v>1045</c:v>
                </c:pt>
                <c:pt idx="60">
                  <c:v>1034</c:v>
                </c:pt>
                <c:pt idx="61">
                  <c:v>1020</c:v>
                </c:pt>
                <c:pt idx="62">
                  <c:v>1016</c:v>
                </c:pt>
                <c:pt idx="63">
                  <c:v>1015</c:v>
                </c:pt>
                <c:pt idx="64">
                  <c:v>1010</c:v>
                </c:pt>
                <c:pt idx="65">
                  <c:v>1003</c:v>
                </c:pt>
                <c:pt idx="66">
                  <c:v>1002</c:v>
                </c:pt>
                <c:pt idx="67">
                  <c:v>1003</c:v>
                </c:pt>
                <c:pt idx="68">
                  <c:v>1005</c:v>
                </c:pt>
                <c:pt idx="69">
                  <c:v>1012</c:v>
                </c:pt>
                <c:pt idx="70">
                  <c:v>1017</c:v>
                </c:pt>
                <c:pt idx="71">
                  <c:v>1017</c:v>
                </c:pt>
                <c:pt idx="72">
                  <c:v>1022</c:v>
                </c:pt>
                <c:pt idx="73">
                  <c:v>1028</c:v>
                </c:pt>
                <c:pt idx="74">
                  <c:v>1033</c:v>
                </c:pt>
                <c:pt idx="75">
                  <c:v>1038</c:v>
                </c:pt>
                <c:pt idx="76">
                  <c:v>1049</c:v>
                </c:pt>
                <c:pt idx="77">
                  <c:v>1053</c:v>
                </c:pt>
                <c:pt idx="78">
                  <c:v>1057</c:v>
                </c:pt>
                <c:pt idx="79">
                  <c:v>1065</c:v>
                </c:pt>
                <c:pt idx="80">
                  <c:v>1067</c:v>
                </c:pt>
                <c:pt idx="81">
                  <c:v>1071</c:v>
                </c:pt>
                <c:pt idx="82">
                  <c:v>1081</c:v>
                </c:pt>
                <c:pt idx="83">
                  <c:v>1096</c:v>
                </c:pt>
                <c:pt idx="84">
                  <c:v>1126</c:v>
                </c:pt>
                <c:pt idx="85">
                  <c:v>1119</c:v>
                </c:pt>
                <c:pt idx="86">
                  <c:v>1127</c:v>
                </c:pt>
                <c:pt idx="87">
                  <c:v>1132</c:v>
                </c:pt>
                <c:pt idx="88">
                  <c:v>1143</c:v>
                </c:pt>
                <c:pt idx="89">
                  <c:v>1143</c:v>
                </c:pt>
                <c:pt idx="90">
                  <c:v>1148</c:v>
                </c:pt>
                <c:pt idx="91">
                  <c:v>1153</c:v>
                </c:pt>
                <c:pt idx="92">
                  <c:v>1159</c:v>
                </c:pt>
                <c:pt idx="93">
                  <c:v>1175</c:v>
                </c:pt>
                <c:pt idx="94">
                  <c:v>1184</c:v>
                </c:pt>
                <c:pt idx="95">
                  <c:v>1196</c:v>
                </c:pt>
                <c:pt idx="96">
                  <c:v>1208</c:v>
                </c:pt>
                <c:pt idx="97">
                  <c:v>1216</c:v>
                </c:pt>
                <c:pt idx="98">
                  <c:v>1220</c:v>
                </c:pt>
              </c:numCache>
            </c:numRef>
          </c:val>
          <c:extLst>
            <c:ext xmlns:c16="http://schemas.microsoft.com/office/drawing/2014/chart" uri="{C3380CC4-5D6E-409C-BE32-E72D297353CC}">
              <c16:uniqueId val="{00000002-146E-4599-A5E6-C1D44CA8266C}"/>
            </c:ext>
          </c:extLst>
        </c:ser>
        <c:ser>
          <c:idx val="3"/>
          <c:order val="3"/>
          <c:tx>
            <c:strRef>
              <c:f>'Chart Data'!$AF$3</c:f>
              <c:strCache>
                <c:ptCount val="1"/>
                <c:pt idx="0">
                  <c:v>Police</c:v>
                </c:pt>
              </c:strCache>
            </c:strRef>
          </c:tx>
          <c:spPr>
            <a:solidFill>
              <a:srgbClr val="7B7C77"/>
            </a:solidFill>
            <a:ln w="12700">
              <a:noFill/>
              <a:prstDash val="solid"/>
            </a:ln>
          </c:spPr>
          <c:invertIfNegative val="0"/>
          <c:cat>
            <c:numRef>
              <c:f>'Chart Data'!$AB$4:$AB$103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Data'!$AF$4:$AF$103</c:f>
              <c:numCache>
                <c:formatCode>0</c:formatCode>
                <c:ptCount val="100"/>
                <c:pt idx="0">
                  <c:v>225</c:v>
                </c:pt>
                <c:pt idx="1">
                  <c:v>225</c:v>
                </c:pt>
                <c:pt idx="2">
                  <c:v>226</c:v>
                </c:pt>
                <c:pt idx="3">
                  <c:v>227</c:v>
                </c:pt>
                <c:pt idx="4">
                  <c:v>228</c:v>
                </c:pt>
                <c:pt idx="5">
                  <c:v>229</c:v>
                </c:pt>
                <c:pt idx="6">
                  <c:v>231</c:v>
                </c:pt>
                <c:pt idx="7">
                  <c:v>234</c:v>
                </c:pt>
                <c:pt idx="8">
                  <c:v>236</c:v>
                </c:pt>
                <c:pt idx="9">
                  <c:v>238</c:v>
                </c:pt>
                <c:pt idx="10">
                  <c:v>240</c:v>
                </c:pt>
                <c:pt idx="11">
                  <c:v>242</c:v>
                </c:pt>
                <c:pt idx="12">
                  <c:v>246</c:v>
                </c:pt>
                <c:pt idx="13">
                  <c:v>248</c:v>
                </c:pt>
                <c:pt idx="14">
                  <c:v>252</c:v>
                </c:pt>
                <c:pt idx="15">
                  <c:v>256</c:v>
                </c:pt>
                <c:pt idx="16">
                  <c:v>260</c:v>
                </c:pt>
                <c:pt idx="17">
                  <c:v>264</c:v>
                </c:pt>
                <c:pt idx="18">
                  <c:v>265</c:v>
                </c:pt>
                <c:pt idx="19">
                  <c:v>267</c:v>
                </c:pt>
                <c:pt idx="20">
                  <c:v>271</c:v>
                </c:pt>
                <c:pt idx="21">
                  <c:v>272</c:v>
                </c:pt>
                <c:pt idx="22">
                  <c:v>271</c:v>
                </c:pt>
                <c:pt idx="23">
                  <c:v>274</c:v>
                </c:pt>
                <c:pt idx="24">
                  <c:v>274</c:v>
                </c:pt>
                <c:pt idx="25">
                  <c:v>274</c:v>
                </c:pt>
                <c:pt idx="26">
                  <c:v>276</c:v>
                </c:pt>
                <c:pt idx="27">
                  <c:v>279</c:v>
                </c:pt>
                <c:pt idx="28">
                  <c:v>282</c:v>
                </c:pt>
                <c:pt idx="29">
                  <c:v>283</c:v>
                </c:pt>
                <c:pt idx="30">
                  <c:v>284</c:v>
                </c:pt>
                <c:pt idx="31">
                  <c:v>284</c:v>
                </c:pt>
                <c:pt idx="32">
                  <c:v>286</c:v>
                </c:pt>
                <c:pt idx="33">
                  <c:v>286</c:v>
                </c:pt>
                <c:pt idx="34">
                  <c:v>287</c:v>
                </c:pt>
                <c:pt idx="35">
                  <c:v>289</c:v>
                </c:pt>
                <c:pt idx="36">
                  <c:v>293</c:v>
                </c:pt>
                <c:pt idx="37">
                  <c:v>294</c:v>
                </c:pt>
                <c:pt idx="38">
                  <c:v>296</c:v>
                </c:pt>
                <c:pt idx="39">
                  <c:v>295</c:v>
                </c:pt>
                <c:pt idx="40">
                  <c:v>295</c:v>
                </c:pt>
                <c:pt idx="41">
                  <c:v>292</c:v>
                </c:pt>
                <c:pt idx="42">
                  <c:v>290</c:v>
                </c:pt>
                <c:pt idx="43">
                  <c:v>286</c:v>
                </c:pt>
                <c:pt idx="44">
                  <c:v>282</c:v>
                </c:pt>
                <c:pt idx="45">
                  <c:v>277</c:v>
                </c:pt>
                <c:pt idx="46">
                  <c:v>273</c:v>
                </c:pt>
                <c:pt idx="47">
                  <c:v>270</c:v>
                </c:pt>
                <c:pt idx="48">
                  <c:v>268</c:v>
                </c:pt>
                <c:pt idx="49">
                  <c:v>266</c:v>
                </c:pt>
                <c:pt idx="50">
                  <c:v>264</c:v>
                </c:pt>
                <c:pt idx="51">
                  <c:v>263</c:v>
                </c:pt>
                <c:pt idx="52">
                  <c:v>261</c:v>
                </c:pt>
                <c:pt idx="53">
                  <c:v>261</c:v>
                </c:pt>
                <c:pt idx="54">
                  <c:v>259</c:v>
                </c:pt>
                <c:pt idx="55">
                  <c:v>258</c:v>
                </c:pt>
                <c:pt idx="56">
                  <c:v>257</c:v>
                </c:pt>
                <c:pt idx="57">
                  <c:v>256</c:v>
                </c:pt>
                <c:pt idx="58">
                  <c:v>256</c:v>
                </c:pt>
                <c:pt idx="59">
                  <c:v>255</c:v>
                </c:pt>
                <c:pt idx="60">
                  <c:v>255</c:v>
                </c:pt>
                <c:pt idx="61">
                  <c:v>254</c:v>
                </c:pt>
                <c:pt idx="62">
                  <c:v>252</c:v>
                </c:pt>
                <c:pt idx="63">
                  <c:v>250</c:v>
                </c:pt>
                <c:pt idx="64">
                  <c:v>248</c:v>
                </c:pt>
                <c:pt idx="65">
                  <c:v>247</c:v>
                </c:pt>
                <c:pt idx="66">
                  <c:v>247</c:v>
                </c:pt>
                <c:pt idx="67">
                  <c:v>246</c:v>
                </c:pt>
                <c:pt idx="68">
                  <c:v>245</c:v>
                </c:pt>
                <c:pt idx="69">
                  <c:v>245</c:v>
                </c:pt>
                <c:pt idx="70">
                  <c:v>245</c:v>
                </c:pt>
                <c:pt idx="71">
                  <c:v>246</c:v>
                </c:pt>
                <c:pt idx="72">
                  <c:v>246</c:v>
                </c:pt>
                <c:pt idx="73">
                  <c:v>247</c:v>
                </c:pt>
                <c:pt idx="74">
                  <c:v>247</c:v>
                </c:pt>
                <c:pt idx="75">
                  <c:v>247</c:v>
                </c:pt>
                <c:pt idx="76">
                  <c:v>249</c:v>
                </c:pt>
                <c:pt idx="77">
                  <c:v>249</c:v>
                </c:pt>
                <c:pt idx="78">
                  <c:v>252</c:v>
                </c:pt>
                <c:pt idx="79">
                  <c:v>253</c:v>
                </c:pt>
                <c:pt idx="80">
                  <c:v>258</c:v>
                </c:pt>
                <c:pt idx="81">
                  <c:v>261</c:v>
                </c:pt>
                <c:pt idx="82">
                  <c:v>263</c:v>
                </c:pt>
                <c:pt idx="83">
                  <c:v>264</c:v>
                </c:pt>
                <c:pt idx="84">
                  <c:v>268</c:v>
                </c:pt>
                <c:pt idx="85">
                  <c:v>269</c:v>
                </c:pt>
                <c:pt idx="86">
                  <c:v>271</c:v>
                </c:pt>
                <c:pt idx="87">
                  <c:v>270</c:v>
                </c:pt>
                <c:pt idx="88">
                  <c:v>272</c:v>
                </c:pt>
                <c:pt idx="89">
                  <c:v>272</c:v>
                </c:pt>
                <c:pt idx="90">
                  <c:v>274</c:v>
                </c:pt>
                <c:pt idx="91">
                  <c:v>276</c:v>
                </c:pt>
                <c:pt idx="92">
                  <c:v>280</c:v>
                </c:pt>
                <c:pt idx="93">
                  <c:v>280</c:v>
                </c:pt>
                <c:pt idx="94">
                  <c:v>281</c:v>
                </c:pt>
                <c:pt idx="95">
                  <c:v>281</c:v>
                </c:pt>
                <c:pt idx="96">
                  <c:v>282</c:v>
                </c:pt>
                <c:pt idx="97">
                  <c:v>282</c:v>
                </c:pt>
                <c:pt idx="98">
                  <c:v>282</c:v>
                </c:pt>
              </c:numCache>
            </c:numRef>
          </c:val>
          <c:extLst>
            <c:ext xmlns:c16="http://schemas.microsoft.com/office/drawing/2014/chart" uri="{C3380CC4-5D6E-409C-BE32-E72D297353CC}">
              <c16:uniqueId val="{00000003-146E-4599-A5E6-C1D44CA8266C}"/>
            </c:ext>
          </c:extLst>
        </c:ser>
        <c:ser>
          <c:idx val="4"/>
          <c:order val="4"/>
          <c:tx>
            <c:strRef>
              <c:f>'Chart Data'!$AG$3</c:f>
              <c:strCache>
                <c:ptCount val="1"/>
                <c:pt idx="0">
                  <c:v>HM forces</c:v>
                </c:pt>
              </c:strCache>
            </c:strRef>
          </c:tx>
          <c:spPr>
            <a:solidFill>
              <a:srgbClr val="965793"/>
            </a:solidFill>
            <a:ln w="12700">
              <a:noFill/>
              <a:prstDash val="solid"/>
            </a:ln>
          </c:spPr>
          <c:invertIfNegative val="0"/>
          <c:cat>
            <c:numRef>
              <c:f>'Chart Data'!$AB$4:$AB$103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Data'!$AG$4:$AG$103</c:f>
              <c:numCache>
                <c:formatCode>0</c:formatCode>
                <c:ptCount val="100"/>
                <c:pt idx="0">
                  <c:v>217</c:v>
                </c:pt>
                <c:pt idx="1">
                  <c:v>217</c:v>
                </c:pt>
                <c:pt idx="2">
                  <c:v>216</c:v>
                </c:pt>
                <c:pt idx="3">
                  <c:v>215</c:v>
                </c:pt>
                <c:pt idx="4">
                  <c:v>215</c:v>
                </c:pt>
                <c:pt idx="5">
                  <c:v>214</c:v>
                </c:pt>
                <c:pt idx="6">
                  <c:v>214</c:v>
                </c:pt>
                <c:pt idx="7">
                  <c:v>214</c:v>
                </c:pt>
                <c:pt idx="8">
                  <c:v>214</c:v>
                </c:pt>
                <c:pt idx="9">
                  <c:v>214</c:v>
                </c:pt>
                <c:pt idx="10">
                  <c:v>215</c:v>
                </c:pt>
                <c:pt idx="11">
                  <c:v>215</c:v>
                </c:pt>
                <c:pt idx="12">
                  <c:v>221</c:v>
                </c:pt>
                <c:pt idx="13">
                  <c:v>223</c:v>
                </c:pt>
                <c:pt idx="14">
                  <c:v>222</c:v>
                </c:pt>
                <c:pt idx="15">
                  <c:v>221</c:v>
                </c:pt>
                <c:pt idx="16">
                  <c:v>219</c:v>
                </c:pt>
                <c:pt idx="17">
                  <c:v>218</c:v>
                </c:pt>
                <c:pt idx="18">
                  <c:v>216</c:v>
                </c:pt>
                <c:pt idx="19">
                  <c:v>214</c:v>
                </c:pt>
                <c:pt idx="20">
                  <c:v>212</c:v>
                </c:pt>
                <c:pt idx="21">
                  <c:v>210</c:v>
                </c:pt>
                <c:pt idx="22">
                  <c:v>208</c:v>
                </c:pt>
                <c:pt idx="23">
                  <c:v>206</c:v>
                </c:pt>
                <c:pt idx="24">
                  <c:v>205</c:v>
                </c:pt>
                <c:pt idx="25">
                  <c:v>204</c:v>
                </c:pt>
                <c:pt idx="26">
                  <c:v>203</c:v>
                </c:pt>
                <c:pt idx="27">
                  <c:v>202</c:v>
                </c:pt>
                <c:pt idx="28">
                  <c:v>199</c:v>
                </c:pt>
                <c:pt idx="29">
                  <c:v>197</c:v>
                </c:pt>
                <c:pt idx="30">
                  <c:v>195</c:v>
                </c:pt>
                <c:pt idx="31">
                  <c:v>195</c:v>
                </c:pt>
                <c:pt idx="32">
                  <c:v>193</c:v>
                </c:pt>
                <c:pt idx="33">
                  <c:v>193</c:v>
                </c:pt>
                <c:pt idx="34">
                  <c:v>194</c:v>
                </c:pt>
                <c:pt idx="35">
                  <c:v>193</c:v>
                </c:pt>
                <c:pt idx="36">
                  <c:v>196</c:v>
                </c:pt>
                <c:pt idx="37">
                  <c:v>197</c:v>
                </c:pt>
                <c:pt idx="38">
                  <c:v>199</c:v>
                </c:pt>
                <c:pt idx="39">
                  <c:v>199</c:v>
                </c:pt>
                <c:pt idx="40">
                  <c:v>199</c:v>
                </c:pt>
                <c:pt idx="41">
                  <c:v>197</c:v>
                </c:pt>
                <c:pt idx="42">
                  <c:v>196</c:v>
                </c:pt>
                <c:pt idx="43">
                  <c:v>196</c:v>
                </c:pt>
                <c:pt idx="44">
                  <c:v>194</c:v>
                </c:pt>
                <c:pt idx="45">
                  <c:v>193</c:v>
                </c:pt>
                <c:pt idx="46">
                  <c:v>191</c:v>
                </c:pt>
                <c:pt idx="47">
                  <c:v>190</c:v>
                </c:pt>
                <c:pt idx="48">
                  <c:v>187</c:v>
                </c:pt>
                <c:pt idx="49">
                  <c:v>186</c:v>
                </c:pt>
                <c:pt idx="50">
                  <c:v>183</c:v>
                </c:pt>
                <c:pt idx="51">
                  <c:v>179</c:v>
                </c:pt>
                <c:pt idx="52">
                  <c:v>178</c:v>
                </c:pt>
                <c:pt idx="53">
                  <c:v>175</c:v>
                </c:pt>
                <c:pt idx="54">
                  <c:v>174</c:v>
                </c:pt>
                <c:pt idx="55">
                  <c:v>169</c:v>
                </c:pt>
                <c:pt idx="56">
                  <c:v>166</c:v>
                </c:pt>
                <c:pt idx="57">
                  <c:v>164</c:v>
                </c:pt>
                <c:pt idx="58">
                  <c:v>163</c:v>
                </c:pt>
                <c:pt idx="59">
                  <c:v>162</c:v>
                </c:pt>
                <c:pt idx="60">
                  <c:v>160</c:v>
                </c:pt>
                <c:pt idx="61">
                  <c:v>159</c:v>
                </c:pt>
                <c:pt idx="62">
                  <c:v>159</c:v>
                </c:pt>
                <c:pt idx="63">
                  <c:v>159</c:v>
                </c:pt>
                <c:pt idx="64">
                  <c:v>158</c:v>
                </c:pt>
                <c:pt idx="65">
                  <c:v>158</c:v>
                </c:pt>
                <c:pt idx="66">
                  <c:v>158</c:v>
                </c:pt>
                <c:pt idx="67">
                  <c:v>158</c:v>
                </c:pt>
                <c:pt idx="68">
                  <c:v>157</c:v>
                </c:pt>
                <c:pt idx="69">
                  <c:v>156</c:v>
                </c:pt>
                <c:pt idx="70">
                  <c:v>156</c:v>
                </c:pt>
                <c:pt idx="71">
                  <c:v>156</c:v>
                </c:pt>
                <c:pt idx="72">
                  <c:v>155</c:v>
                </c:pt>
                <c:pt idx="73">
                  <c:v>154</c:v>
                </c:pt>
                <c:pt idx="74">
                  <c:v>153</c:v>
                </c:pt>
                <c:pt idx="75">
                  <c:v>153</c:v>
                </c:pt>
                <c:pt idx="76">
                  <c:v>153</c:v>
                </c:pt>
                <c:pt idx="77">
                  <c:v>153</c:v>
                </c:pt>
                <c:pt idx="78">
                  <c:v>154</c:v>
                </c:pt>
                <c:pt idx="79">
                  <c:v>154</c:v>
                </c:pt>
                <c:pt idx="80">
                  <c:v>155</c:v>
                </c:pt>
                <c:pt idx="81">
                  <c:v>157</c:v>
                </c:pt>
                <c:pt idx="82">
                  <c:v>157</c:v>
                </c:pt>
                <c:pt idx="83">
                  <c:v>159</c:v>
                </c:pt>
                <c:pt idx="84">
                  <c:v>160</c:v>
                </c:pt>
                <c:pt idx="85">
                  <c:v>160</c:v>
                </c:pt>
                <c:pt idx="86">
                  <c:v>160</c:v>
                </c:pt>
                <c:pt idx="87">
                  <c:v>159</c:v>
                </c:pt>
                <c:pt idx="88">
                  <c:v>159</c:v>
                </c:pt>
                <c:pt idx="89">
                  <c:v>157</c:v>
                </c:pt>
                <c:pt idx="90">
                  <c:v>156</c:v>
                </c:pt>
                <c:pt idx="91">
                  <c:v>154</c:v>
                </c:pt>
                <c:pt idx="92">
                  <c:v>153</c:v>
                </c:pt>
                <c:pt idx="93">
                  <c:v>151</c:v>
                </c:pt>
                <c:pt idx="94">
                  <c:v>150</c:v>
                </c:pt>
                <c:pt idx="95">
                  <c:v>149</c:v>
                </c:pt>
                <c:pt idx="96">
                  <c:v>149</c:v>
                </c:pt>
                <c:pt idx="97">
                  <c:v>147</c:v>
                </c:pt>
                <c:pt idx="98">
                  <c:v>147</c:v>
                </c:pt>
              </c:numCache>
            </c:numRef>
          </c:val>
          <c:extLst>
            <c:ext xmlns:c16="http://schemas.microsoft.com/office/drawing/2014/chart" uri="{C3380CC4-5D6E-409C-BE32-E72D297353CC}">
              <c16:uniqueId val="{00000004-146E-4599-A5E6-C1D44CA8266C}"/>
            </c:ext>
          </c:extLst>
        </c:ser>
        <c:ser>
          <c:idx val="5"/>
          <c:order val="5"/>
          <c:tx>
            <c:strRef>
              <c:f>'Chart Data'!$AH$3</c:f>
              <c:strCache>
                <c:ptCount val="1"/>
                <c:pt idx="0">
                  <c:v>Other</c:v>
                </c:pt>
              </c:strCache>
            </c:strRef>
          </c:tx>
          <c:spPr>
            <a:solidFill>
              <a:srgbClr val="00ADDC"/>
            </a:solidFill>
            <a:ln w="12700">
              <a:noFill/>
              <a:prstDash val="solid"/>
            </a:ln>
          </c:spPr>
          <c:invertIfNegative val="0"/>
          <c:cat>
            <c:numRef>
              <c:f>'Chart Data'!$AB$4:$AB$103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Data'!$AH$4:$AH$103</c:f>
              <c:numCache>
                <c:formatCode>0</c:formatCode>
                <c:ptCount val="100"/>
                <c:pt idx="0">
                  <c:v>800</c:v>
                </c:pt>
                <c:pt idx="1">
                  <c:v>784</c:v>
                </c:pt>
                <c:pt idx="2">
                  <c:v>785</c:v>
                </c:pt>
                <c:pt idx="3">
                  <c:v>782</c:v>
                </c:pt>
                <c:pt idx="4">
                  <c:v>785</c:v>
                </c:pt>
                <c:pt idx="5">
                  <c:v>792</c:v>
                </c:pt>
                <c:pt idx="6">
                  <c:v>795</c:v>
                </c:pt>
                <c:pt idx="7">
                  <c:v>769</c:v>
                </c:pt>
                <c:pt idx="8">
                  <c:v>782</c:v>
                </c:pt>
                <c:pt idx="9">
                  <c:v>780</c:v>
                </c:pt>
                <c:pt idx="10">
                  <c:v>767</c:v>
                </c:pt>
                <c:pt idx="11">
                  <c:v>781</c:v>
                </c:pt>
                <c:pt idx="12">
                  <c:v>786</c:v>
                </c:pt>
                <c:pt idx="13">
                  <c:v>788</c:v>
                </c:pt>
                <c:pt idx="14">
                  <c:v>806</c:v>
                </c:pt>
                <c:pt idx="15">
                  <c:v>801</c:v>
                </c:pt>
                <c:pt idx="16">
                  <c:v>802</c:v>
                </c:pt>
                <c:pt idx="17">
                  <c:v>794</c:v>
                </c:pt>
                <c:pt idx="18">
                  <c:v>801</c:v>
                </c:pt>
                <c:pt idx="19">
                  <c:v>806</c:v>
                </c:pt>
                <c:pt idx="20">
                  <c:v>805</c:v>
                </c:pt>
                <c:pt idx="21">
                  <c:v>814</c:v>
                </c:pt>
                <c:pt idx="22">
                  <c:v>799</c:v>
                </c:pt>
                <c:pt idx="23">
                  <c:v>795</c:v>
                </c:pt>
                <c:pt idx="24">
                  <c:v>781</c:v>
                </c:pt>
                <c:pt idx="25">
                  <c:v>776</c:v>
                </c:pt>
                <c:pt idx="26">
                  <c:v>768</c:v>
                </c:pt>
                <c:pt idx="27">
                  <c:v>763</c:v>
                </c:pt>
                <c:pt idx="28">
                  <c:v>764</c:v>
                </c:pt>
                <c:pt idx="29">
                  <c:v>765</c:v>
                </c:pt>
                <c:pt idx="30">
                  <c:v>744</c:v>
                </c:pt>
                <c:pt idx="31">
                  <c:v>736</c:v>
                </c:pt>
                <c:pt idx="32">
                  <c:v>751</c:v>
                </c:pt>
                <c:pt idx="33">
                  <c:v>753</c:v>
                </c:pt>
                <c:pt idx="34">
                  <c:v>769</c:v>
                </c:pt>
                <c:pt idx="35">
                  <c:v>764</c:v>
                </c:pt>
                <c:pt idx="36">
                  <c:v>750</c:v>
                </c:pt>
                <c:pt idx="37">
                  <c:v>735</c:v>
                </c:pt>
                <c:pt idx="38">
                  <c:v>729</c:v>
                </c:pt>
                <c:pt idx="39">
                  <c:v>726</c:v>
                </c:pt>
                <c:pt idx="40">
                  <c:v>717</c:v>
                </c:pt>
                <c:pt idx="41">
                  <c:v>697</c:v>
                </c:pt>
                <c:pt idx="42">
                  <c:v>696</c:v>
                </c:pt>
                <c:pt idx="43">
                  <c:v>687</c:v>
                </c:pt>
                <c:pt idx="44">
                  <c:v>688</c:v>
                </c:pt>
                <c:pt idx="45">
                  <c:v>671</c:v>
                </c:pt>
                <c:pt idx="46">
                  <c:v>656</c:v>
                </c:pt>
                <c:pt idx="47">
                  <c:v>656</c:v>
                </c:pt>
                <c:pt idx="48">
                  <c:v>628</c:v>
                </c:pt>
                <c:pt idx="49">
                  <c:v>621</c:v>
                </c:pt>
                <c:pt idx="50">
                  <c:v>620</c:v>
                </c:pt>
                <c:pt idx="51">
                  <c:v>609</c:v>
                </c:pt>
                <c:pt idx="52">
                  <c:v>602</c:v>
                </c:pt>
                <c:pt idx="53">
                  <c:v>589</c:v>
                </c:pt>
                <c:pt idx="54">
                  <c:v>589</c:v>
                </c:pt>
                <c:pt idx="55">
                  <c:v>584</c:v>
                </c:pt>
                <c:pt idx="56">
                  <c:v>576</c:v>
                </c:pt>
                <c:pt idx="57">
                  <c:v>570</c:v>
                </c:pt>
                <c:pt idx="58">
                  <c:v>563</c:v>
                </c:pt>
                <c:pt idx="59">
                  <c:v>563</c:v>
                </c:pt>
                <c:pt idx="60">
                  <c:v>562</c:v>
                </c:pt>
                <c:pt idx="61">
                  <c:v>555</c:v>
                </c:pt>
                <c:pt idx="62">
                  <c:v>548</c:v>
                </c:pt>
                <c:pt idx="63">
                  <c:v>549</c:v>
                </c:pt>
                <c:pt idx="64">
                  <c:v>549</c:v>
                </c:pt>
                <c:pt idx="65">
                  <c:v>545</c:v>
                </c:pt>
                <c:pt idx="66">
                  <c:v>537</c:v>
                </c:pt>
                <c:pt idx="67">
                  <c:v>529</c:v>
                </c:pt>
                <c:pt idx="68">
                  <c:v>522</c:v>
                </c:pt>
                <c:pt idx="69">
                  <c:v>521</c:v>
                </c:pt>
                <c:pt idx="70">
                  <c:v>519</c:v>
                </c:pt>
                <c:pt idx="71">
                  <c:v>520</c:v>
                </c:pt>
                <c:pt idx="72">
                  <c:v>521</c:v>
                </c:pt>
                <c:pt idx="73">
                  <c:v>521</c:v>
                </c:pt>
                <c:pt idx="74">
                  <c:v>523</c:v>
                </c:pt>
                <c:pt idx="75">
                  <c:v>523</c:v>
                </c:pt>
                <c:pt idx="76">
                  <c:v>517</c:v>
                </c:pt>
                <c:pt idx="77">
                  <c:v>519</c:v>
                </c:pt>
                <c:pt idx="78">
                  <c:v>525</c:v>
                </c:pt>
                <c:pt idx="79">
                  <c:v>521</c:v>
                </c:pt>
                <c:pt idx="80">
                  <c:v>523</c:v>
                </c:pt>
                <c:pt idx="81">
                  <c:v>523</c:v>
                </c:pt>
                <c:pt idx="82">
                  <c:v>518</c:v>
                </c:pt>
                <c:pt idx="83">
                  <c:v>516</c:v>
                </c:pt>
                <c:pt idx="84">
                  <c:v>520</c:v>
                </c:pt>
                <c:pt idx="85">
                  <c:v>521</c:v>
                </c:pt>
                <c:pt idx="86">
                  <c:v>522</c:v>
                </c:pt>
                <c:pt idx="87">
                  <c:v>524</c:v>
                </c:pt>
                <c:pt idx="88">
                  <c:v>516</c:v>
                </c:pt>
                <c:pt idx="89">
                  <c:v>521</c:v>
                </c:pt>
                <c:pt idx="90">
                  <c:v>524</c:v>
                </c:pt>
                <c:pt idx="91">
                  <c:v>526</c:v>
                </c:pt>
                <c:pt idx="92">
                  <c:v>525</c:v>
                </c:pt>
                <c:pt idx="93">
                  <c:v>522</c:v>
                </c:pt>
                <c:pt idx="94">
                  <c:v>522</c:v>
                </c:pt>
                <c:pt idx="95">
                  <c:v>523</c:v>
                </c:pt>
                <c:pt idx="96">
                  <c:v>525</c:v>
                </c:pt>
                <c:pt idx="97">
                  <c:v>533</c:v>
                </c:pt>
                <c:pt idx="98">
                  <c:v>528</c:v>
                </c:pt>
              </c:numCache>
            </c:numRef>
          </c:val>
          <c:extLs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gapWidth val="50"/>
        <c:overlap val="100"/>
        <c:axId val="275934208"/>
        <c:axId val="275936000"/>
      </c:bar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12"/>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dispUnits>
          <c:builtInUnit val="thousands"/>
        </c:dispUnits>
      </c:valAx>
      <c:spPr>
        <a:noFill/>
      </c:spPr>
    </c:plotArea>
    <c:legend>
      <c:legendPos val="t"/>
      <c:layout>
        <c:manualLayout>
          <c:xMode val="edge"/>
          <c:yMode val="edge"/>
          <c:x val="0.6782153647597231"/>
          <c:y val="1.6055572420808722E-2"/>
          <c:w val="0.31999295379516424"/>
          <c:h val="0.2296735436779595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areaChart>
        <c:grouping val="stacked"/>
        <c:varyColors val="0"/>
        <c:ser>
          <c:idx val="0"/>
          <c:order val="0"/>
          <c:tx>
            <c:strRef>
              <c:f>'Chart Data'!$AK$3</c:f>
              <c:strCache>
                <c:ptCount val="1"/>
                <c:pt idx="0">
                  <c:v>NHS</c:v>
                </c:pt>
              </c:strCache>
            </c:strRef>
          </c:tx>
          <c:spPr>
            <a:solidFill>
              <a:srgbClr val="BD1B21"/>
            </a:solidFill>
            <a:ln w="12700">
              <a:solidFill>
                <a:srgbClr val="BD1B21"/>
              </a:solidFill>
              <a:prstDash val="solid"/>
            </a:ln>
            <a:effectLst/>
          </c:spPr>
          <c:dLbls>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Data'!$AJ$4:$AJ$102</c:f>
              <c:numCache>
                <c:formatCode>m/d/yyyy</c:formatCode>
                <c:ptCount val="99"/>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numCache>
            </c:numRef>
          </c:cat>
          <c:val>
            <c:numRef>
              <c:f>'Chart Data'!$AK$4:$AK$102</c:f>
              <c:numCache>
                <c:formatCode>0</c:formatCode>
                <c:ptCount val="99"/>
                <c:pt idx="0">
                  <c:v>23.801948697554185</c:v>
                </c:pt>
                <c:pt idx="1">
                  <c:v>23.846306199247376</c:v>
                </c:pt>
                <c:pt idx="2">
                  <c:v>23.915615141955836</c:v>
                </c:pt>
                <c:pt idx="3">
                  <c:v>24.070064947844912</c:v>
                </c:pt>
                <c:pt idx="4">
                  <c:v>24.182494615233992</c:v>
                </c:pt>
                <c:pt idx="5">
                  <c:v>24.313801829861788</c:v>
                </c:pt>
                <c:pt idx="6">
                  <c:v>24.495733126454617</c:v>
                </c:pt>
                <c:pt idx="7">
                  <c:v>24.772242682690443</c:v>
                </c:pt>
                <c:pt idx="8">
                  <c:v>24.850932871706096</c:v>
                </c:pt>
                <c:pt idx="9">
                  <c:v>25.047837734404897</c:v>
                </c:pt>
                <c:pt idx="10">
                  <c:v>25.180539718738121</c:v>
                </c:pt>
                <c:pt idx="11">
                  <c:v>25.183098591549296</c:v>
                </c:pt>
                <c:pt idx="12">
                  <c:v>25.28842575362858</c:v>
                </c:pt>
                <c:pt idx="13">
                  <c:v>25.345877144438294</c:v>
                </c:pt>
                <c:pt idx="14">
                  <c:v>25.44822539334065</c:v>
                </c:pt>
                <c:pt idx="15">
                  <c:v>25.595346300672606</c:v>
                </c:pt>
                <c:pt idx="16">
                  <c:v>25.767979761474518</c:v>
                </c:pt>
                <c:pt idx="17">
                  <c:v>25.788999098286748</c:v>
                </c:pt>
                <c:pt idx="18">
                  <c:v>25.874125874125873</c:v>
                </c:pt>
                <c:pt idx="19">
                  <c:v>26.013936037162765</c:v>
                </c:pt>
                <c:pt idx="20">
                  <c:v>26.108637577916294</c:v>
                </c:pt>
                <c:pt idx="21">
                  <c:v>26.213248317392846</c:v>
                </c:pt>
                <c:pt idx="22">
                  <c:v>26.329787234042552</c:v>
                </c:pt>
                <c:pt idx="23">
                  <c:v>26.354941551540911</c:v>
                </c:pt>
                <c:pt idx="24">
                  <c:v>26.354111170307227</c:v>
                </c:pt>
                <c:pt idx="25">
                  <c:v>26.26711719722568</c:v>
                </c:pt>
                <c:pt idx="26">
                  <c:v>26.066773790394571</c:v>
                </c:pt>
                <c:pt idx="27">
                  <c:v>25.922608384091721</c:v>
                </c:pt>
                <c:pt idx="28">
                  <c:v>25.917308036513337</c:v>
                </c:pt>
                <c:pt idx="29">
                  <c:v>25.86021505376344</c:v>
                </c:pt>
                <c:pt idx="30">
                  <c:v>25.952552120776417</c:v>
                </c:pt>
                <c:pt idx="31">
                  <c:v>26.057986673869983</c:v>
                </c:pt>
                <c:pt idx="32">
                  <c:v>26.167718665464385</c:v>
                </c:pt>
                <c:pt idx="33">
                  <c:v>26.322418136020154</c:v>
                </c:pt>
                <c:pt idx="34">
                  <c:v>26.543762305351709</c:v>
                </c:pt>
                <c:pt idx="35">
                  <c:v>26.80099857346648</c:v>
                </c:pt>
                <c:pt idx="36">
                  <c:v>26.781895937277262</c:v>
                </c:pt>
                <c:pt idx="37">
                  <c:v>27.219355986479275</c:v>
                </c:pt>
                <c:pt idx="38">
                  <c:v>27.382217499114418</c:v>
                </c:pt>
                <c:pt idx="39">
                  <c:v>27.430187345351715</c:v>
                </c:pt>
                <c:pt idx="40">
                  <c:v>27.547770700636942</c:v>
                </c:pt>
                <c:pt idx="41">
                  <c:v>27.67619385762471</c:v>
                </c:pt>
                <c:pt idx="42">
                  <c:v>27.805665112943707</c:v>
                </c:pt>
                <c:pt idx="43">
                  <c:v>27.852893455922118</c:v>
                </c:pt>
                <c:pt idx="44">
                  <c:v>27.850162866449512</c:v>
                </c:pt>
                <c:pt idx="45">
                  <c:v>28.071140447378074</c:v>
                </c:pt>
                <c:pt idx="46">
                  <c:v>28.099630996309966</c:v>
                </c:pt>
                <c:pt idx="47">
                  <c:v>28.118040089086861</c:v>
                </c:pt>
                <c:pt idx="48">
                  <c:v>28.152437885297964</c:v>
                </c:pt>
                <c:pt idx="49">
                  <c:v>28.281308762692742</c:v>
                </c:pt>
                <c:pt idx="50">
                  <c:v>28.344970749197962</c:v>
                </c:pt>
                <c:pt idx="51">
                  <c:v>28.482210446631338</c:v>
                </c:pt>
                <c:pt idx="52">
                  <c:v>28.560606060606059</c:v>
                </c:pt>
                <c:pt idx="53">
                  <c:v>28.476821192052981</c:v>
                </c:pt>
                <c:pt idx="54">
                  <c:v>28.528301886792452</c:v>
                </c:pt>
                <c:pt idx="55">
                  <c:v>28.67410629846794</c:v>
                </c:pt>
                <c:pt idx="56">
                  <c:v>28.844696969696969</c:v>
                </c:pt>
                <c:pt idx="57">
                  <c:v>28.988806678049706</c:v>
                </c:pt>
                <c:pt idx="58">
                  <c:v>29.174591099277293</c:v>
                </c:pt>
                <c:pt idx="59">
                  <c:v>29.272934906737724</c:v>
                </c:pt>
                <c:pt idx="60">
                  <c:v>29.462242562929063</c:v>
                </c:pt>
                <c:pt idx="61">
                  <c:v>29.667176740627394</c:v>
                </c:pt>
                <c:pt idx="62">
                  <c:v>29.888803680981596</c:v>
                </c:pt>
                <c:pt idx="63">
                  <c:v>30.066985645933013</c:v>
                </c:pt>
                <c:pt idx="64">
                  <c:v>30.225880551301685</c:v>
                </c:pt>
                <c:pt idx="65">
                  <c:v>30.452280567267152</c:v>
                </c:pt>
                <c:pt idx="66">
                  <c:v>30.586431582981987</c:v>
                </c:pt>
                <c:pt idx="67">
                  <c:v>30.74116743471582</c:v>
                </c:pt>
                <c:pt idx="68">
                  <c:v>30.95969289827255</c:v>
                </c:pt>
                <c:pt idx="69">
                  <c:v>31.097911477294499</c:v>
                </c:pt>
                <c:pt idx="70">
                  <c:v>31.230828220858896</c:v>
                </c:pt>
                <c:pt idx="71">
                  <c:v>31.386441976254311</c:v>
                </c:pt>
                <c:pt idx="72">
                  <c:v>31.395793499043979</c:v>
                </c:pt>
                <c:pt idx="73">
                  <c:v>31.464530892448511</c:v>
                </c:pt>
                <c:pt idx="74">
                  <c:v>31.64605137963844</c:v>
                </c:pt>
                <c:pt idx="75">
                  <c:v>31.713797684570128</c:v>
                </c:pt>
                <c:pt idx="76">
                  <c:v>31.82592242194891</c:v>
                </c:pt>
                <c:pt idx="77">
                  <c:v>31.950989632422242</c:v>
                </c:pt>
                <c:pt idx="78">
                  <c:v>32.107337211484335</c:v>
                </c:pt>
                <c:pt idx="79">
                  <c:v>32.316616766467064</c:v>
                </c:pt>
                <c:pt idx="80">
                  <c:v>32.48277146582231</c:v>
                </c:pt>
                <c:pt idx="81">
                  <c:v>32.939220395344542</c:v>
                </c:pt>
                <c:pt idx="82">
                  <c:v>32.804428044280442</c:v>
                </c:pt>
                <c:pt idx="83">
                  <c:v>32.88073394495413</c:v>
                </c:pt>
                <c:pt idx="84">
                  <c:v>33.182640144665463</c:v>
                </c:pt>
                <c:pt idx="85">
                  <c:v>33.333333333333329</c:v>
                </c:pt>
                <c:pt idx="86">
                  <c:v>33.285354444044621</c:v>
                </c:pt>
                <c:pt idx="87">
                  <c:v>33.387125694818003</c:v>
                </c:pt>
                <c:pt idx="88">
                  <c:v>33.488205861329526</c:v>
                </c:pt>
                <c:pt idx="89">
                  <c:v>33.588875022285613</c:v>
                </c:pt>
                <c:pt idx="90">
                  <c:v>33.76</c:v>
                </c:pt>
                <c:pt idx="91">
                  <c:v>33.89350787192641</c:v>
                </c:pt>
                <c:pt idx="92">
                  <c:v>34.065740903497975</c:v>
                </c:pt>
                <c:pt idx="93">
                  <c:v>34.270251396648042</c:v>
                </c:pt>
                <c:pt idx="94">
                  <c:v>34.325774623507009</c:v>
                </c:pt>
                <c:pt idx="95">
                  <c:v>34.498192459975904</c:v>
                </c:pt>
                <c:pt idx="96">
                  <c:v>34.567266495287065</c:v>
                </c:pt>
                <c:pt idx="97">
                  <c:v>34.607508532423211</c:v>
                </c:pt>
                <c:pt idx="98">
                  <c:v>34.723404255319153</c:v>
                </c:pt>
              </c:numCache>
            </c:numRef>
          </c:val>
          <c:extLst>
            <c:ext xmlns:c16="http://schemas.microsoft.com/office/drawing/2014/chart" uri="{C3380CC4-5D6E-409C-BE32-E72D297353CC}">
              <c16:uniqueId val="{00000011-3B9C-474D-B836-BD9C9C06998E}"/>
            </c:ext>
          </c:extLst>
        </c:ser>
        <c:ser>
          <c:idx val="1"/>
          <c:order val="1"/>
          <c:tx>
            <c:strRef>
              <c:f>'Chart Data'!$AL$3</c:f>
              <c:strCache>
                <c:ptCount val="1"/>
                <c:pt idx="0">
                  <c:v>Education</c:v>
                </c:pt>
              </c:strCache>
            </c:strRef>
          </c:tx>
          <c:spPr>
            <a:solidFill>
              <a:srgbClr val="003469"/>
            </a:solidFill>
            <a:ln w="12700">
              <a:solidFill>
                <a:srgbClr val="003469"/>
              </a:solidFill>
              <a:prstDash val="solid"/>
            </a:ln>
            <a:effectLst/>
          </c:spPr>
          <c:dLbls>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Data'!$AJ$4:$AJ$102</c:f>
              <c:numCache>
                <c:formatCode>m/d/yyyy</c:formatCode>
                <c:ptCount val="99"/>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numCache>
            </c:numRef>
          </c:cat>
          <c:val>
            <c:numRef>
              <c:f>'Chart Data'!$AL$4:$AL$102</c:f>
              <c:numCache>
                <c:formatCode>0</c:formatCode>
                <c:ptCount val="99"/>
                <c:pt idx="0">
                  <c:v>27.957844501889046</c:v>
                </c:pt>
                <c:pt idx="1">
                  <c:v>28.540305010893245</c:v>
                </c:pt>
                <c:pt idx="2">
                  <c:v>28.686908517350158</c:v>
                </c:pt>
                <c:pt idx="3">
                  <c:v>28.675457587089152</c:v>
                </c:pt>
                <c:pt idx="4">
                  <c:v>28.646955159584884</c:v>
                </c:pt>
                <c:pt idx="5">
                  <c:v>28.576990461358768</c:v>
                </c:pt>
                <c:pt idx="6">
                  <c:v>28.413498836307216</c:v>
                </c:pt>
                <c:pt idx="7">
                  <c:v>28.435743361116494</c:v>
                </c:pt>
                <c:pt idx="8">
                  <c:v>28.293902673591077</c:v>
                </c:pt>
                <c:pt idx="9">
                  <c:v>28.185993111366248</c:v>
                </c:pt>
                <c:pt idx="10">
                  <c:v>28.506271379703534</c:v>
                </c:pt>
                <c:pt idx="11">
                  <c:v>28.356807511737088</c:v>
                </c:pt>
                <c:pt idx="12">
                  <c:v>28.209899516189058</c:v>
                </c:pt>
                <c:pt idx="13">
                  <c:v>28.242021767201624</c:v>
                </c:pt>
                <c:pt idx="14">
                  <c:v>28.082693011342847</c:v>
                </c:pt>
                <c:pt idx="15">
                  <c:v>28.303944737320485</c:v>
                </c:pt>
                <c:pt idx="16">
                  <c:v>28.1893747741236</c:v>
                </c:pt>
                <c:pt idx="17">
                  <c:v>28.295761947700633</c:v>
                </c:pt>
                <c:pt idx="18">
                  <c:v>28.205128205128204</c:v>
                </c:pt>
                <c:pt idx="19">
                  <c:v>28.157941754511345</c:v>
                </c:pt>
                <c:pt idx="20">
                  <c:v>28.156723063223509</c:v>
                </c:pt>
                <c:pt idx="21">
                  <c:v>28.037548707049236</c:v>
                </c:pt>
                <c:pt idx="22">
                  <c:v>28.24468085106383</c:v>
                </c:pt>
                <c:pt idx="23">
                  <c:v>28.32093517534538</c:v>
                </c:pt>
                <c:pt idx="24">
                  <c:v>28.467412537737523</c:v>
                </c:pt>
                <c:pt idx="25">
                  <c:v>28.614618531033258</c:v>
                </c:pt>
                <c:pt idx="26">
                  <c:v>28.762720942688809</c:v>
                </c:pt>
                <c:pt idx="27">
                  <c:v>28.860623432461484</c:v>
                </c:pt>
                <c:pt idx="28">
                  <c:v>28.960085913728296</c:v>
                </c:pt>
                <c:pt idx="29">
                  <c:v>29.08602150537634</c:v>
                </c:pt>
                <c:pt idx="30">
                  <c:v>29.259525521207763</c:v>
                </c:pt>
                <c:pt idx="31">
                  <c:v>29.425535746443366</c:v>
                </c:pt>
                <c:pt idx="32">
                  <c:v>29.395852119026149</c:v>
                </c:pt>
                <c:pt idx="33">
                  <c:v>29.45304066210867</c:v>
                </c:pt>
                <c:pt idx="34">
                  <c:v>29.461249328798999</c:v>
                </c:pt>
                <c:pt idx="35">
                  <c:v>29.404422253922966</c:v>
                </c:pt>
                <c:pt idx="36">
                  <c:v>29.615110477548111</c:v>
                </c:pt>
                <c:pt idx="37">
                  <c:v>29.478740437644547</c:v>
                </c:pt>
                <c:pt idx="38">
                  <c:v>29.330499468650373</c:v>
                </c:pt>
                <c:pt idx="39">
                  <c:v>29.568752209261223</c:v>
                </c:pt>
                <c:pt idx="40">
                  <c:v>29.564755838641187</c:v>
                </c:pt>
                <c:pt idx="41">
                  <c:v>29.966270193502574</c:v>
                </c:pt>
                <c:pt idx="42">
                  <c:v>29.831480817497315</c:v>
                </c:pt>
                <c:pt idx="43">
                  <c:v>29.890030647196681</c:v>
                </c:pt>
                <c:pt idx="44">
                  <c:v>30.021715526601522</c:v>
                </c:pt>
                <c:pt idx="45">
                  <c:v>30.473047304730471</c:v>
                </c:pt>
                <c:pt idx="46">
                  <c:v>30.774907749077489</c:v>
                </c:pt>
                <c:pt idx="47">
                  <c:v>30.88344469190794</c:v>
                </c:pt>
                <c:pt idx="48">
                  <c:v>31.440313842705024</c:v>
                </c:pt>
                <c:pt idx="49">
                  <c:v>31.27115456938699</c:v>
                </c:pt>
                <c:pt idx="50">
                  <c:v>31.326665408567656</c:v>
                </c:pt>
                <c:pt idx="51">
                  <c:v>31.396669190007572</c:v>
                </c:pt>
                <c:pt idx="52">
                  <c:v>31.420454545454547</c:v>
                </c:pt>
                <c:pt idx="53">
                  <c:v>31.844843897824031</c:v>
                </c:pt>
                <c:pt idx="54">
                  <c:v>31.943396226415093</c:v>
                </c:pt>
                <c:pt idx="55">
                  <c:v>32.135426517874031</c:v>
                </c:pt>
                <c:pt idx="56">
                  <c:v>32.178030303030305</c:v>
                </c:pt>
                <c:pt idx="57">
                  <c:v>32.138114209827357</c:v>
                </c:pt>
                <c:pt idx="58">
                  <c:v>32.12248003042982</c:v>
                </c:pt>
                <c:pt idx="59">
                  <c:v>32.185001903311758</c:v>
                </c:pt>
                <c:pt idx="60">
                  <c:v>32.189168573607937</c:v>
                </c:pt>
                <c:pt idx="61">
                  <c:v>32.306809487375673</c:v>
                </c:pt>
                <c:pt idx="62">
                  <c:v>32.24693251533742</c:v>
                </c:pt>
                <c:pt idx="63">
                  <c:v>32.172248803827749</c:v>
                </c:pt>
                <c:pt idx="64">
                  <c:v>32.159264931087286</c:v>
                </c:pt>
                <c:pt idx="65">
                  <c:v>32.119586048294366</c:v>
                </c:pt>
                <c:pt idx="66">
                  <c:v>32.157914909927179</c:v>
                </c:pt>
                <c:pt idx="67">
                  <c:v>32.085253456221196</c:v>
                </c:pt>
                <c:pt idx="68">
                  <c:v>32.015355086372359</c:v>
                </c:pt>
                <c:pt idx="69">
                  <c:v>31.845181069170341</c:v>
                </c:pt>
                <c:pt idx="70">
                  <c:v>31.633435582822084</c:v>
                </c:pt>
                <c:pt idx="71">
                  <c:v>31.482190731520493</c:v>
                </c:pt>
                <c:pt idx="72">
                  <c:v>31.434034416826002</c:v>
                </c:pt>
                <c:pt idx="73">
                  <c:v>31.350114416475972</c:v>
                </c:pt>
                <c:pt idx="74">
                  <c:v>31.132254995242626</c:v>
                </c:pt>
                <c:pt idx="75">
                  <c:v>31.068513949516035</c:v>
                </c:pt>
                <c:pt idx="76">
                  <c:v>30.936613055818352</c:v>
                </c:pt>
                <c:pt idx="77">
                  <c:v>30.838831291234687</c:v>
                </c:pt>
                <c:pt idx="78">
                  <c:v>30.587352223681741</c:v>
                </c:pt>
                <c:pt idx="79">
                  <c:v>30.389221556886227</c:v>
                </c:pt>
                <c:pt idx="80">
                  <c:v>30.210467498603094</c:v>
                </c:pt>
                <c:pt idx="81">
                  <c:v>29.891003140587475</c:v>
                </c:pt>
                <c:pt idx="82">
                  <c:v>29.944649446494466</c:v>
                </c:pt>
                <c:pt idx="83">
                  <c:v>29.779816513761471</c:v>
                </c:pt>
                <c:pt idx="84">
                  <c:v>29.312839059674502</c:v>
                </c:pt>
                <c:pt idx="85">
                  <c:v>29.326836311135175</c:v>
                </c:pt>
                <c:pt idx="86">
                  <c:v>29.291111910759266</c:v>
                </c:pt>
                <c:pt idx="87">
                  <c:v>29.227183073336921</c:v>
                </c:pt>
                <c:pt idx="88">
                  <c:v>29.163688348820589</c:v>
                </c:pt>
                <c:pt idx="89">
                  <c:v>29.096095560706008</c:v>
                </c:pt>
                <c:pt idx="90">
                  <c:v>28.871111111111109</c:v>
                </c:pt>
                <c:pt idx="91">
                  <c:v>28.798867857774635</c:v>
                </c:pt>
                <c:pt idx="92">
                  <c:v>28.722095271576727</c:v>
                </c:pt>
                <c:pt idx="93">
                  <c:v>28.578910614525139</c:v>
                </c:pt>
                <c:pt idx="94">
                  <c:v>28.68270728751947</c:v>
                </c:pt>
                <c:pt idx="95">
                  <c:v>28.507488380099844</c:v>
                </c:pt>
                <c:pt idx="96">
                  <c:v>28.346186803770351</c:v>
                </c:pt>
                <c:pt idx="97">
                  <c:v>28.225255972696246</c:v>
                </c:pt>
                <c:pt idx="98">
                  <c:v>28.221276595744683</c:v>
                </c:pt>
              </c:numCache>
            </c:numRef>
          </c:val>
          <c:extLst>
            <c:ext xmlns:c16="http://schemas.microsoft.com/office/drawing/2014/chart" uri="{C3380CC4-5D6E-409C-BE32-E72D297353CC}">
              <c16:uniqueId val="{00000013-3B9C-474D-B836-BD9C9C06998E}"/>
            </c:ext>
          </c:extLst>
        </c:ser>
        <c:ser>
          <c:idx val="2"/>
          <c:order val="2"/>
          <c:tx>
            <c:strRef>
              <c:f>'Chart Data'!$AM$3</c:f>
              <c:strCache>
                <c:ptCount val="1"/>
                <c:pt idx="0">
                  <c:v>Public administration</c:v>
                </c:pt>
              </c:strCache>
            </c:strRef>
          </c:tx>
          <c:spPr>
            <a:solidFill>
              <a:srgbClr val="D1A21E"/>
            </a:solidFill>
            <a:ln w="12700">
              <a:solidFill>
                <a:srgbClr val="D1A21E"/>
              </a:solidFill>
              <a:prstDash val="solid"/>
            </a:ln>
            <a:effectLst/>
          </c:spPr>
          <c:dLbls>
            <c:dLbl>
              <c:idx val="0"/>
              <c:layout>
                <c:manualLayout>
                  <c:x val="-3.0130236166485526E-3"/>
                  <c:y val="-9.4356262202233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B269-47E3-9796-DFA48974654C}"/>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Data'!$AJ$4:$AJ$102</c:f>
              <c:numCache>
                <c:formatCode>m/d/yyyy</c:formatCode>
                <c:ptCount val="99"/>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numCache>
            </c:numRef>
          </c:cat>
          <c:val>
            <c:numRef>
              <c:f>'Chart Data'!$AM$4:$AM$102</c:f>
              <c:numCache>
                <c:formatCode>0</c:formatCode>
                <c:ptCount val="99"/>
                <c:pt idx="0">
                  <c:v>23.543448001590775</c:v>
                </c:pt>
                <c:pt idx="1">
                  <c:v>23.331352743117449</c:v>
                </c:pt>
                <c:pt idx="2">
                  <c:v>23.205835962145109</c:v>
                </c:pt>
                <c:pt idx="3">
                  <c:v>23.164731352096045</c:v>
                </c:pt>
                <c:pt idx="4">
                  <c:v>23.125122381045625</c:v>
                </c:pt>
                <c:pt idx="5">
                  <c:v>23.067938485497372</c:v>
                </c:pt>
                <c:pt idx="6">
                  <c:v>23.041117145073699</c:v>
                </c:pt>
                <c:pt idx="7">
                  <c:v>23.202170963364992</c:v>
                </c:pt>
                <c:pt idx="8">
                  <c:v>23.158299673014042</c:v>
                </c:pt>
                <c:pt idx="9">
                  <c:v>23.191733639494831</c:v>
                </c:pt>
                <c:pt idx="10">
                  <c:v>23.090079817559864</c:v>
                </c:pt>
                <c:pt idx="11">
                  <c:v>23.211267605633804</c:v>
                </c:pt>
                <c:pt idx="12">
                  <c:v>23.185708969110532</c:v>
                </c:pt>
                <c:pt idx="13">
                  <c:v>23.187603763143329</c:v>
                </c:pt>
                <c:pt idx="14">
                  <c:v>23.051591657519211</c:v>
                </c:pt>
                <c:pt idx="15">
                  <c:v>22.868569351027084</c:v>
                </c:pt>
                <c:pt idx="16">
                  <c:v>22.894831947958078</c:v>
                </c:pt>
                <c:pt idx="17">
                  <c:v>22.903516681695223</c:v>
                </c:pt>
                <c:pt idx="18">
                  <c:v>22.933476779630627</c:v>
                </c:pt>
                <c:pt idx="19">
                  <c:v>22.833660889762371</c:v>
                </c:pt>
                <c:pt idx="20">
                  <c:v>22.796081923419411</c:v>
                </c:pt>
                <c:pt idx="21">
                  <c:v>22.79489904357067</c:v>
                </c:pt>
                <c:pt idx="22">
                  <c:v>22.76595744680851</c:v>
                </c:pt>
                <c:pt idx="23">
                  <c:v>22.741764080765144</c:v>
                </c:pt>
                <c:pt idx="24">
                  <c:v>22.802344166222696</c:v>
                </c:pt>
                <c:pt idx="25">
                  <c:v>22.817001600569093</c:v>
                </c:pt>
                <c:pt idx="26">
                  <c:v>22.906623817175504</c:v>
                </c:pt>
                <c:pt idx="27">
                  <c:v>22.930849158007881</c:v>
                </c:pt>
                <c:pt idx="28">
                  <c:v>22.838732772507605</c:v>
                </c:pt>
                <c:pt idx="29">
                  <c:v>22.741935483870968</c:v>
                </c:pt>
                <c:pt idx="30">
                  <c:v>22.807332854061826</c:v>
                </c:pt>
                <c:pt idx="31">
                  <c:v>22.636412749864938</c:v>
                </c:pt>
                <c:pt idx="32">
                  <c:v>22.254283137962126</c:v>
                </c:pt>
                <c:pt idx="33">
                  <c:v>22.058294350485784</c:v>
                </c:pt>
                <c:pt idx="34">
                  <c:v>21.621621621621621</c:v>
                </c:pt>
                <c:pt idx="35">
                  <c:v>21.576319543509275</c:v>
                </c:pt>
                <c:pt idx="36">
                  <c:v>21.525302922309336</c:v>
                </c:pt>
                <c:pt idx="37">
                  <c:v>21.490837929194093</c:v>
                </c:pt>
                <c:pt idx="38">
                  <c:v>21.608218207580588</c:v>
                </c:pt>
                <c:pt idx="39">
                  <c:v>21.438670908448216</c:v>
                </c:pt>
                <c:pt idx="40">
                  <c:v>21.461429582448691</c:v>
                </c:pt>
                <c:pt idx="41">
                  <c:v>21.303035682584767</c:v>
                </c:pt>
                <c:pt idx="42">
                  <c:v>21.172463248476156</c:v>
                </c:pt>
                <c:pt idx="43">
                  <c:v>21.182621236704524</c:v>
                </c:pt>
                <c:pt idx="44">
                  <c:v>21.064060803474487</c:v>
                </c:pt>
                <c:pt idx="45">
                  <c:v>20.535386872020535</c:v>
                </c:pt>
                <c:pt idx="46">
                  <c:v>20.461254612546124</c:v>
                </c:pt>
                <c:pt idx="47">
                  <c:v>20.285820341499626</c:v>
                </c:pt>
                <c:pt idx="48">
                  <c:v>20.175602465906969</c:v>
                </c:pt>
                <c:pt idx="49">
                  <c:v>20.270778488153439</c:v>
                </c:pt>
                <c:pt idx="50">
                  <c:v>20.192489148896016</c:v>
                </c:pt>
                <c:pt idx="51">
                  <c:v>20.230885692657079</c:v>
                </c:pt>
                <c:pt idx="52">
                  <c:v>20.303030303030305</c:v>
                </c:pt>
                <c:pt idx="53">
                  <c:v>20.283822138126776</c:v>
                </c:pt>
                <c:pt idx="54">
                  <c:v>20.245283018867923</c:v>
                </c:pt>
                <c:pt idx="55">
                  <c:v>20.068091545299794</c:v>
                </c:pt>
                <c:pt idx="56">
                  <c:v>20.05681818181818</c:v>
                </c:pt>
                <c:pt idx="57">
                  <c:v>20.091064314171884</c:v>
                </c:pt>
                <c:pt idx="58">
                  <c:v>20.0266260935717</c:v>
                </c:pt>
                <c:pt idx="59">
                  <c:v>19.889607917776932</c:v>
                </c:pt>
                <c:pt idx="60">
                  <c:v>19.71777269260107</c:v>
                </c:pt>
                <c:pt idx="61">
                  <c:v>19.510328997704669</c:v>
                </c:pt>
                <c:pt idx="62">
                  <c:v>19.478527607361965</c:v>
                </c:pt>
                <c:pt idx="63">
                  <c:v>19.425837320574164</c:v>
                </c:pt>
                <c:pt idx="64">
                  <c:v>19.333843797856048</c:v>
                </c:pt>
                <c:pt idx="65">
                  <c:v>19.221924108853965</c:v>
                </c:pt>
                <c:pt idx="66">
                  <c:v>19.202759678037562</c:v>
                </c:pt>
                <c:pt idx="67">
                  <c:v>19.25883256528418</c:v>
                </c:pt>
                <c:pt idx="68">
                  <c:v>19.289827255278311</c:v>
                </c:pt>
                <c:pt idx="69">
                  <c:v>19.390687871239702</c:v>
                </c:pt>
                <c:pt idx="70">
                  <c:v>19.497699386503069</c:v>
                </c:pt>
                <c:pt idx="71">
                  <c:v>19.475296821141324</c:v>
                </c:pt>
                <c:pt idx="72">
                  <c:v>19.541108986615679</c:v>
                </c:pt>
                <c:pt idx="73">
                  <c:v>19.60335621662853</c:v>
                </c:pt>
                <c:pt idx="74">
                  <c:v>19.657469077069457</c:v>
                </c:pt>
                <c:pt idx="75">
                  <c:v>19.700132852533688</c:v>
                </c:pt>
                <c:pt idx="76">
                  <c:v>19.848628192999055</c:v>
                </c:pt>
                <c:pt idx="77">
                  <c:v>19.849198868991515</c:v>
                </c:pt>
                <c:pt idx="78">
                  <c:v>19.834865828485647</c:v>
                </c:pt>
                <c:pt idx="79">
                  <c:v>19.928892215568865</c:v>
                </c:pt>
                <c:pt idx="80">
                  <c:v>19.87334699199106</c:v>
                </c:pt>
                <c:pt idx="81">
                  <c:v>19.785701089968594</c:v>
                </c:pt>
                <c:pt idx="82">
                  <c:v>19.944649446494463</c:v>
                </c:pt>
                <c:pt idx="83">
                  <c:v>20.110091743119266</c:v>
                </c:pt>
                <c:pt idx="84">
                  <c:v>20.361663652802893</c:v>
                </c:pt>
                <c:pt idx="85">
                  <c:v>20.194910665944775</c:v>
                </c:pt>
                <c:pt idx="86">
                  <c:v>20.277078085642316</c:v>
                </c:pt>
                <c:pt idx="87">
                  <c:v>20.297651066881837</c:v>
                </c:pt>
                <c:pt idx="88">
                  <c:v>20.425303788420301</c:v>
                </c:pt>
                <c:pt idx="89">
                  <c:v>20.377963986450347</c:v>
                </c:pt>
                <c:pt idx="90">
                  <c:v>20.408888888888889</c:v>
                </c:pt>
                <c:pt idx="91">
                  <c:v>20.396249778878474</c:v>
                </c:pt>
                <c:pt idx="92">
                  <c:v>20.372648971699771</c:v>
                </c:pt>
                <c:pt idx="93">
                  <c:v>20.51326815642458</c:v>
                </c:pt>
                <c:pt idx="94">
                  <c:v>20.495066643586636</c:v>
                </c:pt>
                <c:pt idx="95">
                  <c:v>20.58874160784989</c:v>
                </c:pt>
                <c:pt idx="96">
                  <c:v>20.702656383890318</c:v>
                </c:pt>
                <c:pt idx="97">
                  <c:v>20.750853242320819</c:v>
                </c:pt>
                <c:pt idx="98">
                  <c:v>20.76595744680851</c:v>
                </c:pt>
              </c:numCache>
            </c:numRef>
          </c:val>
          <c:extLst>
            <c:ext xmlns:c16="http://schemas.microsoft.com/office/drawing/2014/chart" uri="{C3380CC4-5D6E-409C-BE32-E72D297353CC}">
              <c16:uniqueId val="{00000015-3B9C-474D-B836-BD9C9C06998E}"/>
            </c:ext>
          </c:extLst>
        </c:ser>
        <c:ser>
          <c:idx val="3"/>
          <c:order val="3"/>
          <c:tx>
            <c:strRef>
              <c:f>'Chart Data'!$AN$3</c:f>
              <c:strCache>
                <c:ptCount val="1"/>
                <c:pt idx="0">
                  <c:v>Police</c:v>
                </c:pt>
              </c:strCache>
            </c:strRef>
          </c:tx>
          <c:spPr>
            <a:solidFill>
              <a:srgbClr val="7B7C77"/>
            </a:solidFill>
            <a:ln w="12700">
              <a:solidFill>
                <a:srgbClr val="7B7C77"/>
              </a:solidFill>
              <a:prstDash val="solid"/>
            </a:ln>
            <a:effectLst/>
          </c:spPr>
          <c:dLbls>
            <c:dLbl>
              <c:idx val="0"/>
              <c:layout>
                <c:manualLayout>
                  <c:x val="0.12956001551588539"/>
                  <c:y val="-1.320987670831273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B269-47E3-9796-DFA48974654C}"/>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Data'!$AJ$4:$AJ$102</c:f>
              <c:numCache>
                <c:formatCode>m/d/yyyy</c:formatCode>
                <c:ptCount val="99"/>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numCache>
            </c:numRef>
          </c:cat>
          <c:val>
            <c:numRef>
              <c:f>'Chart Data'!$AN$4:$AN$102</c:f>
              <c:numCache>
                <c:formatCode>0</c:formatCode>
                <c:ptCount val="99"/>
                <c:pt idx="0">
                  <c:v>4.4740505070590579</c:v>
                </c:pt>
                <c:pt idx="1">
                  <c:v>4.4563279857397502</c:v>
                </c:pt>
                <c:pt idx="2">
                  <c:v>4.4558359621451107</c:v>
                </c:pt>
                <c:pt idx="3">
                  <c:v>4.4676244833694154</c:v>
                </c:pt>
                <c:pt idx="4">
                  <c:v>4.4644605443508905</c:v>
                </c:pt>
                <c:pt idx="5">
                  <c:v>4.4578547790539229</c:v>
                </c:pt>
                <c:pt idx="6">
                  <c:v>4.48021722265322</c:v>
                </c:pt>
                <c:pt idx="7">
                  <c:v>4.5357627447179683</c:v>
                </c:pt>
                <c:pt idx="8">
                  <c:v>4.5393344874014234</c:v>
                </c:pt>
                <c:pt idx="9">
                  <c:v>4.5541523153463448</c:v>
                </c:pt>
                <c:pt idx="10">
                  <c:v>4.5610034207525656</c:v>
                </c:pt>
                <c:pt idx="11">
                  <c:v>4.544600938967136</c:v>
                </c:pt>
                <c:pt idx="12">
                  <c:v>4.5775958317826566</c:v>
                </c:pt>
                <c:pt idx="13">
                  <c:v>4.5748016971038554</c:v>
                </c:pt>
                <c:pt idx="14">
                  <c:v>4.6103183315038416</c:v>
                </c:pt>
                <c:pt idx="15">
                  <c:v>4.6536993273950191</c:v>
                </c:pt>
                <c:pt idx="16">
                  <c:v>4.6982291290206</c:v>
                </c:pt>
                <c:pt idx="17">
                  <c:v>4.761045987376014</c:v>
                </c:pt>
                <c:pt idx="18">
                  <c:v>4.7516585978124439</c:v>
                </c:pt>
                <c:pt idx="19">
                  <c:v>4.7704127211005902</c:v>
                </c:pt>
                <c:pt idx="20">
                  <c:v>4.8263579697239534</c:v>
                </c:pt>
                <c:pt idx="21">
                  <c:v>4.8175699610343603</c:v>
                </c:pt>
                <c:pt idx="22">
                  <c:v>4.8049645390070923</c:v>
                </c:pt>
                <c:pt idx="23">
                  <c:v>4.8529932695713782</c:v>
                </c:pt>
                <c:pt idx="24">
                  <c:v>4.8659207955958088</c:v>
                </c:pt>
                <c:pt idx="25">
                  <c:v>4.8728436777520896</c:v>
                </c:pt>
                <c:pt idx="26">
                  <c:v>4.9276914836636312</c:v>
                </c:pt>
                <c:pt idx="27">
                  <c:v>4.9982085274095303</c:v>
                </c:pt>
                <c:pt idx="28">
                  <c:v>5.0474315374977623</c:v>
                </c:pt>
                <c:pt idx="29">
                  <c:v>5.0716845878136203</c:v>
                </c:pt>
                <c:pt idx="30">
                  <c:v>5.1042415528396834</c:v>
                </c:pt>
                <c:pt idx="31">
                  <c:v>5.1143526021970107</c:v>
                </c:pt>
                <c:pt idx="32">
                  <c:v>5.1577998196573489</c:v>
                </c:pt>
                <c:pt idx="33">
                  <c:v>5.1457358762144656</c:v>
                </c:pt>
                <c:pt idx="34">
                  <c:v>5.1369250044746728</c:v>
                </c:pt>
                <c:pt idx="35">
                  <c:v>5.1533523537803143</c:v>
                </c:pt>
                <c:pt idx="36">
                  <c:v>5.2209550962223812</c:v>
                </c:pt>
                <c:pt idx="37">
                  <c:v>5.230386052303861</c:v>
                </c:pt>
                <c:pt idx="38">
                  <c:v>5.2426496634785691</c:v>
                </c:pt>
                <c:pt idx="39">
                  <c:v>5.2138564863909513</c:v>
                </c:pt>
                <c:pt idx="40">
                  <c:v>5.219391365888181</c:v>
                </c:pt>
                <c:pt idx="41">
                  <c:v>5.1837386827622938</c:v>
                </c:pt>
                <c:pt idx="42">
                  <c:v>5.1989960559340265</c:v>
                </c:pt>
                <c:pt idx="43">
                  <c:v>5.1559401478276552</c:v>
                </c:pt>
                <c:pt idx="44">
                  <c:v>5.1031487513572209</c:v>
                </c:pt>
                <c:pt idx="45">
                  <c:v>5.0788412174550785</c:v>
                </c:pt>
                <c:pt idx="46">
                  <c:v>5.03690036900369</c:v>
                </c:pt>
                <c:pt idx="47">
                  <c:v>5.0111358574610243</c:v>
                </c:pt>
                <c:pt idx="48">
                  <c:v>5.0065383896880258</c:v>
                </c:pt>
                <c:pt idx="49">
                  <c:v>5.0018804061677322</c:v>
                </c:pt>
                <c:pt idx="50">
                  <c:v>4.9820720890734105</c:v>
                </c:pt>
                <c:pt idx="51">
                  <c:v>4.9772899318697963</c:v>
                </c:pt>
                <c:pt idx="52">
                  <c:v>4.9431818181818183</c:v>
                </c:pt>
                <c:pt idx="53">
                  <c:v>4.9385052034058656</c:v>
                </c:pt>
                <c:pt idx="54">
                  <c:v>4.8867924528301891</c:v>
                </c:pt>
                <c:pt idx="55">
                  <c:v>4.8798940798184223</c:v>
                </c:pt>
                <c:pt idx="56">
                  <c:v>4.8674242424242422</c:v>
                </c:pt>
                <c:pt idx="57">
                  <c:v>4.8567634225004745</c:v>
                </c:pt>
                <c:pt idx="58">
                  <c:v>4.8687713959680492</c:v>
                </c:pt>
                <c:pt idx="59">
                  <c:v>4.853444994290065</c:v>
                </c:pt>
                <c:pt idx="60">
                  <c:v>4.8627002288329519</c:v>
                </c:pt>
                <c:pt idx="61">
                  <c:v>4.8584544758990056</c:v>
                </c:pt>
                <c:pt idx="62">
                  <c:v>4.8312883435582821</c:v>
                </c:pt>
                <c:pt idx="63">
                  <c:v>4.7846889952153111</c:v>
                </c:pt>
                <c:pt idx="64">
                  <c:v>4.7473200612557429</c:v>
                </c:pt>
                <c:pt idx="65">
                  <c:v>4.7336144116519741</c:v>
                </c:pt>
                <c:pt idx="66">
                  <c:v>4.7336144116519741</c:v>
                </c:pt>
                <c:pt idx="67">
                  <c:v>4.7235023041474653</c:v>
                </c:pt>
                <c:pt idx="68">
                  <c:v>4.702495201535509</c:v>
                </c:pt>
                <c:pt idx="69">
                  <c:v>4.6943858976815482</c:v>
                </c:pt>
                <c:pt idx="70">
                  <c:v>4.6970858895705518</c:v>
                </c:pt>
                <c:pt idx="71">
                  <c:v>4.7108387590961316</c:v>
                </c:pt>
                <c:pt idx="72">
                  <c:v>4.7036328871892925</c:v>
                </c:pt>
                <c:pt idx="73">
                  <c:v>4.7101449275362324</c:v>
                </c:pt>
                <c:pt idx="74">
                  <c:v>4.7002854424357752</c:v>
                </c:pt>
                <c:pt idx="75">
                  <c:v>4.6877965458341242</c:v>
                </c:pt>
                <c:pt idx="76">
                  <c:v>4.7114474929044459</c:v>
                </c:pt>
                <c:pt idx="77">
                  <c:v>4.6936852026390197</c:v>
                </c:pt>
                <c:pt idx="78">
                  <c:v>4.7288421842747228</c:v>
                </c:pt>
                <c:pt idx="79">
                  <c:v>4.7342814371257491</c:v>
                </c:pt>
                <c:pt idx="80">
                  <c:v>4.8053641273980254</c:v>
                </c:pt>
                <c:pt idx="81">
                  <c:v>4.8217254757066321</c:v>
                </c:pt>
                <c:pt idx="82">
                  <c:v>4.8523985239852401</c:v>
                </c:pt>
                <c:pt idx="83">
                  <c:v>4.8440366972477067</c:v>
                </c:pt>
                <c:pt idx="84">
                  <c:v>4.8462929475587702</c:v>
                </c:pt>
                <c:pt idx="85">
                  <c:v>4.8547193647356073</c:v>
                </c:pt>
                <c:pt idx="86">
                  <c:v>4.8758546239654557</c:v>
                </c:pt>
                <c:pt idx="87">
                  <c:v>4.8413125336202265</c:v>
                </c:pt>
                <c:pt idx="88">
                  <c:v>4.8606147248034315</c:v>
                </c:pt>
                <c:pt idx="89">
                  <c:v>4.849349260117668</c:v>
                </c:pt>
                <c:pt idx="90">
                  <c:v>4.8711111111111105</c:v>
                </c:pt>
                <c:pt idx="91">
                  <c:v>4.8823633468954544</c:v>
                </c:pt>
                <c:pt idx="92">
                  <c:v>4.9217788715064161</c:v>
                </c:pt>
                <c:pt idx="93">
                  <c:v>4.8882681564245809</c:v>
                </c:pt>
                <c:pt idx="94">
                  <c:v>4.8641163233512206</c:v>
                </c:pt>
                <c:pt idx="95">
                  <c:v>4.8373213978309524</c:v>
                </c:pt>
                <c:pt idx="96">
                  <c:v>4.8329048843187659</c:v>
                </c:pt>
                <c:pt idx="97">
                  <c:v>4.8122866894197953</c:v>
                </c:pt>
                <c:pt idx="98">
                  <c:v>4.8</c:v>
                </c:pt>
              </c:numCache>
            </c:numRef>
          </c:val>
          <c:extLst>
            <c:ext xmlns:c16="http://schemas.microsoft.com/office/drawing/2014/chart" uri="{C3380CC4-5D6E-409C-BE32-E72D297353CC}">
              <c16:uniqueId val="{00000017-3B9C-474D-B836-BD9C9C06998E}"/>
            </c:ext>
          </c:extLst>
        </c:ser>
        <c:ser>
          <c:idx val="4"/>
          <c:order val="4"/>
          <c:tx>
            <c:strRef>
              <c:f>'Chart Data'!$AO$3</c:f>
              <c:strCache>
                <c:ptCount val="1"/>
                <c:pt idx="0">
                  <c:v>HM forces</c:v>
                </c:pt>
              </c:strCache>
            </c:strRef>
          </c:tx>
          <c:spPr>
            <a:solidFill>
              <a:srgbClr val="965793"/>
            </a:solidFill>
            <a:ln w="12700">
              <a:solidFill>
                <a:srgbClr val="965793"/>
              </a:solidFill>
              <a:prstDash val="solid"/>
            </a:ln>
            <a:effectLst/>
          </c:spPr>
          <c:dLbls>
            <c:dLbl>
              <c:idx val="0"/>
              <c:layout>
                <c:manualLayout>
                  <c:x val="-0.15969025168237042"/>
                  <c:y val="1.132275146426799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B269-47E3-9796-DFA48974654C}"/>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a:noFill/>
                    </a:ln>
                  </c:spPr>
                </c15:leaderLines>
              </c:ext>
            </c:extLst>
          </c:dLbls>
          <c:cat>
            <c:numRef>
              <c:f>'Chart Data'!$AJ$4:$AJ$102</c:f>
              <c:numCache>
                <c:formatCode>m/d/yyyy</c:formatCode>
                <c:ptCount val="99"/>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numCache>
            </c:numRef>
          </c:cat>
          <c:val>
            <c:numRef>
              <c:f>'Chart Data'!$AO$4:$AO$102</c:f>
              <c:numCache>
                <c:formatCode>0</c:formatCode>
                <c:ptCount val="99"/>
                <c:pt idx="0">
                  <c:v>4.3149731556969577</c:v>
                </c:pt>
                <c:pt idx="1">
                  <c:v>4.2978807684690032</c:v>
                </c:pt>
                <c:pt idx="2">
                  <c:v>4.2586750788643535</c:v>
                </c:pt>
                <c:pt idx="3">
                  <c:v>4.2314505018697108</c:v>
                </c:pt>
                <c:pt idx="4">
                  <c:v>4.2099079694536909</c:v>
                </c:pt>
                <c:pt idx="5">
                  <c:v>4.1658555577185128</c:v>
                </c:pt>
                <c:pt idx="6">
                  <c:v>4.1505042668735452</c:v>
                </c:pt>
                <c:pt idx="7">
                  <c:v>4.1480907152548943</c:v>
                </c:pt>
                <c:pt idx="8">
                  <c:v>4.1161761877284091</c:v>
                </c:pt>
                <c:pt idx="9">
                  <c:v>4.0949100650593184</c:v>
                </c:pt>
                <c:pt idx="10">
                  <c:v>4.0858988977575068</c:v>
                </c:pt>
                <c:pt idx="11">
                  <c:v>4.037558685446009</c:v>
                </c:pt>
                <c:pt idx="12">
                  <c:v>4.1123930033494602</c:v>
                </c:pt>
                <c:pt idx="13">
                  <c:v>4.1136321711861283</c:v>
                </c:pt>
                <c:pt idx="14">
                  <c:v>4.061470911086718</c:v>
                </c:pt>
                <c:pt idx="15">
                  <c:v>4.0174513724777317</c:v>
                </c:pt>
                <c:pt idx="16">
                  <c:v>3.9573545355981206</c:v>
                </c:pt>
                <c:pt idx="17">
                  <c:v>3.9314697926059514</c:v>
                </c:pt>
                <c:pt idx="18">
                  <c:v>3.8730500268961805</c:v>
                </c:pt>
                <c:pt idx="19">
                  <c:v>3.8234768626049673</c:v>
                </c:pt>
                <c:pt idx="20">
                  <c:v>3.7756010685663401</c:v>
                </c:pt>
                <c:pt idx="21">
                  <c:v>3.7194473963868226</c:v>
                </c:pt>
                <c:pt idx="22">
                  <c:v>3.6879432624113475</c:v>
                </c:pt>
                <c:pt idx="23">
                  <c:v>3.6486007793127877</c:v>
                </c:pt>
                <c:pt idx="24">
                  <c:v>3.640561179186645</c:v>
                </c:pt>
                <c:pt idx="25">
                  <c:v>3.6279566067935267</c:v>
                </c:pt>
                <c:pt idx="26">
                  <c:v>3.6243527941439027</c:v>
                </c:pt>
                <c:pt idx="27">
                  <c:v>3.6187746327481189</c:v>
                </c:pt>
                <c:pt idx="28">
                  <c:v>3.5618399856810452</c:v>
                </c:pt>
                <c:pt idx="29">
                  <c:v>3.5304659498207887</c:v>
                </c:pt>
                <c:pt idx="30">
                  <c:v>3.5046728971962615</c:v>
                </c:pt>
                <c:pt idx="31">
                  <c:v>3.5116153430578065</c:v>
                </c:pt>
                <c:pt idx="32">
                  <c:v>3.4806131650135255</c:v>
                </c:pt>
                <c:pt idx="33">
                  <c:v>3.472472112270601</c:v>
                </c:pt>
                <c:pt idx="34">
                  <c:v>3.4723465187041342</c:v>
                </c:pt>
                <c:pt idx="35">
                  <c:v>3.4415121255349499</c:v>
                </c:pt>
                <c:pt idx="36">
                  <c:v>3.4925160370634352</c:v>
                </c:pt>
                <c:pt idx="37">
                  <c:v>3.5047144636185732</c:v>
                </c:pt>
                <c:pt idx="38">
                  <c:v>3.5246191994332272</c:v>
                </c:pt>
                <c:pt idx="39">
                  <c:v>3.5171438670908448</c:v>
                </c:pt>
                <c:pt idx="40">
                  <c:v>3.5208775654635525</c:v>
                </c:pt>
                <c:pt idx="41">
                  <c:v>3.4972483578909994</c:v>
                </c:pt>
                <c:pt idx="42">
                  <c:v>3.5138042309071351</c:v>
                </c:pt>
                <c:pt idx="43">
                  <c:v>3.5334414999098609</c:v>
                </c:pt>
                <c:pt idx="44">
                  <c:v>3.5106768005790809</c:v>
                </c:pt>
                <c:pt idx="45">
                  <c:v>3.5386872020535387</c:v>
                </c:pt>
                <c:pt idx="46">
                  <c:v>3.5239852398523985</c:v>
                </c:pt>
                <c:pt idx="47">
                  <c:v>3.5263548626577581</c:v>
                </c:pt>
                <c:pt idx="48">
                  <c:v>3.493368204745003</c:v>
                </c:pt>
                <c:pt idx="49">
                  <c:v>3.4975554719819479</c:v>
                </c:pt>
                <c:pt idx="50">
                  <c:v>3.4534817890167955</c:v>
                </c:pt>
                <c:pt idx="51">
                  <c:v>3.3875851627554883</c:v>
                </c:pt>
                <c:pt idx="52">
                  <c:v>3.3712121212121215</c:v>
                </c:pt>
                <c:pt idx="53">
                  <c:v>3.3112582781456954</c:v>
                </c:pt>
                <c:pt idx="54">
                  <c:v>3.283018867924528</c:v>
                </c:pt>
                <c:pt idx="55">
                  <c:v>3.1965197654624551</c:v>
                </c:pt>
                <c:pt idx="56">
                  <c:v>3.143939393939394</c:v>
                </c:pt>
                <c:pt idx="57">
                  <c:v>3.1113640675393661</c:v>
                </c:pt>
                <c:pt idx="58">
                  <c:v>3.1000380372765308</c:v>
                </c:pt>
                <c:pt idx="59">
                  <c:v>3.0833650551960412</c:v>
                </c:pt>
                <c:pt idx="60">
                  <c:v>3.0511060259344012</c:v>
                </c:pt>
                <c:pt idx="61">
                  <c:v>3.0413159908186689</c:v>
                </c:pt>
                <c:pt idx="62">
                  <c:v>3.048312883435583</c:v>
                </c:pt>
                <c:pt idx="63">
                  <c:v>3.0430622009569377</c:v>
                </c:pt>
                <c:pt idx="64">
                  <c:v>3.0245022970903519</c:v>
                </c:pt>
                <c:pt idx="65">
                  <c:v>3.0279800689919512</c:v>
                </c:pt>
                <c:pt idx="66">
                  <c:v>3.0279800689919512</c:v>
                </c:pt>
                <c:pt idx="67">
                  <c:v>3.0337941628264207</c:v>
                </c:pt>
                <c:pt idx="68">
                  <c:v>3.0134357005758159</c:v>
                </c:pt>
                <c:pt idx="69">
                  <c:v>2.9890783675033528</c:v>
                </c:pt>
                <c:pt idx="70">
                  <c:v>2.9907975460122702</c:v>
                </c:pt>
                <c:pt idx="71">
                  <c:v>2.9873611643048639</c:v>
                </c:pt>
                <c:pt idx="72">
                  <c:v>2.9636711281070744</c:v>
                </c:pt>
                <c:pt idx="73">
                  <c:v>2.9366895499618613</c:v>
                </c:pt>
                <c:pt idx="74">
                  <c:v>2.9115128449096099</c:v>
                </c:pt>
                <c:pt idx="75">
                  <c:v>2.9037768077434047</c:v>
                </c:pt>
                <c:pt idx="76">
                  <c:v>2.8949858088930935</c:v>
                </c:pt>
                <c:pt idx="77">
                  <c:v>2.8840716305372287</c:v>
                </c:pt>
                <c:pt idx="78">
                  <c:v>2.8898480015012198</c:v>
                </c:pt>
                <c:pt idx="79">
                  <c:v>2.8817365269461082</c:v>
                </c:pt>
                <c:pt idx="80">
                  <c:v>2.8869435649096666</c:v>
                </c:pt>
                <c:pt idx="81">
                  <c:v>2.9004249030112694</c:v>
                </c:pt>
                <c:pt idx="82">
                  <c:v>2.896678966789668</c:v>
                </c:pt>
                <c:pt idx="83">
                  <c:v>2.9174311926605507</c:v>
                </c:pt>
                <c:pt idx="84">
                  <c:v>2.8933092224231465</c:v>
                </c:pt>
                <c:pt idx="85">
                  <c:v>2.8875654214040787</c:v>
                </c:pt>
                <c:pt idx="86">
                  <c:v>2.878733357322778</c:v>
                </c:pt>
                <c:pt idx="87">
                  <c:v>2.850995158687466</c:v>
                </c:pt>
                <c:pt idx="88">
                  <c:v>2.8413152251608289</c:v>
                </c:pt>
                <c:pt idx="89">
                  <c:v>2.7990729185238012</c:v>
                </c:pt>
                <c:pt idx="90">
                  <c:v>2.7733333333333334</c:v>
                </c:pt>
                <c:pt idx="91">
                  <c:v>2.7242172297894922</c:v>
                </c:pt>
                <c:pt idx="92">
                  <c:v>2.6894005976445774</c:v>
                </c:pt>
                <c:pt idx="93">
                  <c:v>2.636173184357542</c:v>
                </c:pt>
                <c:pt idx="94">
                  <c:v>2.5965033754543883</c:v>
                </c:pt>
                <c:pt idx="95">
                  <c:v>2.5649853675331382</c:v>
                </c:pt>
                <c:pt idx="96">
                  <c:v>2.5535561268209084</c:v>
                </c:pt>
                <c:pt idx="97">
                  <c:v>2.5085324232081914</c:v>
                </c:pt>
                <c:pt idx="98">
                  <c:v>2.5021276595744681</c:v>
                </c:pt>
              </c:numCache>
            </c:numRef>
          </c:val>
          <c:extLst>
            <c:ext xmlns:c16="http://schemas.microsoft.com/office/drawing/2014/chart" uri="{C3380CC4-5D6E-409C-BE32-E72D297353CC}">
              <c16:uniqueId val="{00000019-3B9C-474D-B836-BD9C9C06998E}"/>
            </c:ext>
          </c:extLst>
        </c:ser>
        <c:ser>
          <c:idx val="5"/>
          <c:order val="5"/>
          <c:tx>
            <c:strRef>
              <c:f>'Chart Data'!$AP$3</c:f>
              <c:strCache>
                <c:ptCount val="1"/>
                <c:pt idx="0">
                  <c:v>Other</c:v>
                </c:pt>
              </c:strCache>
            </c:strRef>
          </c:tx>
          <c:spPr>
            <a:solidFill>
              <a:srgbClr val="00ADDC"/>
            </a:solidFill>
            <a:ln w="12700">
              <a:solidFill>
                <a:srgbClr val="00ADDC"/>
              </a:solidFill>
              <a:prstDash val="solid"/>
            </a:ln>
            <a:effectLst/>
          </c:spPr>
          <c:dLbls>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Data'!$AJ$4:$AJ$102</c:f>
              <c:numCache>
                <c:formatCode>m/d/yyyy</c:formatCode>
                <c:ptCount val="99"/>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numCache>
            </c:numRef>
          </c:cat>
          <c:val>
            <c:numRef>
              <c:f>'Chart Data'!$AP$4:$AP$102</c:f>
              <c:numCache>
                <c:formatCode>0</c:formatCode>
                <c:ptCount val="99"/>
                <c:pt idx="0">
                  <c:v>15.907735136209983</c:v>
                </c:pt>
                <c:pt idx="1">
                  <c:v>15.527827292533175</c:v>
                </c:pt>
                <c:pt idx="2">
                  <c:v>15.477129337539433</c:v>
                </c:pt>
                <c:pt idx="3">
                  <c:v>15.390671127730762</c:v>
                </c:pt>
                <c:pt idx="4">
                  <c:v>15.371059330330919</c:v>
                </c:pt>
                <c:pt idx="5">
                  <c:v>15.417558886509635</c:v>
                </c:pt>
                <c:pt idx="6">
                  <c:v>15.418929402637705</c:v>
                </c:pt>
                <c:pt idx="7">
                  <c:v>14.905989532855205</c:v>
                </c:pt>
                <c:pt idx="8">
                  <c:v>15.041354106558954</c:v>
                </c:pt>
                <c:pt idx="9">
                  <c:v>14.925373134328357</c:v>
                </c:pt>
                <c:pt idx="10">
                  <c:v>14.576206765488408</c:v>
                </c:pt>
                <c:pt idx="11">
                  <c:v>14.666666666666666</c:v>
                </c:pt>
                <c:pt idx="12">
                  <c:v>14.62597692593971</c:v>
                </c:pt>
                <c:pt idx="13">
                  <c:v>14.536063456926765</c:v>
                </c:pt>
                <c:pt idx="14">
                  <c:v>14.745700695206732</c:v>
                </c:pt>
                <c:pt idx="15">
                  <c:v>14.560988911107071</c:v>
                </c:pt>
                <c:pt idx="16">
                  <c:v>14.492229851825082</c:v>
                </c:pt>
                <c:pt idx="17">
                  <c:v>14.319206492335438</c:v>
                </c:pt>
                <c:pt idx="18">
                  <c:v>14.362560516406669</c:v>
                </c:pt>
                <c:pt idx="19">
                  <c:v>14.400571734857959</c:v>
                </c:pt>
                <c:pt idx="20">
                  <c:v>14.336598397150491</c:v>
                </c:pt>
                <c:pt idx="21">
                  <c:v>14.417286574566065</c:v>
                </c:pt>
                <c:pt idx="22">
                  <c:v>14.166666666666666</c:v>
                </c:pt>
                <c:pt idx="23">
                  <c:v>14.080765143464399</c:v>
                </c:pt>
                <c:pt idx="24">
                  <c:v>13.869650150950097</c:v>
                </c:pt>
                <c:pt idx="25">
                  <c:v>13.800462386626355</c:v>
                </c:pt>
                <c:pt idx="26">
                  <c:v>13.711837171933583</c:v>
                </c:pt>
                <c:pt idx="27">
                  <c:v>13.668935865281263</c:v>
                </c:pt>
                <c:pt idx="28">
                  <c:v>13.674601754071952</c:v>
                </c:pt>
                <c:pt idx="29">
                  <c:v>13.709677419354838</c:v>
                </c:pt>
                <c:pt idx="30">
                  <c:v>13.371675053918045</c:v>
                </c:pt>
                <c:pt idx="31">
                  <c:v>13.254096884566902</c:v>
                </c:pt>
                <c:pt idx="32">
                  <c:v>13.543733092876465</c:v>
                </c:pt>
                <c:pt idx="33">
                  <c:v>13.548038862900324</c:v>
                </c:pt>
                <c:pt idx="34">
                  <c:v>13.764095221048864</c:v>
                </c:pt>
                <c:pt idx="35">
                  <c:v>13.623395149786019</c:v>
                </c:pt>
                <c:pt idx="36">
                  <c:v>13.364219529579472</c:v>
                </c:pt>
                <c:pt idx="37">
                  <c:v>13.07596513075965</c:v>
                </c:pt>
                <c:pt idx="38">
                  <c:v>12.911795961742827</c:v>
                </c:pt>
                <c:pt idx="39">
                  <c:v>12.83138918345705</c:v>
                </c:pt>
                <c:pt idx="40">
                  <c:v>12.685774946921443</c:v>
                </c:pt>
                <c:pt idx="41">
                  <c:v>12.373513225634653</c:v>
                </c:pt>
                <c:pt idx="42">
                  <c:v>12.477590534241664</c:v>
                </c:pt>
                <c:pt idx="43">
                  <c:v>12.385073012439156</c:v>
                </c:pt>
                <c:pt idx="44">
                  <c:v>12.450235251538183</c:v>
                </c:pt>
                <c:pt idx="45">
                  <c:v>12.302896956362302</c:v>
                </c:pt>
                <c:pt idx="46">
                  <c:v>12.103321033210332</c:v>
                </c:pt>
                <c:pt idx="47">
                  <c:v>12.175204157386785</c:v>
                </c:pt>
                <c:pt idx="48">
                  <c:v>11.731739211657015</c:v>
                </c:pt>
                <c:pt idx="49">
                  <c:v>11.677322301617149</c:v>
                </c:pt>
                <c:pt idx="50">
                  <c:v>11.70032081524816</c:v>
                </c:pt>
                <c:pt idx="51">
                  <c:v>11.525359576078728</c:v>
                </c:pt>
                <c:pt idx="52">
                  <c:v>11.401515151515152</c:v>
                </c:pt>
                <c:pt idx="53">
                  <c:v>11.144749290444654</c:v>
                </c:pt>
                <c:pt idx="54">
                  <c:v>11.113207547169811</c:v>
                </c:pt>
                <c:pt idx="55">
                  <c:v>11.045961793077359</c:v>
                </c:pt>
                <c:pt idx="56">
                  <c:v>10.909090909090908</c:v>
                </c:pt>
                <c:pt idx="57">
                  <c:v>10.813887307911212</c:v>
                </c:pt>
                <c:pt idx="58">
                  <c:v>10.707493343476607</c:v>
                </c:pt>
                <c:pt idx="59">
                  <c:v>10.715645222687478</c:v>
                </c:pt>
                <c:pt idx="60">
                  <c:v>10.717009916094584</c:v>
                </c:pt>
                <c:pt idx="61">
                  <c:v>10.615914307574597</c:v>
                </c:pt>
                <c:pt idx="62">
                  <c:v>10.506134969325153</c:v>
                </c:pt>
                <c:pt idx="63">
                  <c:v>10.507177033492823</c:v>
                </c:pt>
                <c:pt idx="64">
                  <c:v>10.509188361408881</c:v>
                </c:pt>
                <c:pt idx="65">
                  <c:v>10.444614794940591</c:v>
                </c:pt>
                <c:pt idx="66">
                  <c:v>10.291299348409352</c:v>
                </c:pt>
                <c:pt idx="67">
                  <c:v>10.157450076804915</c:v>
                </c:pt>
                <c:pt idx="68">
                  <c:v>10.019193857965451</c:v>
                </c:pt>
                <c:pt idx="69">
                  <c:v>9.9827553171105574</c:v>
                </c:pt>
                <c:pt idx="70">
                  <c:v>9.9501533742331283</c:v>
                </c:pt>
                <c:pt idx="71">
                  <c:v>9.9578705476828802</c:v>
                </c:pt>
                <c:pt idx="72">
                  <c:v>9.9617590822179736</c:v>
                </c:pt>
                <c:pt idx="73">
                  <c:v>9.9351639969488943</c:v>
                </c:pt>
                <c:pt idx="74">
                  <c:v>9.9524262607040921</c:v>
                </c:pt>
                <c:pt idx="75">
                  <c:v>9.9259821598026203</c:v>
                </c:pt>
                <c:pt idx="76">
                  <c:v>9.7824030274361409</c:v>
                </c:pt>
                <c:pt idx="77">
                  <c:v>9.7832233741753072</c:v>
                </c:pt>
                <c:pt idx="78">
                  <c:v>9.8517545505723412</c:v>
                </c:pt>
                <c:pt idx="79">
                  <c:v>9.7492514970059876</c:v>
                </c:pt>
                <c:pt idx="80">
                  <c:v>9.7411063512758425</c:v>
                </c:pt>
                <c:pt idx="81">
                  <c:v>9.6619249953814901</c:v>
                </c:pt>
                <c:pt idx="82">
                  <c:v>9.5571955719557184</c:v>
                </c:pt>
                <c:pt idx="83">
                  <c:v>9.4678899082568808</c:v>
                </c:pt>
                <c:pt idx="84">
                  <c:v>9.4032549728752262</c:v>
                </c:pt>
                <c:pt idx="85">
                  <c:v>9.4026349034470318</c:v>
                </c:pt>
                <c:pt idx="86">
                  <c:v>9.391867578265563</c:v>
                </c:pt>
                <c:pt idx="87">
                  <c:v>9.3957324726555491</c:v>
                </c:pt>
                <c:pt idx="88">
                  <c:v>9.2208720514653333</c:v>
                </c:pt>
                <c:pt idx="89">
                  <c:v>9.2886432519165627</c:v>
                </c:pt>
                <c:pt idx="90">
                  <c:v>9.3155555555555569</c:v>
                </c:pt>
                <c:pt idx="91">
                  <c:v>9.304793914735539</c:v>
                </c:pt>
                <c:pt idx="92">
                  <c:v>9.2283353840745299</c:v>
                </c:pt>
                <c:pt idx="93">
                  <c:v>9.1131284916201114</c:v>
                </c:pt>
                <c:pt idx="94">
                  <c:v>9.0358317465812696</c:v>
                </c:pt>
                <c:pt idx="95">
                  <c:v>9.0032707867102761</c:v>
                </c:pt>
                <c:pt idx="96">
                  <c:v>8.9974293059125969</c:v>
                </c:pt>
                <c:pt idx="97">
                  <c:v>9.0955631399317411</c:v>
                </c:pt>
                <c:pt idx="98">
                  <c:v>8.9872340425531902</c:v>
                </c:pt>
              </c:numCache>
            </c:numRef>
          </c:val>
          <c:extLst>
            <c:ext xmlns:c16="http://schemas.microsoft.com/office/drawing/2014/chart" uri="{C3380CC4-5D6E-409C-BE32-E72D297353CC}">
              <c16:uniqueId val="{0000001B-3B9C-474D-B836-BD9C9C06998E}"/>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2"/>
        <c:tickMarkSkip val="4"/>
        <c:noMultiLvlLbl val="0"/>
      </c:catAx>
      <c:valAx>
        <c:axId val="274950400"/>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47681561363072905"/>
          <c:y val="9.2469136958188883E-2"/>
          <c:w val="0.48489846466280828"/>
          <c:h val="0.76731463415105294"/>
        </c:manualLayout>
      </c:layout>
      <c:barChart>
        <c:barDir val="bar"/>
        <c:grouping val="clustered"/>
        <c:varyColors val="0"/>
        <c:ser>
          <c:idx val="0"/>
          <c:order val="0"/>
          <c:tx>
            <c:strRef>
              <c:f>'Chart Data'!$BO$26</c:f>
              <c:strCache>
                <c:ptCount val="1"/>
                <c:pt idx="0">
                  <c:v>01/07/2024</c:v>
                </c:pt>
              </c:strCache>
            </c:strRef>
          </c:tx>
          <c:spPr>
            <a:solidFill>
              <a:srgbClr val="BD1B21"/>
            </a:solidFill>
            <a:ln w="6350">
              <a:solidFill>
                <a:srgbClr val="495057"/>
              </a:solidFill>
              <a:prstDash val="solid"/>
            </a:ln>
            <a:effectLst/>
          </c:spPr>
          <c:invertIfNegative val="0"/>
          <c:cat>
            <c:strRef>
              <c:f>'Chart Data'!$BP$3:$BX$3</c:f>
              <c:strCache>
                <c:ptCount val="9"/>
                <c:pt idx="0">
                  <c:v>Agriculture</c:v>
                </c:pt>
                <c:pt idx="1">
                  <c:v>Extraction &amp; utilities</c:v>
                </c:pt>
                <c:pt idx="2">
                  <c:v>Manufacturing</c:v>
                </c:pt>
                <c:pt idx="3">
                  <c:v>Construction</c:v>
                </c:pt>
                <c:pt idx="4">
                  <c:v>Distribution, accommodation &amp; food</c:v>
                </c:pt>
                <c:pt idx="5">
                  <c:v>Transport &amp; comms</c:v>
                </c:pt>
                <c:pt idx="6">
                  <c:v>Financial services</c:v>
                </c:pt>
                <c:pt idx="7">
                  <c:v>Business services</c:v>
                </c:pt>
                <c:pt idx="8">
                  <c:v>Public services</c:v>
                </c:pt>
              </c:strCache>
            </c:strRef>
          </c:cat>
          <c:val>
            <c:numRef>
              <c:f>'Chart Data'!$BP$26:$BX$26</c:f>
              <c:numCache>
                <c:formatCode>0</c:formatCode>
                <c:ptCount val="9"/>
                <c:pt idx="0">
                  <c:v>-37.25</c:v>
                </c:pt>
                <c:pt idx="1">
                  <c:v>3.5</c:v>
                </c:pt>
                <c:pt idx="2">
                  <c:v>-110.75</c:v>
                </c:pt>
                <c:pt idx="3">
                  <c:v>-106.25</c:v>
                </c:pt>
                <c:pt idx="4">
                  <c:v>-61.5</c:v>
                </c:pt>
                <c:pt idx="5">
                  <c:v>214.75</c:v>
                </c:pt>
                <c:pt idx="6">
                  <c:v>47.75</c:v>
                </c:pt>
                <c:pt idx="7">
                  <c:v>317.75</c:v>
                </c:pt>
                <c:pt idx="8">
                  <c:v>958.75</c:v>
                </c:pt>
              </c:numCache>
            </c:numRef>
          </c:val>
          <c:extLst>
            <c:ext xmlns:c16="http://schemas.microsoft.com/office/drawing/2014/chart" uri="{C3380CC4-5D6E-409C-BE32-E72D297353CC}">
              <c16:uniqueId val="{00000000-3568-4B7C-9EA6-494068611454}"/>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low"/>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noMultiLvlLbl val="0"/>
      </c:catAx>
      <c:valAx>
        <c:axId val="1631339631"/>
        <c:scaling>
          <c:orientation val="minMax"/>
          <c:max val="1000"/>
          <c:min val="-200"/>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majorUnit val="200"/>
      </c:valAx>
      <c:spPr>
        <a:noFill/>
        <a:ln w="25400">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2.0945259054788393E-3"/>
          <c:y val="0.12455026610694829"/>
          <c:w val="0.99790547409452113"/>
          <c:h val="0.80768960445111926"/>
        </c:manualLayout>
      </c:layout>
      <c:barChart>
        <c:barDir val="col"/>
        <c:grouping val="stacked"/>
        <c:varyColors val="0"/>
        <c:ser>
          <c:idx val="0"/>
          <c:order val="0"/>
          <c:tx>
            <c:strRef>
              <c:f>'Chart Data'!$B$3</c:f>
              <c:strCache>
                <c:ptCount val="1"/>
                <c:pt idx="0">
                  <c:v>Labour income</c:v>
                </c:pt>
              </c:strCache>
            </c:strRef>
          </c:tx>
          <c:spPr>
            <a:solidFill>
              <a:srgbClr val="BD1B21"/>
            </a:solidFill>
            <a:ln w="6350">
              <a:solidFill>
                <a:srgbClr val="495057"/>
              </a:solidFill>
              <a:prstDash val="solid"/>
            </a:ln>
          </c:spPr>
          <c:invertIfNegative val="0"/>
          <c:cat>
            <c:numRef>
              <c:f>'Chart Data'!$A$4:$A$16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Data'!$B$4:$B$16</c:f>
              <c:numCache>
                <c:formatCode>0.0</c:formatCode>
                <c:ptCount val="13"/>
                <c:pt idx="0">
                  <c:v>2.2545385888488405</c:v>
                </c:pt>
                <c:pt idx="1">
                  <c:v>2.0418208427112634</c:v>
                </c:pt>
                <c:pt idx="2">
                  <c:v>2.0449226798112283</c:v>
                </c:pt>
                <c:pt idx="3">
                  <c:v>2.4443958098686331</c:v>
                </c:pt>
                <c:pt idx="4">
                  <c:v>2.6151515174010616</c:v>
                </c:pt>
                <c:pt idx="5">
                  <c:v>2.1285774283230854</c:v>
                </c:pt>
                <c:pt idx="6">
                  <c:v>1.2388486416024646E-3</c:v>
                </c:pt>
                <c:pt idx="7">
                  <c:v>3.8447945830881021</c:v>
                </c:pt>
                <c:pt idx="8">
                  <c:v>4.5968489464357862</c:v>
                </c:pt>
                <c:pt idx="9">
                  <c:v>5.4343165438119634</c:v>
                </c:pt>
                <c:pt idx="10">
                  <c:v>3.353856124432923</c:v>
                </c:pt>
                <c:pt idx="11">
                  <c:v>2.8757414468502058</c:v>
                </c:pt>
                <c:pt idx="12">
                  <c:v>2.4081598526143644</c:v>
                </c:pt>
              </c:numCache>
            </c:numRef>
          </c:val>
          <c:extLst>
            <c:ext xmlns:c16="http://schemas.microsoft.com/office/drawing/2014/chart" uri="{C3380CC4-5D6E-409C-BE32-E72D297353CC}">
              <c16:uniqueId val="{00000000-146E-4599-A5E6-C1D44CA8266C}"/>
            </c:ext>
          </c:extLst>
        </c:ser>
        <c:ser>
          <c:idx val="1"/>
          <c:order val="1"/>
          <c:tx>
            <c:strRef>
              <c:f>'Chart Data'!$C$3</c:f>
              <c:strCache>
                <c:ptCount val="1"/>
                <c:pt idx="0">
                  <c:v>Other</c:v>
                </c:pt>
              </c:strCache>
            </c:strRef>
          </c:tx>
          <c:spPr>
            <a:solidFill>
              <a:srgbClr val="003469"/>
            </a:solidFill>
            <a:ln w="6350">
              <a:solidFill>
                <a:srgbClr val="495057"/>
              </a:solidFill>
            </a:ln>
          </c:spPr>
          <c:invertIfNegative val="0"/>
          <c:cat>
            <c:numRef>
              <c:f>'Chart Data'!$A$4:$A$16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Data'!$C$4:$C$16</c:f>
              <c:numCache>
                <c:formatCode>0.0</c:formatCode>
                <c:ptCount val="13"/>
                <c:pt idx="0">
                  <c:v>1.2449332628001648</c:v>
                </c:pt>
                <c:pt idx="1">
                  <c:v>3.6491959837397263</c:v>
                </c:pt>
                <c:pt idx="2">
                  <c:v>-8.9021232924629601E-2</c:v>
                </c:pt>
                <c:pt idx="3">
                  <c:v>0.2784117642124655</c:v>
                </c:pt>
                <c:pt idx="4">
                  <c:v>1.4949449658630192</c:v>
                </c:pt>
                <c:pt idx="5">
                  <c:v>1.4739321995466579</c:v>
                </c:pt>
                <c:pt idx="6">
                  <c:v>9.8281992233786461E-2</c:v>
                </c:pt>
                <c:pt idx="7">
                  <c:v>0.29847195559980433</c:v>
                </c:pt>
                <c:pt idx="8">
                  <c:v>1.6454430938000888</c:v>
                </c:pt>
                <c:pt idx="9">
                  <c:v>3.682906852893769</c:v>
                </c:pt>
                <c:pt idx="10">
                  <c:v>3.2079907331368966</c:v>
                </c:pt>
                <c:pt idx="11">
                  <c:v>1.0558234143743177</c:v>
                </c:pt>
                <c:pt idx="12">
                  <c:v>1.0274839367736677</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Data'!$D$3</c:f>
              <c:strCache>
                <c:ptCount val="1"/>
                <c:pt idx="0">
                  <c:v>Nominal household income</c:v>
                </c:pt>
              </c:strCache>
            </c:strRef>
          </c:tx>
          <c:spPr>
            <a:ln>
              <a:noFill/>
            </a:ln>
          </c:spPr>
          <c:marker>
            <c:symbol val="diamond"/>
            <c:size val="12"/>
            <c:spPr>
              <a:ln w="6350">
                <a:solidFill>
                  <a:srgbClr val="495057"/>
                </a:solidFill>
              </a:ln>
            </c:spPr>
          </c:marker>
          <c:cat>
            <c:numRef>
              <c:f>'Chart Data'!$A$4:$A$16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Data'!$D$4:$D$16</c:f>
              <c:numCache>
                <c:formatCode>0.0</c:formatCode>
                <c:ptCount val="13"/>
                <c:pt idx="0">
                  <c:v>3.4994718516490053</c:v>
                </c:pt>
                <c:pt idx="1">
                  <c:v>5.6910168264509897</c:v>
                </c:pt>
                <c:pt idx="2">
                  <c:v>1.9559014468865987</c:v>
                </c:pt>
                <c:pt idx="3">
                  <c:v>2.7228075740810986</c:v>
                </c:pt>
                <c:pt idx="4">
                  <c:v>4.1100964832640807</c:v>
                </c:pt>
                <c:pt idx="5">
                  <c:v>3.6025096278697433</c:v>
                </c:pt>
                <c:pt idx="6">
                  <c:v>9.9520840875388927E-2</c:v>
                </c:pt>
                <c:pt idx="7">
                  <c:v>4.1432665386879064</c:v>
                </c:pt>
                <c:pt idx="8">
                  <c:v>6.242292040235875</c:v>
                </c:pt>
                <c:pt idx="9">
                  <c:v>9.1172233967057323</c:v>
                </c:pt>
                <c:pt idx="10">
                  <c:v>6.5618468575698197</c:v>
                </c:pt>
                <c:pt idx="11">
                  <c:v>3.9315648612245235</c:v>
                </c:pt>
                <c:pt idx="12">
                  <c:v>3.4356437893880321</c:v>
                </c:pt>
              </c:numCache>
            </c:numRef>
          </c:val>
          <c:smooth val="0"/>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7026703218359988"/>
          <c:y val="9.1327351889272393E-2"/>
          <c:w val="0.38926129913511992"/>
          <c:h val="0.1681740636775494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2.0945259054788393E-3"/>
          <c:y val="0.12455026610694829"/>
          <c:w val="0.99790547409452113"/>
          <c:h val="0.80768960445111926"/>
        </c:manualLayout>
      </c:layout>
      <c:barChart>
        <c:barDir val="col"/>
        <c:grouping val="stacked"/>
        <c:varyColors val="0"/>
        <c:ser>
          <c:idx val="0"/>
          <c:order val="0"/>
          <c:tx>
            <c:strRef>
              <c:f>'Chart Data'!$G$3</c:f>
              <c:strCache>
                <c:ptCount val="1"/>
                <c:pt idx="0">
                  <c:v>Labour income</c:v>
                </c:pt>
              </c:strCache>
            </c:strRef>
          </c:tx>
          <c:spPr>
            <a:ln w="6350">
              <a:solidFill>
                <a:srgbClr val="495057"/>
              </a:solidFill>
            </a:ln>
          </c:spPr>
          <c:invertIfNegative val="0"/>
          <c:cat>
            <c:numRef>
              <c:f>'Chart Data'!$F$4:$F$16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Data'!$G$4:$G$16</c:f>
              <c:numCache>
                <c:formatCode>0.0</c:formatCode>
                <c:ptCount val="13"/>
                <c:pt idx="0">
                  <c:v>1.0973014337525604</c:v>
                </c:pt>
                <c:pt idx="1">
                  <c:v>2.4131255136380831</c:v>
                </c:pt>
                <c:pt idx="2">
                  <c:v>0.77782891120837228</c:v>
                </c:pt>
                <c:pt idx="3">
                  <c:v>0.59145312714301079</c:v>
                </c:pt>
                <c:pt idx="4">
                  <c:v>0.5158088670180101</c:v>
                </c:pt>
                <c:pt idx="5">
                  <c:v>0.64390525012687405</c:v>
                </c:pt>
                <c:pt idx="6">
                  <c:v>-6.7846844878019105E-2</c:v>
                </c:pt>
                <c:pt idx="7">
                  <c:v>1.1780466209708025</c:v>
                </c:pt>
                <c:pt idx="8">
                  <c:v>-3.8985319990347236</c:v>
                </c:pt>
                <c:pt idx="9">
                  <c:v>-1.4588863006073804</c:v>
                </c:pt>
                <c:pt idx="10">
                  <c:v>0.80696259624627853</c:v>
                </c:pt>
                <c:pt idx="11">
                  <c:v>0.10644855811238818</c:v>
                </c:pt>
                <c:pt idx="12">
                  <c:v>3.238002551094521E-2</c:v>
                </c:pt>
              </c:numCache>
            </c:numRef>
          </c:val>
          <c:extLst>
            <c:ext xmlns:c16="http://schemas.microsoft.com/office/drawing/2014/chart" uri="{C3380CC4-5D6E-409C-BE32-E72D297353CC}">
              <c16:uniqueId val="{00000000-9445-4BA6-ABAC-10970599DA12}"/>
            </c:ext>
          </c:extLst>
        </c:ser>
        <c:ser>
          <c:idx val="1"/>
          <c:order val="1"/>
          <c:tx>
            <c:strRef>
              <c:f>'Chart Data'!$H$3</c:f>
              <c:strCache>
                <c:ptCount val="1"/>
                <c:pt idx="0">
                  <c:v>Other</c:v>
                </c:pt>
              </c:strCache>
            </c:strRef>
          </c:tx>
          <c:spPr>
            <a:ln w="6350">
              <a:solidFill>
                <a:srgbClr val="495057"/>
              </a:solidFill>
            </a:ln>
          </c:spPr>
          <c:invertIfNegative val="0"/>
          <c:cat>
            <c:numRef>
              <c:f>'Chart Data'!$F$4:$F$16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Data'!$H$4:$H$16</c:f>
              <c:numCache>
                <c:formatCode>0.0</c:formatCode>
                <c:ptCount val="13"/>
                <c:pt idx="0">
                  <c:v>1.1592146426135392</c:v>
                </c:pt>
                <c:pt idx="1">
                  <c:v>3.6485662134447576</c:v>
                </c:pt>
                <c:pt idx="2">
                  <c:v>-8.3554616018305161E-2</c:v>
                </c:pt>
                <c:pt idx="3">
                  <c:v>0.29775587006360338</c:v>
                </c:pt>
                <c:pt idx="4">
                  <c:v>1.4675348531760317</c:v>
                </c:pt>
                <c:pt idx="5">
                  <c:v>1.4090850310572343</c:v>
                </c:pt>
                <c:pt idx="6">
                  <c:v>-0.30916745645287219</c:v>
                </c:pt>
                <c:pt idx="7">
                  <c:v>0.41896108307475854</c:v>
                </c:pt>
                <c:pt idx="8">
                  <c:v>2.1482270327550204</c:v>
                </c:pt>
                <c:pt idx="9">
                  <c:v>3.5919099182899972</c:v>
                </c:pt>
                <c:pt idx="10">
                  <c:v>3.0342876783130261</c:v>
                </c:pt>
                <c:pt idx="11">
                  <c:v>1.020777963436275</c:v>
                </c:pt>
                <c:pt idx="12">
                  <c:v>1.0045200234312679</c:v>
                </c:pt>
              </c:numCache>
            </c:numRef>
          </c:val>
          <c:extLst>
            <c:ext xmlns:c16="http://schemas.microsoft.com/office/drawing/2014/chart" uri="{C3380CC4-5D6E-409C-BE32-E72D297353CC}">
              <c16:uniqueId val="{00000001-9445-4BA6-ABAC-10970599DA12}"/>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Data'!$I$3</c:f>
              <c:strCache>
                <c:ptCount val="1"/>
                <c:pt idx="0">
                  <c:v>Real household income</c:v>
                </c:pt>
              </c:strCache>
            </c:strRef>
          </c:tx>
          <c:spPr>
            <a:ln w="28575">
              <a:noFill/>
            </a:ln>
          </c:spPr>
          <c:marker>
            <c:symbol val="diamond"/>
            <c:size val="12"/>
            <c:spPr>
              <a:ln w="6350">
                <a:solidFill>
                  <a:srgbClr val="495057"/>
                </a:solidFill>
              </a:ln>
            </c:spPr>
          </c:marker>
          <c:cat>
            <c:numRef>
              <c:f>'Chart Data'!$F$4:$F$16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Data'!$I$4:$I$16</c:f>
              <c:numCache>
                <c:formatCode>0.0</c:formatCode>
                <c:ptCount val="13"/>
                <c:pt idx="0">
                  <c:v>2.2565160763660996</c:v>
                </c:pt>
                <c:pt idx="1">
                  <c:v>6.0616917270828408</c:v>
                </c:pt>
                <c:pt idx="2">
                  <c:v>0.69427429519006711</c:v>
                </c:pt>
                <c:pt idx="3">
                  <c:v>0.88920899720661417</c:v>
                </c:pt>
                <c:pt idx="4">
                  <c:v>1.9833437201940418</c:v>
                </c:pt>
                <c:pt idx="5">
                  <c:v>2.0529902811841083</c:v>
                </c:pt>
                <c:pt idx="6">
                  <c:v>-0.37701430133089131</c:v>
                </c:pt>
                <c:pt idx="7">
                  <c:v>1.597007704045561</c:v>
                </c:pt>
                <c:pt idx="8">
                  <c:v>-1.7503049662797032</c:v>
                </c:pt>
                <c:pt idx="9">
                  <c:v>2.1330236176826167</c:v>
                </c:pt>
                <c:pt idx="10">
                  <c:v>3.8412502745593047</c:v>
                </c:pt>
                <c:pt idx="11">
                  <c:v>1.1272265215486632</c:v>
                </c:pt>
                <c:pt idx="12">
                  <c:v>1.0369000489422131</c:v>
                </c:pt>
              </c:numCache>
            </c:numRef>
          </c:val>
          <c:smooth val="0"/>
          <c:extLst>
            <c:ext xmlns:c16="http://schemas.microsoft.com/office/drawing/2014/chart" uri="{C3380CC4-5D6E-409C-BE32-E72D297353CC}">
              <c16:uniqueId val="{00000002-9445-4BA6-ABAC-10970599DA12}"/>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in val="-4"/>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7026703218359988"/>
          <c:y val="9.1327351889272393E-2"/>
          <c:w val="0.38926129913511992"/>
          <c:h val="0.1681740636775494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139512483288993E-2"/>
          <c:y val="0.14714391023940784"/>
          <c:w val="0.86002227739508685"/>
          <c:h val="0.712639860869834"/>
        </c:manualLayout>
      </c:layout>
      <c:lineChart>
        <c:grouping val="standard"/>
        <c:varyColors val="0"/>
        <c:ser>
          <c:idx val="0"/>
          <c:order val="0"/>
          <c:tx>
            <c:strRef>
              <c:f>'Chart Data'!$CL$3</c:f>
              <c:strCache>
                <c:ptCount val="1"/>
                <c:pt idx="0">
                  <c:v>Unit wage costs (LHS)</c:v>
                </c:pt>
              </c:strCache>
            </c:strRef>
          </c:tx>
          <c:spPr>
            <a:ln w="38100">
              <a:solidFill>
                <a:srgbClr val="BD1B21"/>
              </a:solidFill>
            </a:ln>
          </c:spPr>
          <c:marker>
            <c:symbol val="none"/>
          </c:marker>
          <c:cat>
            <c:numRef>
              <c:f>'Chart Data'!$CK$4:$CK$63</c:f>
              <c:numCache>
                <c:formatCode>General</c:formatCode>
                <c:ptCount val="60"/>
                <c:pt idx="0">
                  <c:v>2012</c:v>
                </c:pt>
                <c:pt idx="4">
                  <c:v>2013</c:v>
                </c:pt>
                <c:pt idx="8">
                  <c:v>2014</c:v>
                </c:pt>
                <c:pt idx="12">
                  <c:v>2015</c:v>
                </c:pt>
                <c:pt idx="16">
                  <c:v>2016</c:v>
                </c:pt>
                <c:pt idx="20">
                  <c:v>2017</c:v>
                </c:pt>
                <c:pt idx="24">
                  <c:v>2018</c:v>
                </c:pt>
                <c:pt idx="28">
                  <c:v>2019</c:v>
                </c:pt>
                <c:pt idx="32">
                  <c:v>2020</c:v>
                </c:pt>
                <c:pt idx="36">
                  <c:v>2021</c:v>
                </c:pt>
                <c:pt idx="40">
                  <c:v>2022</c:v>
                </c:pt>
                <c:pt idx="44">
                  <c:v>2023</c:v>
                </c:pt>
                <c:pt idx="48">
                  <c:v>2024</c:v>
                </c:pt>
                <c:pt idx="52">
                  <c:v>2025</c:v>
                </c:pt>
                <c:pt idx="56">
                  <c:v>2026</c:v>
                </c:pt>
              </c:numCache>
            </c:numRef>
          </c:cat>
          <c:val>
            <c:numRef>
              <c:f>'Chart Data'!$CL$4:$CL$63</c:f>
              <c:numCache>
                <c:formatCode>0.0</c:formatCode>
                <c:ptCount val="60"/>
                <c:pt idx="0">
                  <c:v>-1.0460325888435706</c:v>
                </c:pt>
                <c:pt idx="1">
                  <c:v>0.71283453929573692</c:v>
                </c:pt>
                <c:pt idx="2">
                  <c:v>0.63328292989837109</c:v>
                </c:pt>
                <c:pt idx="3">
                  <c:v>1.2250741149743893</c:v>
                </c:pt>
                <c:pt idx="4">
                  <c:v>0.66949356526966319</c:v>
                </c:pt>
                <c:pt idx="5">
                  <c:v>2.5837419939491513</c:v>
                </c:pt>
                <c:pt idx="6">
                  <c:v>2.7966777497159256</c:v>
                </c:pt>
                <c:pt idx="7">
                  <c:v>2.2815276989979205</c:v>
                </c:pt>
                <c:pt idx="8">
                  <c:v>2.457354011321855</c:v>
                </c:pt>
                <c:pt idx="9">
                  <c:v>-1.5163895959055096</c:v>
                </c:pt>
                <c:pt idx="10">
                  <c:v>-1.8918891397583737</c:v>
                </c:pt>
                <c:pt idx="11">
                  <c:v>-1.6332789245924406</c:v>
                </c:pt>
                <c:pt idx="12">
                  <c:v>-0.69899237362239797</c:v>
                </c:pt>
                <c:pt idx="13">
                  <c:v>0.67171409964241757</c:v>
                </c:pt>
                <c:pt idx="14">
                  <c:v>2.4865871678401597</c:v>
                </c:pt>
                <c:pt idx="15">
                  <c:v>1.9929284396807967</c:v>
                </c:pt>
                <c:pt idx="16">
                  <c:v>1.5236578936123957</c:v>
                </c:pt>
                <c:pt idx="17">
                  <c:v>2.6310611488756575</c:v>
                </c:pt>
                <c:pt idx="18">
                  <c:v>2.2021637716025166</c:v>
                </c:pt>
                <c:pt idx="19">
                  <c:v>1.733990619757475</c:v>
                </c:pt>
                <c:pt idx="20">
                  <c:v>1.7811313711335375</c:v>
                </c:pt>
                <c:pt idx="21">
                  <c:v>1.3309109193115454</c:v>
                </c:pt>
                <c:pt idx="22">
                  <c:v>0.720850246559257</c:v>
                </c:pt>
                <c:pt idx="23">
                  <c:v>1.1563938983695454</c:v>
                </c:pt>
                <c:pt idx="24">
                  <c:v>2.5453424233925048</c:v>
                </c:pt>
                <c:pt idx="25">
                  <c:v>1.4605073980299865</c:v>
                </c:pt>
                <c:pt idx="26">
                  <c:v>3.0151688609044047</c:v>
                </c:pt>
                <c:pt idx="27">
                  <c:v>4.2156007036295851</c:v>
                </c:pt>
                <c:pt idx="28">
                  <c:v>2.4656823339957779</c:v>
                </c:pt>
                <c:pt idx="29">
                  <c:v>4.4057962855780897</c:v>
                </c:pt>
                <c:pt idx="30">
                  <c:v>2.5605317626793855</c:v>
                </c:pt>
                <c:pt idx="31">
                  <c:v>1.4104638897192379</c:v>
                </c:pt>
                <c:pt idx="32">
                  <c:v>3.8728990320532786</c:v>
                </c:pt>
                <c:pt idx="33">
                  <c:v>24.742239379116615</c:v>
                </c:pt>
                <c:pt idx="34">
                  <c:v>10.361267908479244</c:v>
                </c:pt>
                <c:pt idx="35">
                  <c:v>11.727665139728405</c:v>
                </c:pt>
                <c:pt idx="36">
                  <c:v>9.9731084269871104</c:v>
                </c:pt>
                <c:pt idx="37">
                  <c:v>-13.621606434545219</c:v>
                </c:pt>
                <c:pt idx="38">
                  <c:v>-2.4675533873343092</c:v>
                </c:pt>
                <c:pt idx="39">
                  <c:v>-4.299826387572681</c:v>
                </c:pt>
                <c:pt idx="40">
                  <c:v>-3.5561127662665837</c:v>
                </c:pt>
                <c:pt idx="41">
                  <c:v>2.3235521096652167</c:v>
                </c:pt>
                <c:pt idx="42">
                  <c:v>4.6629561207099268</c:v>
                </c:pt>
                <c:pt idx="43">
                  <c:v>7.3192565399734066</c:v>
                </c:pt>
                <c:pt idx="44">
                  <c:v>7.5866246291953265</c:v>
                </c:pt>
                <c:pt idx="45">
                  <c:v>8.0728131896346191</c:v>
                </c:pt>
                <c:pt idx="46">
                  <c:v>7.228804306579284</c:v>
                </c:pt>
                <c:pt idx="47">
                  <c:v>6.7720966763268331</c:v>
                </c:pt>
                <c:pt idx="48">
                  <c:v>5.5341423205402585</c:v>
                </c:pt>
                <c:pt idx="49">
                  <c:v>4.6888588781808682</c:v>
                </c:pt>
                <c:pt idx="50">
                  <c:v>4.4570365002992274</c:v>
                </c:pt>
                <c:pt idx="51">
                  <c:v>4.7574472086103325</c:v>
                </c:pt>
                <c:pt idx="52">
                  <c:v>4.2462663496814157</c:v>
                </c:pt>
                <c:pt idx="53">
                  <c:v>5.5232756437315178</c:v>
                </c:pt>
                <c:pt idx="54">
                  <c:v>5.5411765968694571</c:v>
                </c:pt>
                <c:pt idx="55">
                  <c:v>4.4765855673804422</c:v>
                </c:pt>
                <c:pt idx="56">
                  <c:v>4.4014767158752077</c:v>
                </c:pt>
                <c:pt idx="57">
                  <c:v>2.3454881067892952</c:v>
                </c:pt>
                <c:pt idx="58">
                  <c:v>2.1182290120588476</c:v>
                </c:pt>
                <c:pt idx="59">
                  <c:v>1.9566747141989138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Data'!$CM$3</c:f>
              <c:strCache>
                <c:ptCount val="1"/>
                <c:pt idx="0">
                  <c:v>Corporate profits (RHS)</c:v>
                </c:pt>
              </c:strCache>
            </c:strRef>
          </c:tx>
          <c:spPr>
            <a:ln w="38100">
              <a:solidFill>
                <a:srgbClr val="003469"/>
              </a:solidFill>
            </a:ln>
          </c:spPr>
          <c:marker>
            <c:symbol val="none"/>
          </c:marker>
          <c:cat>
            <c:numRef>
              <c:f>'Chart Data'!$CK$4:$CK$63</c:f>
              <c:numCache>
                <c:formatCode>General</c:formatCode>
                <c:ptCount val="60"/>
                <c:pt idx="0">
                  <c:v>2012</c:v>
                </c:pt>
                <c:pt idx="4">
                  <c:v>2013</c:v>
                </c:pt>
                <c:pt idx="8">
                  <c:v>2014</c:v>
                </c:pt>
                <c:pt idx="12">
                  <c:v>2015</c:v>
                </c:pt>
                <c:pt idx="16">
                  <c:v>2016</c:v>
                </c:pt>
                <c:pt idx="20">
                  <c:v>2017</c:v>
                </c:pt>
                <c:pt idx="24">
                  <c:v>2018</c:v>
                </c:pt>
                <c:pt idx="28">
                  <c:v>2019</c:v>
                </c:pt>
                <c:pt idx="32">
                  <c:v>2020</c:v>
                </c:pt>
                <c:pt idx="36">
                  <c:v>2021</c:v>
                </c:pt>
                <c:pt idx="40">
                  <c:v>2022</c:v>
                </c:pt>
                <c:pt idx="44">
                  <c:v>2023</c:v>
                </c:pt>
                <c:pt idx="48">
                  <c:v>2024</c:v>
                </c:pt>
                <c:pt idx="52">
                  <c:v>2025</c:v>
                </c:pt>
                <c:pt idx="56">
                  <c:v>2026</c:v>
                </c:pt>
              </c:numCache>
            </c:numRef>
          </c:cat>
          <c:val>
            <c:numRef>
              <c:f>'Chart Data'!$CM$4:$CM$63</c:f>
              <c:numCache>
                <c:formatCode>0.0</c:formatCode>
                <c:ptCount val="60"/>
                <c:pt idx="0">
                  <c:v>21.990625147218164</c:v>
                </c:pt>
                <c:pt idx="1">
                  <c:v>21.877963660666591</c:v>
                </c:pt>
                <c:pt idx="2">
                  <c:v>22.746911574980739</c:v>
                </c:pt>
                <c:pt idx="3">
                  <c:v>22.658745545523367</c:v>
                </c:pt>
                <c:pt idx="4">
                  <c:v>22.990852942048861</c:v>
                </c:pt>
                <c:pt idx="5">
                  <c:v>21.880591275630803</c:v>
                </c:pt>
                <c:pt idx="6">
                  <c:v>22.178475935828875</c:v>
                </c:pt>
                <c:pt idx="7">
                  <c:v>22.016086407494313</c:v>
                </c:pt>
                <c:pt idx="8">
                  <c:v>21.695584061457385</c:v>
                </c:pt>
                <c:pt idx="9">
                  <c:v>22.422754680434799</c:v>
                </c:pt>
                <c:pt idx="10">
                  <c:v>23.797128918202219</c:v>
                </c:pt>
                <c:pt idx="11">
                  <c:v>23.392812562148528</c:v>
                </c:pt>
                <c:pt idx="12">
                  <c:v>22.828221117384341</c:v>
                </c:pt>
                <c:pt idx="13">
                  <c:v>22.391736310589163</c:v>
                </c:pt>
                <c:pt idx="14">
                  <c:v>21.611130095598469</c:v>
                </c:pt>
                <c:pt idx="15">
                  <c:v>22.060520632408462</c:v>
                </c:pt>
                <c:pt idx="16">
                  <c:v>21.96155472009443</c:v>
                </c:pt>
                <c:pt idx="17">
                  <c:v>21.599724534645844</c:v>
                </c:pt>
                <c:pt idx="18">
                  <c:v>22.110978212902928</c:v>
                </c:pt>
                <c:pt idx="19">
                  <c:v>22.57735229608376</c:v>
                </c:pt>
                <c:pt idx="20">
                  <c:v>22.554465234501201</c:v>
                </c:pt>
                <c:pt idx="21">
                  <c:v>22.210695906161622</c:v>
                </c:pt>
                <c:pt idx="22">
                  <c:v>22.0871853999083</c:v>
                </c:pt>
                <c:pt idx="23">
                  <c:v>22.839614538796233</c:v>
                </c:pt>
                <c:pt idx="24">
                  <c:v>21.870310714305887</c:v>
                </c:pt>
                <c:pt idx="25">
                  <c:v>22.015766081085371</c:v>
                </c:pt>
                <c:pt idx="26">
                  <c:v>21.743782452957674</c:v>
                </c:pt>
                <c:pt idx="27">
                  <c:v>21.464949813025321</c:v>
                </c:pt>
                <c:pt idx="28">
                  <c:v>21.22190653116235</c:v>
                </c:pt>
                <c:pt idx="29">
                  <c:v>21.285047401205528</c:v>
                </c:pt>
                <c:pt idx="30">
                  <c:v>22.040536484079013</c:v>
                </c:pt>
                <c:pt idx="31">
                  <c:v>22.276662459921027</c:v>
                </c:pt>
                <c:pt idx="32">
                  <c:v>21.597939164332576</c:v>
                </c:pt>
                <c:pt idx="33">
                  <c:v>24.290994623655916</c:v>
                </c:pt>
                <c:pt idx="34">
                  <c:v>23.60239487753978</c:v>
                </c:pt>
                <c:pt idx="35">
                  <c:v>21.76445095037656</c:v>
                </c:pt>
                <c:pt idx="36">
                  <c:v>21.95515918452319</c:v>
                </c:pt>
                <c:pt idx="37">
                  <c:v>22.58667665750254</c:v>
                </c:pt>
                <c:pt idx="38">
                  <c:v>21.710194996605392</c:v>
                </c:pt>
                <c:pt idx="39">
                  <c:v>21.584472484516365</c:v>
                </c:pt>
                <c:pt idx="40">
                  <c:v>21.094264564689535</c:v>
                </c:pt>
                <c:pt idx="41">
                  <c:v>21.380344606510015</c:v>
                </c:pt>
                <c:pt idx="42">
                  <c:v>21.146078959646722</c:v>
                </c:pt>
                <c:pt idx="43">
                  <c:v>22.653968584018028</c:v>
                </c:pt>
                <c:pt idx="44">
                  <c:v>23.524103474276085</c:v>
                </c:pt>
                <c:pt idx="45">
                  <c:v>21.631860683834901</c:v>
                </c:pt>
                <c:pt idx="46">
                  <c:v>21.010605297539541</c:v>
                </c:pt>
                <c:pt idx="47">
                  <c:v>20.546876481044816</c:v>
                </c:pt>
                <c:pt idx="48">
                  <c:v>20.505520937706507</c:v>
                </c:pt>
                <c:pt idx="49">
                  <c:v>20.250684912061551</c:v>
                </c:pt>
                <c:pt idx="50">
                  <c:v>20.136897111072443</c:v>
                </c:pt>
                <c:pt idx="51">
                  <c:v>20.163580190307233</c:v>
                </c:pt>
                <c:pt idx="52">
                  <c:v>20.345111850157458</c:v>
                </c:pt>
                <c:pt idx="53">
                  <c:v>19.868671813966841</c:v>
                </c:pt>
                <c:pt idx="54">
                  <c:v>20.15770134557366</c:v>
                </c:pt>
                <c:pt idx="55">
                  <c:v>20.239625736032746</c:v>
                </c:pt>
                <c:pt idx="56">
                  <c:v>20.335935902242543</c:v>
                </c:pt>
                <c:pt idx="57">
                  <c:v>20.360530769447607</c:v>
                </c:pt>
                <c:pt idx="58">
                  <c:v>20.423383049139289</c:v>
                </c:pt>
                <c:pt idx="59">
                  <c:v>20.503418527704294</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8"/>
        <c:tickMarkSkip val="4"/>
        <c:noMultiLvlLbl val="0"/>
      </c:catAx>
      <c:valAx>
        <c:axId val="263608576"/>
        <c:scaling>
          <c:orientation val="minMax"/>
          <c:max val="15"/>
          <c:min val="-1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min val="19"/>
        </c:scaling>
        <c:delete val="0"/>
        <c:axPos val="r"/>
        <c:numFmt formatCode="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0.1439368967851006"/>
          <c:y val="7.2669324532906476E-2"/>
          <c:w val="0.73192168036564342"/>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C16199-16B1-46A6-B8CB-44CE02FE0E01}">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329DEFA-8BB6-4A5F-B385-FF1849A06EB6}">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6D3FD0B-3705-497B-A293-C2FE57207873}">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45B1F1-48A1-47E3-983C-7FD4FAC65F5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B5414A1-6396-4508-A8F7-E3BACA3AC12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13601C9-7B6A-42A1-AFD3-88CFC1E17105}">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EF7E7BF-35FF-4CCD-B6CC-A64FAAFA92D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7264D5-1FD5-44F1-BF0C-0475FE5EE8FD}">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D6ED0F2-3721-4007-96ED-F61426285333}">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3C66533-8F5C-4790-88D0-0D134DDBE4C5}">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5EF318A-DFEE-40F0-B6D1-0C35EB15BCD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1687226-F487-45E6-A567-0730EF24882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9AADCA13-5B05-B7F4-C95B-CFDE6718B6B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ED95A1AD-0915-4364-984B-512F6B314F8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Labour market strength</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559C1F60-EA6C-4AB3-B415-D74BA18813FD}"/>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0.26893</cdr:x>
      <cdr:y>0.89675</cdr:y>
    </cdr:from>
    <cdr:to>
      <cdr:x>0.99887</cdr:x>
      <cdr:y>0.99293</cdr:y>
    </cdr:to>
    <cdr:sp macro="" textlink="">
      <cdr:nvSpPr>
        <cdr:cNvPr id="4" name="TextBox 3">
          <a:extLst xmlns:a="http://schemas.openxmlformats.org/drawingml/2006/main">
            <a:ext uri="{FF2B5EF4-FFF2-40B4-BE49-F238E27FC236}">
              <a16:creationId xmlns:a16="http://schemas.microsoft.com/office/drawing/2014/main" id="{9406A689-38BE-9516-B13F-6868D035616F}"/>
            </a:ext>
          </a:extLst>
        </cdr:cNvPr>
        <cdr:cNvSpPr txBox="1"/>
      </cdr:nvSpPr>
      <cdr:spPr>
        <a:xfrm xmlns:a="http://schemas.openxmlformats.org/drawingml/2006/main">
          <a:off x="2266950" y="6038850"/>
          <a:ext cx="6153150" cy="647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600">
              <a:solidFill>
                <a:srgbClr val="495057"/>
              </a:solidFill>
              <a:latin typeface="Segoe UI" panose="020B0502040204020203" pitchFamily="34" charset="0"/>
              <a:cs typeface="Segoe UI" panose="020B0502040204020203" pitchFamily="34" charset="0"/>
            </a:rPr>
            <a:t>* series affected by Labour Force Survey</a:t>
          </a:r>
          <a:r>
            <a:rPr lang="en-GB" sz="1600" baseline="0">
              <a:solidFill>
                <a:srgbClr val="495057"/>
              </a:solidFill>
              <a:latin typeface="Segoe UI" panose="020B0502040204020203" pitchFamily="34" charset="0"/>
              <a:cs typeface="Segoe UI" panose="020B0502040204020203" pitchFamily="34" charset="0"/>
            </a:rPr>
            <a:t> data quality problems</a:t>
          </a:r>
          <a:endParaRPr lang="en-GB" sz="160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0.21017</cdr:x>
      <cdr:y>0.52475</cdr:y>
    </cdr:from>
    <cdr:to>
      <cdr:x>0.50057</cdr:x>
      <cdr:y>0.52475</cdr:y>
    </cdr:to>
    <cdr:cxnSp macro="">
      <cdr:nvCxnSpPr>
        <cdr:cNvPr id="7" name="Straight Arrow Connector 6">
          <a:extLst xmlns:a="http://schemas.openxmlformats.org/drawingml/2006/main">
            <a:ext uri="{FF2B5EF4-FFF2-40B4-BE49-F238E27FC236}">
              <a16:creationId xmlns:a16="http://schemas.microsoft.com/office/drawing/2014/main" id="{6F05E76D-B3F7-9917-883F-C9DFCADF6298}"/>
            </a:ext>
          </a:extLst>
        </cdr:cNvPr>
        <cdr:cNvCxnSpPr/>
      </cdr:nvCxnSpPr>
      <cdr:spPr>
        <a:xfrm xmlns:a="http://schemas.openxmlformats.org/drawingml/2006/main" flipH="1" flipV="1">
          <a:off x="1771650" y="3533775"/>
          <a:ext cx="2448000" cy="0"/>
        </a:xfrm>
        <a:prstGeom xmlns:a="http://schemas.openxmlformats.org/drawingml/2006/main" prst="straightConnector1">
          <a:avLst/>
        </a:prstGeom>
        <a:ln xmlns:a="http://schemas.openxmlformats.org/drawingml/2006/main">
          <a:solidFill>
            <a:srgbClr val="495057"/>
          </a:solidFill>
          <a:tailEnd type="triangle" w="lg"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0.18079</cdr:x>
      <cdr:y>0.46393</cdr:y>
    </cdr:from>
    <cdr:to>
      <cdr:x>0.31977</cdr:x>
      <cdr:y>0.5488</cdr:y>
    </cdr:to>
    <cdr:sp macro="" textlink="">
      <cdr:nvSpPr>
        <cdr:cNvPr id="8" name="TextBox 7">
          <a:extLst xmlns:a="http://schemas.openxmlformats.org/drawingml/2006/main">
            <a:ext uri="{FF2B5EF4-FFF2-40B4-BE49-F238E27FC236}">
              <a16:creationId xmlns:a16="http://schemas.microsoft.com/office/drawing/2014/main" id="{2DBF0A4D-290F-524A-116C-703194E87F51}"/>
            </a:ext>
          </a:extLst>
        </cdr:cNvPr>
        <cdr:cNvSpPr txBox="1"/>
      </cdr:nvSpPr>
      <cdr:spPr>
        <a:xfrm xmlns:a="http://schemas.openxmlformats.org/drawingml/2006/main">
          <a:off x="1524000" y="3124200"/>
          <a:ext cx="1171575"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800" i="1">
              <a:solidFill>
                <a:srgbClr val="495057"/>
              </a:solidFill>
              <a:latin typeface="Segoe UI" panose="020B0502040204020203" pitchFamily="34" charset="0"/>
              <a:cs typeface="Segoe UI" panose="020B0502040204020203" pitchFamily="34" charset="0"/>
            </a:rPr>
            <a:t>Strong</a:t>
          </a:r>
        </a:p>
      </cdr:txBody>
    </cdr:sp>
  </cdr:relSizeAnchor>
  <cdr:relSizeAnchor xmlns:cdr="http://schemas.openxmlformats.org/drawingml/2006/chartDrawing">
    <cdr:from>
      <cdr:x>0.44068</cdr:x>
      <cdr:y>0.46723</cdr:y>
    </cdr:from>
    <cdr:to>
      <cdr:x>0.53145</cdr:x>
      <cdr:y>0.53465</cdr:y>
    </cdr:to>
    <cdr:sp macro="" textlink="">
      <cdr:nvSpPr>
        <cdr:cNvPr id="10" name="TextBox 1">
          <a:extLst xmlns:a="http://schemas.openxmlformats.org/drawingml/2006/main">
            <a:ext uri="{FF2B5EF4-FFF2-40B4-BE49-F238E27FC236}">
              <a16:creationId xmlns:a16="http://schemas.microsoft.com/office/drawing/2014/main" id="{8A1D6163-C20C-B974-D3D9-5197ACF6AE1A}"/>
            </a:ext>
          </a:extLst>
        </cdr:cNvPr>
        <cdr:cNvSpPr txBox="1"/>
      </cdr:nvSpPr>
      <cdr:spPr>
        <a:xfrm xmlns:a="http://schemas.openxmlformats.org/drawingml/2006/main">
          <a:off x="3714749" y="3146425"/>
          <a:ext cx="765175" cy="4540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i="1">
              <a:solidFill>
                <a:srgbClr val="495057"/>
              </a:solidFill>
              <a:latin typeface="Segoe UI" panose="020B0502040204020203" pitchFamily="34" charset="0"/>
              <a:cs typeface="Segoe UI" panose="020B0502040204020203" pitchFamily="34" charset="0"/>
            </a:rPr>
            <a:t>Weak</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91480AC-BB6D-5EF7-C6E9-ABB07EA465E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4662A05C-63C0-96A5-E793-A6CDE27F976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ILO unemployment rate</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76F1F50-FD3B-8BB5-85FA-E2D313199EF3}"/>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0.07548</cdr:y>
    </cdr:from>
    <cdr:to>
      <cdr:x>0.12812</cdr:x>
      <cdr:y>0.12644</cdr:y>
    </cdr:to>
    <cdr:sp macro="" textlink="">
      <cdr:nvSpPr>
        <cdr:cNvPr id="6" name="TextBox 5">
          <a:extLst xmlns:a="http://schemas.openxmlformats.org/drawingml/2006/main">
            <a:ext uri="{FF2B5EF4-FFF2-40B4-BE49-F238E27FC236}">
              <a16:creationId xmlns:a16="http://schemas.microsoft.com/office/drawing/2014/main" id="{30A2324C-20FC-5577-9C0D-FC90F160C3F3}"/>
            </a:ext>
          </a:extLst>
        </cdr:cNvPr>
        <cdr:cNvSpPr txBox="1"/>
      </cdr:nvSpPr>
      <cdr:spPr>
        <a:xfrm xmlns:a="http://schemas.openxmlformats.org/drawingml/2006/main">
          <a:off x="0" y="507610"/>
          <a:ext cx="108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F807E16-DA12-DE09-E47F-DB3FFF41DC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 by sector since 2019</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0.32315</cdr:x>
      <cdr:y>0.92139</cdr:y>
    </cdr:from>
    <cdr:to>
      <cdr:x>1</cdr:x>
      <cdr:y>0.97928</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2724150" y="6200775"/>
          <a:ext cx="5705920" cy="38959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Change compared with 2019 average, 000s</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2D50F59-9965-E47A-6DD2-DDD9DF108C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1086AB95-40C2-803D-68D9-9CE38132D76C}"/>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Decision Maker Panel - firms' reaction to NICs rise</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B13CCF04-7024-1845-D823-1863A45C8F06}"/>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 Decision Maker Panel</a:t>
          </a:r>
        </a:p>
      </cdr:txBody>
    </cdr:sp>
  </cdr:relSizeAnchor>
  <cdr:relSizeAnchor xmlns:cdr="http://schemas.openxmlformats.org/drawingml/2006/chartDrawing">
    <cdr:from>
      <cdr:x>0</cdr:x>
      <cdr:y>0.07549</cdr:y>
    </cdr:from>
    <cdr:to>
      <cdr:x>0.26904</cdr:x>
      <cdr:y>0.12644</cdr:y>
    </cdr:to>
    <cdr:sp macro="" textlink="">
      <cdr:nvSpPr>
        <cdr:cNvPr id="7" name="TextBox 6">
          <a:extLst xmlns:a="http://schemas.openxmlformats.org/drawingml/2006/main">
            <a:ext uri="{FF2B5EF4-FFF2-40B4-BE49-F238E27FC236}">
              <a16:creationId xmlns:a16="http://schemas.microsoft.com/office/drawing/2014/main" id="{A5DE70D8-50BF-88A5-D11B-A293C2A68D88}"/>
            </a:ext>
          </a:extLst>
        </cdr:cNvPr>
        <cdr:cNvSpPr txBox="1"/>
      </cdr:nvSpPr>
      <cdr:spPr>
        <a:xfrm xmlns:a="http://schemas.openxmlformats.org/drawingml/2006/main">
          <a:off x="0" y="508000"/>
          <a:ext cx="2268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a:t>
          </a:r>
          <a:r>
            <a:rPr lang="en-GB" sz="1800" b="0" baseline="0">
              <a:solidFill>
                <a:srgbClr val="495057"/>
              </a:solidFill>
              <a:latin typeface="Segoe UI" panose="020B0502040204020203" pitchFamily="34" charset="0"/>
              <a:cs typeface="Segoe UI" panose="020B0502040204020203" pitchFamily="34" charset="0"/>
            </a:rPr>
            <a:t> respondents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132</xdr:col>
      <xdr:colOff>0</xdr:colOff>
      <xdr:row>10</xdr:row>
      <xdr:rowOff>0</xdr:rowOff>
    </xdr:from>
    <xdr:to>
      <xdr:col>138</xdr:col>
      <xdr:colOff>190500</xdr:colOff>
      <xdr:row>28</xdr:row>
      <xdr:rowOff>95250</xdr:rowOff>
    </xdr:to>
    <xdr:pic>
      <xdr:nvPicPr>
        <xdr:cNvPr id="3" name="Picture 1">
          <a:extLst>
            <a:ext uri="{FF2B5EF4-FFF2-40B4-BE49-F238E27FC236}">
              <a16:creationId xmlns:a16="http://schemas.microsoft.com/office/drawing/2014/main" id="{25F6B7E0-A68E-8617-46AD-17B6CA578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980550" y="1905000"/>
          <a:ext cx="4457700" cy="362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F146781-C3D8-A25D-04AF-AAA6BB46AA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D1869C19-B71F-96D1-B0AC-88EAA4E3D16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ILO unemployment rate</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A0C9BA44-B53D-4CDC-A65B-B5BBF6733AA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0.07548</cdr:y>
    </cdr:from>
    <cdr:to>
      <cdr:x>0.12812</cdr:x>
      <cdr:y>0.12644</cdr:y>
    </cdr:to>
    <cdr:sp macro="" textlink="">
      <cdr:nvSpPr>
        <cdr:cNvPr id="6" name="TextBox 5">
          <a:extLst xmlns:a="http://schemas.openxmlformats.org/drawingml/2006/main">
            <a:ext uri="{FF2B5EF4-FFF2-40B4-BE49-F238E27FC236}">
              <a16:creationId xmlns:a16="http://schemas.microsoft.com/office/drawing/2014/main" id="{A8EDACB2-2A6F-F3C3-F723-723766F71FD5}"/>
            </a:ext>
          </a:extLst>
        </cdr:cNvPr>
        <cdr:cNvSpPr txBox="1"/>
      </cdr:nvSpPr>
      <cdr:spPr>
        <a:xfrm xmlns:a="http://schemas.openxmlformats.org/drawingml/2006/main">
          <a:off x="0" y="507610"/>
          <a:ext cx="108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4A59E3E4-0874-6EDF-66BA-3DBF852E0B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CAF6914-21DE-A880-2860-0FC09D03349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employment since 2019</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0083170-D6BE-08F9-C31E-F94E409399A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0.10395</cdr:x>
      <cdr:y>0.81996</cdr:y>
    </cdr:from>
    <cdr:to>
      <cdr:x>0.8154</cdr:x>
      <cdr:y>0.89025</cdr:y>
    </cdr:to>
    <cdr:sp macro="" textlink="">
      <cdr:nvSpPr>
        <cdr:cNvPr id="5" name="TextBox 4">
          <a:extLst xmlns:a="http://schemas.openxmlformats.org/drawingml/2006/main">
            <a:ext uri="{FF2B5EF4-FFF2-40B4-BE49-F238E27FC236}">
              <a16:creationId xmlns:a16="http://schemas.microsoft.com/office/drawing/2014/main" id="{263389A5-908B-5FE5-5175-72012860C57F}"/>
            </a:ext>
          </a:extLst>
        </cdr:cNvPr>
        <cdr:cNvSpPr txBox="1"/>
      </cdr:nvSpPr>
      <cdr:spPr>
        <a:xfrm xmlns:a="http://schemas.openxmlformats.org/drawingml/2006/main">
          <a:off x="876300" y="5518150"/>
          <a:ext cx="5997575" cy="4730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Series exclude effects of major reclassifications, e.g. RBS</a:t>
          </a:r>
        </a:p>
      </cdr:txBody>
    </cdr:sp>
  </cdr:relSizeAnchor>
  <cdr:relSizeAnchor xmlns:cdr="http://schemas.openxmlformats.org/drawingml/2006/chartDrawing">
    <cdr:from>
      <cdr:x>0.00113</cdr:x>
      <cdr:y>0.06982</cdr:y>
    </cdr:from>
    <cdr:to>
      <cdr:x>0.51358</cdr:x>
      <cdr:y>0.12078</cdr:y>
    </cdr:to>
    <cdr:sp macro="" textlink="">
      <cdr:nvSpPr>
        <cdr:cNvPr id="6" name="TextBox 5">
          <a:extLst xmlns:a="http://schemas.openxmlformats.org/drawingml/2006/main">
            <a:ext uri="{FF2B5EF4-FFF2-40B4-BE49-F238E27FC236}">
              <a16:creationId xmlns:a16="http://schemas.microsoft.com/office/drawing/2014/main" id="{82F8B9E8-AF56-42FD-9FBE-337579088BD9}"/>
            </a:ext>
          </a:extLst>
        </cdr:cNvPr>
        <cdr:cNvSpPr txBox="1"/>
      </cdr:nvSpPr>
      <cdr:spPr>
        <a:xfrm xmlns:a="http://schemas.openxmlformats.org/drawingml/2006/main">
          <a:off x="9525" y="469900"/>
          <a:ext cx="43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Change compared with 2019 average</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6692A75-5A69-E1D2-DCF0-D144445B999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06F4482-DB4C-77DF-FE62-5E8694F0535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a:t>
          </a:r>
          <a:r>
            <a:rPr lang="en-GB" sz="2400" b="0" baseline="0">
              <a:solidFill>
                <a:srgbClr val="495057"/>
              </a:solidFill>
              <a:latin typeface="Segoe UI" panose="020B0502040204020203" pitchFamily="34" charset="0"/>
              <a:cs typeface="Segoe UI" panose="020B0502040204020203" pitchFamily="34" charset="0"/>
            </a:rPr>
            <a:t> employment by industry</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1215970C-F5A3-08AF-F6A8-DC68DC05FDA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0.07549</cdr:y>
    </cdr:from>
    <cdr:to>
      <cdr:x>0.12811</cdr:x>
      <cdr:y>0.12644</cdr:y>
    </cdr:to>
    <cdr:sp macro="" textlink="">
      <cdr:nvSpPr>
        <cdr:cNvPr id="6" name="TextBox 5">
          <a:extLst xmlns:a="http://schemas.openxmlformats.org/drawingml/2006/main">
            <a:ext uri="{FF2B5EF4-FFF2-40B4-BE49-F238E27FC236}">
              <a16:creationId xmlns:a16="http://schemas.microsoft.com/office/drawing/2014/main" id="{DFCDA22A-D5FC-3CE2-1D28-1CB3BE84F10B}"/>
            </a:ext>
          </a:extLst>
        </cdr:cNvPr>
        <cdr:cNvSpPr txBox="1"/>
      </cdr:nvSpPr>
      <cdr:spPr>
        <a:xfrm xmlns:a="http://schemas.openxmlformats.org/drawingml/2006/main">
          <a:off x="0" y="508000"/>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B020FE7-F7E9-CC3E-BDC1-34624D88552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64ABFF20-5076-C986-EAE7-7DE5E7D39BA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employment by industry </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6ED0D20-69FB-E2A9-8A07-E693D9F1373D}"/>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cdr:x>
      <cdr:y>0.07549</cdr:y>
    </cdr:from>
    <cdr:to>
      <cdr:x>0.34235</cdr:x>
      <cdr:y>0.12644</cdr:y>
    </cdr:to>
    <cdr:sp macro="" textlink="">
      <cdr:nvSpPr>
        <cdr:cNvPr id="4" name="TextBox 3">
          <a:extLst xmlns:a="http://schemas.openxmlformats.org/drawingml/2006/main">
            <a:ext uri="{FF2B5EF4-FFF2-40B4-BE49-F238E27FC236}">
              <a16:creationId xmlns:a16="http://schemas.microsoft.com/office/drawing/2014/main" id="{B9F08946-1B14-3090-0C53-776C60089D13}"/>
            </a:ext>
          </a:extLst>
        </cdr:cNvPr>
        <cdr:cNvSpPr txBox="1"/>
      </cdr:nvSpPr>
      <cdr:spPr>
        <a:xfrm xmlns:a="http://schemas.openxmlformats.org/drawingml/2006/main">
          <a:off x="0" y="508000"/>
          <a:ext cx="288607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total employment</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365D97E-0244-DAC2-F230-D03C782E32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 since 2019</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0.35944</cdr:x>
      <cdr:y>0.92139</cdr:y>
    </cdr:from>
    <cdr:to>
      <cdr:x>1</cdr:x>
      <cdr:y>0.98083</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3030070" y="6200775"/>
          <a:ext cx="5400000" cy="4000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Change compared with 2019 average, 000s</a:t>
          </a:r>
        </a:p>
        <a:p xmlns:a="http://schemas.openxmlformats.org/drawingml/2006/main">
          <a:pPr indent="0" algn="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899741C5-23C7-72C0-2595-E98FC361C5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A60D17F4-4800-BD14-5B15-BF0C1EC7F43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a:t>
          </a:r>
          <a:r>
            <a:rPr lang="en-GB" sz="2400" b="0" baseline="0">
              <a:solidFill>
                <a:srgbClr val="495057"/>
              </a:solidFill>
              <a:latin typeface="Segoe UI" panose="020B0502040204020203" pitchFamily="34" charset="0"/>
              <a:cs typeface="Segoe UI" panose="020B0502040204020203" pitchFamily="34" charset="0"/>
            </a:rPr>
            <a:t> Contributions to nominal household income growth</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6583A38-B256-A84F-5C4E-1EB0D4907EF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0.78263</cdr:x>
      <cdr:y>0.14814</cdr:y>
    </cdr:from>
    <cdr:to>
      <cdr:x>0.78263</cdr:x>
      <cdr:y>0.8489</cdr:y>
    </cdr:to>
    <cdr:cxnSp macro="">
      <cdr:nvCxnSpPr>
        <cdr:cNvPr id="4" name="Straight Connector 3">
          <a:extLst xmlns:a="http://schemas.openxmlformats.org/drawingml/2006/main">
            <a:ext uri="{FF2B5EF4-FFF2-40B4-BE49-F238E27FC236}">
              <a16:creationId xmlns:a16="http://schemas.microsoft.com/office/drawing/2014/main" id="{6556CB55-B676-831D-6C36-21B612BCD493}"/>
            </a:ext>
          </a:extLst>
        </cdr:cNvPr>
        <cdr:cNvCxnSpPr/>
      </cdr:nvCxnSpPr>
      <cdr:spPr>
        <a:xfrm xmlns:a="http://schemas.openxmlformats.org/drawingml/2006/main">
          <a:off x="6597650" y="996950"/>
          <a:ext cx="0" cy="4716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0.83197</cdr:x>
      <cdr:y>0.20711</cdr:y>
    </cdr:from>
    <cdr:to>
      <cdr:x>0.98262</cdr:x>
      <cdr:y>0.28637</cdr:y>
    </cdr:to>
    <cdr:sp macro="" textlink="">
      <cdr:nvSpPr>
        <cdr:cNvPr id="5" name="TextBox 4">
          <a:extLst xmlns:a="http://schemas.openxmlformats.org/drawingml/2006/main">
            <a:ext uri="{FF2B5EF4-FFF2-40B4-BE49-F238E27FC236}">
              <a16:creationId xmlns:a16="http://schemas.microsoft.com/office/drawing/2014/main" id="{0CC4C7B1-D721-0A8A-4D0D-173C789AC865}"/>
            </a:ext>
          </a:extLst>
        </cdr:cNvPr>
        <cdr:cNvSpPr txBox="1"/>
      </cdr:nvSpPr>
      <cdr:spPr>
        <a:xfrm xmlns:a="http://schemas.openxmlformats.org/drawingml/2006/main">
          <a:off x="7013575" y="1393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0.14946</cdr:x>
      <cdr:y>0.12644</cdr:y>
    </cdr:to>
    <cdr:sp macro="" textlink="">
      <cdr:nvSpPr>
        <cdr:cNvPr id="6" name="TextBox 5">
          <a:extLst xmlns:a="http://schemas.openxmlformats.org/drawingml/2006/main">
            <a:ext uri="{FF2B5EF4-FFF2-40B4-BE49-F238E27FC236}">
              <a16:creationId xmlns:a16="http://schemas.microsoft.com/office/drawing/2014/main" id="{7B58DE39-4840-D11D-3CB6-B22D330E13A1}"/>
            </a:ext>
          </a:extLst>
        </cdr:cNvPr>
        <cdr:cNvSpPr txBox="1"/>
      </cdr:nvSpPr>
      <cdr:spPr>
        <a:xfrm xmlns:a="http://schemas.openxmlformats.org/drawingml/2006/main">
          <a:off x="0" y="508000"/>
          <a:ext cx="12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372916C9-79E5-31B0-952C-321E52E85BD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A60D17F4-4800-BD14-5B15-BF0C1EC7F43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a:t>
          </a:r>
          <a:r>
            <a:rPr lang="en-GB" sz="2400" b="0" baseline="0">
              <a:solidFill>
                <a:srgbClr val="495057"/>
              </a:solidFill>
              <a:latin typeface="Segoe UI" panose="020B0502040204020203" pitchFamily="34" charset="0"/>
              <a:cs typeface="Segoe UI" panose="020B0502040204020203" pitchFamily="34" charset="0"/>
            </a:rPr>
            <a:t> Contributions to real household income growth</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6583A38-B256-A84F-5C4E-1EB0D4907EF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0.7815</cdr:x>
      <cdr:y>0.14956</cdr:y>
    </cdr:from>
    <cdr:to>
      <cdr:x>0.7815</cdr:x>
      <cdr:y>0.85032</cdr:y>
    </cdr:to>
    <cdr:cxnSp macro="">
      <cdr:nvCxnSpPr>
        <cdr:cNvPr id="4" name="Straight Connector 3">
          <a:extLst xmlns:a="http://schemas.openxmlformats.org/drawingml/2006/main">
            <a:ext uri="{FF2B5EF4-FFF2-40B4-BE49-F238E27FC236}">
              <a16:creationId xmlns:a16="http://schemas.microsoft.com/office/drawing/2014/main" id="{6556CB55-B676-831D-6C36-21B612BCD493}"/>
            </a:ext>
          </a:extLst>
        </cdr:cNvPr>
        <cdr:cNvCxnSpPr/>
      </cdr:nvCxnSpPr>
      <cdr:spPr>
        <a:xfrm xmlns:a="http://schemas.openxmlformats.org/drawingml/2006/main">
          <a:off x="6588101" y="1006479"/>
          <a:ext cx="0" cy="471598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0.83197</cdr:x>
      <cdr:y>0.20711</cdr:y>
    </cdr:from>
    <cdr:to>
      <cdr:x>0.98262</cdr:x>
      <cdr:y>0.28637</cdr:y>
    </cdr:to>
    <cdr:sp macro="" textlink="">
      <cdr:nvSpPr>
        <cdr:cNvPr id="5" name="TextBox 4">
          <a:extLst xmlns:a="http://schemas.openxmlformats.org/drawingml/2006/main">
            <a:ext uri="{FF2B5EF4-FFF2-40B4-BE49-F238E27FC236}">
              <a16:creationId xmlns:a16="http://schemas.microsoft.com/office/drawing/2014/main" id="{0CC4C7B1-D721-0A8A-4D0D-173C789AC865}"/>
            </a:ext>
          </a:extLst>
        </cdr:cNvPr>
        <cdr:cNvSpPr txBox="1"/>
      </cdr:nvSpPr>
      <cdr:spPr>
        <a:xfrm xmlns:a="http://schemas.openxmlformats.org/drawingml/2006/main">
          <a:off x="7013575" y="1393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0.14946</cdr:x>
      <cdr:y>0.12644</cdr:y>
    </cdr:to>
    <cdr:sp macro="" textlink="">
      <cdr:nvSpPr>
        <cdr:cNvPr id="6" name="TextBox 5">
          <a:extLst xmlns:a="http://schemas.openxmlformats.org/drawingml/2006/main">
            <a:ext uri="{FF2B5EF4-FFF2-40B4-BE49-F238E27FC236}">
              <a16:creationId xmlns:a16="http://schemas.microsoft.com/office/drawing/2014/main" id="{7B58DE39-4840-D11D-3CB6-B22D330E13A1}"/>
            </a:ext>
          </a:extLst>
        </cdr:cNvPr>
        <cdr:cNvSpPr txBox="1"/>
      </cdr:nvSpPr>
      <cdr:spPr>
        <a:xfrm xmlns:a="http://schemas.openxmlformats.org/drawingml/2006/main">
          <a:off x="0" y="508000"/>
          <a:ext cx="12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99F8F6E-3911-0EA6-2570-1166A8F9D0A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80C3288F-7815-2E7B-16CE-255C771F640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Unit wage costs &amp; corporate profits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BAD271F0-13D9-A843-BF0D-9EDF89F493A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0.80071</cdr:x>
      <cdr:y>0.14814</cdr:y>
    </cdr:from>
    <cdr:to>
      <cdr:x>0.80071</cdr:x>
      <cdr:y>0.8596</cdr:y>
    </cdr:to>
    <cdr:cxnSp macro="">
      <cdr:nvCxnSpPr>
        <cdr:cNvPr id="4" name="Straight Connector 3">
          <a:extLst xmlns:a="http://schemas.openxmlformats.org/drawingml/2006/main">
            <a:ext uri="{FF2B5EF4-FFF2-40B4-BE49-F238E27FC236}">
              <a16:creationId xmlns:a16="http://schemas.microsoft.com/office/drawing/2014/main" id="{1DA9B3DB-F0CF-C5CB-2FE2-F6C89C25AC97}"/>
            </a:ext>
          </a:extLst>
        </cdr:cNvPr>
        <cdr:cNvCxnSpPr/>
      </cdr:nvCxnSpPr>
      <cdr:spPr>
        <a:xfrm xmlns:a="http://schemas.openxmlformats.org/drawingml/2006/main">
          <a:off x="6750050" y="996950"/>
          <a:ext cx="0" cy="4788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0.80711</cdr:x>
      <cdr:y>0.23683</cdr:y>
    </cdr:from>
    <cdr:to>
      <cdr:x>0.95776</cdr:x>
      <cdr:y>0.31609</cdr:y>
    </cdr:to>
    <cdr:sp macro="" textlink="">
      <cdr:nvSpPr>
        <cdr:cNvPr id="5" name="TextBox 4">
          <a:extLst xmlns:a="http://schemas.openxmlformats.org/drawingml/2006/main">
            <a:ext uri="{FF2B5EF4-FFF2-40B4-BE49-F238E27FC236}">
              <a16:creationId xmlns:a16="http://schemas.microsoft.com/office/drawing/2014/main" id="{AD938A7B-2CD8-D290-9214-4EE4A1784298}"/>
            </a:ext>
          </a:extLst>
        </cdr:cNvPr>
        <cdr:cNvSpPr txBox="1"/>
      </cdr:nvSpPr>
      <cdr:spPr>
        <a:xfrm xmlns:a="http://schemas.openxmlformats.org/drawingml/2006/main">
          <a:off x="6804025" y="15938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0.21352</cdr:x>
      <cdr:y>0.12644</cdr:y>
    </cdr:to>
    <cdr:sp macro="" textlink="">
      <cdr:nvSpPr>
        <cdr:cNvPr id="6" name="TextBox 5">
          <a:extLst xmlns:a="http://schemas.openxmlformats.org/drawingml/2006/main">
            <a:ext uri="{FF2B5EF4-FFF2-40B4-BE49-F238E27FC236}">
              <a16:creationId xmlns:a16="http://schemas.microsoft.com/office/drawing/2014/main" id="{5C78D34C-CEEA-501E-0779-3723044F2E2D}"/>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0.78648</cdr:x>
      <cdr:y>0.07265</cdr:y>
    </cdr:from>
    <cdr:to>
      <cdr:x>1</cdr:x>
      <cdr:y>0.12361</cdr:y>
    </cdr:to>
    <cdr:sp macro="" textlink="">
      <cdr:nvSpPr>
        <cdr:cNvPr id="7" name="TextBox 1">
          <a:extLst xmlns:a="http://schemas.openxmlformats.org/drawingml/2006/main">
            <a:ext uri="{FF2B5EF4-FFF2-40B4-BE49-F238E27FC236}">
              <a16:creationId xmlns:a16="http://schemas.microsoft.com/office/drawing/2014/main" id="{80D91F9A-0FFC-8CD1-81F7-327EEAC7DCDE}"/>
            </a:ext>
          </a:extLst>
        </cdr:cNvPr>
        <cdr:cNvSpPr txBox="1"/>
      </cdr:nvSpPr>
      <cdr:spPr>
        <a:xfrm xmlns:a="http://schemas.openxmlformats.org/drawingml/2006/main">
          <a:off x="6630070" y="488950"/>
          <a:ext cx="18000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EF20-2EE1-4AAF-95A0-C3D58FE083D5}">
  <sheetPr>
    <tabColor rgb="FFC0000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B309-B465-4211-8774-47A47FFC080A}">
  <sheetPr>
    <tabColor rgb="FFC0000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3909-17BB-4CC9-9417-D649AD463072}">
  <dimension ref="A1:EF111"/>
  <sheetViews>
    <sheetView topLeftCell="DI1" workbookViewId="0">
      <pane ySplit="3" topLeftCell="A4" activePane="bottomLeft" state="frozen"/>
      <selection pane="bottomLeft" activeCell="DT7" sqref="DT7"/>
    </sheetView>
  </sheetViews>
  <sheetFormatPr defaultRowHeight="15" x14ac:dyDescent="0.25"/>
  <cols>
    <col min="5" max="5" width="2.7109375" customWidth="1"/>
    <col min="10" max="10" width="2.7109375" customWidth="1"/>
    <col min="12" max="12" width="2.7109375" customWidth="1"/>
    <col min="13" max="13" width="10.7109375" bestFit="1" customWidth="1"/>
    <col min="16" max="16" width="2.7109375" customWidth="1"/>
    <col min="17" max="17" width="10.7109375" bestFit="1" customWidth="1"/>
    <col min="21" max="21" width="2.7109375" customWidth="1"/>
    <col min="23" max="23" width="2.7109375" customWidth="1"/>
    <col min="24" max="24" width="10.7109375" bestFit="1" customWidth="1"/>
    <col min="27" max="27" width="2.7109375" customWidth="1"/>
    <col min="28" max="28" width="10.7109375" bestFit="1" customWidth="1"/>
    <col min="35" max="35" width="2.7109375" customWidth="1"/>
    <col min="36" max="36" width="10.7109375" bestFit="1" customWidth="1"/>
    <col min="43" max="43" width="2.7109375" customWidth="1"/>
    <col min="44" max="44" width="11.42578125" customWidth="1"/>
    <col min="64" max="64" width="2.7109375" customWidth="1"/>
    <col min="66" max="66" width="2.7109375" customWidth="1"/>
    <col min="67" max="67" width="11.140625" customWidth="1"/>
    <col min="77" max="77" width="2.7109375" customWidth="1"/>
    <col min="87" max="87" width="9.28515625" customWidth="1"/>
    <col min="88" max="88" width="2.7109375" customWidth="1"/>
    <col min="92" max="92" width="2.7109375" customWidth="1"/>
    <col min="93" max="93" width="10.7109375" bestFit="1" customWidth="1"/>
    <col min="100" max="100" width="2.7109375" customWidth="1"/>
    <col min="101" max="101" width="4.140625" customWidth="1"/>
    <col min="111" max="112" width="15.28515625" customWidth="1"/>
    <col min="113" max="113" width="2.7109375" customWidth="1"/>
    <col min="115" max="115" width="2.7109375" customWidth="1"/>
    <col min="116" max="120" width="15.28515625" customWidth="1"/>
    <col min="121" max="121" width="2.7109375" customWidth="1"/>
    <col min="122" max="122" width="15.28515625" customWidth="1"/>
    <col min="123" max="123" width="2.7109375" customWidth="1"/>
  </cols>
  <sheetData>
    <row r="1" spans="1:136" x14ac:dyDescent="0.25">
      <c r="A1" s="6" t="s">
        <v>1291</v>
      </c>
      <c r="F1" s="6" t="s">
        <v>1289</v>
      </c>
      <c r="M1" s="6" t="s">
        <v>559</v>
      </c>
      <c r="Q1" s="6" t="s">
        <v>560</v>
      </c>
      <c r="X1" s="6" t="s">
        <v>763</v>
      </c>
      <c r="AB1" s="6" t="s">
        <v>782</v>
      </c>
      <c r="AJ1" s="6" t="s">
        <v>789</v>
      </c>
      <c r="AR1" s="6" t="s">
        <v>790</v>
      </c>
      <c r="AS1" s="8">
        <f>HAVERQ!T186</f>
        <v>361</v>
      </c>
      <c r="AT1" s="8">
        <f>HAVERQ!U186</f>
        <v>46</v>
      </c>
      <c r="AU1" s="8">
        <f>HAVERQ!V186</f>
        <v>2580</v>
      </c>
      <c r="AV1" s="8">
        <f>HAVERQ!W186</f>
        <v>141</v>
      </c>
      <c r="AW1" s="8">
        <f>HAVERQ!X186</f>
        <v>242</v>
      </c>
      <c r="AX1" s="8">
        <f>HAVERQ!Y186</f>
        <v>2227</v>
      </c>
      <c r="AY1" s="8">
        <f>HAVERQ!Z186</f>
        <v>4741</v>
      </c>
      <c r="AZ1" s="8">
        <f>HAVERQ!AA186</f>
        <v>1883</v>
      </c>
      <c r="BA1" s="8">
        <f>HAVERQ!AB186</f>
        <v>2702</v>
      </c>
      <c r="BB1" s="8">
        <f>HAVERQ!AC186</f>
        <v>1638</v>
      </c>
      <c r="BC1" s="8">
        <f>HAVERQ!AD186</f>
        <v>1183</v>
      </c>
      <c r="BD1" s="8">
        <f>HAVERQ!AE186</f>
        <v>680</v>
      </c>
      <c r="BE1" s="8">
        <f>HAVERQ!AF186</f>
        <v>3511</v>
      </c>
      <c r="BF1" s="8">
        <f>HAVERQ!AG186</f>
        <v>2958</v>
      </c>
      <c r="BG1" s="8">
        <f>HAVERQ!AH186</f>
        <v>1722</v>
      </c>
      <c r="BH1" s="8">
        <f>HAVERQ!AI186</f>
        <v>3065</v>
      </c>
      <c r="BI1" s="8">
        <f>HAVERQ!AJ186</f>
        <v>5046</v>
      </c>
      <c r="BJ1" s="8">
        <f>HAVERQ!AK186</f>
        <v>1100</v>
      </c>
      <c r="BK1" s="8">
        <f>HAVERQ!AL186+HAVERQ!AK186</f>
        <v>2028</v>
      </c>
      <c r="BO1" s="6" t="s">
        <v>790</v>
      </c>
      <c r="CK1" s="6" t="s">
        <v>1286</v>
      </c>
      <c r="CO1" s="6" t="s">
        <v>1328</v>
      </c>
      <c r="CW1" s="6" t="s">
        <v>1355</v>
      </c>
      <c r="CX1" t="s">
        <v>1420</v>
      </c>
      <c r="CY1" s="10">
        <f>AVERAGE(HAVERQ!AQ$128:AQ$183)</f>
        <v>5.5214285714285696</v>
      </c>
      <c r="CZ1" s="10">
        <f>AVERAGE(DL$5:DL$59)</f>
        <v>1.6315868377630145</v>
      </c>
      <c r="DA1" s="10">
        <f>AVERAGE(DO$5:DO$59)</f>
        <v>9.6646096120530451</v>
      </c>
      <c r="DB1" s="10">
        <f>AVERAGE(HAVERQ!AR$128:AR$183)</f>
        <v>4.6142857142857148</v>
      </c>
      <c r="DC1" s="10">
        <f>AVERAGE(DM$5:DM$59)</f>
        <v>0.46379323460146044</v>
      </c>
      <c r="DD1" s="10">
        <f>AVERAGE(DN$29:DN$59)</f>
        <v>1.1947845603965981</v>
      </c>
      <c r="DE1" s="10">
        <f>AVERAGE(HAVERQ!AZ$128:AZ$167,AZ$174:AZ$183)</f>
        <v>31.957500000000003</v>
      </c>
      <c r="DF1" s="10">
        <f>AVERAGE(HAVERQ!AS$128:AS$183)</f>
        <v>0.99851190476190477</v>
      </c>
      <c r="DG1" s="10">
        <f>AVERAGE(DP$5:DP$59)</f>
        <v>2.9941664480372534</v>
      </c>
      <c r="DH1" s="10">
        <f>AVERAGE(HAVERQ!AX$128:AX$183)</f>
        <v>63.439285714285703</v>
      </c>
      <c r="DJ1" s="10">
        <f>AVERAGE(DR$5:DR$59)</f>
        <v>62.615978930438075</v>
      </c>
      <c r="DU1" s="1" t="s">
        <v>1414</v>
      </c>
      <c r="DV1" s="1" t="s">
        <v>1414</v>
      </c>
      <c r="DW1" s="1" t="s">
        <v>1414</v>
      </c>
      <c r="DX1" s="1" t="s">
        <v>1414</v>
      </c>
      <c r="DY1" s="1"/>
      <c r="EB1" s="1"/>
    </row>
    <row r="2" spans="1:136" x14ac:dyDescent="0.25">
      <c r="A2" s="6"/>
      <c r="F2" s="6"/>
      <c r="M2" s="6"/>
      <c r="Q2" s="6"/>
      <c r="X2" s="6"/>
      <c r="AB2" s="6"/>
      <c r="AJ2" s="6"/>
      <c r="AR2" s="6"/>
      <c r="AS2" s="8"/>
      <c r="AT2" s="8"/>
      <c r="AU2" s="8"/>
      <c r="AV2" s="8"/>
      <c r="AW2" s="8"/>
      <c r="AX2" s="8"/>
      <c r="AY2" s="8"/>
      <c r="AZ2" s="8"/>
      <c r="BA2" s="8"/>
      <c r="BB2" s="8"/>
      <c r="BC2" s="8"/>
      <c r="BD2" s="8"/>
      <c r="BE2" s="8"/>
      <c r="BF2" s="8"/>
      <c r="BG2" s="8"/>
      <c r="BH2" s="8"/>
      <c r="BI2" s="8"/>
      <c r="BJ2" s="8"/>
      <c r="BK2" s="8"/>
      <c r="BO2" s="6"/>
      <c r="CK2" s="6"/>
      <c r="CO2" s="6"/>
      <c r="CP2">
        <f t="shared" ref="CP2:CU2" si="0">RANK(CP5,$CP$5:$CU$5)</f>
        <v>4</v>
      </c>
      <c r="CQ2">
        <f t="shared" si="0"/>
        <v>3</v>
      </c>
      <c r="CR2">
        <f t="shared" si="0"/>
        <v>2</v>
      </c>
      <c r="CS2">
        <f t="shared" si="0"/>
        <v>1</v>
      </c>
      <c r="CT2">
        <f t="shared" si="0"/>
        <v>5</v>
      </c>
      <c r="CU2">
        <f t="shared" si="0"/>
        <v>6</v>
      </c>
      <c r="CX2" s="36" t="s">
        <v>1421</v>
      </c>
      <c r="CY2" s="10">
        <f>STDEV(HAVERQ!AQ$128:AQ$183)</f>
        <v>1.6422505938458483</v>
      </c>
      <c r="CZ2" s="10">
        <f>STDEV(DL$5:DL$59)</f>
        <v>0.7489077951594163</v>
      </c>
      <c r="DA2" s="10">
        <f>STDEV(DO$5:DO$59)</f>
        <v>1.5084141713520309</v>
      </c>
      <c r="DB2" s="10">
        <f>STDEV(HAVERQ!AR$128:AR$183)</f>
        <v>1.8546676812281497</v>
      </c>
      <c r="DC2" s="10">
        <f>STDEV(DM$5:DM$59)</f>
        <v>0.23599837598151363</v>
      </c>
      <c r="DD2" s="10">
        <f>STDEV(DN$29:DN$59)</f>
        <v>1.4625981650689301</v>
      </c>
      <c r="DE2" s="10">
        <f>STDEV(HAVERQ!AZ$128:AZ$167,AZ$174:AZ$183)</f>
        <v>0.23302635484271325</v>
      </c>
      <c r="DF2" s="10">
        <f>STDEV(HAVERQ!AS$128:AS$183)</f>
        <v>1.8996790712099434</v>
      </c>
      <c r="DG2" s="10">
        <f>STDEV(DP$5:DP$59)</f>
        <v>1.942250974598277</v>
      </c>
      <c r="DH2" s="10">
        <f>STDEV(HAVERQ!AZ$128:AZ$183)</f>
        <v>1.0292965066982882</v>
      </c>
      <c r="DJ2" s="10">
        <f>STDEV(DR$5:DR$59)</f>
        <v>9.9243631760599325</v>
      </c>
      <c r="DU2" s="1"/>
      <c r="DV2" s="1"/>
      <c r="DX2" s="1"/>
      <c r="DY2" s="1"/>
      <c r="EB2" s="1"/>
    </row>
    <row r="3" spans="1:136" x14ac:dyDescent="0.25">
      <c r="B3" t="s">
        <v>1290</v>
      </c>
      <c r="C3" t="s">
        <v>788</v>
      </c>
      <c r="D3" t="s">
        <v>1292</v>
      </c>
      <c r="G3" t="s">
        <v>1290</v>
      </c>
      <c r="H3" t="s">
        <v>788</v>
      </c>
      <c r="I3" t="s">
        <v>1293</v>
      </c>
      <c r="K3" t="s">
        <v>1285</v>
      </c>
      <c r="N3" t="s">
        <v>557</v>
      </c>
      <c r="O3" t="s">
        <v>558</v>
      </c>
      <c r="R3" t="s">
        <v>556</v>
      </c>
      <c r="S3" t="s">
        <v>555</v>
      </c>
      <c r="T3" t="s">
        <v>558</v>
      </c>
      <c r="V3" t="s">
        <v>554</v>
      </c>
      <c r="Y3" t="s">
        <v>765</v>
      </c>
      <c r="Z3" t="s">
        <v>764</v>
      </c>
      <c r="AC3" t="s">
        <v>783</v>
      </c>
      <c r="AD3" t="s">
        <v>784</v>
      </c>
      <c r="AE3" t="s">
        <v>785</v>
      </c>
      <c r="AF3" t="s">
        <v>786</v>
      </c>
      <c r="AG3" t="s">
        <v>787</v>
      </c>
      <c r="AH3" t="s">
        <v>788</v>
      </c>
      <c r="AK3" t="s">
        <v>783</v>
      </c>
      <c r="AL3" t="s">
        <v>784</v>
      </c>
      <c r="AM3" t="s">
        <v>785</v>
      </c>
      <c r="AN3" t="s">
        <v>786</v>
      </c>
      <c r="AO3" t="s">
        <v>787</v>
      </c>
      <c r="AP3" t="s">
        <v>788</v>
      </c>
      <c r="AS3" t="s">
        <v>837</v>
      </c>
      <c r="AT3" t="s">
        <v>847</v>
      </c>
      <c r="AU3" t="s">
        <v>839</v>
      </c>
      <c r="AV3" t="s">
        <v>848</v>
      </c>
      <c r="AW3" t="s">
        <v>849</v>
      </c>
      <c r="AX3" t="s">
        <v>840</v>
      </c>
      <c r="AY3" t="s">
        <v>850</v>
      </c>
      <c r="AZ3" t="s">
        <v>851</v>
      </c>
      <c r="BA3" t="s">
        <v>852</v>
      </c>
      <c r="BB3" t="s">
        <v>853</v>
      </c>
      <c r="BC3" t="s">
        <v>843</v>
      </c>
      <c r="BD3" t="s">
        <v>854</v>
      </c>
      <c r="BE3" t="s">
        <v>855</v>
      </c>
      <c r="BF3" t="s">
        <v>856</v>
      </c>
      <c r="BG3" t="s">
        <v>857</v>
      </c>
      <c r="BH3" t="s">
        <v>784</v>
      </c>
      <c r="BI3" t="s">
        <v>858</v>
      </c>
      <c r="BJ3" t="s">
        <v>859</v>
      </c>
      <c r="BK3" t="s">
        <v>860</v>
      </c>
      <c r="BM3" t="s">
        <v>860</v>
      </c>
      <c r="BP3" t="s">
        <v>837</v>
      </c>
      <c r="BQ3" t="s">
        <v>838</v>
      </c>
      <c r="BR3" t="s">
        <v>839</v>
      </c>
      <c r="BS3" t="s">
        <v>840</v>
      </c>
      <c r="BT3" t="s">
        <v>841</v>
      </c>
      <c r="BU3" t="s">
        <v>842</v>
      </c>
      <c r="BV3" t="s">
        <v>843</v>
      </c>
      <c r="BW3" t="s">
        <v>844</v>
      </c>
      <c r="BX3" t="s">
        <v>845</v>
      </c>
      <c r="BZ3" t="s">
        <v>837</v>
      </c>
      <c r="CA3" t="s">
        <v>838</v>
      </c>
      <c r="CB3" t="s">
        <v>839</v>
      </c>
      <c r="CC3" t="s">
        <v>840</v>
      </c>
      <c r="CD3" t="s">
        <v>841</v>
      </c>
      <c r="CE3" t="s">
        <v>842</v>
      </c>
      <c r="CF3" t="s">
        <v>843</v>
      </c>
      <c r="CG3" t="s">
        <v>844</v>
      </c>
      <c r="CH3" t="s">
        <v>845</v>
      </c>
      <c r="CI3" t="s">
        <v>846</v>
      </c>
      <c r="CL3" t="s">
        <v>1287</v>
      </c>
      <c r="CM3" t="s">
        <v>1288</v>
      </c>
      <c r="CP3" t="str">
        <f>'DMP - NICs Reaction'!B3</f>
        <v>Lower employee wages</v>
      </c>
      <c r="CQ3" t="str">
        <f>'DMP - NICs Reaction'!C3</f>
        <v>Lower number of employees</v>
      </c>
      <c r="CR3" t="str">
        <f>'DMP - NICs Reaction'!D3</f>
        <v>Higher prices</v>
      </c>
      <c r="CS3" t="str">
        <f>'DMP - NICs Reaction'!E3</f>
        <v>Lower profit margins</v>
      </c>
      <c r="CT3" t="str">
        <f>'DMP - NICs Reaction'!F3</f>
        <v>Other</v>
      </c>
      <c r="CU3" t="str">
        <f>'DMP - NICs Reaction'!G3</f>
        <v>None of the above</v>
      </c>
      <c r="CY3" t="s">
        <v>1396</v>
      </c>
      <c r="CZ3" t="s">
        <v>1397</v>
      </c>
      <c r="DA3" t="s">
        <v>1441</v>
      </c>
      <c r="DB3" t="s">
        <v>1398</v>
      </c>
      <c r="DC3" t="s">
        <v>1410</v>
      </c>
      <c r="DD3" t="s">
        <v>1436</v>
      </c>
      <c r="DE3" t="s">
        <v>1408</v>
      </c>
      <c r="DF3" t="s">
        <v>1411</v>
      </c>
      <c r="DG3" t="s">
        <v>1443</v>
      </c>
      <c r="DH3" t="s">
        <v>1409</v>
      </c>
      <c r="DJ3" t="s">
        <v>1412</v>
      </c>
      <c r="DL3" t="s">
        <v>1397</v>
      </c>
      <c r="DM3" t="s">
        <v>1413</v>
      </c>
      <c r="DN3" t="s">
        <v>1429</v>
      </c>
      <c r="DO3" t="s">
        <v>1442</v>
      </c>
      <c r="DP3" t="s">
        <v>1443</v>
      </c>
      <c r="DR3" t="s">
        <v>1412</v>
      </c>
      <c r="DU3" t="str">
        <f>CY3&amp;"*"</f>
        <v>Unemployment rate*</v>
      </c>
      <c r="DV3" t="str">
        <f>CZ3&amp;"*"</f>
        <v>Unemployed &gt;12 months*</v>
      </c>
      <c r="DW3" t="str">
        <f>DA3&amp;"*"</f>
        <v>Underemployment*</v>
      </c>
      <c r="DX3" t="str">
        <f>DB3&amp;"*"</f>
        <v>Redundancy rate*</v>
      </c>
      <c r="DY3" t="str">
        <f>DC3&amp;"*"</f>
        <v>Vacancy/ Unemployed ratio*</v>
      </c>
      <c r="DZ3" t="str">
        <f>DE3&amp;"*"</f>
        <v>Average hours*</v>
      </c>
      <c r="EA3" t="str">
        <f>DD3</f>
        <v>HMRC payroll employment</v>
      </c>
      <c r="EB3" t="str">
        <f>DF3</f>
        <v>BoE recruitment difficulties</v>
      </c>
      <c r="EC3" t="str">
        <f>DG3</f>
        <v>Private sector regular pay growth</v>
      </c>
      <c r="ED3" t="str">
        <f>DH3&amp;"*"</f>
        <v>Participation rate*</v>
      </c>
      <c r="EF3" t="str">
        <f>DJ3</f>
        <v>BCC recruitment difficulties</v>
      </c>
    </row>
    <row r="4" spans="1:136" x14ac:dyDescent="0.25">
      <c r="A4">
        <v>2014</v>
      </c>
      <c r="B4" s="2">
        <f>100*((DataA!G48-DataA!G47)/DataA!H47)</f>
        <v>2.2545385888488405</v>
      </c>
      <c r="C4" s="2">
        <f t="shared" ref="C4:C16" si="1">D4-B4</f>
        <v>1.2449332628001648</v>
      </c>
      <c r="D4" s="2">
        <f>100*((DataA!H48/DataA!H47)-1)</f>
        <v>3.4994718516490053</v>
      </c>
      <c r="F4">
        <v>2014</v>
      </c>
      <c r="G4" s="2">
        <f>B4-K4</f>
        <v>1.0973014337525604</v>
      </c>
      <c r="H4" s="2">
        <f t="shared" ref="H4:H16" si="2">I4-G4</f>
        <v>1.1592146426135392</v>
      </c>
      <c r="I4" s="2">
        <f>100*((DataA!I48/DataA!I47)-1)</f>
        <v>2.2565160763660996</v>
      </c>
      <c r="K4" s="2">
        <f>100*((DataA!J48/DataA!J47)-1)</f>
        <v>1.1572371550962801</v>
      </c>
      <c r="M4" s="5">
        <v>42370</v>
      </c>
      <c r="N4">
        <f>HAVERM!C439</f>
        <v>4.9260000000000002</v>
      </c>
      <c r="O4" s="3">
        <f>HAVERM!B439</f>
        <v>5.0999999999999996</v>
      </c>
      <c r="Q4" s="5">
        <v>42370</v>
      </c>
      <c r="R4">
        <f>MIN(HAVERM!C438:C440)</f>
        <v>4.9260000000000002</v>
      </c>
      <c r="S4" s="3">
        <f t="shared" ref="S4:S35" si="3">V4-R4</f>
        <v>0.32699999999999996</v>
      </c>
      <c r="T4" s="3">
        <f>HAVERM!B439</f>
        <v>5.0999999999999996</v>
      </c>
      <c r="V4">
        <f>MAX(HAVERM!C438:C440)</f>
        <v>5.2530000000000001</v>
      </c>
      <c r="X4" s="9">
        <v>43466</v>
      </c>
      <c r="Y4" s="8">
        <f>HAVERQ!E164-AVERAGE(HAVERQ!E$164:E$167)</f>
        <v>-30.75</v>
      </c>
      <c r="Z4" s="8">
        <f>HAVERQ!F164-AVERAGE(HAVERQ!F$164:F$167)</f>
        <v>-64.75</v>
      </c>
      <c r="AB4" s="9">
        <v>36526</v>
      </c>
      <c r="AC4" s="8">
        <f>HAVERQ!P88</f>
        <v>1197</v>
      </c>
      <c r="AD4" s="8">
        <f>HAVERQ!O88</f>
        <v>1406</v>
      </c>
      <c r="AE4" s="8">
        <f>HAVERQ!N88</f>
        <v>1184</v>
      </c>
      <c r="AF4" s="8">
        <f>HAVERQ!M88</f>
        <v>225</v>
      </c>
      <c r="AG4" s="8">
        <f>HAVERQ!L88</f>
        <v>217</v>
      </c>
      <c r="AH4" s="8">
        <f>HAVERQ!E88-AC4-AD4-AE4-AF4-AG4</f>
        <v>800</v>
      </c>
      <c r="AJ4" s="9">
        <v>36526</v>
      </c>
      <c r="AK4" s="8">
        <f>100*(AC4/SUM($AC4:$AH4))</f>
        <v>23.801948697554185</v>
      </c>
      <c r="AL4" s="8">
        <f t="shared" ref="AL4:AP19" si="4">100*(AD4/SUM($AC4:$AH4))</f>
        <v>27.957844501889046</v>
      </c>
      <c r="AM4" s="8">
        <f t="shared" si="4"/>
        <v>23.543448001590775</v>
      </c>
      <c r="AN4" s="8">
        <f t="shared" si="4"/>
        <v>4.4740505070590579</v>
      </c>
      <c r="AO4" s="8">
        <f t="shared" si="4"/>
        <v>4.3149731556969577</v>
      </c>
      <c r="AP4" s="8">
        <f t="shared" si="4"/>
        <v>15.907735136209983</v>
      </c>
      <c r="AR4" s="9">
        <v>43466</v>
      </c>
      <c r="AS4" s="8">
        <f>HAVERQ!T164-AVERAGE(HAVERQ!T$164:T$167)</f>
        <v>-11.25</v>
      </c>
      <c r="AT4" s="8">
        <f>HAVERQ!U164-AVERAGE(HAVERQ!U$164:U$167)</f>
        <v>0.75</v>
      </c>
      <c r="AU4" s="8">
        <f>HAVERQ!V164-AVERAGE(HAVERQ!V$164:V$167)</f>
        <v>14.25</v>
      </c>
      <c r="AV4" s="8">
        <f>HAVERQ!W164-AVERAGE(HAVERQ!W$164:W$167)</f>
        <v>-0.75</v>
      </c>
      <c r="AW4" s="8">
        <f>HAVERQ!X164-AVERAGE(HAVERQ!X$164:X$167)</f>
        <v>5.5</v>
      </c>
      <c r="AX4" s="8">
        <f>HAVERQ!Y164-AVERAGE(HAVERQ!Y$164:Y$167)</f>
        <v>27.75</v>
      </c>
      <c r="AY4" s="8">
        <f>HAVERQ!Z164-AVERAGE(HAVERQ!Z$164:Z$167)</f>
        <v>27.5</v>
      </c>
      <c r="AZ4" s="8">
        <f>HAVERQ!AA164-AVERAGE(HAVERQ!AA$164:AA$167)</f>
        <v>-20</v>
      </c>
      <c r="BA4" s="8">
        <f>HAVERQ!AB164-AVERAGE(HAVERQ!AB$164:AB$167)</f>
        <v>-33</v>
      </c>
      <c r="BB4" s="8">
        <f>HAVERQ!AC164-AVERAGE(HAVERQ!AC$164:AC$167)</f>
        <v>-16.25</v>
      </c>
      <c r="BC4" s="8">
        <f>HAVERQ!AD164-AVERAGE(HAVERQ!AD$164:AD$167)</f>
        <v>-3.25</v>
      </c>
      <c r="BD4" s="8">
        <f>HAVERQ!AE164-AVERAGE(HAVERQ!AE$164:AE$167)</f>
        <v>-24.75</v>
      </c>
      <c r="BE4" s="8">
        <f>HAVERQ!AF164-AVERAGE(HAVERQ!AF$164:AF$167)</f>
        <v>-15</v>
      </c>
      <c r="BF4" s="8">
        <f>HAVERQ!AG164-AVERAGE(HAVERQ!AG$164:AG$167)</f>
        <v>-17.5</v>
      </c>
      <c r="BG4" s="8">
        <f>HAVERQ!AH164-AVERAGE(HAVERQ!AH$164:AH$167)</f>
        <v>-9.75</v>
      </c>
      <c r="BH4" s="8">
        <f>HAVERQ!AI164-AVERAGE(HAVERQ!AI$164:AI$167)</f>
        <v>4</v>
      </c>
      <c r="BI4" s="8">
        <f>HAVERQ!AJ164-AVERAGE(HAVERQ!AJ$164:AJ$167)</f>
        <v>-38.25</v>
      </c>
      <c r="BJ4" s="8">
        <f>HAVERQ!AK164-AVERAGE(HAVERQ!AK$164:AK$167)</f>
        <v>-5.75</v>
      </c>
      <c r="BK4" s="8">
        <f>BM4-AVERAGE(BM$4:BM$7)</f>
        <v>-9.5</v>
      </c>
      <c r="BM4" s="8">
        <f>HAVERQ!AL164+HAVERQ!AM164</f>
        <v>1008</v>
      </c>
      <c r="BO4" s="9">
        <v>43466</v>
      </c>
      <c r="BP4" s="8">
        <f>BZ4-AVERAGE(BZ$4:BZ$7)</f>
        <v>-11.25</v>
      </c>
      <c r="BQ4" s="8">
        <f t="shared" ref="BQ4:BX4" si="5">CA4-AVERAGE(CA$4:CA$7)</f>
        <v>5.5</v>
      </c>
      <c r="BR4" s="8">
        <f t="shared" si="5"/>
        <v>14.25</v>
      </c>
      <c r="BS4" s="8">
        <f t="shared" si="5"/>
        <v>27.75</v>
      </c>
      <c r="BT4" s="8">
        <f t="shared" si="5"/>
        <v>-5.5</v>
      </c>
      <c r="BU4" s="8">
        <f t="shared" si="5"/>
        <v>-36.25</v>
      </c>
      <c r="BV4" s="8">
        <f t="shared" si="5"/>
        <v>-3.25</v>
      </c>
      <c r="BW4" s="8">
        <f t="shared" si="5"/>
        <v>-57.25</v>
      </c>
      <c r="BX4" s="8">
        <f t="shared" si="5"/>
        <v>-59.25</v>
      </c>
      <c r="BZ4" s="8">
        <f>HAVERQ!T164</f>
        <v>387</v>
      </c>
      <c r="CA4" s="8">
        <f>HAVERQ!U164+HAVERQ!W164+HAVERQ!X164</f>
        <v>431</v>
      </c>
      <c r="CB4" s="8">
        <f>HAVERQ!V164</f>
        <v>2705</v>
      </c>
      <c r="CC4" s="8">
        <f>HAVERQ!Y164</f>
        <v>2361</v>
      </c>
      <c r="CD4" s="8">
        <f>HAVERQ!Z164+HAVERQ!AB164</f>
        <v>7499</v>
      </c>
      <c r="CE4" s="8">
        <f>HAVERQ!AA164+HAVERQ!AC164</f>
        <v>3270</v>
      </c>
      <c r="CF4" s="8">
        <f>HAVERQ!AD164</f>
        <v>1132</v>
      </c>
      <c r="CG4" s="8">
        <f>HAVERQ!AE164+HAVERQ!AF164+HAVERQ!AG164</f>
        <v>6774</v>
      </c>
      <c r="CH4" s="8">
        <f>HAVERQ!AH164+HAVERQ!AI164+HAVERQ!AJ164+HAVERQ!AK164+HAVERQ!AL164+HAVERQ!AM164</f>
        <v>10881</v>
      </c>
      <c r="CI4" s="8">
        <f>HAVERQ!S164-SUM('Chart Data'!BZ4:CH4)</f>
        <v>-2</v>
      </c>
      <c r="CK4">
        <v>2012</v>
      </c>
      <c r="CL4" s="2">
        <f>100*((DataQ!F163/DataQ!F159)-1)</f>
        <v>-1.0460325888435706</v>
      </c>
      <c r="CM4" s="2">
        <f>100*(DataQ!I163/DataQ!J163)</f>
        <v>21.990625147218164</v>
      </c>
      <c r="CO4" s="5">
        <f>'DMP - NICs Reaction'!A4</f>
        <v>45597</v>
      </c>
      <c r="CP4">
        <f>'DMP - NICs Reaction'!B4</f>
        <v>37.880000000000003</v>
      </c>
      <c r="CQ4">
        <f>'DMP - NICs Reaction'!C4</f>
        <v>53.68</v>
      </c>
      <c r="CR4">
        <f>'DMP - NICs Reaction'!D4</f>
        <v>53.64</v>
      </c>
      <c r="CS4">
        <f>'DMP - NICs Reaction'!E4</f>
        <v>58.72</v>
      </c>
      <c r="CT4">
        <f>'DMP - NICs Reaction'!F4</f>
        <v>7.51</v>
      </c>
      <c r="CU4">
        <f>'DMP - NICs Reaction'!G4</f>
        <v>2.67</v>
      </c>
      <c r="CX4">
        <v>2010</v>
      </c>
      <c r="CY4" s="10">
        <f>(HAVERQ!AQ128-AVERAGE(HAVERQ!AQ$128:AQ$183))/STDEV(HAVERQ!AQ$128:AQ$183)</f>
        <v>1.5092528739886601</v>
      </c>
      <c r="CZ4" s="10">
        <f t="shared" ref="CZ4:CZ35" si="6">(DL4-AVERAGE(DL$5:DL$59))/STDEV(DL$5:DL$59)</f>
        <v>1.0741154589291408</v>
      </c>
      <c r="DA4" s="10">
        <f t="shared" ref="DA4:DA35" si="7">(DO4-AVERAGE(DO$5:DO$59))/STDEV(DO$5:DO$59)</f>
        <v>0.90570460894303861</v>
      </c>
      <c r="DB4" s="10">
        <f>(HAVERQ!AR128-AVERAGE(HAVERQ!AR$128:AR$183))/STDEV(HAVERQ!AR$128:AR$183)</f>
        <v>1.340247803352167</v>
      </c>
      <c r="DC4" s="10">
        <f t="shared" ref="DC4:DC35" si="8">(DM4-AVERAGE(DM$5:DM$59))/STDEV(DM$5:DM$59)</f>
        <v>-1.224351601913525</v>
      </c>
      <c r="DD4" s="10" t="e">
        <f>(DN4-AVERAGE(DN$29:DN$59))/STDEV(DN$29:DN$59)</f>
        <v>#N/A</v>
      </c>
      <c r="DE4" s="10">
        <f>(HAVERQ!AZ128-AVERAGE(HAVERQ!AZ$128:AZ$183))/STDEV(HAVERQ!AZ$128:AZ$183)</f>
        <v>-2.6023321862463481E-2</v>
      </c>
      <c r="DF4" s="10">
        <f>(HAVERQ!AS128-AVERAGE(HAVERQ!AS$128:AS$183))/STDEV(HAVERQ!AS$128:AS$183)</f>
        <v>-2.0521950069591832</v>
      </c>
      <c r="DG4" s="10">
        <f>(DP4-AVERAGE(DP$5:DP$59))/STDEV(DP$5:DP$59)</f>
        <v>-1.0724466516026832</v>
      </c>
      <c r="DH4" s="10">
        <f>(HAVERQ!AX128-AVERAGE(HAVERQ!AX$128:AX$183))/STDEV(HAVERQ!AX$128:AX$183)</f>
        <v>-1.3285019246451601</v>
      </c>
      <c r="DJ4" s="10">
        <f t="shared" ref="DJ4:DJ35" si="9">(DR4-AVERAGE(DR$5:DR$59))/STDEV(DR$5:DR$59)</f>
        <v>-1.9765478733947146</v>
      </c>
      <c r="DL4" s="10">
        <f>100*(HAVERQ!AV128/(HAVERQ!AW128*HAVERQ!AX128/100))</f>
        <v>2.4360002778562819</v>
      </c>
      <c r="DM4" s="10">
        <f>HAVERQ!AO128/HAVERQ!AP128</f>
        <v>0.17484824491950385</v>
      </c>
      <c r="DN4" s="10" t="e">
        <f>100*((AVERAGE(HAVERQ!BC125:BC128)/AVERAGE(HAVERQ!BC121:BC124))-1)</f>
        <v>#N/A</v>
      </c>
      <c r="DO4" s="10">
        <f>100*(HAVERQ!BE128+HAVERQ!BF128)/(HAVERQ!BB128+HAVERQ!BG128)</f>
        <v>11.030787279241574</v>
      </c>
      <c r="DP4" s="10">
        <f>100*((AVERAGE(HAVERQ!BA125:BA128)/AVERAGE(HAVERQ!BA121:BA124))-1)</f>
        <v>0.91120589375728311</v>
      </c>
      <c r="DR4" s="10">
        <f>(HAVERQ!AT128*HAVERQ!$AT$1)+(HAVERQ!AU128*HAVERQ!$AU$1)</f>
        <v>43</v>
      </c>
      <c r="DT4" t="s">
        <v>1399</v>
      </c>
      <c r="DU4" s="10">
        <f>-CY62</f>
        <v>0.74375285721054851</v>
      </c>
      <c r="DV4" s="10">
        <f>-CZ62</f>
        <v>0.88680620558112333</v>
      </c>
      <c r="DW4" s="10">
        <f>-DA62</f>
        <v>1.1066330921456566</v>
      </c>
      <c r="DX4" s="10">
        <f>-DB62</f>
        <v>0.76255478466588855</v>
      </c>
      <c r="DY4" s="10">
        <f>DC62</f>
        <v>0.43375454981318146</v>
      </c>
      <c r="DZ4" s="10">
        <f>DE62</f>
        <v>0.61151881338135383</v>
      </c>
      <c r="EA4" s="10">
        <f>DD62</f>
        <v>-0.1092838269757079</v>
      </c>
      <c r="EB4" s="10">
        <f>DF62</f>
        <v>7.8334033397937865E-4</v>
      </c>
      <c r="EC4" s="10">
        <f>DG62</f>
        <v>1.2174405418956289</v>
      </c>
      <c r="ED4" s="10">
        <f>DH62</f>
        <v>-0.72365551992863963</v>
      </c>
      <c r="EF4" s="10">
        <f>DJ62</f>
        <v>1.2019085341271505</v>
      </c>
    </row>
    <row r="5" spans="1:136" x14ac:dyDescent="0.25">
      <c r="A5">
        <v>2015</v>
      </c>
      <c r="B5" s="2">
        <f>100*((DataA!G49-DataA!G48)/DataA!H48)</f>
        <v>2.0418208427112634</v>
      </c>
      <c r="C5" s="2">
        <f t="shared" si="1"/>
        <v>3.6491959837397263</v>
      </c>
      <c r="D5" s="2">
        <f>100*((DataA!H49/DataA!H48)-1)</f>
        <v>5.6910168264509897</v>
      </c>
      <c r="F5">
        <v>2015</v>
      </c>
      <c r="G5" s="2">
        <f t="shared" ref="G5:G16" si="10">B5-K5</f>
        <v>2.4131255136380831</v>
      </c>
      <c r="H5" s="2">
        <f t="shared" si="2"/>
        <v>3.6485662134447576</v>
      </c>
      <c r="I5" s="2">
        <f>100*((DataA!I49/DataA!I48)-1)</f>
        <v>6.0616917270828408</v>
      </c>
      <c r="K5" s="2">
        <f>100*((DataA!J49/DataA!J48)-1)</f>
        <v>-0.37130467092681974</v>
      </c>
      <c r="M5" s="5">
        <v>42401</v>
      </c>
      <c r="N5">
        <f>HAVERM!C440</f>
        <v>5.1159999999999997</v>
      </c>
      <c r="O5" s="3">
        <f>HAVERM!B440</f>
        <v>5.0999999999999996</v>
      </c>
      <c r="Q5" s="5">
        <v>42401</v>
      </c>
      <c r="R5">
        <f>MIN(HAVERM!C439:C441)</f>
        <v>4.9260000000000002</v>
      </c>
      <c r="S5" s="3">
        <f t="shared" si="3"/>
        <v>0.24000000000000021</v>
      </c>
      <c r="T5" s="3">
        <f>HAVERM!B440</f>
        <v>5.0999999999999996</v>
      </c>
      <c r="V5">
        <f>MAX(HAVERM!C439:C441)</f>
        <v>5.1660000000000004</v>
      </c>
      <c r="X5" s="9">
        <v>43556</v>
      </c>
      <c r="Y5" s="8">
        <f>HAVERQ!E165-AVERAGE(HAVERQ!E$164:E$167)</f>
        <v>-10.75</v>
      </c>
      <c r="Z5" s="8">
        <f>HAVERQ!F165-AVERAGE(HAVERQ!F$164:F$167)</f>
        <v>-22.75</v>
      </c>
      <c r="AB5" s="9">
        <v>36617</v>
      </c>
      <c r="AC5" s="8">
        <f>HAVERQ!P89</f>
        <v>1204</v>
      </c>
      <c r="AD5" s="8">
        <f>HAVERQ!O89</f>
        <v>1441</v>
      </c>
      <c r="AE5" s="8">
        <f>HAVERQ!N89</f>
        <v>1178</v>
      </c>
      <c r="AF5" s="8">
        <f>HAVERQ!M89</f>
        <v>225</v>
      </c>
      <c r="AG5" s="8">
        <f>HAVERQ!L89</f>
        <v>217</v>
      </c>
      <c r="AH5" s="8">
        <f>HAVERQ!E89-AC5-AD5-AE5-AF5-AG5</f>
        <v>784</v>
      </c>
      <c r="AJ5" s="9">
        <v>36617</v>
      </c>
      <c r="AK5" s="8">
        <f t="shared" ref="AK5:AK68" si="11">100*(AC5/SUM($AC5:$AH5))</f>
        <v>23.846306199247376</v>
      </c>
      <c r="AL5" s="8">
        <f t="shared" ref="AL5:AL68" si="12">100*(AD5/SUM($AC5:$AH5))</f>
        <v>28.540305010893245</v>
      </c>
      <c r="AM5" s="8">
        <f t="shared" ref="AM5:AM68" si="13">100*(AE5/SUM($AC5:$AH5))</f>
        <v>23.331352743117449</v>
      </c>
      <c r="AN5" s="8">
        <f t="shared" ref="AN5:AN68" si="14">100*(AF5/SUM($AC5:$AH5))</f>
        <v>4.4563279857397502</v>
      </c>
      <c r="AO5" s="8">
        <f t="shared" ref="AO5:AP68" si="15">100*(AG5/SUM($AC5:$AH5))</f>
        <v>4.2978807684690032</v>
      </c>
      <c r="AP5" s="8">
        <f t="shared" si="4"/>
        <v>15.527827292533175</v>
      </c>
      <c r="AR5" s="9">
        <v>43556</v>
      </c>
      <c r="AS5" s="8">
        <f>HAVERQ!T165-AVERAGE(HAVERQ!T$164:T$167)</f>
        <v>-0.25</v>
      </c>
      <c r="AT5" s="8">
        <f>HAVERQ!U165-AVERAGE(HAVERQ!U$164:U$167)</f>
        <v>-1.25</v>
      </c>
      <c r="AU5" s="8">
        <f>HAVERQ!V165-AVERAGE(HAVERQ!V$164:V$167)</f>
        <v>-1.75</v>
      </c>
      <c r="AV5" s="8">
        <f>HAVERQ!W165-AVERAGE(HAVERQ!W$164:W$167)</f>
        <v>-0.75</v>
      </c>
      <c r="AW5" s="8">
        <f>HAVERQ!X165-AVERAGE(HAVERQ!X$164:X$167)</f>
        <v>0.5</v>
      </c>
      <c r="AX5" s="8">
        <f>HAVERQ!Y165-AVERAGE(HAVERQ!Y$164:Y$167)</f>
        <v>5.75</v>
      </c>
      <c r="AY5" s="8">
        <f>HAVERQ!Z165-AVERAGE(HAVERQ!Z$164:Z$167)</f>
        <v>11.5</v>
      </c>
      <c r="AZ5" s="8">
        <f>HAVERQ!AA165-AVERAGE(HAVERQ!AA$164:AA$167)</f>
        <v>13</v>
      </c>
      <c r="BA5" s="8">
        <f>HAVERQ!AB165-AVERAGE(HAVERQ!AB$164:AB$167)</f>
        <v>13</v>
      </c>
      <c r="BB5" s="8">
        <f>HAVERQ!AC165-AVERAGE(HAVERQ!AC$164:AC$167)</f>
        <v>-11.25</v>
      </c>
      <c r="BC5" s="8">
        <f>HAVERQ!AD165-AVERAGE(HAVERQ!AD$164:AD$167)</f>
        <v>-0.25</v>
      </c>
      <c r="BD5" s="8">
        <f>HAVERQ!AE165-AVERAGE(HAVERQ!AE$164:AE$167)</f>
        <v>-12.75</v>
      </c>
      <c r="BE5" s="8">
        <f>HAVERQ!AF165-AVERAGE(HAVERQ!AF$164:AF$167)</f>
        <v>21</v>
      </c>
      <c r="BF5" s="8">
        <f>HAVERQ!AG165-AVERAGE(HAVERQ!AG$164:AG$167)</f>
        <v>-16.5</v>
      </c>
      <c r="BG5" s="8">
        <f>HAVERQ!AH165-AVERAGE(HAVERQ!AH$164:AH$167)</f>
        <v>-8.75</v>
      </c>
      <c r="BH5" s="8">
        <f>HAVERQ!AI165-AVERAGE(HAVERQ!AI$164:AI$167)</f>
        <v>-11</v>
      </c>
      <c r="BI5" s="8">
        <f>HAVERQ!AJ165-AVERAGE(HAVERQ!AJ$164:AJ$167)</f>
        <v>-2.25</v>
      </c>
      <c r="BJ5" s="8">
        <f>HAVERQ!AK165-AVERAGE(HAVERQ!AK$164:AK$167)</f>
        <v>-9.75</v>
      </c>
      <c r="BK5" s="8">
        <f t="shared" ref="BK5:BK26" si="16">BM5-AVERAGE(BM$4:BM$7)</f>
        <v>-8.5</v>
      </c>
      <c r="BM5" s="8">
        <f>HAVERQ!AL165+HAVERQ!AM165</f>
        <v>1009</v>
      </c>
      <c r="BO5" s="9">
        <v>43556</v>
      </c>
      <c r="BP5" s="8">
        <f t="shared" ref="BP5:BP26" si="17">BZ5-AVERAGE(BZ$4:BZ$7)</f>
        <v>-0.25</v>
      </c>
      <c r="BQ5" s="8">
        <f t="shared" ref="BQ5:BQ26" si="18">CA5-AVERAGE(CA$4:CA$7)</f>
        <v>-1.5</v>
      </c>
      <c r="BR5" s="8">
        <f t="shared" ref="BR5:BR26" si="19">CB5-AVERAGE(CB$4:CB$7)</f>
        <v>-1.75</v>
      </c>
      <c r="BS5" s="8">
        <f t="shared" ref="BS5:BS26" si="20">CC5-AVERAGE(CC$4:CC$7)</f>
        <v>5.75</v>
      </c>
      <c r="BT5" s="8">
        <f t="shared" ref="BT5:BT26" si="21">CD5-AVERAGE(CD$4:CD$7)</f>
        <v>24.5</v>
      </c>
      <c r="BU5" s="8">
        <f t="shared" ref="BU5:BU26" si="22">CE5-AVERAGE(CE$4:CE$7)</f>
        <v>1.75</v>
      </c>
      <c r="BV5" s="8">
        <f t="shared" ref="BV5:BV26" si="23">CF5-AVERAGE(CF$4:CF$7)</f>
        <v>-0.25</v>
      </c>
      <c r="BW5" s="8">
        <f t="shared" ref="BW5:BW26" si="24">CG5-AVERAGE(CG$4:CG$7)</f>
        <v>-8.25</v>
      </c>
      <c r="BX5" s="8">
        <f t="shared" ref="BX5:BX26" si="25">CH5-AVERAGE(CH$4:CH$7)</f>
        <v>-40.25</v>
      </c>
      <c r="BZ5" s="8">
        <f>HAVERQ!T165</f>
        <v>398</v>
      </c>
      <c r="CA5" s="8">
        <f>HAVERQ!U165+HAVERQ!W165+HAVERQ!X165</f>
        <v>424</v>
      </c>
      <c r="CB5" s="8">
        <f>HAVERQ!V165</f>
        <v>2689</v>
      </c>
      <c r="CC5" s="8">
        <f>HAVERQ!Y165</f>
        <v>2339</v>
      </c>
      <c r="CD5" s="8">
        <f>HAVERQ!Z165+HAVERQ!AB165</f>
        <v>7529</v>
      </c>
      <c r="CE5" s="8">
        <f>HAVERQ!AA165+HAVERQ!AC165</f>
        <v>3308</v>
      </c>
      <c r="CF5" s="8">
        <f>HAVERQ!AD165</f>
        <v>1135</v>
      </c>
      <c r="CG5" s="8">
        <f>HAVERQ!AE165+HAVERQ!AF165+HAVERQ!AG165</f>
        <v>6823</v>
      </c>
      <c r="CH5" s="8">
        <f>HAVERQ!AH165+HAVERQ!AI165+HAVERQ!AJ165+HAVERQ!AK165+HAVERQ!AL165+HAVERQ!AM165</f>
        <v>10900</v>
      </c>
      <c r="CI5" s="8">
        <f>HAVERQ!S165-SUM('Chart Data'!BZ5:CH5)</f>
        <v>1</v>
      </c>
      <c r="CL5" s="2">
        <f>100*((DataQ!F164/DataQ!F160)-1)</f>
        <v>0.71283453929573692</v>
      </c>
      <c r="CM5" s="2">
        <f>100*(DataQ!I164/DataQ!J164)</f>
        <v>21.877963660666591</v>
      </c>
      <c r="CO5" s="5">
        <f>'DMP - NICs Reaction'!A5</f>
        <v>45627</v>
      </c>
      <c r="CP5">
        <f>'DMP - NICs Reaction'!B5</f>
        <v>40.67</v>
      </c>
      <c r="CQ5">
        <f>'DMP - NICs Reaction'!C5</f>
        <v>52.76</v>
      </c>
      <c r="CR5">
        <f>'DMP - NICs Reaction'!D5</f>
        <v>54.45</v>
      </c>
      <c r="CS5">
        <f>'DMP - NICs Reaction'!E5</f>
        <v>63.5</v>
      </c>
      <c r="CT5">
        <f>'DMP - NICs Reaction'!F5</f>
        <v>7.33</v>
      </c>
      <c r="CU5">
        <f>'DMP - NICs Reaction'!G5</f>
        <v>3.75</v>
      </c>
      <c r="CY5" s="10">
        <f>(HAVERQ!AQ129-AVERAGE(HAVERQ!AQ$128:AQ$183))/STDEV(HAVERQ!AQ$128:AQ$183)</f>
        <v>1.4483608271994926</v>
      </c>
      <c r="CZ5" s="10">
        <f t="shared" si="6"/>
        <v>1.20401900181154</v>
      </c>
      <c r="DA5" s="10">
        <f t="shared" si="7"/>
        <v>0.80200723235800886</v>
      </c>
      <c r="DB5" s="10">
        <f>(HAVERQ!AR129-AVERAGE(HAVERQ!AR$128:AR$183))/STDEV(HAVERQ!AR$128:AR$183)</f>
        <v>0.80106765257830659</v>
      </c>
      <c r="DC5" s="10">
        <f t="shared" si="8"/>
        <v>-1.1295838076507079</v>
      </c>
      <c r="DD5" s="10" t="e">
        <f t="shared" ref="DD5:DD62" si="26">(DN5-AVERAGE(DN$29:DN$59))/STDEV(DN$29:DN$59)</f>
        <v>#N/A</v>
      </c>
      <c r="DE5" s="10">
        <f>(HAVERQ!AZ129-AVERAGE(HAVERQ!AZ$128:AZ$167,AZ$174:AZ$183))/STDEV(HAVERQ!AZ$128:AZ$167,AZ$174:AZ$183)</f>
        <v>-1.5341612335707904</v>
      </c>
      <c r="DF5" s="10">
        <f>(HAVERQ!AS129-AVERAGE(HAVERQ!AS$128:AS$183))/STDEV(HAVERQ!AS$128:AS$183)</f>
        <v>-1.7538990077798349</v>
      </c>
      <c r="DG5" s="10">
        <f t="shared" ref="DG5:DG62" si="27">(DP5-AVERAGE(DP$5:DP$59))/STDEV(DP$5:DP$59)</f>
        <v>-1.1127899316692995</v>
      </c>
      <c r="DH5" s="10">
        <f>(HAVERQ!AX129-AVERAGE(HAVERQ!AX$128:AX$183))/STDEV(HAVERQ!AX$128:AX$183)</f>
        <v>-0.72365551992863963</v>
      </c>
      <c r="DJ5" s="10">
        <f t="shared" si="9"/>
        <v>-1.0305241844225699</v>
      </c>
      <c r="DL5" s="10">
        <f>100*(HAVERQ!AV129/(HAVERQ!AW129*HAVERQ!AX129/100))</f>
        <v>2.5332860537397361</v>
      </c>
      <c r="DM5" s="10">
        <f>HAVERQ!AO129/HAVERQ!AP129</f>
        <v>0.1972132904608789</v>
      </c>
      <c r="DN5" s="10" t="e">
        <f>100*((AVERAGE(HAVERQ!BC126:BC129)/AVERAGE(HAVERQ!BC122:BC125))-1)</f>
        <v>#N/A</v>
      </c>
      <c r="DO5" s="10">
        <f>100*(HAVERQ!BE129+HAVERQ!BF129)/(HAVERQ!BB129+HAVERQ!BG129)</f>
        <v>10.874368686868687</v>
      </c>
      <c r="DP5" s="10">
        <f>100*((AVERAGE(HAVERQ!BA126:BA129)/AVERAGE(HAVERQ!BA122:BA125))-1)</f>
        <v>0.83284911872940626</v>
      </c>
      <c r="DR5" s="10">
        <f>(HAVERQ!AT129*HAVERQ!$AT$1)+(HAVERQ!AU129*HAVERQ!$AU$1)</f>
        <v>52.388682662515528</v>
      </c>
      <c r="DT5" s="35">
        <v>2023</v>
      </c>
      <c r="DU5" s="10">
        <f>-AVERAGE(CY$56:CY$59)</f>
        <v>0.89598297418346795</v>
      </c>
      <c r="DV5" s="10">
        <f>-AVERAGE(CZ$56:CZ$59)</f>
        <v>1.078584602748883</v>
      </c>
      <c r="DW5" s="10">
        <f>-AVERAGE(DA$56:DA$59)</f>
        <v>1.3531895107609198</v>
      </c>
      <c r="DX5" s="10">
        <f>-AVERAGE(DB$56:DB$59)</f>
        <v>0.72211627335784923</v>
      </c>
      <c r="DY5" s="10">
        <f>AVERAGE(DC$56:DC$59)</f>
        <v>1.095134927741189</v>
      </c>
      <c r="DZ5" s="10">
        <f>AVERAGE(DE$56:DE$59)</f>
        <v>-1.4268772312231894</v>
      </c>
      <c r="EA5" s="10">
        <f>AVERAGE(DD$56:DD$59)</f>
        <v>0.6860267298491356</v>
      </c>
      <c r="EB5" s="10">
        <f>AVERAGE(DF$56:DF$59)</f>
        <v>0.52718804476812375</v>
      </c>
      <c r="EC5" s="10">
        <f>AVERAGE(DG$56:DG$59)</f>
        <v>1.952205186378845</v>
      </c>
      <c r="ED5" s="10">
        <f>AVERAGE(DH$56:DH$59)</f>
        <v>-0.95047292169734554</v>
      </c>
      <c r="EF5" s="10">
        <f>AVERAGE(DJ$56:DJ$59)</f>
        <v>1.339344160365596</v>
      </c>
    </row>
    <row r="6" spans="1:136" x14ac:dyDescent="0.25">
      <c r="A6">
        <v>2016</v>
      </c>
      <c r="B6" s="2">
        <f>100*((DataA!G50-DataA!G49)/DataA!H49)</f>
        <v>2.0449226798112283</v>
      </c>
      <c r="C6" s="2">
        <f t="shared" si="1"/>
        <v>-8.9021232924629601E-2</v>
      </c>
      <c r="D6" s="2">
        <f>100*((DataA!H50/DataA!H49)-1)</f>
        <v>1.9559014468865987</v>
      </c>
      <c r="F6">
        <v>2016</v>
      </c>
      <c r="G6" s="2">
        <f t="shared" si="10"/>
        <v>0.77782891120837228</v>
      </c>
      <c r="H6" s="2">
        <f t="shared" si="2"/>
        <v>-8.3554616018305161E-2</v>
      </c>
      <c r="I6" s="2">
        <f>100*((DataA!I50/DataA!I49)-1)</f>
        <v>0.69427429519006711</v>
      </c>
      <c r="K6" s="2">
        <f>100*((DataA!J50/DataA!J49)-1)</f>
        <v>1.2670937686028561</v>
      </c>
      <c r="M6" s="5">
        <v>42430</v>
      </c>
      <c r="N6">
        <f>HAVERM!C441</f>
        <v>5.1660000000000004</v>
      </c>
      <c r="O6" s="3">
        <f>HAVERM!B441</f>
        <v>5</v>
      </c>
      <c r="Q6" s="5">
        <v>42430</v>
      </c>
      <c r="R6">
        <f>MIN(HAVERM!C440:C442)</f>
        <v>4.7279999999999998</v>
      </c>
      <c r="S6" s="3">
        <f t="shared" si="3"/>
        <v>0.43800000000000061</v>
      </c>
      <c r="T6" s="3">
        <f>HAVERM!B441</f>
        <v>5</v>
      </c>
      <c r="V6">
        <f>MAX(HAVERM!C440:C442)</f>
        <v>5.1660000000000004</v>
      </c>
      <c r="X6" s="9">
        <v>43647</v>
      </c>
      <c r="Y6" s="8">
        <f>HAVERQ!E166-AVERAGE(HAVERQ!E$164:E$167)</f>
        <v>13.25</v>
      </c>
      <c r="Z6" s="8">
        <f>HAVERQ!F166-AVERAGE(HAVERQ!F$164:F$167)</f>
        <v>-47.75</v>
      </c>
      <c r="AB6" s="9">
        <v>36708</v>
      </c>
      <c r="AC6" s="8">
        <f>HAVERQ!P90</f>
        <v>1213</v>
      </c>
      <c r="AD6" s="8">
        <f>HAVERQ!O90</f>
        <v>1455</v>
      </c>
      <c r="AE6" s="8">
        <f>HAVERQ!N90</f>
        <v>1177</v>
      </c>
      <c r="AF6" s="8">
        <f>HAVERQ!M90</f>
        <v>226</v>
      </c>
      <c r="AG6" s="8">
        <f>HAVERQ!L90</f>
        <v>216</v>
      </c>
      <c r="AH6" s="8">
        <f>HAVERQ!E90-AC6-AD6-AE6-AF6-AG6</f>
        <v>785</v>
      </c>
      <c r="AJ6" s="9">
        <v>36708</v>
      </c>
      <c r="AK6" s="8">
        <f t="shared" si="11"/>
        <v>23.915615141955836</v>
      </c>
      <c r="AL6" s="8">
        <f t="shared" si="12"/>
        <v>28.686908517350158</v>
      </c>
      <c r="AM6" s="8">
        <f t="shared" si="13"/>
        <v>23.205835962145109</v>
      </c>
      <c r="AN6" s="8">
        <f t="shared" si="14"/>
        <v>4.4558359621451107</v>
      </c>
      <c r="AO6" s="8">
        <f t="shared" si="15"/>
        <v>4.2586750788643535</v>
      </c>
      <c r="AP6" s="8">
        <f t="shared" si="4"/>
        <v>15.477129337539433</v>
      </c>
      <c r="AR6" s="9">
        <v>43647</v>
      </c>
      <c r="AS6" s="8">
        <f>HAVERQ!T166-AVERAGE(HAVERQ!T$164:T$167)</f>
        <v>4.75</v>
      </c>
      <c r="AT6" s="8">
        <f>HAVERQ!U166-AVERAGE(HAVERQ!U$164:U$167)</f>
        <v>-0.25</v>
      </c>
      <c r="AU6" s="8">
        <f>HAVERQ!V166-AVERAGE(HAVERQ!V$164:V$167)</f>
        <v>3.25</v>
      </c>
      <c r="AV6" s="8">
        <f>HAVERQ!W166-AVERAGE(HAVERQ!W$164:W$167)</f>
        <v>-2.75</v>
      </c>
      <c r="AW6" s="8">
        <f>HAVERQ!X166-AVERAGE(HAVERQ!X$164:X$167)</f>
        <v>-2.5</v>
      </c>
      <c r="AX6" s="8">
        <f>HAVERQ!Y166-AVERAGE(HAVERQ!Y$164:Y$167)</f>
        <v>-25.25</v>
      </c>
      <c r="AY6" s="8">
        <f>HAVERQ!Z166-AVERAGE(HAVERQ!Z$164:Z$167)</f>
        <v>-4.5</v>
      </c>
      <c r="AZ6" s="8">
        <f>HAVERQ!AA166-AVERAGE(HAVERQ!AA$164:AA$167)</f>
        <v>2</v>
      </c>
      <c r="BA6" s="8">
        <f>HAVERQ!AB166-AVERAGE(HAVERQ!AB$164:AB$167)</f>
        <v>7</v>
      </c>
      <c r="BB6" s="8">
        <f>HAVERQ!AC166-AVERAGE(HAVERQ!AC$164:AC$167)</f>
        <v>-0.25</v>
      </c>
      <c r="BC6" s="8">
        <f>HAVERQ!AD166-AVERAGE(HAVERQ!AD$164:AD$167)</f>
        <v>7.75</v>
      </c>
      <c r="BD6" s="8">
        <f>HAVERQ!AE166-AVERAGE(HAVERQ!AE$164:AE$167)</f>
        <v>8.25</v>
      </c>
      <c r="BE6" s="8">
        <f>HAVERQ!AF166-AVERAGE(HAVERQ!AF$164:AF$167)</f>
        <v>10</v>
      </c>
      <c r="BF6" s="8">
        <f>HAVERQ!AG166-AVERAGE(HAVERQ!AG$164:AG$167)</f>
        <v>21.5</v>
      </c>
      <c r="BG6" s="8">
        <f>HAVERQ!AH166-AVERAGE(HAVERQ!AH$164:AH$167)</f>
        <v>4.25</v>
      </c>
      <c r="BH6" s="8">
        <f>HAVERQ!AI166-AVERAGE(HAVERQ!AI$164:AI$167)</f>
        <v>-2</v>
      </c>
      <c r="BI6" s="8">
        <f>HAVERQ!AJ166-AVERAGE(HAVERQ!AJ$164:AJ$167)</f>
        <v>15.75</v>
      </c>
      <c r="BJ6" s="8">
        <f>HAVERQ!AK166-AVERAGE(HAVERQ!AK$164:AK$167)</f>
        <v>2.25</v>
      </c>
      <c r="BK6" s="8">
        <f t="shared" si="16"/>
        <v>1.5</v>
      </c>
      <c r="BM6" s="8">
        <f>HAVERQ!AL166+HAVERQ!AM166</f>
        <v>1019</v>
      </c>
      <c r="BO6" s="9">
        <v>43647</v>
      </c>
      <c r="BP6" s="8">
        <f t="shared" si="17"/>
        <v>4.75</v>
      </c>
      <c r="BQ6" s="8">
        <f t="shared" si="18"/>
        <v>-5.5</v>
      </c>
      <c r="BR6" s="8">
        <f t="shared" si="19"/>
        <v>3.25</v>
      </c>
      <c r="BS6" s="8">
        <f t="shared" si="20"/>
        <v>-25.25</v>
      </c>
      <c r="BT6" s="8">
        <f t="shared" si="21"/>
        <v>2.5</v>
      </c>
      <c r="BU6" s="8">
        <f t="shared" si="22"/>
        <v>1.75</v>
      </c>
      <c r="BV6" s="8">
        <f t="shared" si="23"/>
        <v>7.75</v>
      </c>
      <c r="BW6" s="8">
        <f t="shared" si="24"/>
        <v>39.75</v>
      </c>
      <c r="BX6" s="8">
        <f t="shared" si="25"/>
        <v>21.75</v>
      </c>
      <c r="BZ6" s="8">
        <f>HAVERQ!T166</f>
        <v>403</v>
      </c>
      <c r="CA6" s="8">
        <f>HAVERQ!U166+HAVERQ!W166+HAVERQ!X166</f>
        <v>420</v>
      </c>
      <c r="CB6" s="8">
        <f>HAVERQ!V166</f>
        <v>2694</v>
      </c>
      <c r="CC6" s="8">
        <f>HAVERQ!Y166</f>
        <v>2308</v>
      </c>
      <c r="CD6" s="8">
        <f>HAVERQ!Z166+HAVERQ!AB166</f>
        <v>7507</v>
      </c>
      <c r="CE6" s="8">
        <f>HAVERQ!AA166+HAVERQ!AC166</f>
        <v>3308</v>
      </c>
      <c r="CF6" s="8">
        <f>HAVERQ!AD166</f>
        <v>1143</v>
      </c>
      <c r="CG6" s="8">
        <f>HAVERQ!AE166+HAVERQ!AF166+HAVERQ!AG166</f>
        <v>6871</v>
      </c>
      <c r="CH6" s="8">
        <f>HAVERQ!AH166+HAVERQ!AI166+HAVERQ!AJ166+HAVERQ!AK166+HAVERQ!AL166+HAVERQ!AM166</f>
        <v>10962</v>
      </c>
      <c r="CI6" s="8">
        <f>HAVERQ!S166-SUM('Chart Data'!BZ6:CH6)</f>
        <v>-1</v>
      </c>
      <c r="CL6" s="2">
        <f>100*((DataQ!F165/DataQ!F161)-1)</f>
        <v>0.63328292989837109</v>
      </c>
      <c r="CM6" s="2">
        <f>100*(DataQ!I165/DataQ!J165)</f>
        <v>22.746911574980739</v>
      </c>
      <c r="CY6" s="10">
        <f>(HAVERQ!AQ130-AVERAGE(HAVERQ!AQ$128:AQ$183))/STDEV(HAVERQ!AQ$128:AQ$183)</f>
        <v>1.3874687804103245</v>
      </c>
      <c r="CZ6" s="10">
        <f t="shared" si="6"/>
        <v>1.2695637035524938</v>
      </c>
      <c r="DA6" s="10">
        <f t="shared" si="7"/>
        <v>1.0142210154784077</v>
      </c>
      <c r="DB6" s="10">
        <f>(HAVERQ!AR130-AVERAGE(HAVERQ!AR$128:AR$183))/STDEV(HAVERQ!AR$128:AR$183)</f>
        <v>0.6393136073461485</v>
      </c>
      <c r="DC6" s="10">
        <f t="shared" si="8"/>
        <v>-1.1583761112264022</v>
      </c>
      <c r="DD6" s="10" t="e">
        <f t="shared" si="26"/>
        <v>#N/A</v>
      </c>
      <c r="DE6" s="10">
        <f>(HAVERQ!AZ130-AVERAGE(HAVERQ!AZ$128:AZ$167,AZ$174:AZ$183))/STDEV(HAVERQ!AZ$128:AZ$167,AZ$174:AZ$183)</f>
        <v>-1.5341612335707904</v>
      </c>
      <c r="DF6" s="10">
        <f>(HAVERQ!AS130-AVERAGE(HAVERQ!AS$128:AS$183))/STDEV(HAVERQ!AS$128:AS$183)</f>
        <v>-1.367868891194796</v>
      </c>
      <c r="DG6" s="10">
        <f t="shared" si="27"/>
        <v>-0.85284480132977103</v>
      </c>
      <c r="DH6" s="10">
        <f>(HAVERQ!AX130-AVERAGE(HAVERQ!AX$128:AX$183))/STDEV(HAVERQ!AX$128:AX$183)</f>
        <v>-0.11880911521214067</v>
      </c>
      <c r="DJ6" s="10">
        <f t="shared" si="9"/>
        <v>-1.4090084673245948</v>
      </c>
      <c r="DL6" s="10">
        <f>100*(HAVERQ!AV130/(HAVERQ!AW130*HAVERQ!AX130/100))</f>
        <v>2.5823729918049354</v>
      </c>
      <c r="DM6" s="10">
        <f>HAVERQ!AO130/HAVERQ!AP130</f>
        <v>0.19041835357624831</v>
      </c>
      <c r="DN6" s="10" t="e">
        <f>100*((AVERAGE(HAVERQ!BC127:BC130)/AVERAGE(HAVERQ!BC123:BC126))-1)</f>
        <v>#N/A</v>
      </c>
      <c r="DO6" s="10">
        <f>100*(HAVERQ!BE130+HAVERQ!BF130)/(HAVERQ!BB130+HAVERQ!BG130)</f>
        <v>11.194474964683723</v>
      </c>
      <c r="DP6" s="10">
        <f>100*((AVERAGE(HAVERQ!BA127:BA130)/AVERAGE(HAVERQ!BA123:BA126))-1)</f>
        <v>1.3377278014734317</v>
      </c>
      <c r="DR6" s="10">
        <f>(HAVERQ!AT130*HAVERQ!$AT$1)+(HAVERQ!AU130*HAVERQ!$AU$1)</f>
        <v>48.632467182565222</v>
      </c>
      <c r="DT6" s="35">
        <v>2019</v>
      </c>
      <c r="DU6" s="10">
        <f>-AVERAGE(CY$40:CY$44)</f>
        <v>0.99949945372505344</v>
      </c>
      <c r="DV6" s="10">
        <f>-AVERAGE(CZ$40:CZ$44)</f>
        <v>0.9306431983293304</v>
      </c>
      <c r="DW6" s="10">
        <f>-AVERAGE(DA$40:DA$44)</f>
        <v>0.99695733953593579</v>
      </c>
      <c r="DX6" s="10">
        <f>-AVERAGE(DB$40:DB$44)</f>
        <v>0.42826309118609523</v>
      </c>
      <c r="DY6" s="10">
        <f>AVERAGE(DC$40:DC$44)</f>
        <v>0.62782345504314507</v>
      </c>
      <c r="DZ6" s="10">
        <f>AVERAGE(DE$40:DE$44)</f>
        <v>-0.33258040727759697</v>
      </c>
      <c r="EA6" s="10">
        <f>AVERAGE(DD$40:DD$44)</f>
        <v>-8.6403277416581492E-2</v>
      </c>
      <c r="EB6" s="10">
        <f>AVERAGE(DF$40:DF$44)</f>
        <v>0.99568823171451215</v>
      </c>
      <c r="EC6" s="10">
        <f>AVERAGE(DG$40:DG$44)</f>
        <v>0.21155321906954644</v>
      </c>
      <c r="ED6" s="10">
        <f>AVERAGE(DH$40:DH$44)</f>
        <v>1.9981533012956596</v>
      </c>
      <c r="EF6" s="10">
        <f>AVERAGE(DJ$40:DJ$44)</f>
        <v>0.66405933621854707</v>
      </c>
    </row>
    <row r="7" spans="1:136" x14ac:dyDescent="0.25">
      <c r="A7">
        <v>2017</v>
      </c>
      <c r="B7" s="2">
        <f>100*((DataA!G51-DataA!G50)/DataA!H50)</f>
        <v>2.4443958098686331</v>
      </c>
      <c r="C7" s="2">
        <f t="shared" si="1"/>
        <v>0.2784117642124655</v>
      </c>
      <c r="D7" s="2">
        <f>100*((DataA!H51/DataA!H50)-1)</f>
        <v>2.7228075740810986</v>
      </c>
      <c r="F7">
        <v>2017</v>
      </c>
      <c r="G7" s="2">
        <f t="shared" si="10"/>
        <v>0.59145312714301079</v>
      </c>
      <c r="H7" s="2">
        <f t="shared" si="2"/>
        <v>0.29775587006360338</v>
      </c>
      <c r="I7" s="2">
        <f>100*((DataA!I51/DataA!I50)-1)</f>
        <v>0.88920899720661417</v>
      </c>
      <c r="K7" s="2">
        <f>100*((DataA!J51/DataA!J50)-1)</f>
        <v>1.8529426827256223</v>
      </c>
      <c r="M7" s="5">
        <v>42461</v>
      </c>
      <c r="N7">
        <f>HAVERM!C442</f>
        <v>4.7279999999999998</v>
      </c>
      <c r="O7" s="3">
        <f>HAVERM!B442</f>
        <v>4.9000000000000004</v>
      </c>
      <c r="Q7" s="5">
        <v>42461</v>
      </c>
      <c r="R7">
        <f>MIN(HAVERM!C441:C443)</f>
        <v>4.7279999999999998</v>
      </c>
      <c r="S7" s="3">
        <f t="shared" si="3"/>
        <v>0.43800000000000061</v>
      </c>
      <c r="T7" s="3">
        <f>HAVERM!B442</f>
        <v>4.9000000000000004</v>
      </c>
      <c r="V7">
        <f>MAX(HAVERM!C441:C443)</f>
        <v>5.1660000000000004</v>
      </c>
      <c r="X7" s="9">
        <v>43739</v>
      </c>
      <c r="Y7" s="8">
        <f>HAVERQ!E167-AVERAGE(HAVERQ!E$164:E$167)</f>
        <v>28.25</v>
      </c>
      <c r="Z7" s="8">
        <f>HAVERQ!F167-AVERAGE(HAVERQ!F$164:F$167)</f>
        <v>135.25</v>
      </c>
      <c r="AB7" s="9">
        <v>36800</v>
      </c>
      <c r="AC7" s="8">
        <f>HAVERQ!P91</f>
        <v>1223</v>
      </c>
      <c r="AD7" s="8">
        <f>HAVERQ!O91</f>
        <v>1457</v>
      </c>
      <c r="AE7" s="8">
        <f>HAVERQ!N91</f>
        <v>1177</v>
      </c>
      <c r="AF7" s="8">
        <f>HAVERQ!M91</f>
        <v>227</v>
      </c>
      <c r="AG7" s="8">
        <f>HAVERQ!L91</f>
        <v>215</v>
      </c>
      <c r="AH7" s="8">
        <f>HAVERQ!E91-AC7-AD7-AE7-AF7-AG7</f>
        <v>782</v>
      </c>
      <c r="AJ7" s="9">
        <v>36800</v>
      </c>
      <c r="AK7" s="8">
        <f t="shared" si="11"/>
        <v>24.070064947844912</v>
      </c>
      <c r="AL7" s="8">
        <f t="shared" si="12"/>
        <v>28.675457587089152</v>
      </c>
      <c r="AM7" s="8">
        <f t="shared" si="13"/>
        <v>23.164731352096045</v>
      </c>
      <c r="AN7" s="8">
        <f t="shared" si="14"/>
        <v>4.4676244833694154</v>
      </c>
      <c r="AO7" s="8">
        <f t="shared" si="15"/>
        <v>4.2314505018697108</v>
      </c>
      <c r="AP7" s="8">
        <f t="shared" si="4"/>
        <v>15.390671127730762</v>
      </c>
      <c r="AR7" s="9">
        <v>43739</v>
      </c>
      <c r="AS7" s="8">
        <f>HAVERQ!T167-AVERAGE(HAVERQ!T$164:T$167)</f>
        <v>6.75</v>
      </c>
      <c r="AT7" s="8">
        <f>HAVERQ!U167-AVERAGE(HAVERQ!U$164:U$167)</f>
        <v>0.75</v>
      </c>
      <c r="AU7" s="8">
        <f>HAVERQ!V167-AVERAGE(HAVERQ!V$164:V$167)</f>
        <v>-15.75</v>
      </c>
      <c r="AV7" s="8">
        <f>HAVERQ!W167-AVERAGE(HAVERQ!W$164:W$167)</f>
        <v>4.25</v>
      </c>
      <c r="AW7" s="8">
        <f>HAVERQ!X167-AVERAGE(HAVERQ!X$164:X$167)</f>
        <v>-3.5</v>
      </c>
      <c r="AX7" s="8">
        <f>HAVERQ!Y167-AVERAGE(HAVERQ!Y$164:Y$167)</f>
        <v>-8.25</v>
      </c>
      <c r="AY7" s="8">
        <f>HAVERQ!Z167-AVERAGE(HAVERQ!Z$164:Z$167)</f>
        <v>-34.5</v>
      </c>
      <c r="AZ7" s="8">
        <f>HAVERQ!AA167-AVERAGE(HAVERQ!AA$164:AA$167)</f>
        <v>5</v>
      </c>
      <c r="BA7" s="8">
        <f>HAVERQ!AB167-AVERAGE(HAVERQ!AB$164:AB$167)</f>
        <v>13</v>
      </c>
      <c r="BB7" s="8">
        <f>HAVERQ!AC167-AVERAGE(HAVERQ!AC$164:AC$167)</f>
        <v>27.75</v>
      </c>
      <c r="BC7" s="8">
        <f>HAVERQ!AD167-AVERAGE(HAVERQ!AD$164:AD$167)</f>
        <v>-4.25</v>
      </c>
      <c r="BD7" s="8">
        <f>HAVERQ!AE167-AVERAGE(HAVERQ!AE$164:AE$167)</f>
        <v>29.25</v>
      </c>
      <c r="BE7" s="8">
        <f>HAVERQ!AF167-AVERAGE(HAVERQ!AF$164:AF$167)</f>
        <v>-16</v>
      </c>
      <c r="BF7" s="8">
        <f>HAVERQ!AG167-AVERAGE(HAVERQ!AG$164:AG$167)</f>
        <v>12.5</v>
      </c>
      <c r="BG7" s="8">
        <f>HAVERQ!AH167-AVERAGE(HAVERQ!AH$164:AH$167)</f>
        <v>14.25</v>
      </c>
      <c r="BH7" s="8">
        <f>HAVERQ!AI167-AVERAGE(HAVERQ!AI$164:AI$167)</f>
        <v>9</v>
      </c>
      <c r="BI7" s="8">
        <f>HAVERQ!AJ167-AVERAGE(HAVERQ!AJ$164:AJ$167)</f>
        <v>24.75</v>
      </c>
      <c r="BJ7" s="8">
        <f>HAVERQ!AK167-AVERAGE(HAVERQ!AK$164:AK$167)</f>
        <v>13.25</v>
      </c>
      <c r="BK7" s="8">
        <f t="shared" si="16"/>
        <v>16.5</v>
      </c>
      <c r="BM7" s="8">
        <f>HAVERQ!AL167+HAVERQ!AM167</f>
        <v>1034</v>
      </c>
      <c r="BO7" s="9">
        <v>43739</v>
      </c>
      <c r="BP7" s="8">
        <f t="shared" si="17"/>
        <v>6.75</v>
      </c>
      <c r="BQ7" s="8">
        <f t="shared" si="18"/>
        <v>1.5</v>
      </c>
      <c r="BR7" s="8">
        <f t="shared" si="19"/>
        <v>-15.75</v>
      </c>
      <c r="BS7" s="8">
        <f t="shared" si="20"/>
        <v>-8.25</v>
      </c>
      <c r="BT7" s="8">
        <f t="shared" si="21"/>
        <v>-21.5</v>
      </c>
      <c r="BU7" s="8">
        <f t="shared" si="22"/>
        <v>32.75</v>
      </c>
      <c r="BV7" s="8">
        <f t="shared" si="23"/>
        <v>-4.25</v>
      </c>
      <c r="BW7" s="8">
        <f t="shared" si="24"/>
        <v>25.75</v>
      </c>
      <c r="BX7" s="8">
        <f t="shared" si="25"/>
        <v>77.75</v>
      </c>
      <c r="BZ7" s="8">
        <f>HAVERQ!T167</f>
        <v>405</v>
      </c>
      <c r="CA7" s="8">
        <f>HAVERQ!U167+HAVERQ!W167+HAVERQ!X167</f>
        <v>427</v>
      </c>
      <c r="CB7" s="8">
        <f>HAVERQ!V167</f>
        <v>2675</v>
      </c>
      <c r="CC7" s="8">
        <f>HAVERQ!Y167</f>
        <v>2325</v>
      </c>
      <c r="CD7" s="8">
        <f>HAVERQ!Z167+HAVERQ!AB167</f>
        <v>7483</v>
      </c>
      <c r="CE7" s="8">
        <f>HAVERQ!AA167+HAVERQ!AC167</f>
        <v>3339</v>
      </c>
      <c r="CF7" s="8">
        <f>HAVERQ!AD167</f>
        <v>1131</v>
      </c>
      <c r="CG7" s="8">
        <f>HAVERQ!AE167+HAVERQ!AF167+HAVERQ!AG167</f>
        <v>6857</v>
      </c>
      <c r="CH7" s="8">
        <f>HAVERQ!AH167+HAVERQ!AI167+HAVERQ!AJ167+HAVERQ!AK167+HAVERQ!AL167+HAVERQ!AM167</f>
        <v>11018</v>
      </c>
      <c r="CI7" s="8">
        <f>HAVERQ!S167-SUM('Chart Data'!BZ7:CH7)</f>
        <v>1</v>
      </c>
      <c r="CL7" s="2">
        <f>100*((DataQ!F166/DataQ!F162)-1)</f>
        <v>1.2250741149743893</v>
      </c>
      <c r="CM7" s="2">
        <f>100*(DataQ!I166/DataQ!J166)</f>
        <v>22.658745545523367</v>
      </c>
      <c r="CP7">
        <v>1</v>
      </c>
      <c r="CQ7">
        <v>2</v>
      </c>
      <c r="CR7">
        <v>3</v>
      </c>
      <c r="CS7">
        <v>4</v>
      </c>
      <c r="CT7">
        <v>5</v>
      </c>
      <c r="CU7">
        <v>6</v>
      </c>
      <c r="CY7" s="10">
        <f>(HAVERQ!AQ131-AVERAGE(HAVERQ!AQ$128:AQ$183))/STDEV(HAVERQ!AQ$128:AQ$183)</f>
        <v>1.4483608271994926</v>
      </c>
      <c r="CZ7" s="10">
        <f t="shared" si="6"/>
        <v>1.3354818543424218</v>
      </c>
      <c r="DA7" s="10">
        <f t="shared" si="7"/>
        <v>1.0874051410921464</v>
      </c>
      <c r="DB7" s="10">
        <f>(HAVERQ!AR131-AVERAGE(HAVERQ!AR$128:AR$183))/STDEV(HAVERQ!AR$128:AR$183)</f>
        <v>0.69323162242353487</v>
      </c>
      <c r="DC7" s="10">
        <f t="shared" si="8"/>
        <v>-1.1470062964459158</v>
      </c>
      <c r="DD7" s="10" t="e">
        <f t="shared" si="26"/>
        <v>#N/A</v>
      </c>
      <c r="DE7" s="10">
        <f>(HAVERQ!AZ131-AVERAGE(HAVERQ!AZ$128:AZ$167,AZ$174:AZ$183))/STDEV(HAVERQ!AZ$128:AZ$167,AZ$174:AZ$183)</f>
        <v>-0.6758892147899358</v>
      </c>
      <c r="DF7" s="10">
        <f>(HAVERQ!AS131-AVERAGE(HAVERQ!AS$128:AS$183))/STDEV(HAVERQ!AS$128:AS$183)</f>
        <v>-1.1573070094211382</v>
      </c>
      <c r="DG7" s="10">
        <f t="shared" si="27"/>
        <v>-0.58221745055582752</v>
      </c>
      <c r="DH7" s="10">
        <f>(HAVERQ!AX131-AVERAGE(HAVERQ!AX$128:AX$183))/STDEV(HAVERQ!AX$128:AX$183)</f>
        <v>-0.72365551992863963</v>
      </c>
      <c r="DJ7" s="10">
        <f t="shared" si="9"/>
        <v>-1.3641421779679144</v>
      </c>
      <c r="DL7" s="10">
        <f>100*(HAVERQ!AV131/(HAVERQ!AW131*HAVERQ!AX131/100))</f>
        <v>2.6317396087740064</v>
      </c>
      <c r="DM7" s="10">
        <f>HAVERQ!AO131/HAVERQ!AP131</f>
        <v>0.19310161139965373</v>
      </c>
      <c r="DN7" s="10" t="e">
        <f>100*((AVERAGE(HAVERQ!BC128:BC131)/AVERAGE(HAVERQ!BC124:BC127))-1)</f>
        <v>#N/A</v>
      </c>
      <c r="DO7" s="10">
        <f>100*(HAVERQ!BE131+HAVERQ!BF131)/(HAVERQ!BB131+HAVERQ!BG131)</f>
        <v>11.304866936877493</v>
      </c>
      <c r="DP7" s="10">
        <f>100*((AVERAGE(HAVERQ!BA128:BA131)/AVERAGE(HAVERQ!BA124:BA127))-1)</f>
        <v>1.8633540372670732</v>
      </c>
      <c r="DR7" s="10">
        <f>(HAVERQ!AT131*HAVERQ!$AT$1)+(HAVERQ!AU131*HAVERQ!$AU$1)</f>
        <v>49.07773653250311</v>
      </c>
      <c r="DT7" t="s">
        <v>1419</v>
      </c>
      <c r="DU7">
        <v>0</v>
      </c>
      <c r="DV7">
        <v>0</v>
      </c>
      <c r="DW7">
        <v>0</v>
      </c>
      <c r="DX7">
        <v>0</v>
      </c>
      <c r="DY7">
        <v>0</v>
      </c>
      <c r="DZ7">
        <v>0</v>
      </c>
      <c r="EA7">
        <v>0</v>
      </c>
      <c r="EB7">
        <v>0</v>
      </c>
      <c r="EC7">
        <v>0</v>
      </c>
      <c r="ED7">
        <v>0</v>
      </c>
      <c r="EF7">
        <v>0</v>
      </c>
    </row>
    <row r="8" spans="1:136" x14ac:dyDescent="0.25">
      <c r="A8">
        <v>2018</v>
      </c>
      <c r="B8" s="2">
        <f>100*((DataA!G52-DataA!G51)/DataA!H51)</f>
        <v>2.6151515174010616</v>
      </c>
      <c r="C8" s="2">
        <f t="shared" si="1"/>
        <v>1.4949449658630192</v>
      </c>
      <c r="D8" s="2">
        <f>100*((DataA!H52/DataA!H51)-1)</f>
        <v>4.1100964832640807</v>
      </c>
      <c r="F8">
        <v>2018</v>
      </c>
      <c r="G8" s="2">
        <f t="shared" si="10"/>
        <v>0.5158088670180101</v>
      </c>
      <c r="H8" s="2">
        <f t="shared" si="2"/>
        <v>1.4675348531760317</v>
      </c>
      <c r="I8" s="2">
        <f>100*((DataA!I52/DataA!I51)-1)</f>
        <v>1.9833437201940418</v>
      </c>
      <c r="K8" s="2">
        <f>100*((DataA!J52/DataA!J51)-1)</f>
        <v>2.0993426503830515</v>
      </c>
      <c r="M8" s="5">
        <v>42491</v>
      </c>
      <c r="N8">
        <f>HAVERM!C443</f>
        <v>4.8810000000000002</v>
      </c>
      <c r="O8" s="3">
        <f>HAVERM!B443</f>
        <v>4.9000000000000004</v>
      </c>
      <c r="Q8" s="5">
        <v>42491</v>
      </c>
      <c r="R8">
        <f>MIN(HAVERM!C442:C444)</f>
        <v>4.7279999999999998</v>
      </c>
      <c r="S8" s="3">
        <f t="shared" si="3"/>
        <v>0.41699999999999982</v>
      </c>
      <c r="T8" s="3">
        <f>HAVERM!B443</f>
        <v>4.9000000000000004</v>
      </c>
      <c r="V8">
        <f>MAX(HAVERM!C442:C444)</f>
        <v>5.1449999999999996</v>
      </c>
      <c r="X8" s="9">
        <v>43831</v>
      </c>
      <c r="Y8" s="8">
        <f>HAVERQ!E168-AVERAGE(HAVERQ!E$164:E$167)</f>
        <v>53.25</v>
      </c>
      <c r="Z8" s="8">
        <f>HAVERQ!F168-AVERAGE(HAVERQ!F$164:F$167)</f>
        <v>-172.75</v>
      </c>
      <c r="AB8" s="9">
        <v>36892</v>
      </c>
      <c r="AC8" s="8">
        <f>HAVERQ!P92</f>
        <v>1235</v>
      </c>
      <c r="AD8" s="8">
        <f>HAVERQ!O92</f>
        <v>1463</v>
      </c>
      <c r="AE8" s="8">
        <f>HAVERQ!N92</f>
        <v>1181</v>
      </c>
      <c r="AF8" s="8">
        <f>HAVERQ!M92</f>
        <v>228</v>
      </c>
      <c r="AG8" s="8">
        <f>HAVERQ!L92</f>
        <v>215</v>
      </c>
      <c r="AH8" s="8">
        <f>HAVERQ!E92-AC8-AD8-AE8-AF8-AG8</f>
        <v>785</v>
      </c>
      <c r="AJ8" s="9">
        <v>36892</v>
      </c>
      <c r="AK8" s="8">
        <f t="shared" si="11"/>
        <v>24.182494615233992</v>
      </c>
      <c r="AL8" s="8">
        <f t="shared" si="12"/>
        <v>28.646955159584884</v>
      </c>
      <c r="AM8" s="8">
        <f t="shared" si="13"/>
        <v>23.125122381045625</v>
      </c>
      <c r="AN8" s="8">
        <f t="shared" si="14"/>
        <v>4.4644605443508905</v>
      </c>
      <c r="AO8" s="8">
        <f t="shared" si="15"/>
        <v>4.2099079694536909</v>
      </c>
      <c r="AP8" s="8">
        <f t="shared" si="4"/>
        <v>15.371059330330919</v>
      </c>
      <c r="AR8" s="9">
        <v>43831</v>
      </c>
      <c r="AS8" s="8">
        <f>HAVERQ!T168-AVERAGE(HAVERQ!T$164:T$167)</f>
        <v>-14.25</v>
      </c>
      <c r="AT8" s="8">
        <f>HAVERQ!U168-AVERAGE(HAVERQ!U$164:U$167)</f>
        <v>6.75</v>
      </c>
      <c r="AU8" s="8">
        <f>HAVERQ!V168-AVERAGE(HAVERQ!V$164:V$167)</f>
        <v>-14.75</v>
      </c>
      <c r="AV8" s="8">
        <f>HAVERQ!W168-AVERAGE(HAVERQ!W$164:W$167)</f>
        <v>5.25</v>
      </c>
      <c r="AW8" s="8">
        <f>HAVERQ!X168-AVERAGE(HAVERQ!X$164:X$167)</f>
        <v>-3.5</v>
      </c>
      <c r="AX8" s="8">
        <f>HAVERQ!Y168-AVERAGE(HAVERQ!Y$164:Y$167)</f>
        <v>-40.25</v>
      </c>
      <c r="AY8" s="8">
        <f>HAVERQ!Z168-AVERAGE(HAVERQ!Z$164:Z$167)</f>
        <v>-67.5</v>
      </c>
      <c r="AZ8" s="8">
        <f>HAVERQ!AA168-AVERAGE(HAVERQ!AA$164:AA$167)</f>
        <v>1</v>
      </c>
      <c r="BA8" s="8">
        <f>HAVERQ!AB168-AVERAGE(HAVERQ!AB$164:AB$167)</f>
        <v>20</v>
      </c>
      <c r="BB8" s="8">
        <f>HAVERQ!AC168-AVERAGE(HAVERQ!AC$164:AC$167)</f>
        <v>48.75</v>
      </c>
      <c r="BC8" s="8">
        <f>HAVERQ!AD168-AVERAGE(HAVERQ!AD$164:AD$167)</f>
        <v>1.75</v>
      </c>
      <c r="BD8" s="8">
        <f>HAVERQ!AE168-AVERAGE(HAVERQ!AE$164:AE$167)</f>
        <v>37.25</v>
      </c>
      <c r="BE8" s="8">
        <f>HAVERQ!AF168-AVERAGE(HAVERQ!AF$164:AF$167)</f>
        <v>25</v>
      </c>
      <c r="BF8" s="8">
        <f>HAVERQ!AG168-AVERAGE(HAVERQ!AG$164:AG$167)</f>
        <v>4.5</v>
      </c>
      <c r="BG8" s="8">
        <f>HAVERQ!AH168-AVERAGE(HAVERQ!AH$164:AH$167)</f>
        <v>26.25</v>
      </c>
      <c r="BH8" s="8">
        <f>HAVERQ!AI168-AVERAGE(HAVERQ!AI$164:AI$167)</f>
        <v>8</v>
      </c>
      <c r="BI8" s="8">
        <f>HAVERQ!AJ168-AVERAGE(HAVERQ!AJ$164:AJ$167)</f>
        <v>33.75</v>
      </c>
      <c r="BJ8" s="8">
        <f>HAVERQ!AK168-AVERAGE(HAVERQ!AK$164:AK$167)</f>
        <v>-4.75</v>
      </c>
      <c r="BK8" s="8">
        <f t="shared" si="16"/>
        <v>-28.5</v>
      </c>
      <c r="BM8" s="8">
        <f>HAVERQ!AL168+HAVERQ!AM168</f>
        <v>989</v>
      </c>
      <c r="BO8" s="9">
        <v>43831</v>
      </c>
      <c r="BP8" s="8">
        <f t="shared" si="17"/>
        <v>-14.25</v>
      </c>
      <c r="BQ8" s="8">
        <f t="shared" si="18"/>
        <v>8.5</v>
      </c>
      <c r="BR8" s="8">
        <f t="shared" si="19"/>
        <v>-14.75</v>
      </c>
      <c r="BS8" s="8">
        <f t="shared" si="20"/>
        <v>-40.25</v>
      </c>
      <c r="BT8" s="8">
        <f t="shared" si="21"/>
        <v>-47.5</v>
      </c>
      <c r="BU8" s="8">
        <f t="shared" si="22"/>
        <v>49.75</v>
      </c>
      <c r="BV8" s="8">
        <f t="shared" si="23"/>
        <v>1.75</v>
      </c>
      <c r="BW8" s="8">
        <f t="shared" si="24"/>
        <v>66.75</v>
      </c>
      <c r="BX8" s="8">
        <f t="shared" si="25"/>
        <v>34.75</v>
      </c>
      <c r="BZ8" s="8">
        <f>HAVERQ!T168</f>
        <v>384</v>
      </c>
      <c r="CA8" s="8">
        <f>HAVERQ!U168+HAVERQ!W168+HAVERQ!X168</f>
        <v>434</v>
      </c>
      <c r="CB8" s="8">
        <f>HAVERQ!V168</f>
        <v>2676</v>
      </c>
      <c r="CC8" s="8">
        <f>HAVERQ!Y168</f>
        <v>2293</v>
      </c>
      <c r="CD8" s="8">
        <f>HAVERQ!Z168+HAVERQ!AB168</f>
        <v>7457</v>
      </c>
      <c r="CE8" s="8">
        <f>HAVERQ!AA168+HAVERQ!AC168</f>
        <v>3356</v>
      </c>
      <c r="CF8" s="8">
        <f>HAVERQ!AD168</f>
        <v>1137</v>
      </c>
      <c r="CG8" s="8">
        <f>HAVERQ!AE168+HAVERQ!AF168+HAVERQ!AG168</f>
        <v>6898</v>
      </c>
      <c r="CH8" s="8">
        <f>HAVERQ!AH168+HAVERQ!AI168+HAVERQ!AJ168+HAVERQ!AK168+HAVERQ!AL168+HAVERQ!AM168</f>
        <v>10975</v>
      </c>
      <c r="CI8" s="8">
        <f>HAVERQ!S168-SUM('Chart Data'!BZ8:CH8)</f>
        <v>-1</v>
      </c>
      <c r="CK8">
        <v>2013</v>
      </c>
      <c r="CL8" s="2">
        <f>100*((DataQ!F167/DataQ!F163)-1)</f>
        <v>0.66949356526966319</v>
      </c>
      <c r="CM8" s="2">
        <f>100*(DataQ!I167/DataQ!J167)</f>
        <v>22.990852942048861</v>
      </c>
      <c r="CP8" t="str">
        <f t="shared" ref="CP8:CU8" si="28">HLOOKUP(CP$7,$CP$2:$CU$5,2,FALSE)</f>
        <v>Lower profit margins</v>
      </c>
      <c r="CQ8" t="str">
        <f t="shared" si="28"/>
        <v>Higher prices</v>
      </c>
      <c r="CR8" t="str">
        <f t="shared" si="28"/>
        <v>Lower number of employees</v>
      </c>
      <c r="CS8" t="str">
        <f t="shared" si="28"/>
        <v>Lower employee wages</v>
      </c>
      <c r="CT8" t="str">
        <f t="shared" si="28"/>
        <v>Other</v>
      </c>
      <c r="CU8" t="str">
        <f t="shared" si="28"/>
        <v>None of the above</v>
      </c>
      <c r="CX8">
        <v>2011</v>
      </c>
      <c r="CY8" s="10">
        <f>(HAVERQ!AQ132-AVERAGE(HAVERQ!AQ$128:AQ$183))/STDEV(HAVERQ!AQ$128:AQ$183)</f>
        <v>1.3874687804103245</v>
      </c>
      <c r="CZ8" s="10">
        <f t="shared" si="6"/>
        <v>1.415412012256696</v>
      </c>
      <c r="DA8" s="10">
        <f t="shared" si="7"/>
        <v>1.0314069330590063</v>
      </c>
      <c r="DB8" s="10">
        <f>(HAVERQ!AR132-AVERAGE(HAVERQ!AR$128:AR$183))/STDEV(HAVERQ!AR$128:AR$183)</f>
        <v>0.15405147164967437</v>
      </c>
      <c r="DC8" s="10">
        <f t="shared" si="8"/>
        <v>-1.1819412131647264</v>
      </c>
      <c r="DD8" s="10" t="e">
        <f t="shared" si="26"/>
        <v>#N/A</v>
      </c>
      <c r="DE8" s="10">
        <f>(HAVERQ!AZ132-AVERAGE(HAVERQ!AZ$128:AZ$167,AZ$174:AZ$183))/STDEV(HAVERQ!AZ$128:AZ$167,AZ$174:AZ$183)</f>
        <v>-1.1050252241803709</v>
      </c>
      <c r="DF8" s="10">
        <f>(HAVERQ!AS132-AVERAGE(HAVERQ!AS$128:AS$183))/STDEV(HAVERQ!AS$128:AS$183)</f>
        <v>-0.96429195112861854</v>
      </c>
      <c r="DG8" s="10">
        <f t="shared" si="27"/>
        <v>-0.7502546259708478</v>
      </c>
      <c r="DH8" s="10">
        <f>(HAVERQ!AX132-AVERAGE(HAVERQ!AX$128:AX$183))/STDEV(HAVERQ!AX$128:AX$183)</f>
        <v>-0.72365551992863963</v>
      </c>
      <c r="DJ8" s="10">
        <f t="shared" si="9"/>
        <v>-1.6810288221459639</v>
      </c>
      <c r="DL8" s="10">
        <f>100*(HAVERQ!AV132/(HAVERQ!AW132*HAVERQ!AX132/100))</f>
        <v>2.6915999271043294</v>
      </c>
      <c r="DM8" s="10">
        <f>HAVERQ!AO132/HAVERQ!AP132</f>
        <v>0.18485702778896496</v>
      </c>
      <c r="DN8" s="10" t="e">
        <f>100*((AVERAGE(HAVERQ!BC129:BC132)/AVERAGE(HAVERQ!BC125:BC128))-1)</f>
        <v>#N/A</v>
      </c>
      <c r="DO8" s="10">
        <f>100*(HAVERQ!BE132+HAVERQ!BF132)/(HAVERQ!BB132+HAVERQ!BG132)</f>
        <v>11.220398446309986</v>
      </c>
      <c r="DP8" s="10">
        <f>100*((AVERAGE(HAVERQ!BA129:BA132)/AVERAGE(HAVERQ!BA125:BA128))-1)</f>
        <v>1.5369836695485084</v>
      </c>
      <c r="DR8" s="10">
        <f>(HAVERQ!AT132*HAVERQ!$AT$1)+(HAVERQ!AU132*HAVERQ!$AU$1)</f>
        <v>45.932838390037269</v>
      </c>
    </row>
    <row r="9" spans="1:136" x14ac:dyDescent="0.25">
      <c r="A9">
        <v>2019</v>
      </c>
      <c r="B9" s="2">
        <f>100*((DataA!G53-DataA!G52)/DataA!H52)</f>
        <v>2.1285774283230854</v>
      </c>
      <c r="C9" s="2">
        <f t="shared" si="1"/>
        <v>1.4739321995466579</v>
      </c>
      <c r="D9" s="2">
        <f>100*((DataA!H53/DataA!H52)-1)</f>
        <v>3.6025096278697433</v>
      </c>
      <c r="F9">
        <v>2019</v>
      </c>
      <c r="G9" s="2">
        <f t="shared" si="10"/>
        <v>0.64390525012687405</v>
      </c>
      <c r="H9" s="2">
        <f t="shared" si="2"/>
        <v>1.4090850310572343</v>
      </c>
      <c r="I9" s="2">
        <f>100*((DataA!I53/DataA!I52)-1)</f>
        <v>2.0529902811841083</v>
      </c>
      <c r="K9" s="2">
        <f>100*((DataA!J53/DataA!J52)-1)</f>
        <v>1.4846721781962113</v>
      </c>
      <c r="M9" s="5">
        <v>42522</v>
      </c>
      <c r="N9">
        <f>HAVERM!C444</f>
        <v>5.1449999999999996</v>
      </c>
      <c r="O9" s="3">
        <f>HAVERM!B444</f>
        <v>4.9000000000000004</v>
      </c>
      <c r="Q9" s="5">
        <v>42522</v>
      </c>
      <c r="R9">
        <f>MIN(HAVERM!C443:C445)</f>
        <v>4.657</v>
      </c>
      <c r="S9" s="3">
        <f t="shared" si="3"/>
        <v>0.48799999999999955</v>
      </c>
      <c r="T9" s="3">
        <f>HAVERM!B444</f>
        <v>4.9000000000000004</v>
      </c>
      <c r="V9">
        <f>MAX(HAVERM!C443:C445)</f>
        <v>5.1449999999999996</v>
      </c>
      <c r="X9" s="9">
        <v>43922</v>
      </c>
      <c r="Y9" s="8">
        <f>HAVERQ!E169-AVERAGE(HAVERQ!E$164:E$167)</f>
        <v>97.25</v>
      </c>
      <c r="Z9" s="8">
        <f>HAVERQ!F169-AVERAGE(HAVERQ!F$164:F$167)</f>
        <v>-458.75</v>
      </c>
      <c r="AB9" s="9">
        <v>36982</v>
      </c>
      <c r="AC9" s="8">
        <f>HAVERQ!P93</f>
        <v>1249</v>
      </c>
      <c r="AD9" s="8">
        <f>HAVERQ!O93</f>
        <v>1468</v>
      </c>
      <c r="AE9" s="8">
        <f>HAVERQ!N93</f>
        <v>1185</v>
      </c>
      <c r="AF9" s="8">
        <f>HAVERQ!M93</f>
        <v>229</v>
      </c>
      <c r="AG9" s="8">
        <f>HAVERQ!L93</f>
        <v>214</v>
      </c>
      <c r="AH9" s="8">
        <f>HAVERQ!E93-AC9-AD9-AE9-AF9-AG9</f>
        <v>792</v>
      </c>
      <c r="AJ9" s="9">
        <v>36982</v>
      </c>
      <c r="AK9" s="8">
        <f t="shared" si="11"/>
        <v>24.313801829861788</v>
      </c>
      <c r="AL9" s="8">
        <f t="shared" si="12"/>
        <v>28.576990461358768</v>
      </c>
      <c r="AM9" s="8">
        <f t="shared" si="13"/>
        <v>23.067938485497372</v>
      </c>
      <c r="AN9" s="8">
        <f t="shared" si="14"/>
        <v>4.4578547790539229</v>
      </c>
      <c r="AO9" s="8">
        <f t="shared" si="15"/>
        <v>4.1658555577185128</v>
      </c>
      <c r="AP9" s="8">
        <f t="shared" si="4"/>
        <v>15.417558886509635</v>
      </c>
      <c r="AR9" s="9">
        <v>43922</v>
      </c>
      <c r="AS9" s="8">
        <f>HAVERQ!T169-AVERAGE(HAVERQ!T$164:T$167)</f>
        <v>-21.25</v>
      </c>
      <c r="AT9" s="8">
        <f>HAVERQ!U169-AVERAGE(HAVERQ!U$164:U$167)</f>
        <v>-0.25</v>
      </c>
      <c r="AU9" s="8">
        <f>HAVERQ!V169-AVERAGE(HAVERQ!V$164:V$167)</f>
        <v>-72.75</v>
      </c>
      <c r="AV9" s="8">
        <f>HAVERQ!W169-AVERAGE(HAVERQ!W$164:W$167)</f>
        <v>4.25</v>
      </c>
      <c r="AW9" s="8">
        <f>HAVERQ!X169-AVERAGE(HAVERQ!X$164:X$167)</f>
        <v>-4.5</v>
      </c>
      <c r="AX9" s="8">
        <f>HAVERQ!Y169-AVERAGE(HAVERQ!Y$164:Y$167)</f>
        <v>-57.25</v>
      </c>
      <c r="AY9" s="8">
        <f>HAVERQ!Z169-AVERAGE(HAVERQ!Z$164:Z$167)</f>
        <v>-29.5</v>
      </c>
      <c r="AZ9" s="8">
        <f>HAVERQ!AA169-AVERAGE(HAVERQ!AA$164:AA$167)</f>
        <v>1</v>
      </c>
      <c r="BA9" s="8">
        <f>HAVERQ!AB169-AVERAGE(HAVERQ!AB$164:AB$167)</f>
        <v>-152</v>
      </c>
      <c r="BB9" s="8">
        <f>HAVERQ!AC169-AVERAGE(HAVERQ!AC$164:AC$167)</f>
        <v>20.75</v>
      </c>
      <c r="BC9" s="8">
        <f>HAVERQ!AD169-AVERAGE(HAVERQ!AD$164:AD$167)</f>
        <v>-6.25</v>
      </c>
      <c r="BD9" s="8">
        <f>HAVERQ!AE169-AVERAGE(HAVERQ!AE$164:AE$167)</f>
        <v>22.25</v>
      </c>
      <c r="BE9" s="8">
        <f>HAVERQ!AF169-AVERAGE(HAVERQ!AF$164:AF$167)</f>
        <v>-68</v>
      </c>
      <c r="BF9" s="8">
        <f>HAVERQ!AG169-AVERAGE(HAVERQ!AG$164:AG$167)</f>
        <v>-104.5</v>
      </c>
      <c r="BG9" s="8">
        <f>HAVERQ!AH169-AVERAGE(HAVERQ!AH$164:AH$167)</f>
        <v>41.25</v>
      </c>
      <c r="BH9" s="8">
        <f>HAVERQ!AI169-AVERAGE(HAVERQ!AI$164:AI$167)</f>
        <v>14</v>
      </c>
      <c r="BI9" s="8">
        <f>HAVERQ!AJ169-AVERAGE(HAVERQ!AJ$164:AJ$167)</f>
        <v>73.75</v>
      </c>
      <c r="BJ9" s="8">
        <f>HAVERQ!AK169-AVERAGE(HAVERQ!AK$164:AK$167)</f>
        <v>-51.75</v>
      </c>
      <c r="BK9" s="8">
        <f t="shared" si="16"/>
        <v>-40.5</v>
      </c>
      <c r="BM9" s="8">
        <f>HAVERQ!AL169+HAVERQ!AM169</f>
        <v>977</v>
      </c>
      <c r="BO9" s="9">
        <v>43922</v>
      </c>
      <c r="BP9" s="8">
        <f t="shared" si="17"/>
        <v>-21.25</v>
      </c>
      <c r="BQ9" s="8">
        <f t="shared" si="18"/>
        <v>-0.5</v>
      </c>
      <c r="BR9" s="8">
        <f t="shared" si="19"/>
        <v>-72.75</v>
      </c>
      <c r="BS9" s="8">
        <f t="shared" si="20"/>
        <v>-57.25</v>
      </c>
      <c r="BT9" s="8">
        <f t="shared" si="21"/>
        <v>-181.5</v>
      </c>
      <c r="BU9" s="8">
        <f t="shared" si="22"/>
        <v>21.75</v>
      </c>
      <c r="BV9" s="8">
        <f t="shared" si="23"/>
        <v>-6.25</v>
      </c>
      <c r="BW9" s="8">
        <f t="shared" si="24"/>
        <v>-150.25</v>
      </c>
      <c r="BX9" s="8">
        <f t="shared" si="25"/>
        <v>36.75</v>
      </c>
      <c r="BZ9" s="8">
        <f>HAVERQ!T169</f>
        <v>377</v>
      </c>
      <c r="CA9" s="8">
        <f>HAVERQ!U169+HAVERQ!W169+HAVERQ!X169</f>
        <v>425</v>
      </c>
      <c r="CB9" s="8">
        <f>HAVERQ!V169</f>
        <v>2618</v>
      </c>
      <c r="CC9" s="8">
        <f>HAVERQ!Y169</f>
        <v>2276</v>
      </c>
      <c r="CD9" s="8">
        <f>HAVERQ!Z169+HAVERQ!AB169</f>
        <v>7323</v>
      </c>
      <c r="CE9" s="8">
        <f>HAVERQ!AA169+HAVERQ!AC169</f>
        <v>3328</v>
      </c>
      <c r="CF9" s="8">
        <f>HAVERQ!AD169</f>
        <v>1129</v>
      </c>
      <c r="CG9" s="8">
        <f>HAVERQ!AE169+HAVERQ!AF169+HAVERQ!AG169</f>
        <v>6681</v>
      </c>
      <c r="CH9" s="8">
        <f>HAVERQ!AH169+HAVERQ!AI169+HAVERQ!AJ169+HAVERQ!AK169+HAVERQ!AL169+HAVERQ!AM169</f>
        <v>10977</v>
      </c>
      <c r="CI9" s="8">
        <f>HAVERQ!S169-SUM('Chart Data'!BZ9:CH9)</f>
        <v>1</v>
      </c>
      <c r="CL9" s="2">
        <f>100*((DataQ!F168/DataQ!F164)-1)</f>
        <v>2.5837419939491513</v>
      </c>
      <c r="CM9" s="2">
        <f>100*(DataQ!I168/DataQ!J168)</f>
        <v>21.880591275630803</v>
      </c>
      <c r="CO9" s="5">
        <f>CO4</f>
        <v>45597</v>
      </c>
      <c r="CP9">
        <f t="shared" ref="CP9:CU9" si="29">HLOOKUP(CP$7,$CP$2:$CU$5,3,FALSE)</f>
        <v>58.72</v>
      </c>
      <c r="CQ9">
        <f t="shared" si="29"/>
        <v>53.64</v>
      </c>
      <c r="CR9">
        <f t="shared" si="29"/>
        <v>53.68</v>
      </c>
      <c r="CS9">
        <f t="shared" si="29"/>
        <v>37.880000000000003</v>
      </c>
      <c r="CT9">
        <f t="shared" si="29"/>
        <v>7.51</v>
      </c>
      <c r="CU9">
        <f t="shared" si="29"/>
        <v>2.67</v>
      </c>
      <c r="CY9" s="10">
        <f>(HAVERQ!AQ133-AVERAGE(HAVERQ!AQ$128:AQ$183))/STDEV(HAVERQ!AQ$128:AQ$183)</f>
        <v>1.4483608271994926</v>
      </c>
      <c r="CZ9" s="10">
        <f t="shared" si="6"/>
        <v>1.3530473937048184</v>
      </c>
      <c r="DA9" s="10">
        <f t="shared" si="7"/>
        <v>1.0250465731465557</v>
      </c>
      <c r="DB9" s="10">
        <f>(HAVERQ!AR133-AVERAGE(HAVERQ!AR$128:AR$183))/STDEV(HAVERQ!AR$128:AR$183)</f>
        <v>0.85498566765569295</v>
      </c>
      <c r="DC9" s="10">
        <f t="shared" si="8"/>
        <v>-1.1850611197224148</v>
      </c>
      <c r="DD9" s="10" t="e">
        <f t="shared" si="26"/>
        <v>#N/A</v>
      </c>
      <c r="DE9" s="10">
        <f>(HAVERQ!AZ133-AVERAGE(HAVERQ!AZ$128:AZ$167,AZ$174:AZ$183))/STDEV(HAVERQ!AZ$128:AZ$167,AZ$174:AZ$183)</f>
        <v>-2.8215692617420802</v>
      </c>
      <c r="DF9" s="10">
        <f>(HAVERQ!AS133-AVERAGE(HAVERQ!AS$128:AS$183))/STDEV(HAVERQ!AS$128:AS$183)</f>
        <v>-0.85901101024178961</v>
      </c>
      <c r="DG9" s="10">
        <f t="shared" si="27"/>
        <v>-0.43393086067275394</v>
      </c>
      <c r="DH9" s="10">
        <f>(HAVERQ!AX133-AVERAGE(HAVERQ!AX$128:AX$183))/STDEV(HAVERQ!AX$128:AX$183)</f>
        <v>-0.72365551992863963</v>
      </c>
      <c r="DJ9" s="10">
        <f t="shared" si="9"/>
        <v>-1.4795045566067397</v>
      </c>
      <c r="DL9" s="10">
        <f>100*(HAVERQ!AV133/(HAVERQ!AW133*HAVERQ!AX133/100))</f>
        <v>2.6448945781286848</v>
      </c>
      <c r="DM9" s="10">
        <f>HAVERQ!AO133/HAVERQ!AP133</f>
        <v>0.18412073490813649</v>
      </c>
      <c r="DN9" s="10" t="e">
        <f>100*((AVERAGE(HAVERQ!BC130:BC133)/AVERAGE(HAVERQ!BC126:BC129))-1)</f>
        <v>#N/A</v>
      </c>
      <c r="DO9" s="10">
        <f>100*(HAVERQ!BE133+HAVERQ!BF133)/(HAVERQ!BB133+HAVERQ!BG133)</f>
        <v>11.210804389283146</v>
      </c>
      <c r="DP9" s="10">
        <f>100*((AVERAGE(HAVERQ!BA130:BA133)/AVERAGE(HAVERQ!BA126:BA129))-1)</f>
        <v>2.1513638109873279</v>
      </c>
      <c r="DR9" s="10">
        <f>(HAVERQ!AT133*HAVERQ!$AT$1)+(HAVERQ!AU133*HAVERQ!$AU$1)</f>
        <v>47.932838390037269</v>
      </c>
    </row>
    <row r="10" spans="1:136" x14ac:dyDescent="0.25">
      <c r="A10">
        <v>2020</v>
      </c>
      <c r="B10" s="2">
        <f>100*((DataA!G54-DataA!G53)/DataA!H53)</f>
        <v>1.2388486416024646E-3</v>
      </c>
      <c r="C10" s="2">
        <f t="shared" si="1"/>
        <v>9.8281992233786461E-2</v>
      </c>
      <c r="D10" s="2">
        <f>100*((DataA!H54/DataA!H53)-1)</f>
        <v>9.9520840875388927E-2</v>
      </c>
      <c r="F10">
        <v>2020</v>
      </c>
      <c r="G10" s="2">
        <f t="shared" si="10"/>
        <v>-6.7846844878019105E-2</v>
      </c>
      <c r="H10" s="2">
        <f t="shared" si="2"/>
        <v>-0.30916745645287219</v>
      </c>
      <c r="I10" s="2">
        <f>100*((DataA!I54/DataA!I53)-1)</f>
        <v>-0.37701430133089131</v>
      </c>
      <c r="K10" s="2">
        <f>100*((DataA!J54/DataA!J53)-1)</f>
        <v>6.9085693519621572E-2</v>
      </c>
      <c r="M10" s="5">
        <v>42552</v>
      </c>
      <c r="N10">
        <f>HAVERM!C445</f>
        <v>4.657</v>
      </c>
      <c r="O10" s="3">
        <f>HAVERM!B445</f>
        <v>5</v>
      </c>
      <c r="Q10" s="5">
        <v>42552</v>
      </c>
      <c r="R10">
        <f>MIN(HAVERM!C444:C446)</f>
        <v>4.657</v>
      </c>
      <c r="S10" s="3">
        <f t="shared" si="3"/>
        <v>0.48799999999999955</v>
      </c>
      <c r="T10" s="3">
        <f>HAVERM!B445</f>
        <v>5</v>
      </c>
      <c r="V10">
        <f>MAX(HAVERM!C444:C446)</f>
        <v>5.1449999999999996</v>
      </c>
      <c r="X10" s="9">
        <v>44013</v>
      </c>
      <c r="Y10" s="8">
        <f>HAVERQ!E170-AVERAGE(HAVERQ!E$164:E$167)</f>
        <v>104.25</v>
      </c>
      <c r="Z10" s="8">
        <f>HAVERQ!F170-AVERAGE(HAVERQ!F$164:F$167)</f>
        <v>-723.75</v>
      </c>
      <c r="AB10" s="9">
        <v>37073</v>
      </c>
      <c r="AC10" s="8">
        <f>HAVERQ!P94</f>
        <v>1263</v>
      </c>
      <c r="AD10" s="8">
        <f>HAVERQ!O94</f>
        <v>1465</v>
      </c>
      <c r="AE10" s="8">
        <f>HAVERQ!N94</f>
        <v>1188</v>
      </c>
      <c r="AF10" s="8">
        <f>HAVERQ!M94</f>
        <v>231</v>
      </c>
      <c r="AG10" s="8">
        <f>HAVERQ!L94</f>
        <v>214</v>
      </c>
      <c r="AH10" s="8">
        <f>HAVERQ!E94-AC10-AD10-AE10-AF10-AG10</f>
        <v>795</v>
      </c>
      <c r="AJ10" s="9">
        <v>37073</v>
      </c>
      <c r="AK10" s="8">
        <f t="shared" si="11"/>
        <v>24.495733126454617</v>
      </c>
      <c r="AL10" s="8">
        <f t="shared" si="12"/>
        <v>28.413498836307216</v>
      </c>
      <c r="AM10" s="8">
        <f t="shared" si="13"/>
        <v>23.041117145073699</v>
      </c>
      <c r="AN10" s="8">
        <f t="shared" si="14"/>
        <v>4.48021722265322</v>
      </c>
      <c r="AO10" s="8">
        <f t="shared" si="15"/>
        <v>4.1505042668735452</v>
      </c>
      <c r="AP10" s="8">
        <f t="shared" si="4"/>
        <v>15.418929402637705</v>
      </c>
      <c r="AR10" s="9">
        <v>44013</v>
      </c>
      <c r="AS10" s="8">
        <f>HAVERQ!T170-AVERAGE(HAVERQ!T$164:T$167)</f>
        <v>18.75</v>
      </c>
      <c r="AT10" s="8">
        <f>HAVERQ!U170-AVERAGE(HAVERQ!U$164:U$167)</f>
        <v>-7.25</v>
      </c>
      <c r="AU10" s="8">
        <f>HAVERQ!V170-AVERAGE(HAVERQ!V$164:V$167)</f>
        <v>-120.75</v>
      </c>
      <c r="AV10" s="8">
        <f>HAVERQ!W170-AVERAGE(HAVERQ!W$164:W$167)</f>
        <v>1.25</v>
      </c>
      <c r="AW10" s="8">
        <f>HAVERQ!X170-AVERAGE(HAVERQ!X$164:X$167)</f>
        <v>0.5</v>
      </c>
      <c r="AX10" s="8">
        <f>HAVERQ!Y170-AVERAGE(HAVERQ!Y$164:Y$167)</f>
        <v>-190.25</v>
      </c>
      <c r="AY10" s="8">
        <f>HAVERQ!Z170-AVERAGE(HAVERQ!Z$164:Z$167)</f>
        <v>-163.5</v>
      </c>
      <c r="AZ10" s="8">
        <f>HAVERQ!AA170-AVERAGE(HAVERQ!AA$164:AA$167)</f>
        <v>-16</v>
      </c>
      <c r="BA10" s="8">
        <f>HAVERQ!AB170-AVERAGE(HAVERQ!AB$164:AB$167)</f>
        <v>-214</v>
      </c>
      <c r="BB10" s="8">
        <f>HAVERQ!AC170-AVERAGE(HAVERQ!AC$164:AC$167)</f>
        <v>11.75</v>
      </c>
      <c r="BC10" s="8">
        <f>HAVERQ!AD170-AVERAGE(HAVERQ!AD$164:AD$167)</f>
        <v>-20.25</v>
      </c>
      <c r="BD10" s="8">
        <f>HAVERQ!AE170-AVERAGE(HAVERQ!AE$164:AE$167)</f>
        <v>10.25</v>
      </c>
      <c r="BE10" s="8">
        <f>HAVERQ!AF170-AVERAGE(HAVERQ!AF$164:AF$167)</f>
        <v>-79</v>
      </c>
      <c r="BF10" s="8">
        <f>HAVERQ!AG170-AVERAGE(HAVERQ!AG$164:AG$167)</f>
        <v>-105.5</v>
      </c>
      <c r="BG10" s="8">
        <f>HAVERQ!AH170-AVERAGE(HAVERQ!AH$164:AH$167)</f>
        <v>44.25</v>
      </c>
      <c r="BH10" s="8">
        <f>HAVERQ!AI170-AVERAGE(HAVERQ!AI$164:AI$167)</f>
        <v>2</v>
      </c>
      <c r="BI10" s="8">
        <f>HAVERQ!AJ170-AVERAGE(HAVERQ!AJ$164:AJ$167)</f>
        <v>40.75</v>
      </c>
      <c r="BJ10" s="8">
        <f>HAVERQ!AK170-AVERAGE(HAVERQ!AK$164:AK$167)</f>
        <v>-105.75</v>
      </c>
      <c r="BK10" s="8">
        <f t="shared" si="16"/>
        <v>-78.5</v>
      </c>
      <c r="BM10" s="8">
        <f>HAVERQ!AL170+HAVERQ!AM170</f>
        <v>939</v>
      </c>
      <c r="BO10" s="9">
        <v>44013</v>
      </c>
      <c r="BP10" s="8">
        <f t="shared" si="17"/>
        <v>18.75</v>
      </c>
      <c r="BQ10" s="8">
        <f t="shared" si="18"/>
        <v>-5.5</v>
      </c>
      <c r="BR10" s="8">
        <f t="shared" si="19"/>
        <v>-120.75</v>
      </c>
      <c r="BS10" s="8">
        <f t="shared" si="20"/>
        <v>-190.25</v>
      </c>
      <c r="BT10" s="8">
        <f t="shared" si="21"/>
        <v>-377.5</v>
      </c>
      <c r="BU10" s="8">
        <f t="shared" si="22"/>
        <v>-4.25</v>
      </c>
      <c r="BV10" s="8">
        <f t="shared" si="23"/>
        <v>-20.25</v>
      </c>
      <c r="BW10" s="8">
        <f t="shared" si="24"/>
        <v>-174.25</v>
      </c>
      <c r="BX10" s="8">
        <f t="shared" si="25"/>
        <v>-97.25</v>
      </c>
      <c r="BZ10" s="8">
        <f>HAVERQ!T170</f>
        <v>417</v>
      </c>
      <c r="CA10" s="8">
        <f>HAVERQ!U170+HAVERQ!W170+HAVERQ!X170</f>
        <v>420</v>
      </c>
      <c r="CB10" s="8">
        <f>HAVERQ!V170</f>
        <v>2570</v>
      </c>
      <c r="CC10" s="8">
        <f>HAVERQ!Y170</f>
        <v>2143</v>
      </c>
      <c r="CD10" s="8">
        <f>HAVERQ!Z170+HAVERQ!AB170</f>
        <v>7127</v>
      </c>
      <c r="CE10" s="8">
        <f>HAVERQ!AA170+HAVERQ!AC170</f>
        <v>3302</v>
      </c>
      <c r="CF10" s="8">
        <f>HAVERQ!AD170</f>
        <v>1115</v>
      </c>
      <c r="CG10" s="8">
        <f>HAVERQ!AE170+HAVERQ!AF170+HAVERQ!AG170</f>
        <v>6657</v>
      </c>
      <c r="CH10" s="8">
        <f>HAVERQ!AH170+HAVERQ!AI170+HAVERQ!AJ170+HAVERQ!AK170+HAVERQ!AL170+HAVERQ!AM170</f>
        <v>10843</v>
      </c>
      <c r="CI10" s="8">
        <f>HAVERQ!S170-SUM('Chart Data'!BZ10:CH10)</f>
        <v>0</v>
      </c>
      <c r="CL10" s="2">
        <f>100*((DataQ!F169/DataQ!F165)-1)</f>
        <v>2.7966777497159256</v>
      </c>
      <c r="CM10" s="2">
        <f>100*(DataQ!I169/DataQ!J169)</f>
        <v>22.178475935828875</v>
      </c>
      <c r="CO10" s="5">
        <f>CO5</f>
        <v>45627</v>
      </c>
      <c r="CP10">
        <f t="shared" ref="CP10:CU10" si="30">HLOOKUP(CP$7,$CP$2:$CU$5,4,FALSE)</f>
        <v>63.5</v>
      </c>
      <c r="CQ10">
        <f t="shared" si="30"/>
        <v>54.45</v>
      </c>
      <c r="CR10">
        <f t="shared" si="30"/>
        <v>52.76</v>
      </c>
      <c r="CS10">
        <f t="shared" si="30"/>
        <v>40.67</v>
      </c>
      <c r="CT10">
        <f t="shared" si="30"/>
        <v>7.33</v>
      </c>
      <c r="CU10">
        <f t="shared" si="30"/>
        <v>3.75</v>
      </c>
      <c r="CY10" s="10">
        <f>(HAVERQ!AQ134-AVERAGE(HAVERQ!AQ$128:AQ$183))/STDEV(HAVERQ!AQ$128:AQ$183)</f>
        <v>1.6919290143561641</v>
      </c>
      <c r="CZ10" s="10">
        <f t="shared" si="6"/>
        <v>1.4915246586005138</v>
      </c>
      <c r="DA10" s="10">
        <f t="shared" si="7"/>
        <v>0.98916196384392951</v>
      </c>
      <c r="DB10" s="10">
        <f>(HAVERQ!AR134-AVERAGE(HAVERQ!AR$128:AR$183))/STDEV(HAVERQ!AR$128:AR$183)</f>
        <v>0.69323162242353487</v>
      </c>
      <c r="DC10" s="10">
        <f t="shared" si="8"/>
        <v>-1.2046133038428646</v>
      </c>
      <c r="DD10" s="10" t="e">
        <f t="shared" si="26"/>
        <v>#N/A</v>
      </c>
      <c r="DE10" s="10">
        <f>(HAVERQ!AZ134-AVERAGE(HAVERQ!AZ$128:AZ$167,AZ$174:AZ$183))/STDEV(HAVERQ!AZ$128:AZ$167,AZ$174:AZ$183)</f>
        <v>-1.1050252241803709</v>
      </c>
      <c r="DF10" s="10">
        <f>(HAVERQ!AS134-AVERAGE(HAVERQ!AS$128:AS$183))/STDEV(HAVERQ!AS$128:AS$183)</f>
        <v>-0.84146418676065149</v>
      </c>
      <c r="DG10" s="10">
        <f t="shared" si="27"/>
        <v>-0.36943007728992855</v>
      </c>
      <c r="DH10" s="10">
        <f>(HAVERQ!AX134-AVERAGE(HAVERQ!AX$128:AX$183))/STDEV(HAVERQ!AX$128:AX$183)</f>
        <v>-1.3285019246451601</v>
      </c>
      <c r="DJ10" s="10">
        <f t="shared" si="9"/>
        <v>-1.4022411202645091</v>
      </c>
      <c r="DL10" s="10">
        <f>100*(HAVERQ!AV134/(HAVERQ!AW134*HAVERQ!AX134/100))</f>
        <v>2.7486012812614264</v>
      </c>
      <c r="DM10" s="10">
        <f>HAVERQ!AO134/HAVERQ!AP134</f>
        <v>0.17950645120881875</v>
      </c>
      <c r="DN10" s="10" t="e">
        <f>100*((AVERAGE(HAVERQ!BC131:BC134)/AVERAGE(HAVERQ!BC127:BC130))-1)</f>
        <v>#N/A</v>
      </c>
      <c r="DO10" s="10">
        <f>100*(HAVERQ!BE134+HAVERQ!BF134)/(HAVERQ!BB134+HAVERQ!BG134)</f>
        <v>11.156675536077634</v>
      </c>
      <c r="DP10" s="10">
        <f>100*((AVERAGE(HAVERQ!BA131:BA134)/AVERAGE(HAVERQ!BA127:BA130))-1)</f>
        <v>2.2766405203749729</v>
      </c>
      <c r="DR10" s="10">
        <f>(HAVERQ!AT134*HAVERQ!$AT$1)+(HAVERQ!AU134*HAVERQ!$AU$1)</f>
        <v>48.699628792527953</v>
      </c>
    </row>
    <row r="11" spans="1:136" ht="16.5" thickBot="1" x14ac:dyDescent="0.3">
      <c r="A11">
        <v>2021</v>
      </c>
      <c r="B11" s="2">
        <f>100*((DataA!G55-DataA!G54)/DataA!H54)</f>
        <v>3.8447945830881021</v>
      </c>
      <c r="C11" s="2">
        <f t="shared" si="1"/>
        <v>0.29847195559980433</v>
      </c>
      <c r="D11" s="2">
        <f>100*((DataA!H55/DataA!H54)-1)</f>
        <v>4.1432665386879064</v>
      </c>
      <c r="F11">
        <v>2021</v>
      </c>
      <c r="G11" s="2">
        <f t="shared" si="10"/>
        <v>1.1780466209708025</v>
      </c>
      <c r="H11" s="2">
        <f t="shared" si="2"/>
        <v>0.41896108307475854</v>
      </c>
      <c r="I11" s="2">
        <f>100*((DataA!I55/DataA!I54)-1)</f>
        <v>1.597007704045561</v>
      </c>
      <c r="K11" s="2">
        <f>100*((DataA!J55/DataA!J54)-1)</f>
        <v>2.6667479621172996</v>
      </c>
      <c r="M11" s="5">
        <v>42583</v>
      </c>
      <c r="N11">
        <f>HAVERM!C446</f>
        <v>5.1059999999999999</v>
      </c>
      <c r="O11" s="3">
        <f>HAVERM!B446</f>
        <v>4.8</v>
      </c>
      <c r="Q11" s="5">
        <v>42583</v>
      </c>
      <c r="R11">
        <f>MIN(HAVERM!C445:C447)</f>
        <v>4.657</v>
      </c>
      <c r="S11" s="3">
        <f t="shared" si="3"/>
        <v>0.44899999999999984</v>
      </c>
      <c r="T11" s="3">
        <f>HAVERM!B446</f>
        <v>4.8</v>
      </c>
      <c r="V11">
        <f>MAX(HAVERM!C445:C447)</f>
        <v>5.1059999999999999</v>
      </c>
      <c r="X11" s="9">
        <v>44105</v>
      </c>
      <c r="Y11" s="8">
        <f>HAVERQ!E171-AVERAGE(HAVERQ!E$164:E$167)</f>
        <v>134.25</v>
      </c>
      <c r="Z11" s="8">
        <f>HAVERQ!F171-AVERAGE(HAVERQ!F$164:F$167)</f>
        <v>-801.75</v>
      </c>
      <c r="AB11" s="9">
        <v>37165</v>
      </c>
      <c r="AC11" s="8">
        <f>HAVERQ!P95</f>
        <v>1278</v>
      </c>
      <c r="AD11" s="8">
        <f>HAVERQ!O95</f>
        <v>1467</v>
      </c>
      <c r="AE11" s="8">
        <f>HAVERQ!N95</f>
        <v>1197</v>
      </c>
      <c r="AF11" s="8">
        <f>HAVERQ!M95</f>
        <v>234</v>
      </c>
      <c r="AG11" s="8">
        <f>HAVERQ!L95</f>
        <v>214</v>
      </c>
      <c r="AH11" s="8">
        <f>HAVERQ!E95-AC11-AD11-AE11-AF11-AG11</f>
        <v>769</v>
      </c>
      <c r="AJ11" s="9">
        <v>37165</v>
      </c>
      <c r="AK11" s="8">
        <f t="shared" si="11"/>
        <v>24.772242682690443</v>
      </c>
      <c r="AL11" s="8">
        <f t="shared" si="12"/>
        <v>28.435743361116494</v>
      </c>
      <c r="AM11" s="8">
        <f t="shared" si="13"/>
        <v>23.202170963364992</v>
      </c>
      <c r="AN11" s="8">
        <f t="shared" si="14"/>
        <v>4.5357627447179683</v>
      </c>
      <c r="AO11" s="8">
        <f t="shared" si="15"/>
        <v>4.1480907152548943</v>
      </c>
      <c r="AP11" s="8">
        <f t="shared" si="4"/>
        <v>14.905989532855205</v>
      </c>
      <c r="AR11" s="9">
        <v>44105</v>
      </c>
      <c r="AS11" s="8">
        <f>HAVERQ!T171-AVERAGE(HAVERQ!T$164:T$167)</f>
        <v>-18.25</v>
      </c>
      <c r="AT11" s="8">
        <f>HAVERQ!U171-AVERAGE(HAVERQ!U$164:U$167)</f>
        <v>-8.25</v>
      </c>
      <c r="AU11" s="8">
        <f>HAVERQ!V171-AVERAGE(HAVERQ!V$164:V$167)</f>
        <v>-134.75</v>
      </c>
      <c r="AV11" s="8">
        <f>HAVERQ!W171-AVERAGE(HAVERQ!W$164:W$167)</f>
        <v>4.25</v>
      </c>
      <c r="AW11" s="8">
        <f>HAVERQ!X171-AVERAGE(HAVERQ!X$164:X$167)</f>
        <v>0.5</v>
      </c>
      <c r="AX11" s="8">
        <f>HAVERQ!Y171-AVERAGE(HAVERQ!Y$164:Y$167)</f>
        <v>-179.25</v>
      </c>
      <c r="AY11" s="8">
        <f>HAVERQ!Z171-AVERAGE(HAVERQ!Z$164:Z$167)</f>
        <v>-174.5</v>
      </c>
      <c r="AZ11" s="8">
        <f>HAVERQ!AA171-AVERAGE(HAVERQ!AA$164:AA$167)</f>
        <v>-47</v>
      </c>
      <c r="BA11" s="8">
        <f>HAVERQ!AB171-AVERAGE(HAVERQ!AB$164:AB$167)</f>
        <v>-304</v>
      </c>
      <c r="BB11" s="8">
        <f>HAVERQ!AC171-AVERAGE(HAVERQ!AC$164:AC$167)</f>
        <v>4.75</v>
      </c>
      <c r="BC11" s="8">
        <f>HAVERQ!AD171-AVERAGE(HAVERQ!AD$164:AD$167)</f>
        <v>7.75</v>
      </c>
      <c r="BD11" s="8">
        <f>HAVERQ!AE171-AVERAGE(HAVERQ!AE$164:AE$167)</f>
        <v>41.25</v>
      </c>
      <c r="BE11" s="8">
        <f>HAVERQ!AF171-AVERAGE(HAVERQ!AF$164:AF$167)</f>
        <v>-55</v>
      </c>
      <c r="BF11" s="8">
        <f>HAVERQ!AG171-AVERAGE(HAVERQ!AG$164:AG$167)</f>
        <v>-112.5</v>
      </c>
      <c r="BG11" s="8">
        <f>HAVERQ!AH171-AVERAGE(HAVERQ!AH$164:AH$167)</f>
        <v>67.25</v>
      </c>
      <c r="BH11" s="8">
        <f>HAVERQ!AI171-AVERAGE(HAVERQ!AI$164:AI$167)</f>
        <v>-11</v>
      </c>
      <c r="BI11" s="8">
        <f>HAVERQ!AJ171-AVERAGE(HAVERQ!AJ$164:AJ$167)</f>
        <v>85.75</v>
      </c>
      <c r="BJ11" s="8">
        <f>HAVERQ!AK171-AVERAGE(HAVERQ!AK$164:AK$167)</f>
        <v>-119.75</v>
      </c>
      <c r="BK11" s="8">
        <f t="shared" si="16"/>
        <v>-88.5</v>
      </c>
      <c r="BM11" s="8">
        <f>HAVERQ!AL171+HAVERQ!AM171</f>
        <v>929</v>
      </c>
      <c r="BO11" s="9">
        <v>44105</v>
      </c>
      <c r="BP11" s="8">
        <f t="shared" si="17"/>
        <v>-18.25</v>
      </c>
      <c r="BQ11" s="8">
        <f t="shared" si="18"/>
        <v>-3.5</v>
      </c>
      <c r="BR11" s="8">
        <f t="shared" si="19"/>
        <v>-134.75</v>
      </c>
      <c r="BS11" s="8">
        <f t="shared" si="20"/>
        <v>-179.25</v>
      </c>
      <c r="BT11" s="8">
        <f t="shared" si="21"/>
        <v>-478.5</v>
      </c>
      <c r="BU11" s="8">
        <f t="shared" si="22"/>
        <v>-42.25</v>
      </c>
      <c r="BV11" s="8">
        <f t="shared" si="23"/>
        <v>7.75</v>
      </c>
      <c r="BW11" s="8">
        <f t="shared" si="24"/>
        <v>-126.25</v>
      </c>
      <c r="BX11" s="8">
        <f t="shared" si="25"/>
        <v>-66.25</v>
      </c>
      <c r="BZ11" s="8">
        <f>HAVERQ!T171</f>
        <v>380</v>
      </c>
      <c r="CA11" s="8">
        <f>HAVERQ!U171+HAVERQ!W171+HAVERQ!X171</f>
        <v>422</v>
      </c>
      <c r="CB11" s="8">
        <f>HAVERQ!V171</f>
        <v>2556</v>
      </c>
      <c r="CC11" s="8">
        <f>HAVERQ!Y171</f>
        <v>2154</v>
      </c>
      <c r="CD11" s="8">
        <f>HAVERQ!Z171+HAVERQ!AB171</f>
        <v>7026</v>
      </c>
      <c r="CE11" s="8">
        <f>HAVERQ!AA171+HAVERQ!AC171</f>
        <v>3264</v>
      </c>
      <c r="CF11" s="8">
        <f>HAVERQ!AD171</f>
        <v>1143</v>
      </c>
      <c r="CG11" s="8">
        <f>HAVERQ!AE171+HAVERQ!AF171+HAVERQ!AG171</f>
        <v>6705</v>
      </c>
      <c r="CH11" s="8">
        <f>HAVERQ!AH171+HAVERQ!AI171+HAVERQ!AJ171+HAVERQ!AK171+HAVERQ!AL171+HAVERQ!AM171</f>
        <v>10874</v>
      </c>
      <c r="CI11" s="8">
        <f>HAVERQ!S171-SUM('Chart Data'!BZ11:CH11)</f>
        <v>-2</v>
      </c>
      <c r="CL11" s="2">
        <f>100*((DataQ!F170/DataQ!F166)-1)</f>
        <v>2.2815276989979205</v>
      </c>
      <c r="CM11" s="2">
        <f>100*(DataQ!I170/DataQ!J170)</f>
        <v>22.016086407494313</v>
      </c>
      <c r="CY11" s="10">
        <f>(HAVERQ!AQ135-AVERAGE(HAVERQ!AQ$128:AQ$183))/STDEV(HAVERQ!AQ$128:AQ$183)</f>
        <v>1.7528210611453316</v>
      </c>
      <c r="CZ11" s="10">
        <f t="shared" si="6"/>
        <v>1.4338151682114113</v>
      </c>
      <c r="DA11" s="10">
        <f t="shared" si="7"/>
        <v>1.1824207068704411</v>
      </c>
      <c r="DB11" s="10">
        <f>(HAVERQ!AR135-AVERAGE(HAVERQ!AR$128:AR$183))/STDEV(HAVERQ!AR$128:AR$183)</f>
        <v>1.0706577279652367</v>
      </c>
      <c r="DC11" s="10">
        <f t="shared" si="8"/>
        <v>-1.2285428084473122</v>
      </c>
      <c r="DD11" s="10" t="e">
        <f t="shared" si="26"/>
        <v>#N/A</v>
      </c>
      <c r="DE11" s="10">
        <f>(HAVERQ!AZ135-AVERAGE(HAVERQ!AZ$128:AZ$167,AZ$174:AZ$183))/STDEV(HAVERQ!AZ$128:AZ$167,AZ$174:AZ$183)</f>
        <v>-1.5341612335707904</v>
      </c>
      <c r="DF11" s="10">
        <f>(HAVERQ!AS135-AVERAGE(HAVERQ!AS$128:AS$183))/STDEV(HAVERQ!AS$128:AS$183)</f>
        <v>-1.0169324215720328</v>
      </c>
      <c r="DG11" s="10">
        <f t="shared" si="27"/>
        <v>-0.29563477807541078</v>
      </c>
      <c r="DH11" s="10">
        <f>(HAVERQ!AX135-AVERAGE(HAVERQ!AX$128:AX$183))/STDEV(HAVERQ!AX$128:AX$183)</f>
        <v>-1.0260787222868999</v>
      </c>
      <c r="DJ11" s="10">
        <f t="shared" si="9"/>
        <v>-0.72040488730460606</v>
      </c>
      <c r="DL11" s="10">
        <f>100*(HAVERQ!AV135/(HAVERQ!AW135*HAVERQ!AX135/100))</f>
        <v>2.7053821940543501</v>
      </c>
      <c r="DM11" s="10">
        <f>HAVERQ!AO135/HAVERQ!AP135</f>
        <v>0.17385912698412698</v>
      </c>
      <c r="DN11" s="10" t="e">
        <f>100*((AVERAGE(HAVERQ!BC132:BC135)/AVERAGE(HAVERQ!BC128:BC131))-1)</f>
        <v>#N/A</v>
      </c>
      <c r="DO11" s="10">
        <f>100*(HAVERQ!BE135+HAVERQ!BF135)/(HAVERQ!BB135+HAVERQ!BG135)</f>
        <v>11.448189762796504</v>
      </c>
      <c r="DP11" s="10">
        <f>100*((AVERAGE(HAVERQ!BA132:BA135)/AVERAGE(HAVERQ!BA128:BA131))-1)</f>
        <v>2.4199695121951414</v>
      </c>
      <c r="DR11" s="10">
        <f>(HAVERQ!AT135*HAVERQ!$AT$1)+(HAVERQ!AU135*HAVERQ!$AU$1)</f>
        <v>55.466419195018638</v>
      </c>
      <c r="DT11" s="21" t="s">
        <v>1356</v>
      </c>
    </row>
    <row r="12" spans="1:136" ht="15.75" x14ac:dyDescent="0.25">
      <c r="A12">
        <v>2022</v>
      </c>
      <c r="B12" s="2">
        <f>100*((DataA!G56-DataA!G55)/DataA!H55)</f>
        <v>4.5968489464357862</v>
      </c>
      <c r="C12" s="2">
        <f t="shared" si="1"/>
        <v>1.6454430938000888</v>
      </c>
      <c r="D12" s="2">
        <f>100*((DataA!H56/DataA!H55)-1)</f>
        <v>6.242292040235875</v>
      </c>
      <c r="F12">
        <v>2022</v>
      </c>
      <c r="G12" s="2">
        <f t="shared" si="10"/>
        <v>-3.8985319990347236</v>
      </c>
      <c r="H12" s="2">
        <f t="shared" si="2"/>
        <v>2.1482270327550204</v>
      </c>
      <c r="I12" s="2">
        <f>100*((DataA!I56/DataA!I55)-1)</f>
        <v>-1.7503049662797032</v>
      </c>
      <c r="K12" s="2">
        <f>100*((DataA!J56/DataA!J55)-1)</f>
        <v>8.4953809454705098</v>
      </c>
      <c r="M12" s="5">
        <v>42614</v>
      </c>
      <c r="N12">
        <f>HAVERM!C447</f>
        <v>4.7359999999999998</v>
      </c>
      <c r="O12" s="3">
        <f>HAVERM!B447</f>
        <v>4.8</v>
      </c>
      <c r="Q12" s="5">
        <v>42614</v>
      </c>
      <c r="R12">
        <f>MIN(HAVERM!C446:C448)</f>
        <v>4.6589999999999998</v>
      </c>
      <c r="S12" s="3">
        <f t="shared" si="3"/>
        <v>0.44700000000000006</v>
      </c>
      <c r="T12" s="3">
        <f>HAVERM!B447</f>
        <v>4.8</v>
      </c>
      <c r="V12">
        <f>MAX(HAVERM!C446:C448)</f>
        <v>5.1059999999999999</v>
      </c>
      <c r="X12" s="9">
        <v>44197</v>
      </c>
      <c r="Y12" s="8">
        <f>HAVERQ!E172-AVERAGE(HAVERQ!E$164:E$167)</f>
        <v>214.25</v>
      </c>
      <c r="Z12" s="8">
        <f>HAVERQ!F172-AVERAGE(HAVERQ!F$164:F$167)</f>
        <v>-840.75</v>
      </c>
      <c r="AB12" s="9">
        <v>37257</v>
      </c>
      <c r="AC12" s="8">
        <f>HAVERQ!P96</f>
        <v>1292</v>
      </c>
      <c r="AD12" s="8">
        <f>HAVERQ!O96</f>
        <v>1471</v>
      </c>
      <c r="AE12" s="8">
        <f>HAVERQ!N96</f>
        <v>1204</v>
      </c>
      <c r="AF12" s="8">
        <f>HAVERQ!M96</f>
        <v>236</v>
      </c>
      <c r="AG12" s="8">
        <f>HAVERQ!L96</f>
        <v>214</v>
      </c>
      <c r="AH12" s="8">
        <f>HAVERQ!E96-AC12-AD12-AE12-AF12-AG12</f>
        <v>782</v>
      </c>
      <c r="AJ12" s="9">
        <v>37257</v>
      </c>
      <c r="AK12" s="8">
        <f t="shared" si="11"/>
        <v>24.850932871706096</v>
      </c>
      <c r="AL12" s="8">
        <f t="shared" si="12"/>
        <v>28.293902673591077</v>
      </c>
      <c r="AM12" s="8">
        <f t="shared" si="13"/>
        <v>23.158299673014042</v>
      </c>
      <c r="AN12" s="8">
        <f t="shared" si="14"/>
        <v>4.5393344874014234</v>
      </c>
      <c r="AO12" s="8">
        <f t="shared" si="15"/>
        <v>4.1161761877284091</v>
      </c>
      <c r="AP12" s="8">
        <f t="shared" si="4"/>
        <v>15.041354106558954</v>
      </c>
      <c r="AR12" s="9">
        <v>44197</v>
      </c>
      <c r="AS12" s="8">
        <f>HAVERQ!T172-AVERAGE(HAVERQ!T$164:T$167)</f>
        <v>-23.25</v>
      </c>
      <c r="AT12" s="8">
        <f>HAVERQ!U172-AVERAGE(HAVERQ!U$164:U$167)</f>
        <v>-8.25</v>
      </c>
      <c r="AU12" s="8">
        <f>HAVERQ!V172-AVERAGE(HAVERQ!V$164:V$167)</f>
        <v>-153.75</v>
      </c>
      <c r="AV12" s="8">
        <f>HAVERQ!W172-AVERAGE(HAVERQ!W$164:W$167)</f>
        <v>3.25</v>
      </c>
      <c r="AW12" s="8">
        <f>HAVERQ!X172-AVERAGE(HAVERQ!X$164:X$167)</f>
        <v>-4.5</v>
      </c>
      <c r="AX12" s="8">
        <f>HAVERQ!Y172-AVERAGE(HAVERQ!Y$164:Y$167)</f>
        <v>-162.25</v>
      </c>
      <c r="AY12" s="8">
        <f>HAVERQ!Z172-AVERAGE(HAVERQ!Z$164:Z$167)</f>
        <v>-196.5</v>
      </c>
      <c r="AZ12" s="8">
        <f>HAVERQ!AA172-AVERAGE(HAVERQ!AA$164:AA$167)</f>
        <v>24</v>
      </c>
      <c r="BA12" s="8">
        <f>HAVERQ!AB172-AVERAGE(HAVERQ!AB$164:AB$167)</f>
        <v>-264</v>
      </c>
      <c r="BB12" s="8">
        <f>HAVERQ!AC172-AVERAGE(HAVERQ!AC$164:AC$167)</f>
        <v>11.75</v>
      </c>
      <c r="BC12" s="8">
        <f>HAVERQ!AD172-AVERAGE(HAVERQ!AD$164:AD$167)</f>
        <v>19.75</v>
      </c>
      <c r="BD12" s="8">
        <f>HAVERQ!AE172-AVERAGE(HAVERQ!AE$164:AE$167)</f>
        <v>33.25</v>
      </c>
      <c r="BE12" s="8">
        <f>HAVERQ!AF172-AVERAGE(HAVERQ!AF$164:AF$167)</f>
        <v>-36</v>
      </c>
      <c r="BF12" s="8">
        <f>HAVERQ!AG172-AVERAGE(HAVERQ!AG$164:AG$167)</f>
        <v>-97.5</v>
      </c>
      <c r="BG12" s="8">
        <f>HAVERQ!AH172-AVERAGE(HAVERQ!AH$164:AH$167)</f>
        <v>91.25</v>
      </c>
      <c r="BH12" s="8">
        <f>HAVERQ!AI172-AVERAGE(HAVERQ!AI$164:AI$167)</f>
        <v>-16</v>
      </c>
      <c r="BI12" s="8">
        <f>HAVERQ!AJ172-AVERAGE(HAVERQ!AJ$164:AJ$167)</f>
        <v>151.75</v>
      </c>
      <c r="BJ12" s="8">
        <f>HAVERQ!AK172-AVERAGE(HAVERQ!AK$164:AK$167)</f>
        <v>-142.75</v>
      </c>
      <c r="BK12" s="8">
        <f t="shared" si="16"/>
        <v>-60.5</v>
      </c>
      <c r="BM12" s="8">
        <f>HAVERQ!AL172+HAVERQ!AM172</f>
        <v>957</v>
      </c>
      <c r="BO12" s="9">
        <v>44197</v>
      </c>
      <c r="BP12" s="8">
        <f t="shared" si="17"/>
        <v>-23.25</v>
      </c>
      <c r="BQ12" s="8">
        <f t="shared" si="18"/>
        <v>-9.5</v>
      </c>
      <c r="BR12" s="8">
        <f t="shared" si="19"/>
        <v>-153.75</v>
      </c>
      <c r="BS12" s="8">
        <f t="shared" si="20"/>
        <v>-162.25</v>
      </c>
      <c r="BT12" s="8">
        <f t="shared" si="21"/>
        <v>-460.5</v>
      </c>
      <c r="BU12" s="8">
        <f t="shared" si="22"/>
        <v>35.75</v>
      </c>
      <c r="BV12" s="8">
        <f t="shared" si="23"/>
        <v>19.75</v>
      </c>
      <c r="BW12" s="8">
        <f t="shared" si="24"/>
        <v>-100.25</v>
      </c>
      <c r="BX12" s="8">
        <f t="shared" si="25"/>
        <v>23.75</v>
      </c>
      <c r="BZ12" s="8">
        <f>HAVERQ!T172</f>
        <v>375</v>
      </c>
      <c r="CA12" s="8">
        <f>HAVERQ!U172+HAVERQ!W172+HAVERQ!X172</f>
        <v>416</v>
      </c>
      <c r="CB12" s="8">
        <f>HAVERQ!V172</f>
        <v>2537</v>
      </c>
      <c r="CC12" s="8">
        <f>HAVERQ!Y172</f>
        <v>2171</v>
      </c>
      <c r="CD12" s="8">
        <f>HAVERQ!Z172+HAVERQ!AB172</f>
        <v>7044</v>
      </c>
      <c r="CE12" s="8">
        <f>HAVERQ!AA172+HAVERQ!AC172</f>
        <v>3342</v>
      </c>
      <c r="CF12" s="8">
        <f>HAVERQ!AD172</f>
        <v>1155</v>
      </c>
      <c r="CG12" s="8">
        <f>HAVERQ!AE172+HAVERQ!AF172+HAVERQ!AG172</f>
        <v>6731</v>
      </c>
      <c r="CH12" s="8">
        <f>HAVERQ!AH172+HAVERQ!AI172+HAVERQ!AJ172+HAVERQ!AK172+HAVERQ!AL172+HAVERQ!AM172</f>
        <v>10964</v>
      </c>
      <c r="CI12" s="8">
        <f>HAVERQ!S172-SUM('Chart Data'!BZ12:CH12)</f>
        <v>-1</v>
      </c>
      <c r="CK12">
        <v>2014</v>
      </c>
      <c r="CL12" s="2">
        <f>100*((DataQ!F171/DataQ!F167)-1)</f>
        <v>2.457354011321855</v>
      </c>
      <c r="CM12" s="2">
        <f>100*(DataQ!I171/DataQ!J171)</f>
        <v>21.695584061457385</v>
      </c>
      <c r="CX12">
        <v>2012</v>
      </c>
      <c r="CY12" s="10">
        <f>(HAVERQ!AQ136-AVERAGE(HAVERQ!AQ$128:AQ$183))/STDEV(HAVERQ!AQ$128:AQ$183)</f>
        <v>1.6310369675669953</v>
      </c>
      <c r="CZ12" s="10">
        <f t="shared" si="6"/>
        <v>1.5109720555256798</v>
      </c>
      <c r="DA12" s="10">
        <f t="shared" si="7"/>
        <v>1.4091393473583271</v>
      </c>
      <c r="DB12" s="10">
        <f>(HAVERQ!AR136-AVERAGE(HAVERQ!AR$128:AR$183))/STDEV(HAVERQ!AR$128:AR$183)</f>
        <v>1.2324117731973954</v>
      </c>
      <c r="DC12" s="10">
        <f t="shared" si="8"/>
        <v>-1.2507047686310453</v>
      </c>
      <c r="DD12" s="10" t="e">
        <f t="shared" si="26"/>
        <v>#N/A</v>
      </c>
      <c r="DE12" s="10">
        <f>(HAVERQ!AZ136-AVERAGE(HAVERQ!AZ$128:AZ$167,AZ$174:AZ$183))/STDEV(HAVERQ!AZ$128:AZ$167,AZ$174:AZ$183)</f>
        <v>-1.1050252241803709</v>
      </c>
      <c r="DF12" s="10">
        <f>(HAVERQ!AS136-AVERAGE(HAVERQ!AS$128:AS$183))/STDEV(HAVERQ!AS$128:AS$183)</f>
        <v>-1.0695728920154475</v>
      </c>
      <c r="DG12" s="10">
        <f t="shared" si="27"/>
        <v>-0.60636075328498285</v>
      </c>
      <c r="DH12" s="10">
        <f>(HAVERQ!AX136-AVERAGE(HAVERQ!AX$128:AX$183))/STDEV(HAVERQ!AX$128:AX$183)</f>
        <v>-1.0260787222868999</v>
      </c>
      <c r="DJ12" s="10">
        <f t="shared" si="9"/>
        <v>-1.1145549678248854</v>
      </c>
      <c r="DL12" s="10">
        <f>100*(HAVERQ!AV136/(HAVERQ!AW136*HAVERQ!AX136/100))</f>
        <v>2.7631655884142425</v>
      </c>
      <c r="DM12" s="10">
        <f>HAVERQ!AO136/HAVERQ!AP136</f>
        <v>0.168628940372199</v>
      </c>
      <c r="DN12" s="10" t="e">
        <f>100*((AVERAGE(HAVERQ!BC133:BC136)/AVERAGE(HAVERQ!BC129:BC132))-1)</f>
        <v>#N/A</v>
      </c>
      <c r="DO12" s="10">
        <f>100*(HAVERQ!BE136+HAVERQ!BF136)/(HAVERQ!BB136+HAVERQ!BG136)</f>
        <v>11.790175373018098</v>
      </c>
      <c r="DP12" s="10">
        <f>100*((AVERAGE(HAVERQ!BA133:BA136)/AVERAGE(HAVERQ!BA129:BA132))-1)</f>
        <v>1.8164616840113501</v>
      </c>
      <c r="DR12" s="10">
        <f>(HAVERQ!AT136*HAVERQ!$AT$1)+(HAVERQ!AU136*HAVERQ!$AU$1)</f>
        <v>51.554730650062119</v>
      </c>
      <c r="DT12" s="23"/>
      <c r="DU12" s="24" t="s">
        <v>1357</v>
      </c>
      <c r="DV12" s="25">
        <v>45352</v>
      </c>
      <c r="DX12" s="24">
        <v>2019</v>
      </c>
      <c r="DY12" s="26" t="s">
        <v>1358</v>
      </c>
    </row>
    <row r="13" spans="1:136" ht="15.75" x14ac:dyDescent="0.25">
      <c r="A13">
        <v>2023</v>
      </c>
      <c r="B13" s="2">
        <f>100*((DataA!G57-DataA!G56)/DataA!H56)</f>
        <v>5.4343165438119634</v>
      </c>
      <c r="C13" s="2">
        <f t="shared" si="1"/>
        <v>3.682906852893769</v>
      </c>
      <c r="D13" s="2">
        <f>100*((DataA!H57/DataA!H56)-1)</f>
        <v>9.1172233967057323</v>
      </c>
      <c r="F13">
        <v>2023</v>
      </c>
      <c r="G13" s="2">
        <f t="shared" si="10"/>
        <v>-1.4588863006073804</v>
      </c>
      <c r="H13" s="2">
        <f t="shared" si="2"/>
        <v>3.5919099182899972</v>
      </c>
      <c r="I13" s="2">
        <f>100*((DataA!I57/DataA!I56)-1)</f>
        <v>2.1330236176826167</v>
      </c>
      <c r="K13" s="2">
        <f>100*((DataA!J57/DataA!J56)-1)</f>
        <v>6.8932028444193438</v>
      </c>
      <c r="M13" s="5">
        <v>42644</v>
      </c>
      <c r="N13">
        <f>HAVERM!C448</f>
        <v>4.6589999999999998</v>
      </c>
      <c r="O13" s="3">
        <f>HAVERM!B448</f>
        <v>4.8</v>
      </c>
      <c r="Q13" s="5">
        <v>42644</v>
      </c>
      <c r="R13">
        <f>MIN(HAVERM!C447:C449)</f>
        <v>4.6589999999999998</v>
      </c>
      <c r="S13" s="3">
        <f t="shared" si="3"/>
        <v>0.29300000000000015</v>
      </c>
      <c r="T13" s="3">
        <f>HAVERM!B448</f>
        <v>4.8</v>
      </c>
      <c r="V13">
        <f>MAX(HAVERM!C447:C449)</f>
        <v>4.952</v>
      </c>
      <c r="X13" s="9">
        <v>44287</v>
      </c>
      <c r="Y13" s="8">
        <f>HAVERQ!E173-AVERAGE(HAVERQ!E$164:E$167)</f>
        <v>225.25</v>
      </c>
      <c r="Z13" s="8">
        <f>HAVERQ!F173-AVERAGE(HAVERQ!F$164:F$167)</f>
        <v>-639.75</v>
      </c>
      <c r="AB13" s="9">
        <v>37347</v>
      </c>
      <c r="AC13" s="8">
        <f>HAVERQ!P97</f>
        <v>1309</v>
      </c>
      <c r="AD13" s="8">
        <f>HAVERQ!O97</f>
        <v>1473</v>
      </c>
      <c r="AE13" s="8">
        <f>HAVERQ!N97</f>
        <v>1212</v>
      </c>
      <c r="AF13" s="8">
        <f>HAVERQ!M97</f>
        <v>238</v>
      </c>
      <c r="AG13" s="8">
        <f>HAVERQ!L97</f>
        <v>214</v>
      </c>
      <c r="AH13" s="8">
        <f>HAVERQ!E97-AC13-AD13-AE13-AF13-AG13</f>
        <v>780</v>
      </c>
      <c r="AJ13" s="9">
        <v>37347</v>
      </c>
      <c r="AK13" s="8">
        <f t="shared" si="11"/>
        <v>25.047837734404897</v>
      </c>
      <c r="AL13" s="8">
        <f t="shared" si="12"/>
        <v>28.185993111366248</v>
      </c>
      <c r="AM13" s="8">
        <f t="shared" si="13"/>
        <v>23.191733639494831</v>
      </c>
      <c r="AN13" s="8">
        <f t="shared" si="14"/>
        <v>4.5541523153463448</v>
      </c>
      <c r="AO13" s="8">
        <f t="shared" si="15"/>
        <v>4.0949100650593184</v>
      </c>
      <c r="AP13" s="8">
        <f t="shared" si="4"/>
        <v>14.925373134328357</v>
      </c>
      <c r="AR13" s="9">
        <v>44287</v>
      </c>
      <c r="AS13" s="8">
        <f>HAVERQ!T173-AVERAGE(HAVERQ!T$164:T$167)</f>
        <v>-24.25</v>
      </c>
      <c r="AT13" s="8">
        <f>HAVERQ!U173-AVERAGE(HAVERQ!U$164:U$167)</f>
        <v>-7.25</v>
      </c>
      <c r="AU13" s="8">
        <f>HAVERQ!V173-AVERAGE(HAVERQ!V$164:V$167)</f>
        <v>-146.75</v>
      </c>
      <c r="AV13" s="8">
        <f>HAVERQ!W173-AVERAGE(HAVERQ!W$164:W$167)</f>
        <v>5.25</v>
      </c>
      <c r="AW13" s="8">
        <f>HAVERQ!X173-AVERAGE(HAVERQ!X$164:X$167)</f>
        <v>7.5</v>
      </c>
      <c r="AX13" s="8">
        <f>HAVERQ!Y173-AVERAGE(HAVERQ!Y$164:Y$167)</f>
        <v>-92.25</v>
      </c>
      <c r="AY13" s="8">
        <f>HAVERQ!Z173-AVERAGE(HAVERQ!Z$164:Z$167)</f>
        <v>-234.5</v>
      </c>
      <c r="AZ13" s="8">
        <f>HAVERQ!AA173-AVERAGE(HAVERQ!AA$164:AA$167)</f>
        <v>10</v>
      </c>
      <c r="BA13" s="8">
        <f>HAVERQ!AB173-AVERAGE(HAVERQ!AB$164:AB$167)</f>
        <v>-129</v>
      </c>
      <c r="BB13" s="8">
        <f>HAVERQ!AC173-AVERAGE(HAVERQ!AC$164:AC$167)</f>
        <v>-10.25</v>
      </c>
      <c r="BC13" s="8">
        <f>HAVERQ!AD173-AVERAGE(HAVERQ!AD$164:AD$167)</f>
        <v>26.75</v>
      </c>
      <c r="BD13" s="8">
        <f>HAVERQ!AE173-AVERAGE(HAVERQ!AE$164:AE$167)</f>
        <v>29.25</v>
      </c>
      <c r="BE13" s="8">
        <f>HAVERQ!AF173-AVERAGE(HAVERQ!AF$164:AF$167)</f>
        <v>-29</v>
      </c>
      <c r="BF13" s="8">
        <f>HAVERQ!AG173-AVERAGE(HAVERQ!AG$164:AG$167)</f>
        <v>-36.5</v>
      </c>
      <c r="BG13" s="8">
        <f>HAVERQ!AH173-AVERAGE(HAVERQ!AH$164:AH$167)</f>
        <v>92.25</v>
      </c>
      <c r="BH13" s="8">
        <f>HAVERQ!AI173-AVERAGE(HAVERQ!AI$164:AI$167)</f>
        <v>-8</v>
      </c>
      <c r="BI13" s="8">
        <f>HAVERQ!AJ173-AVERAGE(HAVERQ!AJ$164:AJ$167)</f>
        <v>167.75</v>
      </c>
      <c r="BJ13" s="8">
        <f>HAVERQ!AK173-AVERAGE(HAVERQ!AK$164:AK$167)</f>
        <v>-77.75</v>
      </c>
      <c r="BK13" s="8">
        <f t="shared" si="16"/>
        <v>-36.5</v>
      </c>
      <c r="BM13" s="8">
        <f>HAVERQ!AL173+HAVERQ!AM173</f>
        <v>981</v>
      </c>
      <c r="BO13" s="9">
        <v>44287</v>
      </c>
      <c r="BP13" s="8">
        <f t="shared" si="17"/>
        <v>-24.25</v>
      </c>
      <c r="BQ13" s="8">
        <f t="shared" si="18"/>
        <v>5.5</v>
      </c>
      <c r="BR13" s="8">
        <f t="shared" si="19"/>
        <v>-146.75</v>
      </c>
      <c r="BS13" s="8">
        <f t="shared" si="20"/>
        <v>-92.25</v>
      </c>
      <c r="BT13" s="8">
        <f t="shared" si="21"/>
        <v>-363.5</v>
      </c>
      <c r="BU13" s="8">
        <f t="shared" si="22"/>
        <v>-0.25</v>
      </c>
      <c r="BV13" s="8">
        <f t="shared" si="23"/>
        <v>26.75</v>
      </c>
      <c r="BW13" s="8">
        <f t="shared" si="24"/>
        <v>-36.25</v>
      </c>
      <c r="BX13" s="8">
        <f t="shared" si="25"/>
        <v>137.75</v>
      </c>
      <c r="BZ13" s="8">
        <f>HAVERQ!T173</f>
        <v>374</v>
      </c>
      <c r="CA13" s="8">
        <f>HAVERQ!U173+HAVERQ!W173+HAVERQ!X173</f>
        <v>431</v>
      </c>
      <c r="CB13" s="8">
        <f>HAVERQ!V173</f>
        <v>2544</v>
      </c>
      <c r="CC13" s="8">
        <f>HAVERQ!Y173</f>
        <v>2241</v>
      </c>
      <c r="CD13" s="8">
        <f>HAVERQ!Z173+HAVERQ!AB173</f>
        <v>7141</v>
      </c>
      <c r="CE13" s="8">
        <f>HAVERQ!AA173+HAVERQ!AC173</f>
        <v>3306</v>
      </c>
      <c r="CF13" s="8">
        <f>HAVERQ!AD173</f>
        <v>1162</v>
      </c>
      <c r="CG13" s="8">
        <f>HAVERQ!AE173+HAVERQ!AF173+HAVERQ!AG173</f>
        <v>6795</v>
      </c>
      <c r="CH13" s="8">
        <f>HAVERQ!AH173+HAVERQ!AI173+HAVERQ!AJ173+HAVERQ!AK173+HAVERQ!AL173+HAVERQ!AM173</f>
        <v>11078</v>
      </c>
      <c r="CI13" s="8">
        <f>HAVERQ!S173-SUM('Chart Data'!BZ13:CH13)</f>
        <v>0</v>
      </c>
      <c r="CL13" s="2">
        <f>100*((DataQ!F172/DataQ!F168)-1)</f>
        <v>-1.5163895959055096</v>
      </c>
      <c r="CM13" s="2">
        <f>100*(DataQ!I172/DataQ!J172)</f>
        <v>22.422754680434799</v>
      </c>
      <c r="CY13" s="10">
        <f>(HAVERQ!AQ137-AVERAGE(HAVERQ!AQ$128:AQ$183))/STDEV(HAVERQ!AQ$128:AQ$183)</f>
        <v>1.5092528739886601</v>
      </c>
      <c r="CZ13" s="10">
        <f t="shared" si="6"/>
        <v>1.4973913360762414</v>
      </c>
      <c r="DA13" s="10">
        <f t="shared" si="7"/>
        <v>1.4934211347273123</v>
      </c>
      <c r="DB13" s="10">
        <f>(HAVERQ!AR137-AVERAGE(HAVERQ!AR$128:AR$183))/STDEV(HAVERQ!AR$128:AR$183)</f>
        <v>0.74714963750092067</v>
      </c>
      <c r="DC13" s="10">
        <f t="shared" si="8"/>
        <v>-1.1715305988610387</v>
      </c>
      <c r="DD13" s="10" t="e">
        <f t="shared" si="26"/>
        <v>#N/A</v>
      </c>
      <c r="DE13" s="10">
        <f>(HAVERQ!AZ137-AVERAGE(HAVERQ!AZ$128:AZ$167,AZ$174:AZ$183))/STDEV(HAVERQ!AZ$128:AZ$167,AZ$174:AZ$183)</f>
        <v>-1.1050252241803709</v>
      </c>
      <c r="DF13" s="10">
        <f>(HAVERQ!AS137-AVERAGE(HAVERQ!AS$128:AS$183))/STDEV(HAVERQ!AS$128:AS$183)</f>
        <v>-1.1046665389777237</v>
      </c>
      <c r="DG13" s="10">
        <f t="shared" si="27"/>
        <v>-0.68961686102895048</v>
      </c>
      <c r="DH13" s="10">
        <f>(HAVERQ!AX137-AVERAGE(HAVERQ!AX$128:AX$183))/STDEV(HAVERQ!AX$128:AX$183)</f>
        <v>-0.42123231757040092</v>
      </c>
      <c r="DJ13" s="10">
        <f t="shared" si="9"/>
        <v>-1.5792011376273098</v>
      </c>
      <c r="DL13" s="10">
        <f>100*(HAVERQ!AV137/(HAVERQ!AW137*HAVERQ!AX137/100))</f>
        <v>2.752994881754685</v>
      </c>
      <c r="DM13" s="10">
        <f>HAVERQ!AO137/HAVERQ!AP137</f>
        <v>0.18731391585760518</v>
      </c>
      <c r="DN13" s="10" t="e">
        <f>100*((AVERAGE(HAVERQ!BC134:BC137)/AVERAGE(HAVERQ!BC130:BC133))-1)</f>
        <v>#N/A</v>
      </c>
      <c r="DO13" s="10">
        <f>100*(HAVERQ!BE137+HAVERQ!BF137)/(HAVERQ!BB137+HAVERQ!BG137)</f>
        <v>11.917307215472354</v>
      </c>
      <c r="DP13" s="10">
        <f>100*((AVERAGE(HAVERQ!BA134:BA137)/AVERAGE(HAVERQ!BA130:BA133))-1)</f>
        <v>1.6547574276043697</v>
      </c>
      <c r="DR13" s="10">
        <f>(HAVERQ!AT137*HAVERQ!$AT$1)+(HAVERQ!AU137*HAVERQ!$AU$1)</f>
        <v>46.943413312577647</v>
      </c>
      <c r="DT13" s="27" t="s">
        <v>1359</v>
      </c>
      <c r="DU13" s="22" t="s">
        <v>1360</v>
      </c>
      <c r="DV13" s="21" t="s">
        <v>1361</v>
      </c>
      <c r="DX13" s="21" t="s">
        <v>1361</v>
      </c>
      <c r="DY13" s="28" t="s">
        <v>1362</v>
      </c>
    </row>
    <row r="14" spans="1:136" ht="15.75" x14ac:dyDescent="0.25">
      <c r="A14">
        <v>2024</v>
      </c>
      <c r="B14" s="2">
        <f>100*((DataA!G58-DataA!G57)/DataA!H57)</f>
        <v>3.353856124432923</v>
      </c>
      <c r="C14" s="2">
        <f t="shared" si="1"/>
        <v>3.2079907331368966</v>
      </c>
      <c r="D14" s="2">
        <f>100*((DataA!H58/DataA!H57)-1)</f>
        <v>6.5618468575698197</v>
      </c>
      <c r="F14">
        <v>2024</v>
      </c>
      <c r="G14" s="2">
        <f t="shared" si="10"/>
        <v>0.80696259624627853</v>
      </c>
      <c r="H14" s="2">
        <f t="shared" si="2"/>
        <v>3.0342876783130261</v>
      </c>
      <c r="I14" s="2">
        <f>100*((DataA!I58/DataA!I57)-1)</f>
        <v>3.8412502745593047</v>
      </c>
      <c r="K14" s="2">
        <f>100*((DataA!J58/DataA!J57)-1)</f>
        <v>2.5468935281866445</v>
      </c>
      <c r="M14" s="5">
        <v>42675</v>
      </c>
      <c r="N14">
        <f>HAVERM!C449</f>
        <v>4.952</v>
      </c>
      <c r="O14" s="3">
        <f>HAVERM!B449</f>
        <v>4.7</v>
      </c>
      <c r="Q14" s="5">
        <v>42675</v>
      </c>
      <c r="R14">
        <f>MIN(HAVERM!C448:C450)</f>
        <v>4.5940000000000003</v>
      </c>
      <c r="S14" s="3">
        <f t="shared" si="3"/>
        <v>0.35799999999999965</v>
      </c>
      <c r="T14" s="3">
        <f>HAVERM!B449</f>
        <v>4.7</v>
      </c>
      <c r="V14">
        <f>MAX(HAVERM!C448:C450)</f>
        <v>4.952</v>
      </c>
      <c r="X14" s="9">
        <v>44378</v>
      </c>
      <c r="Y14" s="8">
        <f>HAVERQ!E174-AVERAGE(HAVERQ!E$164:E$167)</f>
        <v>242.25</v>
      </c>
      <c r="Z14" s="8">
        <f>HAVERQ!F174-AVERAGE(HAVERQ!F$164:F$167)</f>
        <v>-491.75</v>
      </c>
      <c r="AB14" s="9">
        <v>37438</v>
      </c>
      <c r="AC14" s="8">
        <f>HAVERQ!P98</f>
        <v>1325</v>
      </c>
      <c r="AD14" s="8">
        <f>HAVERQ!O98</f>
        <v>1500</v>
      </c>
      <c r="AE14" s="8">
        <f>HAVERQ!N98</f>
        <v>1215</v>
      </c>
      <c r="AF14" s="8">
        <f>HAVERQ!M98</f>
        <v>240</v>
      </c>
      <c r="AG14" s="8">
        <f>HAVERQ!L98</f>
        <v>215</v>
      </c>
      <c r="AH14" s="8">
        <f>HAVERQ!E98-AC14-AD14-AE14-AF14-AG14</f>
        <v>767</v>
      </c>
      <c r="AJ14" s="9">
        <v>37438</v>
      </c>
      <c r="AK14" s="8">
        <f t="shared" si="11"/>
        <v>25.180539718738121</v>
      </c>
      <c r="AL14" s="8">
        <f t="shared" si="12"/>
        <v>28.506271379703534</v>
      </c>
      <c r="AM14" s="8">
        <f t="shared" si="13"/>
        <v>23.090079817559864</v>
      </c>
      <c r="AN14" s="8">
        <f t="shared" si="14"/>
        <v>4.5610034207525656</v>
      </c>
      <c r="AO14" s="8">
        <f t="shared" si="15"/>
        <v>4.0858988977575068</v>
      </c>
      <c r="AP14" s="8">
        <f t="shared" si="4"/>
        <v>14.576206765488408</v>
      </c>
      <c r="AR14" s="9">
        <v>44378</v>
      </c>
      <c r="AS14" s="8">
        <f>HAVERQ!T174-AVERAGE(HAVERQ!T$164:T$167)</f>
        <v>-31.25</v>
      </c>
      <c r="AT14" s="8">
        <f>HAVERQ!U174-AVERAGE(HAVERQ!U$164:U$167)</f>
        <v>-9.25</v>
      </c>
      <c r="AU14" s="8">
        <f>HAVERQ!V174-AVERAGE(HAVERQ!V$164:V$167)</f>
        <v>-153.75</v>
      </c>
      <c r="AV14" s="8">
        <f>HAVERQ!W174-AVERAGE(HAVERQ!W$164:W$167)</f>
        <v>4.25</v>
      </c>
      <c r="AW14" s="8">
        <f>HAVERQ!X174-AVERAGE(HAVERQ!X$164:X$167)</f>
        <v>12.5</v>
      </c>
      <c r="AX14" s="8">
        <f>HAVERQ!Y174-AVERAGE(HAVERQ!Y$164:Y$167)</f>
        <v>-108.25</v>
      </c>
      <c r="AY14" s="8">
        <f>HAVERQ!Z174-AVERAGE(HAVERQ!Z$164:Z$167)</f>
        <v>-182.5</v>
      </c>
      <c r="AZ14" s="8">
        <f>HAVERQ!AA174-AVERAGE(HAVERQ!AA$164:AA$167)</f>
        <v>16</v>
      </c>
      <c r="BA14" s="8">
        <f>HAVERQ!AB174-AVERAGE(HAVERQ!AB$164:AB$167)</f>
        <v>-35</v>
      </c>
      <c r="BB14" s="8">
        <f>HAVERQ!AC174-AVERAGE(HAVERQ!AC$164:AC$167)</f>
        <v>27.75</v>
      </c>
      <c r="BC14" s="8">
        <f>HAVERQ!AD174-AVERAGE(HAVERQ!AD$164:AD$167)</f>
        <v>25.75</v>
      </c>
      <c r="BD14" s="8">
        <f>HAVERQ!AE174-AVERAGE(HAVERQ!AE$164:AE$167)</f>
        <v>35.25</v>
      </c>
      <c r="BE14" s="8">
        <f>HAVERQ!AF174-AVERAGE(HAVERQ!AF$164:AF$167)</f>
        <v>-10</v>
      </c>
      <c r="BF14" s="8">
        <f>HAVERQ!AG174-AVERAGE(HAVERQ!AG$164:AG$167)</f>
        <v>-47.5</v>
      </c>
      <c r="BG14" s="8">
        <f>HAVERQ!AH174-AVERAGE(HAVERQ!AH$164:AH$167)</f>
        <v>92.25</v>
      </c>
      <c r="BH14" s="8">
        <f>HAVERQ!AI174-AVERAGE(HAVERQ!AI$164:AI$167)</f>
        <v>-6</v>
      </c>
      <c r="BI14" s="8">
        <f>HAVERQ!AJ174-AVERAGE(HAVERQ!AJ$164:AJ$167)</f>
        <v>182.75</v>
      </c>
      <c r="BJ14" s="8">
        <f>HAVERQ!AK174-AVERAGE(HAVERQ!AK$164:AK$167)</f>
        <v>-58.75</v>
      </c>
      <c r="BK14" s="8">
        <f t="shared" si="16"/>
        <v>-34.5</v>
      </c>
      <c r="BM14" s="8">
        <f>HAVERQ!AL174+HAVERQ!AM174</f>
        <v>983</v>
      </c>
      <c r="BO14" s="9">
        <v>44378</v>
      </c>
      <c r="BP14" s="8">
        <f t="shared" si="17"/>
        <v>-31.25</v>
      </c>
      <c r="BQ14" s="8">
        <f t="shared" si="18"/>
        <v>7.5</v>
      </c>
      <c r="BR14" s="8">
        <f t="shared" si="19"/>
        <v>-153.75</v>
      </c>
      <c r="BS14" s="8">
        <f t="shared" si="20"/>
        <v>-108.25</v>
      </c>
      <c r="BT14" s="8">
        <f t="shared" si="21"/>
        <v>-217.5</v>
      </c>
      <c r="BU14" s="8">
        <f t="shared" si="22"/>
        <v>43.75</v>
      </c>
      <c r="BV14" s="8">
        <f t="shared" si="23"/>
        <v>25.75</v>
      </c>
      <c r="BW14" s="8">
        <f t="shared" si="24"/>
        <v>-22.25</v>
      </c>
      <c r="BX14" s="8">
        <f t="shared" si="25"/>
        <v>175.75</v>
      </c>
      <c r="BZ14" s="8">
        <f>HAVERQ!T174</f>
        <v>367</v>
      </c>
      <c r="CA14" s="8">
        <f>HAVERQ!U174+HAVERQ!W174+HAVERQ!X174</f>
        <v>433</v>
      </c>
      <c r="CB14" s="8">
        <f>HAVERQ!V174</f>
        <v>2537</v>
      </c>
      <c r="CC14" s="8">
        <f>HAVERQ!Y174</f>
        <v>2225</v>
      </c>
      <c r="CD14" s="8">
        <f>HAVERQ!Z174+HAVERQ!AB174</f>
        <v>7287</v>
      </c>
      <c r="CE14" s="8">
        <f>HAVERQ!AA174+HAVERQ!AC174</f>
        <v>3350</v>
      </c>
      <c r="CF14" s="8">
        <f>HAVERQ!AD174</f>
        <v>1161</v>
      </c>
      <c r="CG14" s="8">
        <f>HAVERQ!AE174+HAVERQ!AF174+HAVERQ!AG174</f>
        <v>6809</v>
      </c>
      <c r="CH14" s="8">
        <f>HAVERQ!AH174+HAVERQ!AI174+HAVERQ!AJ174+HAVERQ!AK174+HAVERQ!AL174+HAVERQ!AM174</f>
        <v>11116</v>
      </c>
      <c r="CI14" s="8">
        <f>HAVERQ!S174-SUM('Chart Data'!BZ14:CH14)</f>
        <v>1</v>
      </c>
      <c r="CL14" s="2">
        <f>100*((DataQ!F173/DataQ!F169)-1)</f>
        <v>-1.8918891397583737</v>
      </c>
      <c r="CM14" s="2">
        <f>100*(DataQ!I173/DataQ!J173)</f>
        <v>23.797128918202219</v>
      </c>
      <c r="CY14" s="10">
        <f>(HAVERQ!AQ138-AVERAGE(HAVERQ!AQ$128:AQ$183))/STDEV(HAVERQ!AQ$128:AQ$183)</f>
        <v>1.3874687804103245</v>
      </c>
      <c r="CZ14" s="10">
        <f t="shared" si="6"/>
        <v>1.5489092521582177</v>
      </c>
      <c r="DA14" s="10">
        <f t="shared" si="7"/>
        <v>1.3390520870783293</v>
      </c>
      <c r="DB14" s="10">
        <f>(HAVERQ!AR138-AVERAGE(HAVERQ!AR$128:AR$183))/STDEV(HAVERQ!AR$128:AR$183)</f>
        <v>0.26188750180444609</v>
      </c>
      <c r="DC14" s="10">
        <f t="shared" si="8"/>
        <v>-1.128464965313015</v>
      </c>
      <c r="DD14" s="10" t="e">
        <f t="shared" si="26"/>
        <v>#N/A</v>
      </c>
      <c r="DE14" s="10">
        <f>(HAVERQ!AZ138-AVERAGE(HAVERQ!AZ$128:AZ$167,AZ$174:AZ$183))/STDEV(HAVERQ!AZ$128:AZ$167,AZ$174:AZ$183)</f>
        <v>0.18238280399091886</v>
      </c>
      <c r="DF14" s="10">
        <f>(HAVERQ!AS138-AVERAGE(HAVERQ!AS$128:AS$183))/STDEV(HAVERQ!AS$128:AS$183)</f>
        <v>-0.87655783372292773</v>
      </c>
      <c r="DG14" s="10">
        <f t="shared" si="27"/>
        <v>-0.74223352348253624</v>
      </c>
      <c r="DH14" s="10">
        <f>(HAVERQ!AX138-AVERAGE(HAVERQ!AX$128:AX$183))/STDEV(HAVERQ!AX$128:AX$183)</f>
        <v>-0.42123231757040092</v>
      </c>
      <c r="DJ14" s="10">
        <f t="shared" si="9"/>
        <v>-0.95219519633129723</v>
      </c>
      <c r="DL14" s="10">
        <f>100*(HAVERQ!AV138/(HAVERQ!AW138*HAVERQ!AX138/100))</f>
        <v>2.7915770506988458</v>
      </c>
      <c r="DM14" s="10">
        <f>HAVERQ!AO138/HAVERQ!AP138</f>
        <v>0.19747733543555379</v>
      </c>
      <c r="DN14" s="10" t="e">
        <f>100*((AVERAGE(HAVERQ!BC135:BC138)/AVERAGE(HAVERQ!BC131:BC134))-1)</f>
        <v>#N/A</v>
      </c>
      <c r="DO14" s="10">
        <f>100*(HAVERQ!BE138+HAVERQ!BF138)/(HAVERQ!BB138+HAVERQ!BG138)</f>
        <v>11.684454756380511</v>
      </c>
      <c r="DP14" s="10">
        <f>100*((AVERAGE(HAVERQ!BA135:BA138)/AVERAGE(HAVERQ!BA131:BA134))-1)</f>
        <v>1.5525626636737844</v>
      </c>
      <c r="DR14" s="10">
        <f>(HAVERQ!AT138*HAVERQ!$AT$1)+(HAVERQ!AU138*HAVERQ!$AU$1)</f>
        <v>53.166047987546591</v>
      </c>
      <c r="DT14" s="29"/>
      <c r="DU14" s="22" t="s">
        <v>1363</v>
      </c>
      <c r="DV14" s="21" t="s">
        <v>1361</v>
      </c>
      <c r="DX14" s="21" t="s">
        <v>1361</v>
      </c>
      <c r="DY14" s="28" t="s">
        <v>1362</v>
      </c>
    </row>
    <row r="15" spans="1:136" ht="15.75" x14ac:dyDescent="0.25">
      <c r="A15">
        <v>2025</v>
      </c>
      <c r="B15" s="2">
        <f>100*((DataA!G59-DataA!G58)/DataA!H58)</f>
        <v>2.8757414468502058</v>
      </c>
      <c r="C15" s="2">
        <f t="shared" si="1"/>
        <v>1.0558234143743177</v>
      </c>
      <c r="D15" s="2">
        <f>100*((DataA!H59/DataA!H58)-1)</f>
        <v>3.9315648612245235</v>
      </c>
      <c r="F15">
        <v>2025</v>
      </c>
      <c r="G15" s="2">
        <f t="shared" si="10"/>
        <v>0.10644855811238818</v>
      </c>
      <c r="H15" s="2">
        <f t="shared" si="2"/>
        <v>1.020777963436275</v>
      </c>
      <c r="I15" s="2">
        <f>100*((DataA!I59/DataA!I58)-1)</f>
        <v>1.1272265215486632</v>
      </c>
      <c r="K15" s="2">
        <f>100*((DataA!J59/DataA!J58)-1)</f>
        <v>2.7692928887378176</v>
      </c>
      <c r="M15" s="5">
        <v>42705</v>
      </c>
      <c r="N15">
        <f>HAVERM!C450</f>
        <v>4.5940000000000003</v>
      </c>
      <c r="O15" s="3">
        <f>HAVERM!B450</f>
        <v>4.7</v>
      </c>
      <c r="Q15" s="5">
        <v>42705</v>
      </c>
      <c r="R15">
        <f>MIN(HAVERM!C449:C451)</f>
        <v>4.593</v>
      </c>
      <c r="S15" s="3">
        <f t="shared" si="3"/>
        <v>0.35899999999999999</v>
      </c>
      <c r="T15" s="3">
        <f>HAVERM!B450</f>
        <v>4.7</v>
      </c>
      <c r="V15">
        <f>MAX(HAVERM!C449:C451)</f>
        <v>4.952</v>
      </c>
      <c r="X15" s="9">
        <v>44470</v>
      </c>
      <c r="Y15" s="8">
        <f>HAVERQ!E175-AVERAGE(HAVERQ!E$164:E$167)</f>
        <v>261.25</v>
      </c>
      <c r="Z15" s="8">
        <f>HAVERQ!F175-AVERAGE(HAVERQ!F$164:F$167)</f>
        <v>-460.75</v>
      </c>
      <c r="AB15" s="9">
        <v>37530</v>
      </c>
      <c r="AC15" s="8">
        <f>HAVERQ!P99</f>
        <v>1341</v>
      </c>
      <c r="AD15" s="8">
        <f>HAVERQ!O99</f>
        <v>1510</v>
      </c>
      <c r="AE15" s="8">
        <f>HAVERQ!N99</f>
        <v>1236</v>
      </c>
      <c r="AF15" s="8">
        <f>HAVERQ!M99</f>
        <v>242</v>
      </c>
      <c r="AG15" s="8">
        <f>HAVERQ!L99</f>
        <v>215</v>
      </c>
      <c r="AH15" s="8">
        <f>HAVERQ!E99-AC15-AD15-AE15-AF15-AG15</f>
        <v>781</v>
      </c>
      <c r="AJ15" s="9">
        <v>37530</v>
      </c>
      <c r="AK15" s="8">
        <f t="shared" si="11"/>
        <v>25.183098591549296</v>
      </c>
      <c r="AL15" s="8">
        <f t="shared" si="12"/>
        <v>28.356807511737088</v>
      </c>
      <c r="AM15" s="8">
        <f t="shared" si="13"/>
        <v>23.211267605633804</v>
      </c>
      <c r="AN15" s="8">
        <f t="shared" si="14"/>
        <v>4.544600938967136</v>
      </c>
      <c r="AO15" s="8">
        <f t="shared" si="15"/>
        <v>4.037558685446009</v>
      </c>
      <c r="AP15" s="8">
        <f t="shared" si="4"/>
        <v>14.666666666666666</v>
      </c>
      <c r="AR15" s="9">
        <v>44470</v>
      </c>
      <c r="AS15" s="8">
        <f>HAVERQ!T175-AVERAGE(HAVERQ!T$164:T$167)</f>
        <v>-50.25</v>
      </c>
      <c r="AT15" s="8">
        <f>HAVERQ!U175-AVERAGE(HAVERQ!U$164:U$167)</f>
        <v>-10.25</v>
      </c>
      <c r="AU15" s="8">
        <f>HAVERQ!V175-AVERAGE(HAVERQ!V$164:V$167)</f>
        <v>-137.75</v>
      </c>
      <c r="AV15" s="8">
        <f>HAVERQ!W175-AVERAGE(HAVERQ!W$164:W$167)</f>
        <v>-1.75</v>
      </c>
      <c r="AW15" s="8">
        <f>HAVERQ!X175-AVERAGE(HAVERQ!X$164:X$167)</f>
        <v>8.5</v>
      </c>
      <c r="AX15" s="8">
        <f>HAVERQ!Y175-AVERAGE(HAVERQ!Y$164:Y$167)</f>
        <v>-110.25</v>
      </c>
      <c r="AY15" s="8">
        <f>HAVERQ!Z175-AVERAGE(HAVERQ!Z$164:Z$167)</f>
        <v>-245.5</v>
      </c>
      <c r="AZ15" s="8">
        <f>HAVERQ!AA175-AVERAGE(HAVERQ!AA$164:AA$167)</f>
        <v>23</v>
      </c>
      <c r="BA15" s="8">
        <f>HAVERQ!AB175-AVERAGE(HAVERQ!AB$164:AB$167)</f>
        <v>-4</v>
      </c>
      <c r="BB15" s="8">
        <f>HAVERQ!AC175-AVERAGE(HAVERQ!AC$164:AC$167)</f>
        <v>58.75</v>
      </c>
      <c r="BC15" s="8">
        <f>HAVERQ!AD175-AVERAGE(HAVERQ!AD$164:AD$167)</f>
        <v>7.75</v>
      </c>
      <c r="BD15" s="8">
        <f>HAVERQ!AE175-AVERAGE(HAVERQ!AE$164:AE$167)</f>
        <v>14.25</v>
      </c>
      <c r="BE15" s="8">
        <f>HAVERQ!AF175-AVERAGE(HAVERQ!AF$164:AF$167)</f>
        <v>13</v>
      </c>
      <c r="BF15" s="8">
        <f>HAVERQ!AG175-AVERAGE(HAVERQ!AG$164:AG$167)</f>
        <v>-5.5</v>
      </c>
      <c r="BG15" s="8">
        <f>HAVERQ!AH175-AVERAGE(HAVERQ!AH$164:AH$167)</f>
        <v>98.25</v>
      </c>
      <c r="BH15" s="8">
        <f>HAVERQ!AI175-AVERAGE(HAVERQ!AI$164:AI$167)</f>
        <v>27</v>
      </c>
      <c r="BI15" s="8">
        <f>HAVERQ!AJ175-AVERAGE(HAVERQ!AJ$164:AJ$167)</f>
        <v>172.75</v>
      </c>
      <c r="BJ15" s="8">
        <f>HAVERQ!AK175-AVERAGE(HAVERQ!AK$164:AK$167)</f>
        <v>-49.75</v>
      </c>
      <c r="BK15" s="8">
        <f t="shared" si="16"/>
        <v>-45.5</v>
      </c>
      <c r="BM15" s="8">
        <f>HAVERQ!AL175+HAVERQ!AM175</f>
        <v>972</v>
      </c>
      <c r="BO15" s="9">
        <v>44470</v>
      </c>
      <c r="BP15" s="8">
        <f t="shared" si="17"/>
        <v>-50.25</v>
      </c>
      <c r="BQ15" s="8">
        <f t="shared" si="18"/>
        <v>-3.5</v>
      </c>
      <c r="BR15" s="8">
        <f t="shared" si="19"/>
        <v>-137.75</v>
      </c>
      <c r="BS15" s="8">
        <f t="shared" si="20"/>
        <v>-110.25</v>
      </c>
      <c r="BT15" s="8">
        <f t="shared" si="21"/>
        <v>-249.5</v>
      </c>
      <c r="BU15" s="8">
        <f t="shared" si="22"/>
        <v>81.75</v>
      </c>
      <c r="BV15" s="8">
        <f t="shared" si="23"/>
        <v>7.75</v>
      </c>
      <c r="BW15" s="8">
        <f t="shared" si="24"/>
        <v>21.75</v>
      </c>
      <c r="BX15" s="8">
        <f t="shared" si="25"/>
        <v>202.75</v>
      </c>
      <c r="BZ15" s="8">
        <f>HAVERQ!T175</f>
        <v>348</v>
      </c>
      <c r="CA15" s="8">
        <f>HAVERQ!U175+HAVERQ!W175+HAVERQ!X175</f>
        <v>422</v>
      </c>
      <c r="CB15" s="8">
        <f>HAVERQ!V175</f>
        <v>2553</v>
      </c>
      <c r="CC15" s="8">
        <f>HAVERQ!Y175</f>
        <v>2223</v>
      </c>
      <c r="CD15" s="8">
        <f>HAVERQ!Z175+HAVERQ!AB175</f>
        <v>7255</v>
      </c>
      <c r="CE15" s="8">
        <f>HAVERQ!AA175+HAVERQ!AC175</f>
        <v>3388</v>
      </c>
      <c r="CF15" s="8">
        <f>HAVERQ!AD175</f>
        <v>1143</v>
      </c>
      <c r="CG15" s="8">
        <f>HAVERQ!AE175+HAVERQ!AF175+HAVERQ!AG175</f>
        <v>6853</v>
      </c>
      <c r="CH15" s="8">
        <f>HAVERQ!AH175+HAVERQ!AI175+HAVERQ!AJ175+HAVERQ!AK175+HAVERQ!AL175+HAVERQ!AM175</f>
        <v>11143</v>
      </c>
      <c r="CI15" s="8">
        <f>HAVERQ!S175-SUM('Chart Data'!BZ15:CH15)</f>
        <v>0</v>
      </c>
      <c r="CL15" s="2">
        <f>100*((DataQ!F174/DataQ!F170)-1)</f>
        <v>-1.6332789245924406</v>
      </c>
      <c r="CM15" s="2">
        <f>100*(DataQ!I174/DataQ!J174)</f>
        <v>23.392812562148528</v>
      </c>
      <c r="CY15" s="10">
        <f>(HAVERQ!AQ139-AVERAGE(HAVERQ!AQ$128:AQ$183))/STDEV(HAVERQ!AQ$128:AQ$183)</f>
        <v>1.3874687804103245</v>
      </c>
      <c r="CZ15" s="10">
        <f t="shared" si="6"/>
        <v>1.4607207559412791</v>
      </c>
      <c r="DA15" s="10">
        <f t="shared" si="7"/>
        <v>1.218635854675463</v>
      </c>
      <c r="DB15" s="10">
        <f>(HAVERQ!AR139-AVERAGE(HAVERQ!AR$128:AR$183))/STDEV(HAVERQ!AR$128:AR$183)</f>
        <v>0.6393136073461485</v>
      </c>
      <c r="DC15" s="10">
        <f t="shared" si="8"/>
        <v>-1.1230151487497986</v>
      </c>
      <c r="DD15" s="10" t="e">
        <f t="shared" si="26"/>
        <v>#N/A</v>
      </c>
      <c r="DE15" s="10">
        <f>(HAVERQ!AZ139-AVERAGE(HAVERQ!AZ$128:AZ$167,AZ$174:AZ$183))/STDEV(HAVERQ!AZ$128:AZ$167,AZ$174:AZ$183)</f>
        <v>-0.24675320539951612</v>
      </c>
      <c r="DF15" s="10">
        <f>(HAVERQ!AS139-AVERAGE(HAVERQ!AS$128:AS$183))/STDEV(HAVERQ!AS$128:AS$183)</f>
        <v>-0.84146418676065149</v>
      </c>
      <c r="DG15" s="10">
        <f t="shared" si="27"/>
        <v>-0.88065113117446792</v>
      </c>
      <c r="DH15" s="10">
        <f>(HAVERQ!AX139-AVERAGE(HAVERQ!AX$128:AX$183))/STDEV(HAVERQ!AX$128:AX$183)</f>
        <v>0.18361408714611957</v>
      </c>
      <c r="DJ15" s="10">
        <f t="shared" si="9"/>
        <v>-0.71933933555556473</v>
      </c>
      <c r="DL15" s="10">
        <f>100*(HAVERQ!AV139/(HAVERQ!AW139*HAVERQ!AX139/100))</f>
        <v>2.7255319984385937</v>
      </c>
      <c r="DM15" s="10">
        <f>HAVERQ!AO139/HAVERQ!AP139</f>
        <v>0.19876348329387003</v>
      </c>
      <c r="DN15" s="10" t="e">
        <f>100*((AVERAGE(HAVERQ!BC136:BC139)/AVERAGE(HAVERQ!BC132:BC135))-1)</f>
        <v>#N/A</v>
      </c>
      <c r="DO15" s="10">
        <f>100*(HAVERQ!BE139+HAVERQ!BF139)/(HAVERQ!BB139+HAVERQ!BG139)</f>
        <v>11.502817204963208</v>
      </c>
      <c r="DP15" s="10">
        <f>100*((AVERAGE(HAVERQ!BA136:BA139)/AVERAGE(HAVERQ!BA132:BA135))-1)</f>
        <v>1.2837209302325681</v>
      </c>
      <c r="DR15" s="10">
        <f>(HAVERQ!AT139*HAVERQ!$AT$1)+(HAVERQ!AU139*HAVERQ!$AU$1)</f>
        <v>55.476994117559009</v>
      </c>
      <c r="DT15" s="29"/>
      <c r="DU15" s="22" t="s">
        <v>1364</v>
      </c>
      <c r="DV15" s="21" t="s">
        <v>1365</v>
      </c>
      <c r="DX15" s="21" t="s">
        <v>1365</v>
      </c>
      <c r="DY15" s="28" t="s">
        <v>1366</v>
      </c>
    </row>
    <row r="16" spans="1:136" ht="15.75" x14ac:dyDescent="0.25">
      <c r="A16">
        <v>2026</v>
      </c>
      <c r="B16" s="2">
        <f>100*((DataA!G60-DataA!G59)/DataA!H59)</f>
        <v>2.4081598526143644</v>
      </c>
      <c r="C16" s="2">
        <f t="shared" si="1"/>
        <v>1.0274839367736677</v>
      </c>
      <c r="D16" s="2">
        <f>100*((DataA!H60/DataA!H59)-1)</f>
        <v>3.4356437893880321</v>
      </c>
      <c r="F16">
        <v>2026</v>
      </c>
      <c r="G16" s="2">
        <f t="shared" si="10"/>
        <v>3.238002551094521E-2</v>
      </c>
      <c r="H16" s="2">
        <f t="shared" si="2"/>
        <v>1.0045200234312679</v>
      </c>
      <c r="I16" s="2">
        <f>100*((DataA!I60/DataA!I59)-1)</f>
        <v>1.0369000489422131</v>
      </c>
      <c r="K16" s="2">
        <f>100*((DataA!J60/DataA!J59)-1)</f>
        <v>2.3757798271034192</v>
      </c>
      <c r="M16" s="5">
        <v>42736</v>
      </c>
      <c r="N16">
        <f>HAVERM!C451</f>
        <v>4.593</v>
      </c>
      <c r="O16" s="3">
        <f>HAVERM!B451</f>
        <v>4.5999999999999996</v>
      </c>
      <c r="Q16" s="5">
        <v>42736</v>
      </c>
      <c r="R16">
        <f>MIN(HAVERM!C450:C452)</f>
        <v>4.593</v>
      </c>
      <c r="S16" s="3">
        <f t="shared" si="3"/>
        <v>0.11599999999999966</v>
      </c>
      <c r="T16" s="3">
        <f>HAVERM!B451</f>
        <v>4.5999999999999996</v>
      </c>
      <c r="V16">
        <f>MAX(HAVERM!C450:C452)</f>
        <v>4.7089999999999996</v>
      </c>
      <c r="X16" s="9">
        <v>44562</v>
      </c>
      <c r="Y16" s="8">
        <f>HAVERQ!E176-AVERAGE(HAVERQ!E$164:E$167)</f>
        <v>280.25</v>
      </c>
      <c r="Z16" s="8">
        <f>HAVERQ!F176-AVERAGE(HAVERQ!F$164:F$167)</f>
        <v>-343.75</v>
      </c>
      <c r="AB16" s="9">
        <v>37622</v>
      </c>
      <c r="AC16" s="8">
        <f>HAVERQ!P100</f>
        <v>1359</v>
      </c>
      <c r="AD16" s="8">
        <f>HAVERQ!O100</f>
        <v>1516</v>
      </c>
      <c r="AE16" s="8">
        <f>HAVERQ!N100</f>
        <v>1246</v>
      </c>
      <c r="AF16" s="8">
        <f>HAVERQ!M100</f>
        <v>246</v>
      </c>
      <c r="AG16" s="8">
        <f>HAVERQ!L100</f>
        <v>221</v>
      </c>
      <c r="AH16" s="8">
        <f>HAVERQ!E100-AC16-AD16-AE16-AF16-AG16</f>
        <v>786</v>
      </c>
      <c r="AJ16" s="9">
        <v>37622</v>
      </c>
      <c r="AK16" s="8">
        <f t="shared" si="11"/>
        <v>25.28842575362858</v>
      </c>
      <c r="AL16" s="8">
        <f t="shared" si="12"/>
        <v>28.209899516189058</v>
      </c>
      <c r="AM16" s="8">
        <f t="shared" si="13"/>
        <v>23.185708969110532</v>
      </c>
      <c r="AN16" s="8">
        <f t="shared" si="14"/>
        <v>4.5775958317826566</v>
      </c>
      <c r="AO16" s="8">
        <f t="shared" si="15"/>
        <v>4.1123930033494602</v>
      </c>
      <c r="AP16" s="8">
        <f t="shared" si="4"/>
        <v>14.62597692593971</v>
      </c>
      <c r="AR16" s="9">
        <v>44562</v>
      </c>
      <c r="AS16" s="8">
        <f>HAVERQ!T176-AVERAGE(HAVERQ!T$164:T$167)</f>
        <v>-53.25</v>
      </c>
      <c r="AT16" s="8">
        <f>HAVERQ!U176-AVERAGE(HAVERQ!U$164:U$167)</f>
        <v>-10.25</v>
      </c>
      <c r="AU16" s="8">
        <f>HAVERQ!V176-AVERAGE(HAVERQ!V$164:V$167)</f>
        <v>-78.75</v>
      </c>
      <c r="AV16" s="8">
        <f>HAVERQ!W176-AVERAGE(HAVERQ!W$164:W$167)</f>
        <v>-12.75</v>
      </c>
      <c r="AW16" s="8">
        <f>HAVERQ!X176-AVERAGE(HAVERQ!X$164:X$167)</f>
        <v>16.5</v>
      </c>
      <c r="AX16" s="8">
        <f>HAVERQ!Y176-AVERAGE(HAVERQ!Y$164:Y$167)</f>
        <v>-78.25</v>
      </c>
      <c r="AY16" s="8">
        <f>HAVERQ!Z176-AVERAGE(HAVERQ!Z$164:Z$167)</f>
        <v>-208.5</v>
      </c>
      <c r="AZ16" s="8">
        <f>HAVERQ!AA176-AVERAGE(HAVERQ!AA$164:AA$167)</f>
        <v>22</v>
      </c>
      <c r="BA16" s="8">
        <f>HAVERQ!AB176-AVERAGE(HAVERQ!AB$164:AB$167)</f>
        <v>59</v>
      </c>
      <c r="BB16" s="8">
        <f>HAVERQ!AC176-AVERAGE(HAVERQ!AC$164:AC$167)</f>
        <v>71.75</v>
      </c>
      <c r="BC16" s="8">
        <f>HAVERQ!AD176-AVERAGE(HAVERQ!AD$164:AD$167)</f>
        <v>-21.25</v>
      </c>
      <c r="BD16" s="8">
        <f>HAVERQ!AE176-AVERAGE(HAVERQ!AE$164:AE$167)</f>
        <v>25.25</v>
      </c>
      <c r="BE16" s="8">
        <f>HAVERQ!AF176-AVERAGE(HAVERQ!AF$164:AF$167)</f>
        <v>78</v>
      </c>
      <c r="BF16" s="8">
        <f>HAVERQ!AG176-AVERAGE(HAVERQ!AG$164:AG$167)</f>
        <v>38.5</v>
      </c>
      <c r="BG16" s="8">
        <f>HAVERQ!AH176-AVERAGE(HAVERQ!AH$164:AH$167)</f>
        <v>118.25</v>
      </c>
      <c r="BH16" s="8">
        <f>HAVERQ!AI176-AVERAGE(HAVERQ!AI$164:AI$167)</f>
        <v>73</v>
      </c>
      <c r="BI16" s="8">
        <f>HAVERQ!AJ176-AVERAGE(HAVERQ!AJ$164:AJ$167)</f>
        <v>201.75</v>
      </c>
      <c r="BJ16" s="8">
        <f>HAVERQ!AK176-AVERAGE(HAVERQ!AK$164:AK$167)</f>
        <v>-47.75</v>
      </c>
      <c r="BK16" s="8">
        <f t="shared" si="16"/>
        <v>-47.5</v>
      </c>
      <c r="BM16" s="8">
        <f>HAVERQ!AL176+HAVERQ!AM176</f>
        <v>970</v>
      </c>
      <c r="BO16" s="9">
        <v>44562</v>
      </c>
      <c r="BP16" s="8">
        <f t="shared" si="17"/>
        <v>-53.25</v>
      </c>
      <c r="BQ16" s="8">
        <f t="shared" si="18"/>
        <v>-6.5</v>
      </c>
      <c r="BR16" s="8">
        <f t="shared" si="19"/>
        <v>-78.75</v>
      </c>
      <c r="BS16" s="8">
        <f t="shared" si="20"/>
        <v>-78.25</v>
      </c>
      <c r="BT16" s="8">
        <f t="shared" si="21"/>
        <v>-149.5</v>
      </c>
      <c r="BU16" s="8">
        <f t="shared" si="22"/>
        <v>93.75</v>
      </c>
      <c r="BV16" s="8">
        <f t="shared" si="23"/>
        <v>-21.25</v>
      </c>
      <c r="BW16" s="8">
        <f t="shared" si="24"/>
        <v>141.75</v>
      </c>
      <c r="BX16" s="8">
        <f t="shared" si="25"/>
        <v>297.75</v>
      </c>
      <c r="BZ16" s="8">
        <f>HAVERQ!T176</f>
        <v>345</v>
      </c>
      <c r="CA16" s="8">
        <f>HAVERQ!U176+HAVERQ!W176+HAVERQ!X176</f>
        <v>419</v>
      </c>
      <c r="CB16" s="8">
        <f>HAVERQ!V176</f>
        <v>2612</v>
      </c>
      <c r="CC16" s="8">
        <f>HAVERQ!Y176</f>
        <v>2255</v>
      </c>
      <c r="CD16" s="8">
        <f>HAVERQ!Z176+HAVERQ!AB176</f>
        <v>7355</v>
      </c>
      <c r="CE16" s="8">
        <f>HAVERQ!AA176+HAVERQ!AC176</f>
        <v>3400</v>
      </c>
      <c r="CF16" s="8">
        <f>HAVERQ!AD176</f>
        <v>1114</v>
      </c>
      <c r="CG16" s="8">
        <f>HAVERQ!AE176+HAVERQ!AF176+HAVERQ!AG176</f>
        <v>6973</v>
      </c>
      <c r="CH16" s="8">
        <f>HAVERQ!AH176+HAVERQ!AI176+HAVERQ!AJ176+HAVERQ!AK176+HAVERQ!AL176+HAVERQ!AM176</f>
        <v>11238</v>
      </c>
      <c r="CI16" s="8">
        <f>HAVERQ!S176-SUM('Chart Data'!BZ16:CH16)</f>
        <v>1</v>
      </c>
      <c r="CK16">
        <v>2015</v>
      </c>
      <c r="CL16" s="2">
        <f>100*((DataQ!F175/DataQ!F171)-1)</f>
        <v>-0.69899237362239797</v>
      </c>
      <c r="CM16" s="2">
        <f>100*(DataQ!I175/DataQ!J175)</f>
        <v>22.828221117384341</v>
      </c>
      <c r="CX16">
        <v>2013</v>
      </c>
      <c r="CY16" s="10">
        <f>(HAVERQ!AQ140-AVERAGE(HAVERQ!AQ$128:AQ$183))/STDEV(HAVERQ!AQ$128:AQ$183)</f>
        <v>1.3874687804103245</v>
      </c>
      <c r="CZ16" s="10">
        <f t="shared" si="6"/>
        <v>1.5564010289007419</v>
      </c>
      <c r="DA16" s="10">
        <f t="shared" si="7"/>
        <v>1.2499728387216034</v>
      </c>
      <c r="DB16" s="10">
        <f>(HAVERQ!AR140-AVERAGE(HAVERQ!AR$128:AR$183))/STDEV(HAVERQ!AR$128:AR$183)</f>
        <v>0.53147757719137634</v>
      </c>
      <c r="DC16" s="10">
        <f t="shared" si="8"/>
        <v>-1.1600375923932005</v>
      </c>
      <c r="DD16" s="10" t="e">
        <f t="shared" si="26"/>
        <v>#N/A</v>
      </c>
      <c r="DE16" s="10">
        <f>(HAVERQ!AZ140-AVERAGE(HAVERQ!AZ$128:AZ$167,AZ$174:AZ$183))/STDEV(HAVERQ!AZ$128:AZ$167,AZ$174:AZ$183)</f>
        <v>0.18238280399091886</v>
      </c>
      <c r="DF16" s="10">
        <f>(HAVERQ!AS140-AVERAGE(HAVERQ!AS$128:AS$183))/STDEV(HAVERQ!AS$128:AS$183)</f>
        <v>-0.82391736327951337</v>
      </c>
      <c r="DG16" s="10">
        <f t="shared" si="27"/>
        <v>-0.88138810749244156</v>
      </c>
      <c r="DH16" s="10">
        <f>(HAVERQ!AX140-AVERAGE(HAVERQ!AX$128:AX$183))/STDEV(HAVERQ!AX$128:AX$183)</f>
        <v>-0.42123231757040092</v>
      </c>
      <c r="DJ16" s="10">
        <f t="shared" si="9"/>
        <v>-0.75173648254111503</v>
      </c>
      <c r="DL16" s="10">
        <f>100*(HAVERQ!AV140/(HAVERQ!AW140*HAVERQ!AX140/100))</f>
        <v>2.797187700700916</v>
      </c>
      <c r="DM16" s="10">
        <f>HAVERQ!AO140/HAVERQ!AP140</f>
        <v>0.1900262467191601</v>
      </c>
      <c r="DN16" s="10" t="e">
        <f>100*((AVERAGE(HAVERQ!BC137:BC140)/AVERAGE(HAVERQ!BC133:BC136))-1)</f>
        <v>#N/A</v>
      </c>
      <c r="DO16" s="10">
        <f>100*(HAVERQ!BE140+HAVERQ!BF140)/(HAVERQ!BB140+HAVERQ!BG140)</f>
        <v>11.550086355785838</v>
      </c>
      <c r="DP16" s="10">
        <f>100*((AVERAGE(HAVERQ!BA137:BA140)/AVERAGE(HAVERQ!BA133:BA136))-1)</f>
        <v>1.2822895372607279</v>
      </c>
      <c r="DR16" s="10">
        <f>(HAVERQ!AT140*HAVERQ!$AT$1)+(HAVERQ!AU140*HAVERQ!$AU$1)</f>
        <v>55.155473065006213</v>
      </c>
      <c r="DT16" s="29"/>
      <c r="DU16" s="22" t="s">
        <v>1367</v>
      </c>
      <c r="DV16" s="21" t="s">
        <v>1361</v>
      </c>
      <c r="DX16" s="21" t="s">
        <v>1365</v>
      </c>
      <c r="DY16" s="28" t="s">
        <v>1362</v>
      </c>
    </row>
    <row r="17" spans="13:129" ht="15.75" x14ac:dyDescent="0.25">
      <c r="M17" s="5">
        <v>42767</v>
      </c>
      <c r="N17">
        <f>HAVERM!C452</f>
        <v>4.7089999999999996</v>
      </c>
      <c r="O17" s="3">
        <f>HAVERM!B452</f>
        <v>4.5999999999999996</v>
      </c>
      <c r="Q17" s="5">
        <v>42767</v>
      </c>
      <c r="R17">
        <f>MIN(HAVERM!C451:C453)</f>
        <v>4.3710000000000004</v>
      </c>
      <c r="S17" s="3">
        <f t="shared" si="3"/>
        <v>0.33799999999999919</v>
      </c>
      <c r="T17" s="3">
        <f>HAVERM!B452</f>
        <v>4.5999999999999996</v>
      </c>
      <c r="V17">
        <f>MAX(HAVERM!C451:C453)</f>
        <v>4.7089999999999996</v>
      </c>
      <c r="X17" s="9">
        <v>44652</v>
      </c>
      <c r="Y17" s="8">
        <f>HAVERQ!E177-AVERAGE(HAVERQ!E$164:E$167)</f>
        <v>293.25</v>
      </c>
      <c r="Z17" s="8">
        <f>HAVERQ!F177-AVERAGE(HAVERQ!F$164:F$167)</f>
        <v>-314.75</v>
      </c>
      <c r="AB17" s="9">
        <v>37712</v>
      </c>
      <c r="AC17" s="8">
        <f>HAVERQ!P101</f>
        <v>1374</v>
      </c>
      <c r="AD17" s="8">
        <f>HAVERQ!O101</f>
        <v>1531</v>
      </c>
      <c r="AE17" s="8">
        <f>HAVERQ!N101</f>
        <v>1257</v>
      </c>
      <c r="AF17" s="8">
        <f>HAVERQ!M101</f>
        <v>248</v>
      </c>
      <c r="AG17" s="8">
        <f>HAVERQ!L101</f>
        <v>223</v>
      </c>
      <c r="AH17" s="8">
        <f>HAVERQ!E101-AC17-AD17-AE17-AF17-AG17</f>
        <v>788</v>
      </c>
      <c r="AJ17" s="9">
        <v>37712</v>
      </c>
      <c r="AK17" s="8">
        <f t="shared" si="11"/>
        <v>25.345877144438294</v>
      </c>
      <c r="AL17" s="8">
        <f t="shared" si="12"/>
        <v>28.242021767201624</v>
      </c>
      <c r="AM17" s="8">
        <f t="shared" si="13"/>
        <v>23.187603763143329</v>
      </c>
      <c r="AN17" s="8">
        <f t="shared" si="14"/>
        <v>4.5748016971038554</v>
      </c>
      <c r="AO17" s="8">
        <f t="shared" si="15"/>
        <v>4.1136321711861283</v>
      </c>
      <c r="AP17" s="8">
        <f t="shared" si="4"/>
        <v>14.536063456926765</v>
      </c>
      <c r="AR17" s="9">
        <v>44652</v>
      </c>
      <c r="AS17" s="8">
        <f>HAVERQ!T177-AVERAGE(HAVERQ!T$164:T$167)</f>
        <v>-30.25</v>
      </c>
      <c r="AT17" s="8">
        <f>HAVERQ!U177-AVERAGE(HAVERQ!U$164:U$167)</f>
        <v>-10.25</v>
      </c>
      <c r="AU17" s="8">
        <f>HAVERQ!V177-AVERAGE(HAVERQ!V$164:V$167)</f>
        <v>-78.75</v>
      </c>
      <c r="AV17" s="8">
        <f>HAVERQ!W177-AVERAGE(HAVERQ!W$164:W$167)</f>
        <v>-10.75</v>
      </c>
      <c r="AW17" s="8">
        <f>HAVERQ!X177-AVERAGE(HAVERQ!X$164:X$167)</f>
        <v>14.5</v>
      </c>
      <c r="AX17" s="8">
        <f>HAVERQ!Y177-AVERAGE(HAVERQ!Y$164:Y$167)</f>
        <v>-82.25</v>
      </c>
      <c r="AY17" s="8">
        <f>HAVERQ!Z177-AVERAGE(HAVERQ!Z$164:Z$167)</f>
        <v>-254.5</v>
      </c>
      <c r="AZ17" s="8">
        <f>HAVERQ!AA177-AVERAGE(HAVERQ!AA$164:AA$167)</f>
        <v>42</v>
      </c>
      <c r="BA17" s="8">
        <f>HAVERQ!AB177-AVERAGE(HAVERQ!AB$164:AB$167)</f>
        <v>96</v>
      </c>
      <c r="BB17" s="8">
        <f>HAVERQ!AC177-AVERAGE(HAVERQ!AC$164:AC$167)</f>
        <v>102.75</v>
      </c>
      <c r="BC17" s="8">
        <f>HAVERQ!AD177-AVERAGE(HAVERQ!AD$164:AD$167)</f>
        <v>-41.25</v>
      </c>
      <c r="BD17" s="8">
        <f>HAVERQ!AE177-AVERAGE(HAVERQ!AE$164:AE$167)</f>
        <v>48.25</v>
      </c>
      <c r="BE17" s="8">
        <f>HAVERQ!AF177-AVERAGE(HAVERQ!AF$164:AF$167)</f>
        <v>66</v>
      </c>
      <c r="BF17" s="8">
        <f>HAVERQ!AG177-AVERAGE(HAVERQ!AG$164:AG$167)</f>
        <v>103.5</v>
      </c>
      <c r="BG17" s="8">
        <f>HAVERQ!AH177-AVERAGE(HAVERQ!AH$164:AH$167)</f>
        <v>108.25</v>
      </c>
      <c r="BH17" s="8">
        <f>HAVERQ!AI177-AVERAGE(HAVERQ!AI$164:AI$167)</f>
        <v>107</v>
      </c>
      <c r="BI17" s="8">
        <f>HAVERQ!AJ177-AVERAGE(HAVERQ!AJ$164:AJ$167)</f>
        <v>219.75</v>
      </c>
      <c r="BJ17" s="8">
        <f>HAVERQ!AK177-AVERAGE(HAVERQ!AK$164:AK$167)</f>
        <v>-17.75</v>
      </c>
      <c r="BK17" s="8">
        <f t="shared" si="16"/>
        <v>-26.5</v>
      </c>
      <c r="BM17" s="8">
        <f>HAVERQ!AL177+HAVERQ!AM177</f>
        <v>991</v>
      </c>
      <c r="BO17" s="9">
        <v>44652</v>
      </c>
      <c r="BP17" s="8">
        <f t="shared" si="17"/>
        <v>-30.25</v>
      </c>
      <c r="BQ17" s="8">
        <f t="shared" si="18"/>
        <v>-6.5</v>
      </c>
      <c r="BR17" s="8">
        <f t="shared" si="19"/>
        <v>-78.75</v>
      </c>
      <c r="BS17" s="8">
        <f t="shared" si="20"/>
        <v>-82.25</v>
      </c>
      <c r="BT17" s="8">
        <f t="shared" si="21"/>
        <v>-158.5</v>
      </c>
      <c r="BU17" s="8">
        <f t="shared" si="22"/>
        <v>144.75</v>
      </c>
      <c r="BV17" s="8">
        <f t="shared" si="23"/>
        <v>-41.25</v>
      </c>
      <c r="BW17" s="8">
        <f t="shared" si="24"/>
        <v>217.75</v>
      </c>
      <c r="BX17" s="8">
        <f t="shared" si="25"/>
        <v>390.75</v>
      </c>
      <c r="BZ17" s="8">
        <f>HAVERQ!T177</f>
        <v>368</v>
      </c>
      <c r="CA17" s="8">
        <f>HAVERQ!U177+HAVERQ!W177+HAVERQ!X177</f>
        <v>419</v>
      </c>
      <c r="CB17" s="8">
        <f>HAVERQ!V177</f>
        <v>2612</v>
      </c>
      <c r="CC17" s="8">
        <f>HAVERQ!Y177</f>
        <v>2251</v>
      </c>
      <c r="CD17" s="8">
        <f>HAVERQ!Z177+HAVERQ!AB177</f>
        <v>7346</v>
      </c>
      <c r="CE17" s="8">
        <f>HAVERQ!AA177+HAVERQ!AC177</f>
        <v>3451</v>
      </c>
      <c r="CF17" s="8">
        <f>HAVERQ!AD177</f>
        <v>1094</v>
      </c>
      <c r="CG17" s="8">
        <f>HAVERQ!AE177+HAVERQ!AF177+HAVERQ!AG177</f>
        <v>7049</v>
      </c>
      <c r="CH17" s="8">
        <f>HAVERQ!AH177+HAVERQ!AI177+HAVERQ!AJ177+HAVERQ!AK177+HAVERQ!AL177+HAVERQ!AM177</f>
        <v>11331</v>
      </c>
      <c r="CI17" s="8">
        <f>HAVERQ!S177-SUM('Chart Data'!BZ17:CH17)</f>
        <v>-1</v>
      </c>
      <c r="CL17" s="2">
        <f>100*((DataQ!F176/DataQ!F172)-1)</f>
        <v>0.67171409964241757</v>
      </c>
      <c r="CM17" s="2">
        <f>100*(DataQ!I176/DataQ!J176)</f>
        <v>22.391736310589163</v>
      </c>
      <c r="CY17" s="10">
        <f>(HAVERQ!AQ141-AVERAGE(HAVERQ!AQ$128:AQ$183))/STDEV(HAVERQ!AQ$128:AQ$183)</f>
        <v>1.3265767336211569</v>
      </c>
      <c r="CZ17" s="10">
        <f t="shared" si="6"/>
        <v>1.5744417792392253</v>
      </c>
      <c r="DA17" s="10">
        <f t="shared" si="7"/>
        <v>1.2512871705058168</v>
      </c>
      <c r="DB17" s="10">
        <f>(HAVERQ!AR141-AVERAGE(HAVERQ!AR$128:AR$183))/STDEV(HAVERQ!AR$128:AR$183)</f>
        <v>0.15405147164967437</v>
      </c>
      <c r="DC17" s="10">
        <f t="shared" si="8"/>
        <v>-1.0520677327475014</v>
      </c>
      <c r="DD17" s="10" t="e">
        <f t="shared" si="26"/>
        <v>#N/A</v>
      </c>
      <c r="DE17" s="10">
        <f>(HAVERQ!AZ141-AVERAGE(HAVERQ!AZ$128:AZ$167,AZ$174:AZ$183))/STDEV(HAVERQ!AZ$128:AZ$167,AZ$174:AZ$183)</f>
        <v>0.18238280399091886</v>
      </c>
      <c r="DF17" s="10">
        <f>(HAVERQ!AS141-AVERAGE(HAVERQ!AS$128:AS$183))/STDEV(HAVERQ!AS$128:AS$183)</f>
        <v>-0.80637053979837525</v>
      </c>
      <c r="DG17" s="10">
        <f t="shared" si="27"/>
        <v>-0.79872538660959902</v>
      </c>
      <c r="DH17" s="10">
        <f>(HAVERQ!AX141-AVERAGE(HAVERQ!AX$128:AX$183))/STDEV(HAVERQ!AX$128:AX$183)</f>
        <v>-0.42123231757040092</v>
      </c>
      <c r="DJ17" s="10">
        <f t="shared" si="9"/>
        <v>-2.4636271878754785</v>
      </c>
      <c r="DL17" s="10">
        <f>100*(HAVERQ!AV141/(HAVERQ!AW141*HAVERQ!AX141/100))</f>
        <v>2.8106985592599312</v>
      </c>
      <c r="DM17" s="10">
        <f>HAVERQ!AO141/HAVERQ!AP141</f>
        <v>0.21550695825049701</v>
      </c>
      <c r="DN17" s="10" t="e">
        <f>100*((AVERAGE(HAVERQ!BC138:BC141)/AVERAGE(HAVERQ!BC134:BC137))-1)</f>
        <v>#N/A</v>
      </c>
      <c r="DO17" s="10">
        <f>100*(HAVERQ!BE141+HAVERQ!BF141)/(HAVERQ!BB141+HAVERQ!BG141)</f>
        <v>11.552068912475004</v>
      </c>
      <c r="DP17" s="10">
        <f>100*((AVERAGE(HAVERQ!BA138:BA141)/AVERAGE(HAVERQ!BA134:BA137))-1)</f>
        <v>1.442841287458374</v>
      </c>
      <c r="DR17" s="10">
        <f>(HAVERQ!AT141*HAVERQ!$AT$1)+(HAVERQ!AU141*HAVERQ!$AU$1)</f>
        <v>38.166047987546591</v>
      </c>
      <c r="DT17" s="29"/>
      <c r="DU17" s="22" t="s">
        <v>1368</v>
      </c>
      <c r="DV17" s="21" t="s">
        <v>1365</v>
      </c>
      <c r="DX17" s="21" t="s">
        <v>1361</v>
      </c>
      <c r="DY17" s="28" t="s">
        <v>1369</v>
      </c>
    </row>
    <row r="18" spans="13:129" ht="15.75" x14ac:dyDescent="0.25">
      <c r="M18" s="5">
        <v>42795</v>
      </c>
      <c r="N18">
        <f>HAVERM!C453</f>
        <v>4.3710000000000004</v>
      </c>
      <c r="O18" s="3">
        <f>HAVERM!B453</f>
        <v>4.5</v>
      </c>
      <c r="Q18" s="5">
        <v>42795</v>
      </c>
      <c r="R18">
        <f>MIN(HAVERM!C452:C454)</f>
        <v>4.3710000000000004</v>
      </c>
      <c r="S18" s="3">
        <f t="shared" si="3"/>
        <v>0.33799999999999919</v>
      </c>
      <c r="T18" s="3">
        <f>HAVERM!B453</f>
        <v>4.5</v>
      </c>
      <c r="V18">
        <f>MAX(HAVERM!C452:C454)</f>
        <v>4.7089999999999996</v>
      </c>
      <c r="X18" s="9">
        <v>44743</v>
      </c>
      <c r="Y18" s="8">
        <f>HAVERQ!E178-AVERAGE(HAVERQ!E$164:E$167)</f>
        <v>309.25</v>
      </c>
      <c r="Z18" s="8">
        <f>HAVERQ!F178-AVERAGE(HAVERQ!F$164:F$167)</f>
        <v>-280.75</v>
      </c>
      <c r="AB18" s="9">
        <v>37803</v>
      </c>
      <c r="AC18" s="8">
        <f>HAVERQ!P102</f>
        <v>1391</v>
      </c>
      <c r="AD18" s="8">
        <f>HAVERQ!O102</f>
        <v>1535</v>
      </c>
      <c r="AE18" s="8">
        <f>HAVERQ!N102</f>
        <v>1260</v>
      </c>
      <c r="AF18" s="8">
        <f>HAVERQ!M102</f>
        <v>252</v>
      </c>
      <c r="AG18" s="8">
        <f>HAVERQ!L102</f>
        <v>222</v>
      </c>
      <c r="AH18" s="8">
        <f>HAVERQ!E102-AC18-AD18-AE18-AF18-AG18</f>
        <v>806</v>
      </c>
      <c r="AJ18" s="9">
        <v>37803</v>
      </c>
      <c r="AK18" s="8">
        <f t="shared" si="11"/>
        <v>25.44822539334065</v>
      </c>
      <c r="AL18" s="8">
        <f t="shared" si="12"/>
        <v>28.082693011342847</v>
      </c>
      <c r="AM18" s="8">
        <f t="shared" si="13"/>
        <v>23.051591657519211</v>
      </c>
      <c r="AN18" s="8">
        <f t="shared" si="14"/>
        <v>4.6103183315038416</v>
      </c>
      <c r="AO18" s="8">
        <f t="shared" si="15"/>
        <v>4.061470911086718</v>
      </c>
      <c r="AP18" s="8">
        <f t="shared" si="4"/>
        <v>14.745700695206732</v>
      </c>
      <c r="AR18" s="9">
        <v>44743</v>
      </c>
      <c r="AS18" s="8">
        <f>HAVERQ!T178-AVERAGE(HAVERQ!T$164:T$167)</f>
        <v>-36.25</v>
      </c>
      <c r="AT18" s="8">
        <f>HAVERQ!U178-AVERAGE(HAVERQ!U$164:U$167)</f>
        <v>-9.25</v>
      </c>
      <c r="AU18" s="8">
        <f>HAVERQ!V178-AVERAGE(HAVERQ!V$164:V$167)</f>
        <v>-73.75</v>
      </c>
      <c r="AV18" s="8">
        <f>HAVERQ!W178-AVERAGE(HAVERQ!W$164:W$167)</f>
        <v>-18.75</v>
      </c>
      <c r="AW18" s="8">
        <f>HAVERQ!X178-AVERAGE(HAVERQ!X$164:X$167)</f>
        <v>17.5</v>
      </c>
      <c r="AX18" s="8">
        <f>HAVERQ!Y178-AVERAGE(HAVERQ!Y$164:Y$167)</f>
        <v>-132.25</v>
      </c>
      <c r="AY18" s="8">
        <f>HAVERQ!Z178-AVERAGE(HAVERQ!Z$164:Z$167)</f>
        <v>-256.5</v>
      </c>
      <c r="AZ18" s="8">
        <f>HAVERQ!AA178-AVERAGE(HAVERQ!AA$164:AA$167)</f>
        <v>76</v>
      </c>
      <c r="BA18" s="8">
        <f>HAVERQ!AB178-AVERAGE(HAVERQ!AB$164:AB$167)</f>
        <v>171</v>
      </c>
      <c r="BB18" s="8">
        <f>HAVERQ!AC178-AVERAGE(HAVERQ!AC$164:AC$167)</f>
        <v>118.75</v>
      </c>
      <c r="BC18" s="8">
        <f>HAVERQ!AD178-AVERAGE(HAVERQ!AD$164:AD$167)</f>
        <v>-48.25</v>
      </c>
      <c r="BD18" s="8">
        <f>HAVERQ!AE178-AVERAGE(HAVERQ!AE$164:AE$167)</f>
        <v>58.25</v>
      </c>
      <c r="BE18" s="8">
        <f>HAVERQ!AF178-AVERAGE(HAVERQ!AF$164:AF$167)</f>
        <v>81</v>
      </c>
      <c r="BF18" s="8">
        <f>HAVERQ!AG178-AVERAGE(HAVERQ!AG$164:AG$167)</f>
        <v>95.5</v>
      </c>
      <c r="BG18" s="8">
        <f>HAVERQ!AH178-AVERAGE(HAVERQ!AH$164:AH$167)</f>
        <v>118.25</v>
      </c>
      <c r="BH18" s="8">
        <f>HAVERQ!AI178-AVERAGE(HAVERQ!AI$164:AI$167)</f>
        <v>59</v>
      </c>
      <c r="BI18" s="8">
        <f>HAVERQ!AJ178-AVERAGE(HAVERQ!AJ$164:AJ$167)</f>
        <v>230.75</v>
      </c>
      <c r="BJ18" s="8">
        <f>HAVERQ!AK178-AVERAGE(HAVERQ!AK$164:AK$167)</f>
        <v>-13.75</v>
      </c>
      <c r="BK18" s="8">
        <f t="shared" si="16"/>
        <v>-18.5</v>
      </c>
      <c r="BM18" s="8">
        <f>HAVERQ!AL178+HAVERQ!AM178</f>
        <v>999</v>
      </c>
      <c r="BO18" s="9">
        <v>44743</v>
      </c>
      <c r="BP18" s="8">
        <f t="shared" si="17"/>
        <v>-36.25</v>
      </c>
      <c r="BQ18" s="8">
        <f t="shared" si="18"/>
        <v>-10.5</v>
      </c>
      <c r="BR18" s="8">
        <f t="shared" si="19"/>
        <v>-73.75</v>
      </c>
      <c r="BS18" s="8">
        <f t="shared" si="20"/>
        <v>-132.25</v>
      </c>
      <c r="BT18" s="8">
        <f t="shared" si="21"/>
        <v>-85.5</v>
      </c>
      <c r="BU18" s="8">
        <f t="shared" si="22"/>
        <v>194.75</v>
      </c>
      <c r="BV18" s="8">
        <f t="shared" si="23"/>
        <v>-48.25</v>
      </c>
      <c r="BW18" s="8">
        <f t="shared" si="24"/>
        <v>234.75</v>
      </c>
      <c r="BX18" s="8">
        <f t="shared" si="25"/>
        <v>375.75</v>
      </c>
      <c r="BZ18" s="8">
        <f>HAVERQ!T178</f>
        <v>362</v>
      </c>
      <c r="CA18" s="8">
        <f>HAVERQ!U178+HAVERQ!W178+HAVERQ!X178</f>
        <v>415</v>
      </c>
      <c r="CB18" s="8">
        <f>HAVERQ!V178</f>
        <v>2617</v>
      </c>
      <c r="CC18" s="8">
        <f>HAVERQ!Y178</f>
        <v>2201</v>
      </c>
      <c r="CD18" s="8">
        <f>HAVERQ!Z178+HAVERQ!AB178</f>
        <v>7419</v>
      </c>
      <c r="CE18" s="8">
        <f>HAVERQ!AA178+HAVERQ!AC178</f>
        <v>3501</v>
      </c>
      <c r="CF18" s="8">
        <f>HAVERQ!AD178</f>
        <v>1087</v>
      </c>
      <c r="CG18" s="8">
        <f>HAVERQ!AE178+HAVERQ!AF178+HAVERQ!AG178</f>
        <v>7066</v>
      </c>
      <c r="CH18" s="8">
        <f>HAVERQ!AH178+HAVERQ!AI178+HAVERQ!AJ178+HAVERQ!AK178+HAVERQ!AL178+HAVERQ!AM178</f>
        <v>11316</v>
      </c>
      <c r="CI18" s="8">
        <f>HAVERQ!S178-SUM('Chart Data'!BZ18:CH18)</f>
        <v>1</v>
      </c>
      <c r="CL18" s="2">
        <f>100*((DataQ!F177/DataQ!F173)-1)</f>
        <v>2.4865871678401597</v>
      </c>
      <c r="CM18" s="2">
        <f>100*(DataQ!I177/DataQ!J177)</f>
        <v>21.611130095598469</v>
      </c>
      <c r="CY18" s="10">
        <f>(HAVERQ!AQ142-AVERAGE(HAVERQ!AQ$128:AQ$183))/STDEV(HAVERQ!AQ$128:AQ$183)</f>
        <v>1.2656846868319889</v>
      </c>
      <c r="CZ18" s="10">
        <f t="shared" si="6"/>
        <v>1.4738332966506045</v>
      </c>
      <c r="DA18" s="10">
        <f t="shared" si="7"/>
        <v>1.315684423134404</v>
      </c>
      <c r="DB18" s="10">
        <f>(HAVERQ!AR142-AVERAGE(HAVERQ!AR$128:AR$183))/STDEV(HAVERQ!AR$128:AR$183)</f>
        <v>0.15405147164967437</v>
      </c>
      <c r="DC18" s="10">
        <f t="shared" si="8"/>
        <v>-1.0084438611985351</v>
      </c>
      <c r="DD18" s="10" t="e">
        <f t="shared" si="26"/>
        <v>#N/A</v>
      </c>
      <c r="DE18" s="10">
        <f>(HAVERQ!AZ142-AVERAGE(HAVERQ!AZ$128:AZ$167,AZ$174:AZ$183))/STDEV(HAVERQ!AZ$128:AZ$167,AZ$174:AZ$183)</f>
        <v>1.0406548227717887</v>
      </c>
      <c r="DF18" s="10">
        <f>(HAVERQ!AS142-AVERAGE(HAVERQ!AS$128:AS$183))/STDEV(HAVERQ!AS$128:AS$183)</f>
        <v>-0.82391736327951337</v>
      </c>
      <c r="DG18" s="10">
        <f t="shared" si="27"/>
        <v>-0.89670890941898729</v>
      </c>
      <c r="DH18" s="10">
        <f>(HAVERQ!AX142-AVERAGE(HAVERQ!AX$128:AX$183))/STDEV(HAVERQ!AX$128:AX$183)</f>
        <v>0.18361408714611957</v>
      </c>
      <c r="DJ18" s="10">
        <f t="shared" si="9"/>
        <v>-0.76633672841032829</v>
      </c>
      <c r="DL18" s="10">
        <f>100*(HAVERQ!AV142/(HAVERQ!AW142*HAVERQ!AX142/100))</f>
        <v>2.7353520823901527</v>
      </c>
      <c r="DM18" s="10">
        <f>HAVERQ!AO142/HAVERQ!AP142</f>
        <v>0.22580212109007919</v>
      </c>
      <c r="DN18" s="10" t="e">
        <f>100*((AVERAGE(HAVERQ!BC139:BC142)/AVERAGE(HAVERQ!BC135:BC138))-1)</f>
        <v>#N/A</v>
      </c>
      <c r="DO18" s="10">
        <f>100*(HAVERQ!BE142+HAVERQ!BF142)/(HAVERQ!BB142+HAVERQ!BG142)</f>
        <v>11.649206640936102</v>
      </c>
      <c r="DP18" s="10">
        <f>100*((AVERAGE(HAVERQ!BA139:BA142)/AVERAGE(HAVERQ!BA135:BA138))-1)</f>
        <v>1.2525326947872673</v>
      </c>
      <c r="DR18" s="10">
        <f>(HAVERQ!AT142*HAVERQ!$AT$1)+(HAVERQ!AU142*HAVERQ!$AU$1)</f>
        <v>55.010574922540371</v>
      </c>
      <c r="DT18" s="29"/>
      <c r="DU18" s="22" t="s">
        <v>1370</v>
      </c>
      <c r="DV18" s="21" t="s">
        <v>1361</v>
      </c>
      <c r="DX18" s="21" t="s">
        <v>1365</v>
      </c>
      <c r="DY18" s="28" t="s">
        <v>1362</v>
      </c>
    </row>
    <row r="19" spans="13:129" ht="15.75" x14ac:dyDescent="0.25">
      <c r="M19" s="5">
        <v>42826</v>
      </c>
      <c r="N19">
        <f>HAVERM!C454</f>
        <v>4.5599999999999996</v>
      </c>
      <c r="O19" s="3">
        <f>HAVERM!B454</f>
        <v>4.4000000000000004</v>
      </c>
      <c r="Q19" s="5">
        <v>42826</v>
      </c>
      <c r="R19">
        <f>MIN(HAVERM!C453:C455)</f>
        <v>4.3710000000000004</v>
      </c>
      <c r="S19" s="3">
        <f t="shared" si="3"/>
        <v>0.18899999999999917</v>
      </c>
      <c r="T19" s="3">
        <f>HAVERM!B454</f>
        <v>4.4000000000000004</v>
      </c>
      <c r="V19">
        <f>MAX(HAVERM!C453:C455)</f>
        <v>4.5599999999999996</v>
      </c>
      <c r="X19" s="9">
        <v>44835</v>
      </c>
      <c r="Y19" s="8">
        <f>HAVERQ!E179-AVERAGE(HAVERQ!E$164:E$167)</f>
        <v>337.25</v>
      </c>
      <c r="Z19" s="8">
        <f>HAVERQ!F179-AVERAGE(HAVERQ!F$164:F$167)</f>
        <v>-112.75</v>
      </c>
      <c r="AB19" s="9">
        <v>37895</v>
      </c>
      <c r="AC19" s="8">
        <f>HAVERQ!P103</f>
        <v>1408</v>
      </c>
      <c r="AD19" s="8">
        <f>HAVERQ!O103</f>
        <v>1557</v>
      </c>
      <c r="AE19" s="8">
        <f>HAVERQ!N103</f>
        <v>1258</v>
      </c>
      <c r="AF19" s="8">
        <f>HAVERQ!M103</f>
        <v>256</v>
      </c>
      <c r="AG19" s="8">
        <f>HAVERQ!L103</f>
        <v>221</v>
      </c>
      <c r="AH19" s="8">
        <f>HAVERQ!E103-AC19-AD19-AE19-AF19-AG19</f>
        <v>801</v>
      </c>
      <c r="AJ19" s="9">
        <v>37895</v>
      </c>
      <c r="AK19" s="8">
        <f t="shared" si="11"/>
        <v>25.595346300672606</v>
      </c>
      <c r="AL19" s="8">
        <f t="shared" si="12"/>
        <v>28.303944737320485</v>
      </c>
      <c r="AM19" s="8">
        <f t="shared" si="13"/>
        <v>22.868569351027084</v>
      </c>
      <c r="AN19" s="8">
        <f t="shared" si="14"/>
        <v>4.6536993273950191</v>
      </c>
      <c r="AO19" s="8">
        <f t="shared" si="15"/>
        <v>4.0174513724777317</v>
      </c>
      <c r="AP19" s="8">
        <f t="shared" si="4"/>
        <v>14.560988911107071</v>
      </c>
      <c r="AR19" s="9">
        <v>44835</v>
      </c>
      <c r="AS19" s="8">
        <f>HAVERQ!T179-AVERAGE(HAVERQ!T$164:T$167)</f>
        <v>-48.25</v>
      </c>
      <c r="AT19" s="8">
        <f>HAVERQ!U179-AVERAGE(HAVERQ!U$164:U$167)</f>
        <v>-8.25</v>
      </c>
      <c r="AU19" s="8">
        <f>HAVERQ!V179-AVERAGE(HAVERQ!V$164:V$167)</f>
        <v>-69.75</v>
      </c>
      <c r="AV19" s="8">
        <f>HAVERQ!W179-AVERAGE(HAVERQ!W$164:W$167)</f>
        <v>-20.75</v>
      </c>
      <c r="AW19" s="8">
        <f>HAVERQ!X179-AVERAGE(HAVERQ!X$164:X$167)</f>
        <v>18.5</v>
      </c>
      <c r="AX19" s="8">
        <f>HAVERQ!Y179-AVERAGE(HAVERQ!Y$164:Y$167)</f>
        <v>-108.25</v>
      </c>
      <c r="AY19" s="8">
        <f>HAVERQ!Z179-AVERAGE(HAVERQ!Z$164:Z$167)</f>
        <v>-262.5</v>
      </c>
      <c r="AZ19" s="8">
        <f>HAVERQ!AA179-AVERAGE(HAVERQ!AA$164:AA$167)</f>
        <v>89</v>
      </c>
      <c r="BA19" s="8">
        <f>HAVERQ!AB179-AVERAGE(HAVERQ!AB$164:AB$167)</f>
        <v>214</v>
      </c>
      <c r="BB19" s="8">
        <f>HAVERQ!AC179-AVERAGE(HAVERQ!AC$164:AC$167)</f>
        <v>118.75</v>
      </c>
      <c r="BC19" s="8">
        <f>HAVERQ!AD179-AVERAGE(HAVERQ!AD$164:AD$167)</f>
        <v>-16.25</v>
      </c>
      <c r="BD19" s="8">
        <f>HAVERQ!AE179-AVERAGE(HAVERQ!AE$164:AE$167)</f>
        <v>78.25</v>
      </c>
      <c r="BE19" s="8">
        <f>HAVERQ!AF179-AVERAGE(HAVERQ!AF$164:AF$167)</f>
        <v>158</v>
      </c>
      <c r="BF19" s="8">
        <f>HAVERQ!AG179-AVERAGE(HAVERQ!AG$164:AG$167)</f>
        <v>66.5</v>
      </c>
      <c r="BG19" s="8">
        <f>HAVERQ!AH179-AVERAGE(HAVERQ!AH$164:AH$167)</f>
        <v>124.25</v>
      </c>
      <c r="BH19" s="8">
        <f>HAVERQ!AI179-AVERAGE(HAVERQ!AI$164:AI$167)</f>
        <v>43</v>
      </c>
      <c r="BI19" s="8">
        <f>HAVERQ!AJ179-AVERAGE(HAVERQ!AJ$164:AJ$167)</f>
        <v>262.75</v>
      </c>
      <c r="BJ19" s="8">
        <f>HAVERQ!AK179-AVERAGE(HAVERQ!AK$164:AK$167)</f>
        <v>-7.75</v>
      </c>
      <c r="BK19" s="8">
        <f t="shared" si="16"/>
        <v>-15.5</v>
      </c>
      <c r="BM19" s="8">
        <f>HAVERQ!AL179+HAVERQ!AM179</f>
        <v>1002</v>
      </c>
      <c r="BO19" s="9">
        <v>44835</v>
      </c>
      <c r="BP19" s="8">
        <f t="shared" si="17"/>
        <v>-48.25</v>
      </c>
      <c r="BQ19" s="8">
        <f t="shared" si="18"/>
        <v>-10.5</v>
      </c>
      <c r="BR19" s="8">
        <f t="shared" si="19"/>
        <v>-69.75</v>
      </c>
      <c r="BS19" s="8">
        <f t="shared" si="20"/>
        <v>-108.25</v>
      </c>
      <c r="BT19" s="8">
        <f t="shared" si="21"/>
        <v>-48.5</v>
      </c>
      <c r="BU19" s="8">
        <f t="shared" si="22"/>
        <v>207.75</v>
      </c>
      <c r="BV19" s="8">
        <f t="shared" si="23"/>
        <v>-16.25</v>
      </c>
      <c r="BW19" s="8">
        <f t="shared" si="24"/>
        <v>302.75</v>
      </c>
      <c r="BX19" s="8">
        <f t="shared" si="25"/>
        <v>406.75</v>
      </c>
      <c r="BZ19" s="8">
        <f>HAVERQ!T179</f>
        <v>350</v>
      </c>
      <c r="CA19" s="8">
        <f>HAVERQ!U179+HAVERQ!W179+HAVERQ!X179</f>
        <v>415</v>
      </c>
      <c r="CB19" s="8">
        <f>HAVERQ!V179</f>
        <v>2621</v>
      </c>
      <c r="CC19" s="8">
        <f>HAVERQ!Y179</f>
        <v>2225</v>
      </c>
      <c r="CD19" s="8">
        <f>HAVERQ!Z179+HAVERQ!AB179</f>
        <v>7456</v>
      </c>
      <c r="CE19" s="8">
        <f>HAVERQ!AA179+HAVERQ!AC179</f>
        <v>3514</v>
      </c>
      <c r="CF19" s="8">
        <f>HAVERQ!AD179</f>
        <v>1119</v>
      </c>
      <c r="CG19" s="8">
        <f>HAVERQ!AE179+HAVERQ!AF179+HAVERQ!AG179</f>
        <v>7134</v>
      </c>
      <c r="CH19" s="8">
        <f>HAVERQ!AH179+HAVERQ!AI179+HAVERQ!AJ179+HAVERQ!AK179+HAVERQ!AL179+HAVERQ!AM179</f>
        <v>11347</v>
      </c>
      <c r="CI19" s="8">
        <f>HAVERQ!S179-SUM('Chart Data'!BZ19:CH19)</f>
        <v>0</v>
      </c>
      <c r="CL19" s="2">
        <f>100*((DataQ!F178/DataQ!F174)-1)</f>
        <v>1.9929284396807967</v>
      </c>
      <c r="CM19" s="2">
        <f>100*(DataQ!I178/DataQ!J178)</f>
        <v>22.060520632408462</v>
      </c>
      <c r="CY19" s="10">
        <f>(HAVERQ!AQ143-AVERAGE(HAVERQ!AQ$128:AQ$183))/STDEV(HAVERQ!AQ$128:AQ$183)</f>
        <v>1.0221164996753178</v>
      </c>
      <c r="CZ19" s="10">
        <f t="shared" si="6"/>
        <v>1.2790307873276829</v>
      </c>
      <c r="DA19" s="10">
        <f t="shared" si="7"/>
        <v>1.1834870265445341</v>
      </c>
      <c r="DB19" s="10">
        <f>(HAVERQ!AR143-AVERAGE(HAVERQ!AR$128:AR$183))/STDEV(HAVERQ!AR$128:AR$183)</f>
        <v>-0.16945661881464222</v>
      </c>
      <c r="DC19" s="10">
        <f t="shared" si="8"/>
        <v>-0.93256521564167538</v>
      </c>
      <c r="DD19" s="10" t="e">
        <f t="shared" si="26"/>
        <v>#N/A</v>
      </c>
      <c r="DE19" s="10">
        <f>(HAVERQ!AZ143-AVERAGE(HAVERQ!AZ$128:AZ$167,AZ$174:AZ$183))/STDEV(HAVERQ!AZ$128:AZ$167,AZ$174:AZ$183)</f>
        <v>0.18238280399091886</v>
      </c>
      <c r="DF19" s="10">
        <f>(HAVERQ!AS143-AVERAGE(HAVERQ!AS$128:AS$183))/STDEV(HAVERQ!AS$128:AS$183)</f>
        <v>-0.64844912846813185</v>
      </c>
      <c r="DG19" s="10">
        <f t="shared" si="27"/>
        <v>-0.8606557682171021</v>
      </c>
      <c r="DH19" s="10">
        <f>(HAVERQ!AX143-AVERAGE(HAVERQ!AX$128:AX$183))/STDEV(HAVERQ!AX$128:AX$183)</f>
        <v>0.18361408714611957</v>
      </c>
      <c r="DJ19" s="10">
        <f t="shared" si="9"/>
        <v>-9.910074131963699E-2</v>
      </c>
      <c r="DL19" s="10">
        <f>100*(HAVERQ!AV143/(HAVERQ!AW143*HAVERQ!AX143/100))</f>
        <v>2.5894629646416019</v>
      </c>
      <c r="DM19" s="10">
        <f>HAVERQ!AO143/HAVERQ!AP143</f>
        <v>0.24370935821317499</v>
      </c>
      <c r="DN19" s="10" t="e">
        <f>100*((AVERAGE(HAVERQ!BC140:BC143)/AVERAGE(HAVERQ!BC136:BC139))-1)</f>
        <v>#N/A</v>
      </c>
      <c r="DO19" s="10">
        <f>100*(HAVERQ!BE143+HAVERQ!BF143)/(HAVERQ!BB143+HAVERQ!BG143)</f>
        <v>11.449798214504098</v>
      </c>
      <c r="DP19" s="10">
        <f>100*((AVERAGE(HAVERQ!BA140:BA143)/AVERAGE(HAVERQ!BA136:BA139))-1)</f>
        <v>1.3225569434239581</v>
      </c>
      <c r="DR19" s="10">
        <f>(HAVERQ!AT143*HAVERQ!$AT$1)+(HAVERQ!AU143*HAVERQ!$AU$1)</f>
        <v>61.632467182565229</v>
      </c>
      <c r="DT19" s="29"/>
      <c r="DU19" s="22" t="s">
        <v>1371</v>
      </c>
      <c r="DV19" s="21" t="s">
        <v>1365</v>
      </c>
      <c r="DX19" s="21" t="s">
        <v>1361</v>
      </c>
      <c r="DY19" s="28" t="s">
        <v>1362</v>
      </c>
    </row>
    <row r="20" spans="13:129" ht="15.75" x14ac:dyDescent="0.25">
      <c r="M20" s="5">
        <v>42856</v>
      </c>
      <c r="N20">
        <f>HAVERM!C455</f>
        <v>4.391</v>
      </c>
      <c r="O20" s="3">
        <f>HAVERM!B455</f>
        <v>4.4000000000000004</v>
      </c>
      <c r="Q20" s="5">
        <v>42856</v>
      </c>
      <c r="R20">
        <f>MIN(HAVERM!C454:C456)</f>
        <v>4.3109999999999999</v>
      </c>
      <c r="S20" s="3">
        <f t="shared" si="3"/>
        <v>0.24899999999999967</v>
      </c>
      <c r="T20" s="3">
        <f>HAVERM!B455</f>
        <v>4.4000000000000004</v>
      </c>
      <c r="V20">
        <f>MAX(HAVERM!C454:C456)</f>
        <v>4.5599999999999996</v>
      </c>
      <c r="X20" s="9">
        <v>44927</v>
      </c>
      <c r="Y20" s="8">
        <f>HAVERQ!E180-AVERAGE(HAVERQ!E$164:E$167)</f>
        <v>373.25</v>
      </c>
      <c r="Z20" s="8">
        <f>HAVERQ!F180-AVERAGE(HAVERQ!F$164:F$167)</f>
        <v>163.25</v>
      </c>
      <c r="AB20" s="9">
        <v>37987</v>
      </c>
      <c r="AC20" s="8">
        <f>HAVERQ!P104</f>
        <v>1426</v>
      </c>
      <c r="AD20" s="8">
        <f>HAVERQ!O104</f>
        <v>1560</v>
      </c>
      <c r="AE20" s="8">
        <f>HAVERQ!N104</f>
        <v>1267</v>
      </c>
      <c r="AF20" s="8">
        <f>HAVERQ!M104</f>
        <v>260</v>
      </c>
      <c r="AG20" s="8">
        <f>HAVERQ!L104</f>
        <v>219</v>
      </c>
      <c r="AH20" s="8">
        <f>HAVERQ!E104-AC20-AD20-AE20-AF20-AG20</f>
        <v>802</v>
      </c>
      <c r="AJ20" s="9">
        <v>37987</v>
      </c>
      <c r="AK20" s="8">
        <f t="shared" si="11"/>
        <v>25.767979761474518</v>
      </c>
      <c r="AL20" s="8">
        <f t="shared" si="12"/>
        <v>28.1893747741236</v>
      </c>
      <c r="AM20" s="8">
        <f t="shared" si="13"/>
        <v>22.894831947958078</v>
      </c>
      <c r="AN20" s="8">
        <f t="shared" si="14"/>
        <v>4.6982291290206</v>
      </c>
      <c r="AO20" s="8">
        <f t="shared" si="15"/>
        <v>3.9573545355981206</v>
      </c>
      <c r="AP20" s="8">
        <f t="shared" si="15"/>
        <v>14.492229851825082</v>
      </c>
      <c r="AR20" s="9">
        <v>44927</v>
      </c>
      <c r="AS20" s="8">
        <f>HAVERQ!T180-AVERAGE(HAVERQ!T$164:T$167)</f>
        <v>-31.25</v>
      </c>
      <c r="AT20" s="8">
        <f>HAVERQ!U180-AVERAGE(HAVERQ!U$164:U$167)</f>
        <v>-4.25</v>
      </c>
      <c r="AU20" s="8">
        <f>HAVERQ!V180-AVERAGE(HAVERQ!V$164:V$167)</f>
        <v>-77.75</v>
      </c>
      <c r="AV20" s="8">
        <f>HAVERQ!W180-AVERAGE(HAVERQ!W$164:W$167)</f>
        <v>-20.75</v>
      </c>
      <c r="AW20" s="8">
        <f>HAVERQ!X180-AVERAGE(HAVERQ!X$164:X$167)</f>
        <v>28.5</v>
      </c>
      <c r="AX20" s="8">
        <f>HAVERQ!Y180-AVERAGE(HAVERQ!Y$164:Y$167)</f>
        <v>-75.25</v>
      </c>
      <c r="AY20" s="8">
        <f>HAVERQ!Z180-AVERAGE(HAVERQ!Z$164:Z$167)</f>
        <v>-230.5</v>
      </c>
      <c r="AZ20" s="8">
        <f>HAVERQ!AA180-AVERAGE(HAVERQ!AA$164:AA$167)</f>
        <v>95</v>
      </c>
      <c r="BA20" s="8">
        <f>HAVERQ!AB180-AVERAGE(HAVERQ!AB$164:AB$167)</f>
        <v>200</v>
      </c>
      <c r="BB20" s="8">
        <f>HAVERQ!AC180-AVERAGE(HAVERQ!AC$164:AC$167)</f>
        <v>150.75</v>
      </c>
      <c r="BC20" s="8">
        <f>HAVERQ!AD180-AVERAGE(HAVERQ!AD$164:AD$167)</f>
        <v>4.75</v>
      </c>
      <c r="BD20" s="8">
        <f>HAVERQ!AE180-AVERAGE(HAVERQ!AE$164:AE$167)</f>
        <v>100.25</v>
      </c>
      <c r="BE20" s="8">
        <f>HAVERQ!AF180-AVERAGE(HAVERQ!AF$164:AF$167)</f>
        <v>224</v>
      </c>
      <c r="BF20" s="8">
        <f>HAVERQ!AG180-AVERAGE(HAVERQ!AG$164:AG$167)</f>
        <v>69.5</v>
      </c>
      <c r="BG20" s="8">
        <f>HAVERQ!AH180-AVERAGE(HAVERQ!AH$164:AH$167)</f>
        <v>143.25</v>
      </c>
      <c r="BH20" s="8">
        <f>HAVERQ!AI180-AVERAGE(HAVERQ!AI$164:AI$167)</f>
        <v>69</v>
      </c>
      <c r="BI20" s="8">
        <f>HAVERQ!AJ180-AVERAGE(HAVERQ!AJ$164:AJ$167)</f>
        <v>350.75</v>
      </c>
      <c r="BJ20" s="8">
        <f>HAVERQ!AK180-AVERAGE(HAVERQ!AK$164:AK$167)</f>
        <v>-1.75</v>
      </c>
      <c r="BK20" s="8">
        <f t="shared" si="16"/>
        <v>-22.5</v>
      </c>
      <c r="BM20" s="8">
        <f>HAVERQ!AL180+HAVERQ!AM180</f>
        <v>995</v>
      </c>
      <c r="BO20" s="9">
        <v>44927</v>
      </c>
      <c r="BP20" s="8">
        <f t="shared" si="17"/>
        <v>-31.25</v>
      </c>
      <c r="BQ20" s="8">
        <f t="shared" si="18"/>
        <v>3.5</v>
      </c>
      <c r="BR20" s="8">
        <f t="shared" si="19"/>
        <v>-77.75</v>
      </c>
      <c r="BS20" s="8">
        <f t="shared" si="20"/>
        <v>-75.25</v>
      </c>
      <c r="BT20" s="8">
        <f t="shared" si="21"/>
        <v>-30.5</v>
      </c>
      <c r="BU20" s="8">
        <f t="shared" si="22"/>
        <v>245.75</v>
      </c>
      <c r="BV20" s="8">
        <f t="shared" si="23"/>
        <v>4.75</v>
      </c>
      <c r="BW20" s="8">
        <f t="shared" si="24"/>
        <v>393.75</v>
      </c>
      <c r="BX20" s="8">
        <f t="shared" si="25"/>
        <v>538.75</v>
      </c>
      <c r="BZ20" s="8">
        <f>HAVERQ!T180</f>
        <v>367</v>
      </c>
      <c r="CA20" s="8">
        <f>HAVERQ!U180+HAVERQ!W180+HAVERQ!X180</f>
        <v>429</v>
      </c>
      <c r="CB20" s="8">
        <f>HAVERQ!V180</f>
        <v>2613</v>
      </c>
      <c r="CC20" s="8">
        <f>HAVERQ!Y180</f>
        <v>2258</v>
      </c>
      <c r="CD20" s="8">
        <f>HAVERQ!Z180+HAVERQ!AB180</f>
        <v>7474</v>
      </c>
      <c r="CE20" s="8">
        <f>HAVERQ!AA180+HAVERQ!AC180</f>
        <v>3552</v>
      </c>
      <c r="CF20" s="8">
        <f>HAVERQ!AD180</f>
        <v>1140</v>
      </c>
      <c r="CG20" s="8">
        <f>HAVERQ!AE180+HAVERQ!AF180+HAVERQ!AG180</f>
        <v>7225</v>
      </c>
      <c r="CH20" s="8">
        <f>HAVERQ!AH180+HAVERQ!AI180+HAVERQ!AJ180+HAVERQ!AK180+HAVERQ!AL180+HAVERQ!AM180</f>
        <v>11479</v>
      </c>
      <c r="CI20" s="8">
        <f>HAVERQ!S180-SUM('Chart Data'!BZ20:CH20)</f>
        <v>0</v>
      </c>
      <c r="CK20">
        <v>2016</v>
      </c>
      <c r="CL20" s="2">
        <f>100*((DataQ!F179/DataQ!F175)-1)</f>
        <v>1.5236578936123957</v>
      </c>
      <c r="CM20" s="2">
        <f>100*(DataQ!I179/DataQ!J179)</f>
        <v>21.96155472009443</v>
      </c>
      <c r="CX20">
        <v>2014</v>
      </c>
      <c r="CY20" s="10">
        <f>(HAVERQ!AQ144-AVERAGE(HAVERQ!AQ$128:AQ$183))/STDEV(HAVERQ!AQ$128:AQ$183)</f>
        <v>0.71765626572947894</v>
      </c>
      <c r="CZ20" s="10">
        <f t="shared" si="6"/>
        <v>1.1449321482226194</v>
      </c>
      <c r="DA20" s="10">
        <f t="shared" si="7"/>
        <v>1.1221869276645688</v>
      </c>
      <c r="DB20" s="10">
        <f>(HAVERQ!AR144-AVERAGE(HAVERQ!AR$128:AR$183))/STDEV(HAVERQ!AR$128:AR$183)</f>
        <v>0.15405147164967437</v>
      </c>
      <c r="DC20" s="10">
        <f t="shared" si="8"/>
        <v>-0.83056265757526049</v>
      </c>
      <c r="DD20" s="10" t="e">
        <f t="shared" si="26"/>
        <v>#N/A</v>
      </c>
      <c r="DE20" s="10">
        <f>(HAVERQ!AZ144-AVERAGE(HAVERQ!AZ$128:AZ$167,AZ$174:AZ$183))/STDEV(HAVERQ!AZ$128:AZ$167,AZ$174:AZ$183)</f>
        <v>0.61151881338135383</v>
      </c>
      <c r="DF20" s="10">
        <f>(HAVERQ!AS144-AVERAGE(HAVERQ!AS$128:AS$183))/STDEV(HAVERQ!AS$128:AS$183)</f>
        <v>-0.33260630580764533</v>
      </c>
      <c r="DG20" s="10">
        <f t="shared" si="27"/>
        <v>-0.67246358509974868</v>
      </c>
      <c r="DH20" s="10">
        <f>(HAVERQ!AX144-AVERAGE(HAVERQ!AX$128:AX$183))/STDEV(HAVERQ!AX$128:AX$183)</f>
        <v>0.4860372895043798</v>
      </c>
      <c r="DJ20" s="10">
        <f t="shared" si="9"/>
        <v>1.6261637319187651E-2</v>
      </c>
      <c r="DL20" s="10">
        <f>100*(HAVERQ!AV144/(HAVERQ!AW144*HAVERQ!AX144/100))</f>
        <v>2.4890354484955504</v>
      </c>
      <c r="DM20" s="10">
        <f>HAVERQ!AO144/HAVERQ!AP144</f>
        <v>0.26778179626280896</v>
      </c>
      <c r="DN20" s="10" t="e">
        <f>100*((AVERAGE(HAVERQ!BC141:BC144)/AVERAGE(HAVERQ!BC137:BC140))-1)</f>
        <v>#N/A</v>
      </c>
      <c r="DO20" s="10">
        <f>100*(HAVERQ!BE144+HAVERQ!BF144)/(HAVERQ!BB144+HAVERQ!BG144)</f>
        <v>11.357332276648277</v>
      </c>
      <c r="DP20" s="10">
        <f>100*((AVERAGE(HAVERQ!BA141:BA144)/AVERAGE(HAVERQ!BA137:BA140))-1)</f>
        <v>1.6880733944954152</v>
      </c>
      <c r="DR20" s="10">
        <f>(HAVERQ!AT144*HAVERQ!$AT$1)+(HAVERQ!AU144*HAVERQ!$AU$1)</f>
        <v>62.777365325031063</v>
      </c>
      <c r="DT20" s="29"/>
      <c r="DU20" s="22" t="s">
        <v>1372</v>
      </c>
      <c r="DV20" s="21" t="s">
        <v>1361</v>
      </c>
      <c r="DX20" s="21" t="s">
        <v>1361</v>
      </c>
      <c r="DY20" s="28" t="s">
        <v>1362</v>
      </c>
    </row>
    <row r="21" spans="13:129" ht="15.75" x14ac:dyDescent="0.25">
      <c r="M21" s="5">
        <v>42887</v>
      </c>
      <c r="N21">
        <f>HAVERM!C456</f>
        <v>4.3109999999999999</v>
      </c>
      <c r="O21" s="3">
        <f>HAVERM!B456</f>
        <v>4.3</v>
      </c>
      <c r="Q21" s="5">
        <v>42887</v>
      </c>
      <c r="R21">
        <f>MIN(HAVERM!C455:C457)</f>
        <v>4.3109999999999999</v>
      </c>
      <c r="S21" s="3">
        <f t="shared" si="3"/>
        <v>8.0000000000000071E-2</v>
      </c>
      <c r="T21" s="3">
        <f>HAVERM!B456</f>
        <v>4.3</v>
      </c>
      <c r="V21">
        <f>MAX(HAVERM!C455:C457)</f>
        <v>4.391</v>
      </c>
      <c r="X21" s="9">
        <v>45017</v>
      </c>
      <c r="Y21" s="8">
        <f>HAVERQ!E181-AVERAGE(HAVERQ!E$164:E$167)</f>
        <v>412.25</v>
      </c>
      <c r="Z21" s="8">
        <f>HAVERQ!F181-AVERAGE(HAVERQ!F$164:F$167)</f>
        <v>-68.75</v>
      </c>
      <c r="AB21" s="9">
        <v>38078</v>
      </c>
      <c r="AC21" s="8">
        <f>HAVERQ!P105</f>
        <v>1430</v>
      </c>
      <c r="AD21" s="8">
        <f>HAVERQ!O105</f>
        <v>1569</v>
      </c>
      <c r="AE21" s="8">
        <f>HAVERQ!N105</f>
        <v>1270</v>
      </c>
      <c r="AF21" s="8">
        <f>HAVERQ!M105</f>
        <v>264</v>
      </c>
      <c r="AG21" s="8">
        <f>HAVERQ!L105</f>
        <v>218</v>
      </c>
      <c r="AH21" s="8">
        <f>HAVERQ!E105-AC21-AD21-AE21-AF21-AG21</f>
        <v>794</v>
      </c>
      <c r="AJ21" s="9">
        <v>38078</v>
      </c>
      <c r="AK21" s="8">
        <f t="shared" si="11"/>
        <v>25.788999098286748</v>
      </c>
      <c r="AL21" s="8">
        <f t="shared" si="12"/>
        <v>28.295761947700633</v>
      </c>
      <c r="AM21" s="8">
        <f t="shared" si="13"/>
        <v>22.903516681695223</v>
      </c>
      <c r="AN21" s="8">
        <f t="shared" si="14"/>
        <v>4.761045987376014</v>
      </c>
      <c r="AO21" s="8">
        <f t="shared" si="15"/>
        <v>3.9314697926059514</v>
      </c>
      <c r="AP21" s="8">
        <f t="shared" si="15"/>
        <v>14.319206492335438</v>
      </c>
      <c r="AR21" s="9">
        <v>45017</v>
      </c>
      <c r="AS21" s="8">
        <f>HAVERQ!T181-AVERAGE(HAVERQ!T$164:T$167)</f>
        <v>-60.25</v>
      </c>
      <c r="AT21" s="8">
        <f>HAVERQ!U181-AVERAGE(HAVERQ!U$164:U$167)</f>
        <v>-11.25</v>
      </c>
      <c r="AU21" s="8">
        <f>HAVERQ!V181-AVERAGE(HAVERQ!V$164:V$167)</f>
        <v>-114.75</v>
      </c>
      <c r="AV21" s="8">
        <f>HAVERQ!W181-AVERAGE(HAVERQ!W$164:W$167)</f>
        <v>-14.75</v>
      </c>
      <c r="AW21" s="8">
        <f>HAVERQ!X181-AVERAGE(HAVERQ!X$164:X$167)</f>
        <v>27.5</v>
      </c>
      <c r="AX21" s="8">
        <f>HAVERQ!Y181-AVERAGE(HAVERQ!Y$164:Y$167)</f>
        <v>-73.25</v>
      </c>
      <c r="AY21" s="8">
        <f>HAVERQ!Z181-AVERAGE(HAVERQ!Z$164:Z$167)</f>
        <v>-292.5</v>
      </c>
      <c r="AZ21" s="8">
        <f>HAVERQ!AA181-AVERAGE(HAVERQ!AA$164:AA$167)</f>
        <v>45</v>
      </c>
      <c r="BA21" s="8">
        <f>HAVERQ!AB181-AVERAGE(HAVERQ!AB$164:AB$167)</f>
        <v>202</v>
      </c>
      <c r="BB21" s="8">
        <f>HAVERQ!AC181-AVERAGE(HAVERQ!AC$164:AC$167)</f>
        <v>140.75</v>
      </c>
      <c r="BC21" s="8">
        <f>HAVERQ!AD181-AVERAGE(HAVERQ!AD$164:AD$167)</f>
        <v>1.75</v>
      </c>
      <c r="BD21" s="8">
        <f>HAVERQ!AE181-AVERAGE(HAVERQ!AE$164:AE$167)</f>
        <v>81.25</v>
      </c>
      <c r="BE21" s="8">
        <f>HAVERQ!AF181-AVERAGE(HAVERQ!AF$164:AF$167)</f>
        <v>164</v>
      </c>
      <c r="BF21" s="8">
        <f>HAVERQ!AG181-AVERAGE(HAVERQ!AG$164:AG$167)</f>
        <v>105.5</v>
      </c>
      <c r="BG21" s="8">
        <f>HAVERQ!AH181-AVERAGE(HAVERQ!AH$164:AH$167)</f>
        <v>158.25</v>
      </c>
      <c r="BH21" s="8">
        <f>HAVERQ!AI181-AVERAGE(HAVERQ!AI$164:AI$167)</f>
        <v>75</v>
      </c>
      <c r="BI21" s="8">
        <f>HAVERQ!AJ181-AVERAGE(HAVERQ!AJ$164:AJ$167)</f>
        <v>358.75</v>
      </c>
      <c r="BJ21" s="8">
        <f>HAVERQ!AK181-AVERAGE(HAVERQ!AK$164:AK$167)</f>
        <v>12.25</v>
      </c>
      <c r="BK21" s="8">
        <f t="shared" si="16"/>
        <v>-66.5</v>
      </c>
      <c r="BM21" s="8">
        <f>HAVERQ!AL181+HAVERQ!AM181</f>
        <v>951</v>
      </c>
      <c r="BO21" s="9">
        <v>45017</v>
      </c>
      <c r="BP21" s="8">
        <f t="shared" si="17"/>
        <v>-60.25</v>
      </c>
      <c r="BQ21" s="8">
        <f t="shared" si="18"/>
        <v>1.5</v>
      </c>
      <c r="BR21" s="8">
        <f t="shared" si="19"/>
        <v>-114.75</v>
      </c>
      <c r="BS21" s="8">
        <f t="shared" si="20"/>
        <v>-73.25</v>
      </c>
      <c r="BT21" s="8">
        <f t="shared" si="21"/>
        <v>-90.5</v>
      </c>
      <c r="BU21" s="8">
        <f t="shared" si="22"/>
        <v>185.75</v>
      </c>
      <c r="BV21" s="8">
        <f t="shared" si="23"/>
        <v>1.75</v>
      </c>
      <c r="BW21" s="8">
        <f t="shared" si="24"/>
        <v>350.75</v>
      </c>
      <c r="BX21" s="8">
        <f t="shared" si="25"/>
        <v>537.75</v>
      </c>
      <c r="BZ21" s="8">
        <f>HAVERQ!T181</f>
        <v>338</v>
      </c>
      <c r="CA21" s="8">
        <f>HAVERQ!U181+HAVERQ!W181+HAVERQ!X181</f>
        <v>427</v>
      </c>
      <c r="CB21" s="8">
        <f>HAVERQ!V181</f>
        <v>2576</v>
      </c>
      <c r="CC21" s="8">
        <f>HAVERQ!Y181</f>
        <v>2260</v>
      </c>
      <c r="CD21" s="8">
        <f>HAVERQ!Z181+HAVERQ!AB181</f>
        <v>7414</v>
      </c>
      <c r="CE21" s="8">
        <f>HAVERQ!AA181+HAVERQ!AC181</f>
        <v>3492</v>
      </c>
      <c r="CF21" s="8">
        <f>HAVERQ!AD181</f>
        <v>1137</v>
      </c>
      <c r="CG21" s="8">
        <f>HAVERQ!AE181+HAVERQ!AF181+HAVERQ!AG181</f>
        <v>7182</v>
      </c>
      <c r="CH21" s="8">
        <f>HAVERQ!AH181+HAVERQ!AI181+HAVERQ!AJ181+HAVERQ!AK181+HAVERQ!AL181+HAVERQ!AM181</f>
        <v>11478</v>
      </c>
      <c r="CI21" s="8">
        <f>HAVERQ!S181-SUM('Chart Data'!BZ21:CH21)</f>
        <v>0</v>
      </c>
      <c r="CL21" s="2">
        <f>100*((DataQ!F180/DataQ!F176)-1)</f>
        <v>2.6310611488756575</v>
      </c>
      <c r="CM21" s="2">
        <f>100*(DataQ!I180/DataQ!J180)</f>
        <v>21.599724534645844</v>
      </c>
      <c r="CY21" s="10">
        <f>(HAVERQ!AQ145-AVERAGE(HAVERQ!AQ$128:AQ$183))/STDEV(HAVERQ!AQ$128:AQ$183)</f>
        <v>0.47408807857280749</v>
      </c>
      <c r="CZ21" s="10">
        <f t="shared" si="6"/>
        <v>0.83060629406505937</v>
      </c>
      <c r="DA21" s="10">
        <f t="shared" si="7"/>
        <v>0.96299354950357696</v>
      </c>
      <c r="DB21" s="10">
        <f>(HAVERQ!AR145-AVERAGE(HAVERQ!AR$128:AR$183))/STDEV(HAVERQ!AR$128:AR$183)</f>
        <v>-0.11553860373725588</v>
      </c>
      <c r="DC21" s="10">
        <f t="shared" si="8"/>
        <v>-0.58912181644410266</v>
      </c>
      <c r="DD21" s="10" t="e">
        <f t="shared" si="26"/>
        <v>#N/A</v>
      </c>
      <c r="DE21" s="10">
        <f>(HAVERQ!AZ145-AVERAGE(HAVERQ!AZ$128:AZ$167,AZ$174:AZ$183))/STDEV(HAVERQ!AZ$128:AZ$167,AZ$174:AZ$183)</f>
        <v>1.0406548227717887</v>
      </c>
      <c r="DF21" s="10">
        <f>(HAVERQ!AS145-AVERAGE(HAVERQ!AS$128:AS$183))/STDEV(HAVERQ!AS$128:AS$183)</f>
        <v>-0.19223171795854022</v>
      </c>
      <c r="DG21" s="10">
        <f t="shared" si="27"/>
        <v>-0.9876732896355539</v>
      </c>
      <c r="DH21" s="10">
        <f>(HAVERQ!AX145-AVERAGE(HAVERQ!AX$128:AX$183))/STDEV(HAVERQ!AX$128:AX$183)</f>
        <v>0.18361408714611957</v>
      </c>
      <c r="DJ21" s="10">
        <f t="shared" si="9"/>
        <v>-0.9130307022856613</v>
      </c>
      <c r="DL21" s="10">
        <f>100*(HAVERQ!AV145/(HAVERQ!AW145*HAVERQ!AX145/100))</f>
        <v>2.2536343660968119</v>
      </c>
      <c r="DM21" s="10">
        <f>HAVERQ!AO145/HAVERQ!AP145</f>
        <v>0.32476144266537282</v>
      </c>
      <c r="DN21" s="10" t="e">
        <f>100*((AVERAGE(HAVERQ!BC142:BC145)/AVERAGE(HAVERQ!BC138:BC141))-1)</f>
        <v>#N/A</v>
      </c>
      <c r="DO21" s="10">
        <f>100*(HAVERQ!BE145+HAVERQ!BF145)/(HAVERQ!BB145+HAVERQ!BG145)</f>
        <v>11.117202729044834</v>
      </c>
      <c r="DP21" s="10">
        <f>100*((AVERAGE(HAVERQ!BA142:BA145)/AVERAGE(HAVERQ!BA138:BA141))-1)</f>
        <v>1.0758570386579125</v>
      </c>
      <c r="DR21" s="10">
        <f>(HAVERQ!AT145*HAVERQ!$AT$1)+(HAVERQ!AU145*HAVERQ!$AU$1)</f>
        <v>53.554730650062119</v>
      </c>
      <c r="DT21" s="27" t="s">
        <v>1373</v>
      </c>
      <c r="DU21" s="22" t="s">
        <v>1374</v>
      </c>
      <c r="DV21" s="21" t="s">
        <v>1361</v>
      </c>
      <c r="DX21" s="21" t="s">
        <v>1365</v>
      </c>
      <c r="DY21" s="28" t="s">
        <v>1375</v>
      </c>
    </row>
    <row r="22" spans="13:129" ht="15.75" x14ac:dyDescent="0.25">
      <c r="M22" s="5">
        <v>42917</v>
      </c>
      <c r="N22">
        <f>HAVERM!C457</f>
        <v>4.3310000000000004</v>
      </c>
      <c r="O22" s="3">
        <f>HAVERM!B457</f>
        <v>4.3</v>
      </c>
      <c r="Q22" s="5">
        <v>42917</v>
      </c>
      <c r="R22">
        <f>MIN(HAVERM!C456:C458)</f>
        <v>4.3109999999999999</v>
      </c>
      <c r="S22" s="3">
        <f t="shared" si="3"/>
        <v>2.0000000000000462E-2</v>
      </c>
      <c r="T22" s="3">
        <f>HAVERM!B457</f>
        <v>4.3</v>
      </c>
      <c r="V22">
        <f>MAX(HAVERM!C456:C458)</f>
        <v>4.3310000000000004</v>
      </c>
      <c r="X22" s="9">
        <v>45108</v>
      </c>
      <c r="Y22" s="8">
        <f>HAVERQ!E182-AVERAGE(HAVERQ!E$164:E$167)</f>
        <v>461.25</v>
      </c>
      <c r="Z22" s="8">
        <f>HAVERQ!F182-AVERAGE(HAVERQ!F$164:F$167)</f>
        <v>-39.75</v>
      </c>
      <c r="AB22" s="9">
        <v>38169</v>
      </c>
      <c r="AC22" s="8">
        <f>HAVERQ!P106</f>
        <v>1443</v>
      </c>
      <c r="AD22" s="8">
        <f>HAVERQ!O106</f>
        <v>1573</v>
      </c>
      <c r="AE22" s="8">
        <f>HAVERQ!N106</f>
        <v>1279</v>
      </c>
      <c r="AF22" s="8">
        <f>HAVERQ!M106</f>
        <v>265</v>
      </c>
      <c r="AG22" s="8">
        <f>HAVERQ!L106</f>
        <v>216</v>
      </c>
      <c r="AH22" s="8">
        <f>HAVERQ!E106-AC22-AD22-AE22-AF22-AG22</f>
        <v>801</v>
      </c>
      <c r="AJ22" s="9">
        <v>38169</v>
      </c>
      <c r="AK22" s="8">
        <f t="shared" si="11"/>
        <v>25.874125874125873</v>
      </c>
      <c r="AL22" s="8">
        <f t="shared" si="12"/>
        <v>28.205128205128204</v>
      </c>
      <c r="AM22" s="8">
        <f t="shared" si="13"/>
        <v>22.933476779630627</v>
      </c>
      <c r="AN22" s="8">
        <f t="shared" si="14"/>
        <v>4.7516585978124439</v>
      </c>
      <c r="AO22" s="8">
        <f t="shared" si="15"/>
        <v>3.8730500268961805</v>
      </c>
      <c r="AP22" s="8">
        <f t="shared" si="15"/>
        <v>14.362560516406669</v>
      </c>
      <c r="AR22" s="9">
        <v>45108</v>
      </c>
      <c r="AS22" s="8">
        <f>HAVERQ!T182-AVERAGE(HAVERQ!T$164:T$167)</f>
        <v>-21.25</v>
      </c>
      <c r="AT22" s="8">
        <f>HAVERQ!U182-AVERAGE(HAVERQ!U$164:U$167)</f>
        <v>-10.25</v>
      </c>
      <c r="AU22" s="8">
        <f>HAVERQ!V182-AVERAGE(HAVERQ!V$164:V$167)</f>
        <v>-91.75</v>
      </c>
      <c r="AV22" s="8">
        <f>HAVERQ!W182-AVERAGE(HAVERQ!W$164:W$167)</f>
        <v>-15.75</v>
      </c>
      <c r="AW22" s="8">
        <f>HAVERQ!X182-AVERAGE(HAVERQ!X$164:X$167)</f>
        <v>19.5</v>
      </c>
      <c r="AX22" s="8">
        <f>HAVERQ!Y182-AVERAGE(HAVERQ!Y$164:Y$167)</f>
        <v>-86.25</v>
      </c>
      <c r="AY22" s="8">
        <f>HAVERQ!Z182-AVERAGE(HAVERQ!Z$164:Z$167)</f>
        <v>-244.5</v>
      </c>
      <c r="AZ22" s="8">
        <f>HAVERQ!AA182-AVERAGE(HAVERQ!AA$164:AA$167)</f>
        <v>47</v>
      </c>
      <c r="BA22" s="8">
        <f>HAVERQ!AB182-AVERAGE(HAVERQ!AB$164:AB$167)</f>
        <v>181</v>
      </c>
      <c r="BB22" s="8">
        <f>HAVERQ!AC182-AVERAGE(HAVERQ!AC$164:AC$167)</f>
        <v>83.75</v>
      </c>
      <c r="BC22" s="8">
        <f>HAVERQ!AD182-AVERAGE(HAVERQ!AD$164:AD$167)</f>
        <v>-4.25</v>
      </c>
      <c r="BD22" s="8">
        <f>HAVERQ!AE182-AVERAGE(HAVERQ!AE$164:AE$167)</f>
        <v>91.25</v>
      </c>
      <c r="BE22" s="8">
        <f>HAVERQ!AF182-AVERAGE(HAVERQ!AF$164:AF$167)</f>
        <v>244</v>
      </c>
      <c r="BF22" s="8">
        <f>HAVERQ!AG182-AVERAGE(HAVERQ!AG$164:AG$167)</f>
        <v>37.5</v>
      </c>
      <c r="BG22" s="8">
        <f>HAVERQ!AH182-AVERAGE(HAVERQ!AH$164:AH$167)</f>
        <v>157.25</v>
      </c>
      <c r="BH22" s="8">
        <f>HAVERQ!AI182-AVERAGE(HAVERQ!AI$164:AI$167)</f>
        <v>75</v>
      </c>
      <c r="BI22" s="8">
        <f>HAVERQ!AJ182-AVERAGE(HAVERQ!AJ$164:AJ$167)</f>
        <v>405.75</v>
      </c>
      <c r="BJ22" s="8">
        <f>HAVERQ!AK182-AVERAGE(HAVERQ!AK$164:AK$167)</f>
        <v>41.25</v>
      </c>
      <c r="BK22" s="8">
        <f t="shared" si="16"/>
        <v>-47.5</v>
      </c>
      <c r="BM22" s="8">
        <f>HAVERQ!AL182+HAVERQ!AM182</f>
        <v>970</v>
      </c>
      <c r="BO22" s="9">
        <v>45108</v>
      </c>
      <c r="BP22" s="8">
        <f t="shared" si="17"/>
        <v>-21.25</v>
      </c>
      <c r="BQ22" s="8">
        <f t="shared" si="18"/>
        <v>-6.5</v>
      </c>
      <c r="BR22" s="8">
        <f t="shared" si="19"/>
        <v>-91.75</v>
      </c>
      <c r="BS22" s="8">
        <f t="shared" si="20"/>
        <v>-86.25</v>
      </c>
      <c r="BT22" s="8">
        <f t="shared" si="21"/>
        <v>-63.5</v>
      </c>
      <c r="BU22" s="8">
        <f t="shared" si="22"/>
        <v>130.75</v>
      </c>
      <c r="BV22" s="8">
        <f t="shared" si="23"/>
        <v>-4.25</v>
      </c>
      <c r="BW22" s="8">
        <f t="shared" si="24"/>
        <v>372.75</v>
      </c>
      <c r="BX22" s="8">
        <f t="shared" si="25"/>
        <v>631.75</v>
      </c>
      <c r="BZ22" s="8">
        <f>HAVERQ!T182</f>
        <v>377</v>
      </c>
      <c r="CA22" s="8">
        <f>HAVERQ!U182+HAVERQ!W182+HAVERQ!X182</f>
        <v>419</v>
      </c>
      <c r="CB22" s="8">
        <f>HAVERQ!V182</f>
        <v>2599</v>
      </c>
      <c r="CC22" s="8">
        <f>HAVERQ!Y182</f>
        <v>2247</v>
      </c>
      <c r="CD22" s="8">
        <f>HAVERQ!Z182+HAVERQ!AB182</f>
        <v>7441</v>
      </c>
      <c r="CE22" s="8">
        <f>HAVERQ!AA182+HAVERQ!AC182</f>
        <v>3437</v>
      </c>
      <c r="CF22" s="8">
        <f>HAVERQ!AD182</f>
        <v>1131</v>
      </c>
      <c r="CG22" s="8">
        <f>HAVERQ!AE182+HAVERQ!AF182+HAVERQ!AG182</f>
        <v>7204</v>
      </c>
      <c r="CH22" s="8">
        <f>HAVERQ!AH182+HAVERQ!AI182+HAVERQ!AJ182+HAVERQ!AK182+HAVERQ!AL182+HAVERQ!AM182</f>
        <v>11572</v>
      </c>
      <c r="CI22" s="8">
        <f>HAVERQ!S182-SUM('Chart Data'!BZ22:CH22)</f>
        <v>2</v>
      </c>
      <c r="CL22" s="2">
        <f>100*((DataQ!F181/DataQ!F177)-1)</f>
        <v>2.2021637716025166</v>
      </c>
      <c r="CM22" s="2">
        <f>100*(DataQ!I181/DataQ!J181)</f>
        <v>22.110978212902928</v>
      </c>
      <c r="CY22" s="10">
        <f>(HAVERQ!AQ146-AVERAGE(HAVERQ!AQ$128:AQ$183))/STDEV(HAVERQ!AQ$128:AQ$183)</f>
        <v>0.2914119382053042</v>
      </c>
      <c r="CZ22" s="10">
        <f t="shared" si="6"/>
        <v>0.62644391373898867</v>
      </c>
      <c r="DA22" s="10">
        <f t="shared" si="7"/>
        <v>0.88587930186736819</v>
      </c>
      <c r="DB22" s="10">
        <f>(HAVERQ!AR146-AVERAGE(HAVERQ!AR$128:AR$183))/STDEV(HAVERQ!AR$128:AR$183)</f>
        <v>-0.60080073943373047</v>
      </c>
      <c r="DC22" s="10">
        <f t="shared" si="8"/>
        <v>-0.45417402418648145</v>
      </c>
      <c r="DD22" s="10" t="e">
        <f t="shared" si="26"/>
        <v>#N/A</v>
      </c>
      <c r="DE22" s="10">
        <f>(HAVERQ!AZ146-AVERAGE(HAVERQ!AZ$128:AZ$167,AZ$174:AZ$183))/STDEV(HAVERQ!AZ$128:AZ$167,AZ$174:AZ$183)</f>
        <v>1.0406548227717887</v>
      </c>
      <c r="DF22" s="10">
        <f>(HAVERQ!AS146-AVERAGE(HAVERQ!AS$128:AS$183))/STDEV(HAVERQ!AS$128:AS$183)</f>
        <v>0.19379839862649909</v>
      </c>
      <c r="DG22" s="10">
        <f t="shared" si="27"/>
        <v>-0.97025063946789369</v>
      </c>
      <c r="DH22" s="10">
        <f>(HAVERQ!AX146-AVERAGE(HAVERQ!AX$128:AX$183))/STDEV(HAVERQ!AX$128:AX$183)</f>
        <v>-0.11880911521214067</v>
      </c>
      <c r="DJ22" s="10">
        <f t="shared" si="9"/>
        <v>-0.35545529852275165</v>
      </c>
      <c r="DL22" s="10">
        <f>100*(HAVERQ!AV146/(HAVERQ!AW146*HAVERQ!AX146/100))</f>
        <v>2.1007355679923161</v>
      </c>
      <c r="DM22" s="10">
        <f>HAVERQ!AO146/HAVERQ!AP146</f>
        <v>0.35660890248046212</v>
      </c>
      <c r="DN22" s="10" t="e">
        <f>100*((AVERAGE(HAVERQ!BC143:BC146)/AVERAGE(HAVERQ!BC139:BC142))-1)</f>
        <v>#N/A</v>
      </c>
      <c r="DO22" s="10">
        <f>100*(HAVERQ!BE146+HAVERQ!BF146)/(HAVERQ!BB146+HAVERQ!BG146)</f>
        <v>11.000882505097227</v>
      </c>
      <c r="DP22" s="10">
        <f>100*((AVERAGE(HAVERQ!BA143:BA146)/AVERAGE(HAVERQ!BA139:BA142))-1)</f>
        <v>1.1096961979261355</v>
      </c>
      <c r="DR22" s="10">
        <f>(HAVERQ!AT146*HAVERQ!$AT$1)+(HAVERQ!AU146*HAVERQ!$AU$1)</f>
        <v>59.088311455043488</v>
      </c>
      <c r="DT22" s="29"/>
      <c r="DU22" s="22" t="s">
        <v>1376</v>
      </c>
      <c r="DV22" s="21" t="s">
        <v>1361</v>
      </c>
      <c r="DX22" s="21" t="s">
        <v>1361</v>
      </c>
      <c r="DY22" s="28" t="s">
        <v>1375</v>
      </c>
    </row>
    <row r="23" spans="13:129" ht="15.75" x14ac:dyDescent="0.25">
      <c r="M23" s="5">
        <v>42948</v>
      </c>
      <c r="N23">
        <f>HAVERM!C458</f>
        <v>4.3310000000000004</v>
      </c>
      <c r="O23" s="3">
        <f>HAVERM!B458</f>
        <v>4.3</v>
      </c>
      <c r="Q23" s="5">
        <v>42948</v>
      </c>
      <c r="R23">
        <f>MIN(HAVERM!C457:C459)</f>
        <v>4.133</v>
      </c>
      <c r="S23" s="3">
        <f t="shared" si="3"/>
        <v>0.1980000000000004</v>
      </c>
      <c r="T23" s="3">
        <f>HAVERM!B458</f>
        <v>4.3</v>
      </c>
      <c r="V23">
        <f>MAX(HAVERM!C457:C459)</f>
        <v>4.3310000000000004</v>
      </c>
      <c r="X23" s="9">
        <v>45200</v>
      </c>
      <c r="Y23" s="8">
        <f>HAVERQ!E183-AVERAGE(HAVERQ!E$164:E$167)</f>
        <v>493.25</v>
      </c>
      <c r="Z23" s="8">
        <f>HAVERQ!F183-AVERAGE(HAVERQ!F$164:F$167)</f>
        <v>-109.75</v>
      </c>
      <c r="AB23" s="9">
        <v>38261</v>
      </c>
      <c r="AC23" s="8">
        <f>HAVERQ!P107</f>
        <v>1456</v>
      </c>
      <c r="AD23" s="8">
        <f>HAVERQ!O107</f>
        <v>1576</v>
      </c>
      <c r="AE23" s="8">
        <f>HAVERQ!N107</f>
        <v>1278</v>
      </c>
      <c r="AF23" s="8">
        <f>HAVERQ!M107</f>
        <v>267</v>
      </c>
      <c r="AG23" s="8">
        <f>HAVERQ!L107</f>
        <v>214</v>
      </c>
      <c r="AH23" s="8">
        <f>HAVERQ!E107-AC23-AD23-AE23-AF23-AG23</f>
        <v>806</v>
      </c>
      <c r="AJ23" s="9">
        <v>38261</v>
      </c>
      <c r="AK23" s="8">
        <f t="shared" si="11"/>
        <v>26.013936037162765</v>
      </c>
      <c r="AL23" s="8">
        <f t="shared" si="12"/>
        <v>28.157941754511345</v>
      </c>
      <c r="AM23" s="8">
        <f t="shared" si="13"/>
        <v>22.833660889762371</v>
      </c>
      <c r="AN23" s="8">
        <f t="shared" si="14"/>
        <v>4.7704127211005902</v>
      </c>
      <c r="AO23" s="8">
        <f t="shared" si="15"/>
        <v>3.8234768626049673</v>
      </c>
      <c r="AP23" s="8">
        <f t="shared" si="15"/>
        <v>14.400571734857959</v>
      </c>
      <c r="AR23" s="9">
        <v>45200</v>
      </c>
      <c r="AS23" s="8">
        <f>HAVERQ!T183-AVERAGE(HAVERQ!T$164:T$167)</f>
        <v>4.75</v>
      </c>
      <c r="AT23" s="8">
        <f>HAVERQ!U183-AVERAGE(HAVERQ!U$164:U$167)</f>
        <v>-11.25</v>
      </c>
      <c r="AU23" s="8">
        <f>HAVERQ!V183-AVERAGE(HAVERQ!V$164:V$167)</f>
        <v>-91.75</v>
      </c>
      <c r="AV23" s="8">
        <f>HAVERQ!W183-AVERAGE(HAVERQ!W$164:W$167)</f>
        <v>-11.75</v>
      </c>
      <c r="AW23" s="8">
        <f>HAVERQ!X183-AVERAGE(HAVERQ!X$164:X$167)</f>
        <v>17.5</v>
      </c>
      <c r="AX23" s="8">
        <f>HAVERQ!Y183-AVERAGE(HAVERQ!Y$164:Y$167)</f>
        <v>-120.25</v>
      </c>
      <c r="AY23" s="8">
        <f>HAVERQ!Z183-AVERAGE(HAVERQ!Z$164:Z$167)</f>
        <v>-239.5</v>
      </c>
      <c r="AZ23" s="8">
        <f>HAVERQ!AA183-AVERAGE(HAVERQ!AA$164:AA$167)</f>
        <v>108</v>
      </c>
      <c r="BA23" s="8">
        <f>HAVERQ!AB183-AVERAGE(HAVERQ!AB$164:AB$167)</f>
        <v>144</v>
      </c>
      <c r="BB23" s="8">
        <f>HAVERQ!AC183-AVERAGE(HAVERQ!AC$164:AC$167)</f>
        <v>127.75</v>
      </c>
      <c r="BC23" s="8">
        <f>HAVERQ!AD183-AVERAGE(HAVERQ!AD$164:AD$167)</f>
        <v>28.75</v>
      </c>
      <c r="BD23" s="8">
        <f>HAVERQ!AE183-AVERAGE(HAVERQ!AE$164:AE$167)</f>
        <v>89.25</v>
      </c>
      <c r="BE23" s="8">
        <f>HAVERQ!AF183-AVERAGE(HAVERQ!AF$164:AF$167)</f>
        <v>183</v>
      </c>
      <c r="BF23" s="8">
        <f>HAVERQ!AG183-AVERAGE(HAVERQ!AG$164:AG$167)</f>
        <v>-21.5</v>
      </c>
      <c r="BG23" s="8">
        <f>HAVERQ!AH183-AVERAGE(HAVERQ!AH$164:AH$167)</f>
        <v>169.25</v>
      </c>
      <c r="BH23" s="8">
        <f>HAVERQ!AI183-AVERAGE(HAVERQ!AI$164:AI$167)</f>
        <v>115</v>
      </c>
      <c r="BI23" s="8">
        <f>HAVERQ!AJ183-AVERAGE(HAVERQ!AJ$164:AJ$167)</f>
        <v>463.75</v>
      </c>
      <c r="BJ23" s="8">
        <f>HAVERQ!AK183-AVERAGE(HAVERQ!AK$164:AK$167)</f>
        <v>47.25</v>
      </c>
      <c r="BK23" s="8">
        <f t="shared" si="16"/>
        <v>-62.5</v>
      </c>
      <c r="BM23" s="8">
        <f>HAVERQ!AL183+HAVERQ!AM183</f>
        <v>955</v>
      </c>
      <c r="BO23" s="9">
        <v>45200</v>
      </c>
      <c r="BP23" s="8">
        <f t="shared" si="17"/>
        <v>4.75</v>
      </c>
      <c r="BQ23" s="8">
        <f t="shared" si="18"/>
        <v>-5.5</v>
      </c>
      <c r="BR23" s="8">
        <f t="shared" si="19"/>
        <v>-91.75</v>
      </c>
      <c r="BS23" s="8">
        <f t="shared" si="20"/>
        <v>-120.25</v>
      </c>
      <c r="BT23" s="8">
        <f t="shared" si="21"/>
        <v>-95.5</v>
      </c>
      <c r="BU23" s="8">
        <f t="shared" si="22"/>
        <v>235.75</v>
      </c>
      <c r="BV23" s="8">
        <f t="shared" si="23"/>
        <v>28.75</v>
      </c>
      <c r="BW23" s="8">
        <f t="shared" si="24"/>
        <v>250.75</v>
      </c>
      <c r="BX23" s="8">
        <f t="shared" si="25"/>
        <v>732.75</v>
      </c>
      <c r="BZ23" s="8">
        <f>HAVERQ!T183</f>
        <v>403</v>
      </c>
      <c r="CA23" s="8">
        <f>HAVERQ!U183+HAVERQ!W183+HAVERQ!X183</f>
        <v>420</v>
      </c>
      <c r="CB23" s="8">
        <f>HAVERQ!V183</f>
        <v>2599</v>
      </c>
      <c r="CC23" s="8">
        <f>HAVERQ!Y183</f>
        <v>2213</v>
      </c>
      <c r="CD23" s="8">
        <f>HAVERQ!Z183+HAVERQ!AB183</f>
        <v>7409</v>
      </c>
      <c r="CE23" s="8">
        <f>HAVERQ!AA183+HAVERQ!AC183</f>
        <v>3542</v>
      </c>
      <c r="CF23" s="8">
        <f>HAVERQ!AD183</f>
        <v>1164</v>
      </c>
      <c r="CG23" s="8">
        <f>HAVERQ!AE183+HAVERQ!AF183+HAVERQ!AG183</f>
        <v>7082</v>
      </c>
      <c r="CH23" s="8">
        <f>HAVERQ!AH183+HAVERQ!AI183+HAVERQ!AJ183+HAVERQ!AK183+HAVERQ!AL183+HAVERQ!AM183</f>
        <v>11673</v>
      </c>
      <c r="CI23" s="8">
        <f>HAVERQ!S183-SUM('Chart Data'!BZ23:CH23)</f>
        <v>1</v>
      </c>
      <c r="CL23" s="2">
        <f>100*((DataQ!F182/DataQ!F178)-1)</f>
        <v>1.733990619757475</v>
      </c>
      <c r="CM23" s="2">
        <f>100*(DataQ!I182/DataQ!J182)</f>
        <v>22.57735229608376</v>
      </c>
      <c r="CY23" s="10">
        <f>(HAVERQ!AQ147-AVERAGE(HAVERQ!AQ$128:AQ$183))/STDEV(HAVERQ!AQ$128:AQ$183)</f>
        <v>0.10873579783780088</v>
      </c>
      <c r="CZ23" s="10">
        <f t="shared" si="6"/>
        <v>0.41434024206686321</v>
      </c>
      <c r="DA23" s="10">
        <f t="shared" si="7"/>
        <v>0.83169866617305677</v>
      </c>
      <c r="DB23" s="10">
        <f>(HAVERQ!AR147-AVERAGE(HAVERQ!AR$128:AR$183))/STDEV(HAVERQ!AR$128:AR$183)</f>
        <v>-0.27729264896941441</v>
      </c>
      <c r="DC23" s="10">
        <f t="shared" si="8"/>
        <v>-0.35717340420370591</v>
      </c>
      <c r="DD23" s="10" t="e">
        <f t="shared" si="26"/>
        <v>#N/A</v>
      </c>
      <c r="DE23" s="10">
        <f>(HAVERQ!AZ147-AVERAGE(HAVERQ!AZ$128:AZ$167,AZ$174:AZ$183))/STDEV(HAVERQ!AZ$128:AZ$167,AZ$174:AZ$183)</f>
        <v>1.0406548227717887</v>
      </c>
      <c r="DF23" s="10">
        <f>(HAVERQ!AS147-AVERAGE(HAVERQ!AS$128:AS$183))/STDEV(HAVERQ!AS$128:AS$183)</f>
        <v>0.36926663343788035</v>
      </c>
      <c r="DG23" s="10">
        <f t="shared" si="27"/>
        <v>-0.83220781553216028</v>
      </c>
      <c r="DH23" s="10">
        <f>(HAVERQ!AX147-AVERAGE(HAVERQ!AX$128:AX$183))/STDEV(HAVERQ!AX$128:AX$183)</f>
        <v>-0.42123231757040092</v>
      </c>
      <c r="DJ23" s="10">
        <f t="shared" si="9"/>
        <v>-0.67340749444984238</v>
      </c>
      <c r="DL23" s="10">
        <f>100*(HAVERQ!AV147/(HAVERQ!AW147*HAVERQ!AX147/100))</f>
        <v>1.9418894748951279</v>
      </c>
      <c r="DM23" s="10">
        <f>HAVERQ!AO147/HAVERQ!AP147</f>
        <v>0.37950089126559711</v>
      </c>
      <c r="DN23" s="10" t="e">
        <f>100*((AVERAGE(HAVERQ!BC144:BC147)/AVERAGE(HAVERQ!BC140:BC143))-1)</f>
        <v>#N/A</v>
      </c>
      <c r="DO23" s="10">
        <f>100*(HAVERQ!BE147+HAVERQ!BF147)/(HAVERQ!BB147+HAVERQ!BG147)</f>
        <v>10.919155666403066</v>
      </c>
      <c r="DP23" s="10">
        <f>100*((AVERAGE(HAVERQ!BA144:BA147)/AVERAGE(HAVERQ!BA140:BA143))-1)</f>
        <v>1.377810007251612</v>
      </c>
      <c r="DR23" s="10">
        <f>(HAVERQ!AT147*HAVERQ!$AT$1)+(HAVERQ!AU147*HAVERQ!$AU$1)</f>
        <v>55.932838390037276</v>
      </c>
      <c r="DT23" s="29"/>
      <c r="DU23" s="22" t="s">
        <v>1377</v>
      </c>
      <c r="DV23" s="21" t="s">
        <v>1361</v>
      </c>
      <c r="DX23" s="21" t="s">
        <v>1365</v>
      </c>
      <c r="DY23" s="28" t="s">
        <v>1375</v>
      </c>
    </row>
    <row r="24" spans="13:129" ht="15.75" x14ac:dyDescent="0.25">
      <c r="M24" s="5">
        <v>42979</v>
      </c>
      <c r="N24">
        <f>HAVERM!C459</f>
        <v>4.133</v>
      </c>
      <c r="O24" s="3">
        <f>HAVERM!B459</f>
        <v>4.2</v>
      </c>
      <c r="Q24" s="5">
        <v>42979</v>
      </c>
      <c r="R24">
        <f>MIN(HAVERM!C458:C460)</f>
        <v>4.133</v>
      </c>
      <c r="S24" s="3">
        <f t="shared" si="3"/>
        <v>0.1980000000000004</v>
      </c>
      <c r="T24" s="3">
        <f>HAVERM!B459</f>
        <v>4.2</v>
      </c>
      <c r="V24">
        <f>MAX(HAVERM!C458:C460)</f>
        <v>4.3310000000000004</v>
      </c>
      <c r="X24" s="9">
        <v>45292</v>
      </c>
      <c r="Y24" s="8">
        <f>HAVERQ!E184-AVERAGE(HAVERQ!E$164:E$167)</f>
        <v>519.25</v>
      </c>
      <c r="Z24" s="8">
        <f>HAVERQ!F184-AVERAGE(HAVERQ!F$164:F$167)</f>
        <v>-110.75</v>
      </c>
      <c r="AB24" s="9">
        <v>38353</v>
      </c>
      <c r="AC24" s="8">
        <f>HAVERQ!P108</f>
        <v>1466</v>
      </c>
      <c r="AD24" s="8">
        <f>HAVERQ!O108</f>
        <v>1581</v>
      </c>
      <c r="AE24" s="8">
        <f>HAVERQ!N108</f>
        <v>1280</v>
      </c>
      <c r="AF24" s="8">
        <f>HAVERQ!M108</f>
        <v>271</v>
      </c>
      <c r="AG24" s="8">
        <f>HAVERQ!L108</f>
        <v>212</v>
      </c>
      <c r="AH24" s="8">
        <f>HAVERQ!E108-AC24-AD24-AE24-AF24-AG24</f>
        <v>805</v>
      </c>
      <c r="AJ24" s="9">
        <v>38353</v>
      </c>
      <c r="AK24" s="8">
        <f t="shared" si="11"/>
        <v>26.108637577916294</v>
      </c>
      <c r="AL24" s="8">
        <f t="shared" si="12"/>
        <v>28.156723063223509</v>
      </c>
      <c r="AM24" s="8">
        <f t="shared" si="13"/>
        <v>22.796081923419411</v>
      </c>
      <c r="AN24" s="8">
        <f t="shared" si="14"/>
        <v>4.8263579697239534</v>
      </c>
      <c r="AO24" s="8">
        <f t="shared" si="15"/>
        <v>3.7756010685663401</v>
      </c>
      <c r="AP24" s="8">
        <f t="shared" si="15"/>
        <v>14.336598397150491</v>
      </c>
      <c r="AR24" s="9">
        <v>45292</v>
      </c>
      <c r="AS24" s="8">
        <f>HAVERQ!T184-AVERAGE(HAVERQ!T$164:T$167)</f>
        <v>-26.25</v>
      </c>
      <c r="AT24" s="8">
        <f>HAVERQ!U184-AVERAGE(HAVERQ!U$164:U$167)</f>
        <v>-13.25</v>
      </c>
      <c r="AU24" s="8">
        <f>HAVERQ!V184-AVERAGE(HAVERQ!V$164:V$167)</f>
        <v>-111.75</v>
      </c>
      <c r="AV24" s="8">
        <f>HAVERQ!W184-AVERAGE(HAVERQ!W$164:W$167)</f>
        <v>-10.75</v>
      </c>
      <c r="AW24" s="8">
        <f>HAVERQ!X184-AVERAGE(HAVERQ!X$164:X$167)</f>
        <v>23.5</v>
      </c>
      <c r="AX24" s="8">
        <f>HAVERQ!Y184-AVERAGE(HAVERQ!Y$164:Y$167)</f>
        <v>-99.25</v>
      </c>
      <c r="AY24" s="8">
        <f>HAVERQ!Z184-AVERAGE(HAVERQ!Z$164:Z$167)</f>
        <v>-229.5</v>
      </c>
      <c r="AZ24" s="8">
        <f>HAVERQ!AA184-AVERAGE(HAVERQ!AA$164:AA$167)</f>
        <v>106</v>
      </c>
      <c r="BA24" s="8">
        <f>HAVERQ!AB184-AVERAGE(HAVERQ!AB$164:AB$167)</f>
        <v>167</v>
      </c>
      <c r="BB24" s="8">
        <f>HAVERQ!AC184-AVERAGE(HAVERQ!AC$164:AC$167)</f>
        <v>117.75</v>
      </c>
      <c r="BC24" s="8">
        <f>HAVERQ!AD184-AVERAGE(HAVERQ!AD$164:AD$167)</f>
        <v>20.75</v>
      </c>
      <c r="BD24" s="8">
        <f>HAVERQ!AE184-AVERAGE(HAVERQ!AE$164:AE$167)</f>
        <v>98.25</v>
      </c>
      <c r="BE24" s="8">
        <f>HAVERQ!AF184-AVERAGE(HAVERQ!AF$164:AF$167)</f>
        <v>253</v>
      </c>
      <c r="BF24" s="8">
        <f>HAVERQ!AG184-AVERAGE(HAVERQ!AG$164:AG$167)</f>
        <v>-33.5</v>
      </c>
      <c r="BG24" s="8">
        <f>HAVERQ!AH184-AVERAGE(HAVERQ!AH$164:AH$167)</f>
        <v>186.25</v>
      </c>
      <c r="BH24" s="8">
        <f>HAVERQ!AI184-AVERAGE(HAVERQ!AI$164:AI$167)</f>
        <v>120</v>
      </c>
      <c r="BI24" s="8">
        <f>HAVERQ!AJ184-AVERAGE(HAVERQ!AJ$164:AJ$167)</f>
        <v>553.75</v>
      </c>
      <c r="BJ24" s="8">
        <f>HAVERQ!AK184-AVERAGE(HAVERQ!AK$164:AK$167)</f>
        <v>80.25</v>
      </c>
      <c r="BK24" s="8">
        <f t="shared" si="16"/>
        <v>22.5</v>
      </c>
      <c r="BM24" s="8">
        <f>HAVERQ!AL184+HAVERQ!AM184</f>
        <v>1040</v>
      </c>
      <c r="BO24" s="9">
        <v>45292</v>
      </c>
      <c r="BP24" s="8">
        <f t="shared" si="17"/>
        <v>-26.25</v>
      </c>
      <c r="BQ24" s="8">
        <f t="shared" si="18"/>
        <v>-0.5</v>
      </c>
      <c r="BR24" s="8">
        <f t="shared" si="19"/>
        <v>-111.75</v>
      </c>
      <c r="BS24" s="8">
        <f t="shared" si="20"/>
        <v>-99.25</v>
      </c>
      <c r="BT24" s="8">
        <f t="shared" si="21"/>
        <v>-62.5</v>
      </c>
      <c r="BU24" s="8">
        <f t="shared" si="22"/>
        <v>223.75</v>
      </c>
      <c r="BV24" s="8">
        <f t="shared" si="23"/>
        <v>20.75</v>
      </c>
      <c r="BW24" s="8">
        <f t="shared" si="24"/>
        <v>317.75</v>
      </c>
      <c r="BX24" s="8">
        <f t="shared" si="25"/>
        <v>962.75</v>
      </c>
      <c r="BZ24" s="8">
        <f>HAVERQ!T184</f>
        <v>372</v>
      </c>
      <c r="CA24" s="8">
        <f>HAVERQ!U184+HAVERQ!W184+HAVERQ!X184</f>
        <v>425</v>
      </c>
      <c r="CB24" s="8">
        <f>HAVERQ!V184</f>
        <v>2579</v>
      </c>
      <c r="CC24" s="8">
        <f>HAVERQ!Y184</f>
        <v>2234</v>
      </c>
      <c r="CD24" s="8">
        <f>HAVERQ!Z184+HAVERQ!AB184</f>
        <v>7442</v>
      </c>
      <c r="CE24" s="8">
        <f>HAVERQ!AA184+HAVERQ!AC184</f>
        <v>3530</v>
      </c>
      <c r="CF24" s="8">
        <f>HAVERQ!AD184</f>
        <v>1156</v>
      </c>
      <c r="CG24" s="8">
        <f>HAVERQ!AE184+HAVERQ!AF184+HAVERQ!AG184</f>
        <v>7149</v>
      </c>
      <c r="CH24" s="8">
        <f>HAVERQ!AH184+HAVERQ!AI184+HAVERQ!AJ184+HAVERQ!AK184+HAVERQ!AL184+HAVERQ!AM184</f>
        <v>11903</v>
      </c>
      <c r="CI24" s="8">
        <f>HAVERQ!S184-SUM('Chart Data'!BZ24:CH24)</f>
        <v>1</v>
      </c>
      <c r="CK24">
        <v>2017</v>
      </c>
      <c r="CL24" s="2">
        <f>100*((DataQ!F183/DataQ!F179)-1)</f>
        <v>1.7811313711335375</v>
      </c>
      <c r="CM24" s="2">
        <f>100*(DataQ!I183/DataQ!J183)</f>
        <v>22.554465234501201</v>
      </c>
      <c r="CX24">
        <v>2015</v>
      </c>
      <c r="CY24" s="10">
        <f>(HAVERQ!AQ148-AVERAGE(HAVERQ!AQ$128:AQ$183))/STDEV(HAVERQ!AQ$128:AQ$183)</f>
        <v>-1.3048295740534829E-2</v>
      </c>
      <c r="CZ24" s="10">
        <f t="shared" si="6"/>
        <v>0.20320335415024651</v>
      </c>
      <c r="DA24" s="10">
        <f t="shared" si="7"/>
        <v>0.88360899024635908</v>
      </c>
      <c r="DB24" s="10">
        <f>(HAVERQ!AR148-AVERAGE(HAVERQ!AR$128:AR$183))/STDEV(HAVERQ!AR$128:AR$183)</f>
        <v>-0.22337463389202808</v>
      </c>
      <c r="DC24" s="10">
        <f t="shared" si="8"/>
        <v>-0.3246129564674945</v>
      </c>
      <c r="DD24" s="10" t="e">
        <f t="shared" si="26"/>
        <v>#N/A</v>
      </c>
      <c r="DE24" s="10">
        <f>(HAVERQ!AZ148-AVERAGE(HAVERQ!AZ$128:AZ$167,AZ$174:AZ$183))/STDEV(HAVERQ!AZ$128:AZ$167,AZ$174:AZ$183)</f>
        <v>0.61151881338135383</v>
      </c>
      <c r="DF24" s="10">
        <f>(HAVERQ!AS148-AVERAGE(HAVERQ!AS$128:AS$183))/STDEV(HAVERQ!AS$128:AS$183)</f>
        <v>0.28153251603218959</v>
      </c>
      <c r="DG24" s="10">
        <f t="shared" si="27"/>
        <v>-0.72405268570350934</v>
      </c>
      <c r="DH24" s="10">
        <f>(HAVERQ!AX148-AVERAGE(HAVERQ!AX$128:AX$183))/STDEV(HAVERQ!AX$128:AX$183)</f>
        <v>0.18361408714611957</v>
      </c>
      <c r="DJ24" s="10">
        <f t="shared" si="9"/>
        <v>0.27155064277326035</v>
      </c>
      <c r="DL24" s="10">
        <f>100*(HAVERQ!AV148/(HAVERQ!AW148*HAVERQ!AX148/100))</f>
        <v>1.7837674136886736</v>
      </c>
      <c r="DM24" s="10">
        <f>HAVERQ!AO148/HAVERQ!AP148</f>
        <v>0.38718510405257395</v>
      </c>
      <c r="DN24" s="10" t="e">
        <f>100*((AVERAGE(HAVERQ!BC145:BC148)/AVERAGE(HAVERQ!BC141:BC144))-1)</f>
        <v>#N/A</v>
      </c>
      <c r="DO24" s="10">
        <f>100*(HAVERQ!BE148+HAVERQ!BF148)/(HAVERQ!BB148+HAVERQ!BG148)</f>
        <v>10.997457934874712</v>
      </c>
      <c r="DP24" s="10">
        <f>100*((AVERAGE(HAVERQ!BA145:BA148)/AVERAGE(HAVERQ!BA141:BA144))-1)</f>
        <v>1.5878744135691125</v>
      </c>
      <c r="DR24" s="10">
        <f>(HAVERQ!AT148*HAVERQ!$AT$1)+(HAVERQ!AU148*HAVERQ!$AU$1)</f>
        <v>65.310946130012425</v>
      </c>
      <c r="DT24" s="29"/>
      <c r="DU24" s="22" t="s">
        <v>1378</v>
      </c>
      <c r="DV24" s="21" t="s">
        <v>1361</v>
      </c>
      <c r="DX24" s="21" t="s">
        <v>1361</v>
      </c>
      <c r="DY24" s="28" t="s">
        <v>1379</v>
      </c>
    </row>
    <row r="25" spans="13:129" ht="15.75" x14ac:dyDescent="0.25">
      <c r="M25" s="5">
        <v>43009</v>
      </c>
      <c r="N25">
        <f>HAVERM!C460</f>
        <v>4.2880000000000003</v>
      </c>
      <c r="O25" s="3">
        <f>HAVERM!B460</f>
        <v>4.3</v>
      </c>
      <c r="Q25" s="5">
        <v>43009</v>
      </c>
      <c r="R25">
        <f>MIN(HAVERM!C459:C461)</f>
        <v>4.133</v>
      </c>
      <c r="S25" s="3">
        <f t="shared" si="3"/>
        <v>0.24699999999999989</v>
      </c>
      <c r="T25" s="3">
        <f>HAVERM!B460</f>
        <v>4.3</v>
      </c>
      <c r="V25">
        <f>MAX(HAVERM!C459:C461)</f>
        <v>4.38</v>
      </c>
      <c r="X25" s="9">
        <v>45383</v>
      </c>
      <c r="Y25" s="8">
        <f>HAVERQ!E185-AVERAGE(HAVERQ!E$164:E$167)</f>
        <v>544.25</v>
      </c>
      <c r="Z25" s="8">
        <f>HAVERQ!F185-AVERAGE(HAVERQ!F$164:F$167)</f>
        <v>113.25</v>
      </c>
      <c r="AB25" s="9">
        <v>38443</v>
      </c>
      <c r="AC25" s="8">
        <f>HAVERQ!P109</f>
        <v>1480</v>
      </c>
      <c r="AD25" s="8">
        <f>HAVERQ!O109</f>
        <v>1583</v>
      </c>
      <c r="AE25" s="8">
        <f>HAVERQ!N109</f>
        <v>1287</v>
      </c>
      <c r="AF25" s="8">
        <f>HAVERQ!M109</f>
        <v>272</v>
      </c>
      <c r="AG25" s="8">
        <f>HAVERQ!L109</f>
        <v>210</v>
      </c>
      <c r="AH25" s="8">
        <f>HAVERQ!E109-AC25-AD25-AE25-AF25-AG25</f>
        <v>814</v>
      </c>
      <c r="AJ25" s="9">
        <v>38443</v>
      </c>
      <c r="AK25" s="8">
        <f t="shared" si="11"/>
        <v>26.213248317392846</v>
      </c>
      <c r="AL25" s="8">
        <f t="shared" si="12"/>
        <v>28.037548707049236</v>
      </c>
      <c r="AM25" s="8">
        <f t="shared" si="13"/>
        <v>22.79489904357067</v>
      </c>
      <c r="AN25" s="8">
        <f t="shared" si="14"/>
        <v>4.8175699610343603</v>
      </c>
      <c r="AO25" s="8">
        <f t="shared" si="15"/>
        <v>3.7194473963868226</v>
      </c>
      <c r="AP25" s="8">
        <f t="shared" si="15"/>
        <v>14.417286574566065</v>
      </c>
      <c r="AR25" s="9">
        <v>45383</v>
      </c>
      <c r="AS25" s="8">
        <f>HAVERQ!T185-AVERAGE(HAVERQ!T$164:T$167)</f>
        <v>-48.25</v>
      </c>
      <c r="AT25" s="8">
        <f>HAVERQ!U185-AVERAGE(HAVERQ!U$164:U$167)</f>
        <v>-11.25</v>
      </c>
      <c r="AU25" s="8">
        <f>HAVERQ!V185-AVERAGE(HAVERQ!V$164:V$167)</f>
        <v>-118.75</v>
      </c>
      <c r="AV25" s="8">
        <f>HAVERQ!W185-AVERAGE(HAVERQ!W$164:W$167)</f>
        <v>-4.75</v>
      </c>
      <c r="AW25" s="8">
        <f>HAVERQ!X185-AVERAGE(HAVERQ!X$164:X$167)</f>
        <v>19.5</v>
      </c>
      <c r="AX25" s="8">
        <f>HAVERQ!Y185-AVERAGE(HAVERQ!Y$164:Y$167)</f>
        <v>-175.25</v>
      </c>
      <c r="AY25" s="8">
        <f>HAVERQ!Z185-AVERAGE(HAVERQ!Z$164:Z$167)</f>
        <v>-253.5</v>
      </c>
      <c r="AZ25" s="8">
        <f>HAVERQ!AA185-AVERAGE(HAVERQ!AA$164:AA$167)</f>
        <v>81</v>
      </c>
      <c r="BA25" s="8">
        <f>HAVERQ!AB185-AVERAGE(HAVERQ!AB$164:AB$167)</f>
        <v>184</v>
      </c>
      <c r="BB25" s="8">
        <f>HAVERQ!AC185-AVERAGE(HAVERQ!AC$164:AC$167)</f>
        <v>109.75</v>
      </c>
      <c r="BC25" s="8">
        <f>HAVERQ!AD185-AVERAGE(HAVERQ!AD$164:AD$167)</f>
        <v>32.75</v>
      </c>
      <c r="BD25" s="8">
        <f>HAVERQ!AE185-AVERAGE(HAVERQ!AE$164:AE$167)</f>
        <v>100.25</v>
      </c>
      <c r="BE25" s="8">
        <f>HAVERQ!AF185-AVERAGE(HAVERQ!AF$164:AF$167)</f>
        <v>282</v>
      </c>
      <c r="BF25" s="8">
        <f>HAVERQ!AG185-AVERAGE(HAVERQ!AG$164:AG$167)</f>
        <v>-49.5</v>
      </c>
      <c r="BG25" s="8">
        <f>HAVERQ!AH185-AVERAGE(HAVERQ!AH$164:AH$167)</f>
        <v>200.25</v>
      </c>
      <c r="BH25" s="8">
        <f>HAVERQ!AI185-AVERAGE(HAVERQ!AI$164:AI$167)</f>
        <v>113</v>
      </c>
      <c r="BI25" s="8">
        <f>HAVERQ!AJ185-AVERAGE(HAVERQ!AJ$164:AJ$167)</f>
        <v>636.75</v>
      </c>
      <c r="BJ25" s="8">
        <f>HAVERQ!AK185-AVERAGE(HAVERQ!AK$164:AK$167)</f>
        <v>79.25</v>
      </c>
      <c r="BK25" s="8">
        <f t="shared" si="16"/>
        <v>-20.5</v>
      </c>
      <c r="BM25" s="8">
        <f>HAVERQ!AL185+HAVERQ!AM185</f>
        <v>997</v>
      </c>
      <c r="BO25" s="9">
        <v>45383</v>
      </c>
      <c r="BP25" s="8">
        <f t="shared" si="17"/>
        <v>-48.25</v>
      </c>
      <c r="BQ25" s="8">
        <f t="shared" si="18"/>
        <v>3.5</v>
      </c>
      <c r="BR25" s="8">
        <f t="shared" si="19"/>
        <v>-118.75</v>
      </c>
      <c r="BS25" s="8">
        <f t="shared" si="20"/>
        <v>-175.25</v>
      </c>
      <c r="BT25" s="8">
        <f t="shared" si="21"/>
        <v>-69.5</v>
      </c>
      <c r="BU25" s="8">
        <f t="shared" si="22"/>
        <v>190.75</v>
      </c>
      <c r="BV25" s="8">
        <f t="shared" si="23"/>
        <v>32.75</v>
      </c>
      <c r="BW25" s="8">
        <f t="shared" si="24"/>
        <v>332.75</v>
      </c>
      <c r="BX25" s="8">
        <f t="shared" si="25"/>
        <v>1008.75</v>
      </c>
      <c r="BZ25" s="8">
        <f>HAVERQ!T185</f>
        <v>350</v>
      </c>
      <c r="CA25" s="8">
        <f>HAVERQ!U185+HAVERQ!W185+HAVERQ!X185</f>
        <v>429</v>
      </c>
      <c r="CB25" s="8">
        <f>HAVERQ!V185</f>
        <v>2572</v>
      </c>
      <c r="CC25" s="8">
        <f>HAVERQ!Y185</f>
        <v>2158</v>
      </c>
      <c r="CD25" s="8">
        <f>HAVERQ!Z185+HAVERQ!AB185</f>
        <v>7435</v>
      </c>
      <c r="CE25" s="8">
        <f>HAVERQ!AA185+HAVERQ!AC185</f>
        <v>3497</v>
      </c>
      <c r="CF25" s="8">
        <f>HAVERQ!AD185</f>
        <v>1168</v>
      </c>
      <c r="CG25" s="8">
        <f>HAVERQ!AE185+HAVERQ!AF185+HAVERQ!AG185</f>
        <v>7164</v>
      </c>
      <c r="CH25" s="8">
        <f>HAVERQ!AH185+HAVERQ!AI185+HAVERQ!AJ185+HAVERQ!AK185+HAVERQ!AL185+HAVERQ!AM185</f>
        <v>11949</v>
      </c>
      <c r="CI25" s="8">
        <f>HAVERQ!S185-SUM('Chart Data'!BZ25:CH25)</f>
        <v>-2</v>
      </c>
      <c r="CL25" s="2">
        <f>100*((DataQ!F184/DataQ!F180)-1)</f>
        <v>1.3309109193115454</v>
      </c>
      <c r="CM25" s="2">
        <f>100*(DataQ!I184/DataQ!J184)</f>
        <v>22.210695906161622</v>
      </c>
      <c r="CY25" s="10">
        <f>(HAVERQ!AQ149-AVERAGE(HAVERQ!AQ$128:AQ$183))/STDEV(HAVERQ!AQ$128:AQ$183)</f>
        <v>4.7843751048632754E-2</v>
      </c>
      <c r="CZ25" s="10">
        <f t="shared" si="6"/>
        <v>0.15405101475556601</v>
      </c>
      <c r="DA25" s="10">
        <f t="shared" si="7"/>
        <v>0.87730305240123918</v>
      </c>
      <c r="DB25" s="10">
        <f>(HAVERQ!AR149-AVERAGE(HAVERQ!AR$128:AR$183))/STDEV(HAVERQ!AR$128:AR$183)</f>
        <v>-0.16945661881464222</v>
      </c>
      <c r="DC25" s="10">
        <f t="shared" si="8"/>
        <v>-0.27535660159384717</v>
      </c>
      <c r="DD25" s="10" t="e">
        <f t="shared" si="26"/>
        <v>#N/A</v>
      </c>
      <c r="DE25" s="10">
        <f>(HAVERQ!AZ149-AVERAGE(HAVERQ!AZ$128:AZ$167,AZ$174:AZ$183))/STDEV(HAVERQ!AZ$128:AZ$167,AZ$174:AZ$183)</f>
        <v>0.61151881338135383</v>
      </c>
      <c r="DF25" s="10">
        <f>(HAVERQ!AS149-AVERAGE(HAVERQ!AS$128:AS$183))/STDEV(HAVERQ!AS$128:AS$183)</f>
        <v>0.33417298647560417</v>
      </c>
      <c r="DG25" s="10">
        <f t="shared" si="27"/>
        <v>-0.3619451836092305</v>
      </c>
      <c r="DH25" s="10">
        <f>(HAVERQ!AX149-AVERAGE(HAVERQ!AX$128:AX$183))/STDEV(HAVERQ!AX$128:AX$183)</f>
        <v>-0.11880911521214067</v>
      </c>
      <c r="DJ25" s="10">
        <f t="shared" si="9"/>
        <v>0.36554542848278748</v>
      </c>
      <c r="DL25" s="10">
        <f>100*(HAVERQ!AV149/(HAVERQ!AW149*HAVERQ!AX149/100))</f>
        <v>1.7469568435656762</v>
      </c>
      <c r="DM25" s="10">
        <f>HAVERQ!AO149/HAVERQ!AP149</f>
        <v>0.39880952380952384</v>
      </c>
      <c r="DN25" s="10" t="e">
        <f>100*((AVERAGE(HAVERQ!BC146:BC149)/AVERAGE(HAVERQ!BC142:BC145))-1)</f>
        <v>#N/A</v>
      </c>
      <c r="DO25" s="10">
        <f>100*(HAVERQ!BE149+HAVERQ!BF149)/(HAVERQ!BB149+HAVERQ!BG149)</f>
        <v>10.987945968865468</v>
      </c>
      <c r="DP25" s="10">
        <f>100*((AVERAGE(HAVERQ!BA146:BA149)/AVERAGE(HAVERQ!BA142:BA145))-1)</f>
        <v>2.2911780624210731</v>
      </c>
      <c r="DR25" s="10">
        <f>(HAVERQ!AT149*HAVERQ!$AT$1)+(HAVERQ!AU149*HAVERQ!$AU$1)</f>
        <v>66.243784520049701</v>
      </c>
      <c r="DT25" s="29"/>
      <c r="DU25" s="22" t="s">
        <v>1380</v>
      </c>
      <c r="DV25" s="21" t="s">
        <v>1365</v>
      </c>
      <c r="DX25" s="21" t="s">
        <v>1361</v>
      </c>
      <c r="DY25" s="28" t="s">
        <v>1381</v>
      </c>
    </row>
    <row r="26" spans="13:129" ht="15.75" x14ac:dyDescent="0.25">
      <c r="M26" s="5">
        <v>43040</v>
      </c>
      <c r="N26">
        <f>HAVERM!C461</f>
        <v>4.38</v>
      </c>
      <c r="O26" s="3">
        <f>HAVERM!B461</f>
        <v>4.4000000000000004</v>
      </c>
      <c r="Q26" s="5">
        <v>43040</v>
      </c>
      <c r="R26">
        <f>MIN(HAVERM!C460:C462)</f>
        <v>4.2880000000000003</v>
      </c>
      <c r="S26" s="3">
        <f t="shared" si="3"/>
        <v>0.10599999999999987</v>
      </c>
      <c r="T26" s="3">
        <f>HAVERM!B461</f>
        <v>4.4000000000000004</v>
      </c>
      <c r="V26">
        <f>MAX(HAVERM!C460:C462)</f>
        <v>4.3940000000000001</v>
      </c>
      <c r="X26" s="9">
        <v>45474</v>
      </c>
      <c r="Y26" s="8">
        <f>HAVERQ!E186-AVERAGE(HAVERQ!E$164:E$167)</f>
        <v>559.25</v>
      </c>
      <c r="Z26" s="8">
        <f>HAVERQ!F186-AVERAGE(HAVERQ!F$164:F$167)</f>
        <v>271.25</v>
      </c>
      <c r="AB26" s="9">
        <v>38534</v>
      </c>
      <c r="AC26" s="8">
        <f>HAVERQ!P110</f>
        <v>1485</v>
      </c>
      <c r="AD26" s="8">
        <f>HAVERQ!O110</f>
        <v>1593</v>
      </c>
      <c r="AE26" s="8">
        <f>HAVERQ!N110</f>
        <v>1284</v>
      </c>
      <c r="AF26" s="8">
        <f>HAVERQ!M110</f>
        <v>271</v>
      </c>
      <c r="AG26" s="8">
        <f>HAVERQ!L110</f>
        <v>208</v>
      </c>
      <c r="AH26" s="8">
        <f>HAVERQ!E110-AC26-AD26-AE26-AF26-AG26</f>
        <v>799</v>
      </c>
      <c r="AJ26" s="9">
        <v>38534</v>
      </c>
      <c r="AK26" s="8">
        <f t="shared" si="11"/>
        <v>26.329787234042552</v>
      </c>
      <c r="AL26" s="8">
        <f t="shared" si="12"/>
        <v>28.24468085106383</v>
      </c>
      <c r="AM26" s="8">
        <f t="shared" si="13"/>
        <v>22.76595744680851</v>
      </c>
      <c r="AN26" s="8">
        <f t="shared" si="14"/>
        <v>4.8049645390070923</v>
      </c>
      <c r="AO26" s="8">
        <f t="shared" si="15"/>
        <v>3.6879432624113475</v>
      </c>
      <c r="AP26" s="8">
        <f t="shared" si="15"/>
        <v>14.166666666666666</v>
      </c>
      <c r="AR26" s="9">
        <v>45474</v>
      </c>
      <c r="AS26" s="8">
        <f>HAVERQ!T186-AVERAGE(HAVERQ!T$164:T$167)</f>
        <v>-37.25</v>
      </c>
      <c r="AT26" s="8">
        <f>HAVERQ!U186-AVERAGE(HAVERQ!U$164:U$167)</f>
        <v>-15.25</v>
      </c>
      <c r="AU26" s="8">
        <f>HAVERQ!V186-AVERAGE(HAVERQ!V$164:V$167)</f>
        <v>-110.75</v>
      </c>
      <c r="AV26" s="8">
        <f>HAVERQ!W186-AVERAGE(HAVERQ!W$164:W$167)</f>
        <v>-0.75</v>
      </c>
      <c r="AW26" s="8">
        <f>HAVERQ!X186-AVERAGE(HAVERQ!X$164:X$167)</f>
        <v>19.5</v>
      </c>
      <c r="AX26" s="8">
        <f>HAVERQ!Y186-AVERAGE(HAVERQ!Y$164:Y$167)</f>
        <v>-106.25</v>
      </c>
      <c r="AY26" s="8">
        <f>HAVERQ!Z186-AVERAGE(HAVERQ!Z$164:Z$167)</f>
        <v>-264.5</v>
      </c>
      <c r="AZ26" s="8">
        <f>HAVERQ!AA186-AVERAGE(HAVERQ!AA$164:AA$167)</f>
        <v>82</v>
      </c>
      <c r="BA26" s="8">
        <f>HAVERQ!AB186-AVERAGE(HAVERQ!AB$164:AB$167)</f>
        <v>203</v>
      </c>
      <c r="BB26" s="8">
        <f>HAVERQ!AC186-AVERAGE(HAVERQ!AC$164:AC$167)</f>
        <v>132.75</v>
      </c>
      <c r="BC26" s="8">
        <f>HAVERQ!AD186-AVERAGE(HAVERQ!AD$164:AD$167)</f>
        <v>47.75</v>
      </c>
      <c r="BD26" s="8">
        <f>HAVERQ!AE186-AVERAGE(HAVERQ!AE$164:AE$167)</f>
        <v>76.25</v>
      </c>
      <c r="BE26" s="8">
        <f>HAVERQ!AF186-AVERAGE(HAVERQ!AF$164:AF$167)</f>
        <v>316</v>
      </c>
      <c r="BF26" s="8">
        <f>HAVERQ!AG186-AVERAGE(HAVERQ!AG$164:AG$167)</f>
        <v>-74.5</v>
      </c>
      <c r="BG26" s="8">
        <f>HAVERQ!AH186-AVERAGE(HAVERQ!AH$164:AH$167)</f>
        <v>202.25</v>
      </c>
      <c r="BH26" s="8">
        <f>HAVERQ!AI186-AVERAGE(HAVERQ!AI$164:AI$167)</f>
        <v>115</v>
      </c>
      <c r="BI26" s="8">
        <f>HAVERQ!AJ186-AVERAGE(HAVERQ!AJ$164:AJ$167)</f>
        <v>629.75</v>
      </c>
      <c r="BJ26" s="8">
        <f>HAVERQ!AK186-AVERAGE(HAVERQ!AK$164:AK$167)</f>
        <v>63.25</v>
      </c>
      <c r="BK26" s="8">
        <f t="shared" si="16"/>
        <v>-51.5</v>
      </c>
      <c r="BM26" s="8">
        <f>HAVERQ!AL186+HAVERQ!AM186</f>
        <v>966</v>
      </c>
      <c r="BO26" s="9">
        <v>45474</v>
      </c>
      <c r="BP26" s="8">
        <f t="shared" si="17"/>
        <v>-37.25</v>
      </c>
      <c r="BQ26" s="8">
        <f t="shared" si="18"/>
        <v>3.5</v>
      </c>
      <c r="BR26" s="8">
        <f t="shared" si="19"/>
        <v>-110.75</v>
      </c>
      <c r="BS26" s="8">
        <f t="shared" si="20"/>
        <v>-106.25</v>
      </c>
      <c r="BT26" s="8">
        <f t="shared" si="21"/>
        <v>-61.5</v>
      </c>
      <c r="BU26" s="8">
        <f t="shared" si="22"/>
        <v>214.75</v>
      </c>
      <c r="BV26" s="8">
        <f t="shared" si="23"/>
        <v>47.75</v>
      </c>
      <c r="BW26" s="8">
        <f t="shared" si="24"/>
        <v>317.75</v>
      </c>
      <c r="BX26" s="8">
        <f t="shared" si="25"/>
        <v>958.75</v>
      </c>
      <c r="BZ26" s="8">
        <f>HAVERQ!T186</f>
        <v>361</v>
      </c>
      <c r="CA26" s="8">
        <f>HAVERQ!U186+HAVERQ!W186+HAVERQ!X186</f>
        <v>429</v>
      </c>
      <c r="CB26" s="8">
        <f>HAVERQ!V186</f>
        <v>2580</v>
      </c>
      <c r="CC26" s="8">
        <f>HAVERQ!Y186</f>
        <v>2227</v>
      </c>
      <c r="CD26" s="8">
        <f>HAVERQ!Z186+HAVERQ!AB186</f>
        <v>7443</v>
      </c>
      <c r="CE26" s="8">
        <f>HAVERQ!AA186+HAVERQ!AC186</f>
        <v>3521</v>
      </c>
      <c r="CF26" s="8">
        <f>HAVERQ!AD186</f>
        <v>1183</v>
      </c>
      <c r="CG26" s="8">
        <f>HAVERQ!AE186+HAVERQ!AF186+HAVERQ!AG186</f>
        <v>7149</v>
      </c>
      <c r="CH26" s="8">
        <f>HAVERQ!AH186+HAVERQ!AI186+HAVERQ!AJ186+HAVERQ!AK186+HAVERQ!AL186+HAVERQ!AM186</f>
        <v>11899</v>
      </c>
      <c r="CI26" s="8">
        <f>HAVERQ!S186-SUM('Chart Data'!BZ26:CH26)</f>
        <v>1</v>
      </c>
      <c r="CL26" s="2">
        <f>100*((DataQ!F185/DataQ!F181)-1)</f>
        <v>0.720850246559257</v>
      </c>
      <c r="CM26" s="2">
        <f>100*(DataQ!I185/DataQ!J185)</f>
        <v>22.0871853999083</v>
      </c>
      <c r="CY26" s="10">
        <f>(HAVERQ!AQ150-AVERAGE(HAVERQ!AQ$128:AQ$183))/STDEV(HAVERQ!AQ$128:AQ$183)</f>
        <v>-0.13483238931887054</v>
      </c>
      <c r="CZ26" s="10">
        <f t="shared" si="6"/>
        <v>-9.983282003378674E-2</v>
      </c>
      <c r="DA26" s="10">
        <f t="shared" si="7"/>
        <v>0.62367848631525202</v>
      </c>
      <c r="DB26" s="10">
        <f>(HAVERQ!AR150-AVERAGE(HAVERQ!AR$128:AR$183))/STDEV(HAVERQ!AR$128:AR$183)</f>
        <v>-0.22337463389202808</v>
      </c>
      <c r="DC26" s="10">
        <f t="shared" si="8"/>
        <v>-0.14752627737114155</v>
      </c>
      <c r="DD26" s="10" t="e">
        <f t="shared" si="26"/>
        <v>#N/A</v>
      </c>
      <c r="DE26" s="10">
        <f>(HAVERQ!AZ150-AVERAGE(HAVERQ!AZ$128:AZ$167,AZ$174:AZ$183))/STDEV(HAVERQ!AZ$128:AZ$167,AZ$174:AZ$183)</f>
        <v>-0.24675320539951612</v>
      </c>
      <c r="DF26" s="10">
        <f>(HAVERQ!AS150-AVERAGE(HAVERQ!AS$128:AS$183))/STDEV(HAVERQ!AS$128:AS$183)</f>
        <v>0.68510945609836693</v>
      </c>
      <c r="DG26" s="10">
        <f t="shared" si="27"/>
        <v>-6.869615510185105E-2</v>
      </c>
      <c r="DH26" s="10">
        <f>(HAVERQ!AX150-AVERAGE(HAVERQ!AX$128:AX$183))/STDEV(HAVERQ!AX$128:AX$183)</f>
        <v>0.18361408714611957</v>
      </c>
      <c r="DJ26" s="10">
        <f t="shared" si="9"/>
        <v>0.10919087127967211</v>
      </c>
      <c r="DL26" s="10">
        <f>100*(HAVERQ!AV150/(HAVERQ!AW150*HAVERQ!AX150/100))</f>
        <v>1.5568212606269645</v>
      </c>
      <c r="DM26" s="10">
        <f>HAVERQ!AO150/HAVERQ!AP150</f>
        <v>0.42897727272727271</v>
      </c>
      <c r="DN26" s="10" t="e">
        <f>100*((AVERAGE(HAVERQ!BC147:BC150)/AVERAGE(HAVERQ!BC143:BC146))-1)</f>
        <v>#N/A</v>
      </c>
      <c r="DO26" s="10">
        <f>100*(HAVERQ!BE150+HAVERQ!BF150)/(HAVERQ!BB150+HAVERQ!BG150)</f>
        <v>10.605375079178355</v>
      </c>
      <c r="DP26" s="10">
        <f>100*((AVERAGE(HAVERQ!BA147:BA150)/AVERAGE(HAVERQ!BA143:BA146))-1)</f>
        <v>2.8607412738395288</v>
      </c>
      <c r="DR26" s="10">
        <f>(HAVERQ!AT150*HAVERQ!$AT$1)+(HAVERQ!AU150*HAVERQ!$AU$1)</f>
        <v>63.699628792527953</v>
      </c>
      <c r="DT26" s="29"/>
      <c r="DU26" s="22" t="s">
        <v>1382</v>
      </c>
      <c r="DV26" s="21" t="s">
        <v>1365</v>
      </c>
      <c r="DX26" s="21" t="s">
        <v>1361</v>
      </c>
      <c r="DY26" s="28" t="s">
        <v>1383</v>
      </c>
    </row>
    <row r="27" spans="13:129" ht="15.75" x14ac:dyDescent="0.25">
      <c r="M27" s="5">
        <v>43070</v>
      </c>
      <c r="N27">
        <f>HAVERM!C462</f>
        <v>4.3940000000000001</v>
      </c>
      <c r="O27" s="3">
        <f>HAVERM!B462</f>
        <v>4.3</v>
      </c>
      <c r="Q27" s="5">
        <v>43070</v>
      </c>
      <c r="R27">
        <f>MIN(HAVERM!C461:C463)</f>
        <v>4.173</v>
      </c>
      <c r="S27" s="3">
        <f t="shared" si="3"/>
        <v>0.22100000000000009</v>
      </c>
      <c r="T27" s="3">
        <f>HAVERM!B462</f>
        <v>4.3</v>
      </c>
      <c r="V27">
        <f>MAX(HAVERM!C461:C463)</f>
        <v>4.3940000000000001</v>
      </c>
      <c r="X27" s="9">
        <v>45566</v>
      </c>
      <c r="Y27" s="8"/>
      <c r="Z27" s="8"/>
      <c r="AB27" s="9">
        <v>38626</v>
      </c>
      <c r="AC27" s="8">
        <f>HAVERQ!P111</f>
        <v>1488</v>
      </c>
      <c r="AD27" s="8">
        <f>HAVERQ!O111</f>
        <v>1599</v>
      </c>
      <c r="AE27" s="8">
        <f>HAVERQ!N111</f>
        <v>1284</v>
      </c>
      <c r="AF27" s="8">
        <f>HAVERQ!M111</f>
        <v>274</v>
      </c>
      <c r="AG27" s="8">
        <f>HAVERQ!L111</f>
        <v>206</v>
      </c>
      <c r="AH27" s="8">
        <f>HAVERQ!E111-AC27-AD27-AE27-AF27-AG27</f>
        <v>795</v>
      </c>
      <c r="AJ27" s="9">
        <v>38626</v>
      </c>
      <c r="AK27" s="8">
        <f t="shared" si="11"/>
        <v>26.354941551540911</v>
      </c>
      <c r="AL27" s="8">
        <f t="shared" si="12"/>
        <v>28.32093517534538</v>
      </c>
      <c r="AM27" s="8">
        <f t="shared" si="13"/>
        <v>22.741764080765144</v>
      </c>
      <c r="AN27" s="8">
        <f t="shared" si="14"/>
        <v>4.8529932695713782</v>
      </c>
      <c r="AO27" s="8">
        <f t="shared" si="15"/>
        <v>3.6486007793127877</v>
      </c>
      <c r="AP27" s="8">
        <f t="shared" si="15"/>
        <v>14.080765143464399</v>
      </c>
      <c r="AR27" s="9">
        <v>45566</v>
      </c>
      <c r="AS27" s="8"/>
      <c r="AT27" s="8"/>
      <c r="AU27" s="8"/>
      <c r="AV27" s="8"/>
      <c r="AW27" s="8"/>
      <c r="AX27" s="8"/>
      <c r="AY27" s="8"/>
      <c r="AZ27" s="8"/>
      <c r="BA27" s="8"/>
      <c r="BB27" s="8"/>
      <c r="BC27" s="8"/>
      <c r="BD27" s="8"/>
      <c r="BE27" s="8"/>
      <c r="BF27" s="8"/>
      <c r="BG27" s="8"/>
      <c r="BH27" s="8"/>
      <c r="BI27" s="8"/>
      <c r="BJ27" s="8"/>
      <c r="BK27" s="8"/>
      <c r="BM27" s="8"/>
      <c r="BO27" s="9">
        <v>45566</v>
      </c>
      <c r="BP27" s="8"/>
      <c r="BQ27" s="8"/>
      <c r="BR27" s="8"/>
      <c r="BS27" s="8"/>
      <c r="BT27" s="8"/>
      <c r="BU27" s="8"/>
      <c r="BV27" s="8"/>
      <c r="BW27" s="8"/>
      <c r="BX27" s="8"/>
      <c r="BZ27" s="8"/>
      <c r="CA27" s="8"/>
      <c r="CB27" s="8"/>
      <c r="CC27" s="8"/>
      <c r="CD27" s="8"/>
      <c r="CE27" s="8"/>
      <c r="CF27" s="8"/>
      <c r="CG27" s="8"/>
      <c r="CH27" s="8"/>
      <c r="CI27" s="8"/>
      <c r="CL27" s="2">
        <f>100*((DataQ!F186/DataQ!F182)-1)</f>
        <v>1.1563938983695454</v>
      </c>
      <c r="CM27" s="2">
        <f>100*(DataQ!I186/DataQ!J186)</f>
        <v>22.839614538796233</v>
      </c>
      <c r="CY27" s="10">
        <f>(HAVERQ!AQ151-AVERAGE(HAVERQ!AQ$128:AQ$183))/STDEV(HAVERQ!AQ$128:AQ$183)</f>
        <v>-0.25661648289720623</v>
      </c>
      <c r="CZ27" s="10">
        <f t="shared" si="6"/>
        <v>-0.21465150413551826</v>
      </c>
      <c r="DA27" s="10">
        <f t="shared" si="7"/>
        <v>0.535001261788565</v>
      </c>
      <c r="DB27" s="10">
        <f>(HAVERQ!AR151-AVERAGE(HAVERQ!AR$128:AR$183))/STDEV(HAVERQ!AR$128:AR$183)</f>
        <v>-0.4929647092789583</v>
      </c>
      <c r="DC27" s="10">
        <f t="shared" si="8"/>
        <v>-9.0075575687134896E-2</v>
      </c>
      <c r="DD27" s="10" t="e">
        <f t="shared" si="26"/>
        <v>#N/A</v>
      </c>
      <c r="DE27" s="10">
        <f>(HAVERQ!AZ151-AVERAGE(HAVERQ!AZ$128:AZ$167,AZ$174:AZ$183))/STDEV(HAVERQ!AZ$128:AZ$167,AZ$174:AZ$183)</f>
        <v>1.4697908321621933</v>
      </c>
      <c r="DF27" s="10">
        <f>(HAVERQ!AS151-AVERAGE(HAVERQ!AS$128:AS$183))/STDEV(HAVERQ!AS$128:AS$183)</f>
        <v>0.70265627957950527</v>
      </c>
      <c r="DG27" s="10">
        <f t="shared" si="27"/>
        <v>-0.13289474391675218</v>
      </c>
      <c r="DH27" s="10">
        <f>(HAVERQ!AX151-AVERAGE(HAVERQ!AX$128:AX$183))/STDEV(HAVERQ!AX$128:AX$183)</f>
        <v>0.78846049186264011</v>
      </c>
      <c r="DJ27" s="10">
        <f t="shared" si="9"/>
        <v>0.25695039690404775</v>
      </c>
      <c r="DL27" s="10">
        <f>100*(HAVERQ!AV151/(HAVERQ!AW151*HAVERQ!AX151/100))</f>
        <v>1.4708326530732312</v>
      </c>
      <c r="DM27" s="10">
        <f>HAVERQ!AO151/HAVERQ!AP151</f>
        <v>0.44253554502369669</v>
      </c>
      <c r="DN27" s="10" t="e">
        <f>100*((AVERAGE(HAVERQ!BC148:BC151)/AVERAGE(HAVERQ!BC144:BC147))-1)</f>
        <v>#N/A</v>
      </c>
      <c r="DO27" s="10">
        <f>100*(HAVERQ!BE151+HAVERQ!BF151)/(HAVERQ!BB151+HAVERQ!BG151)</f>
        <v>10.471613097026134</v>
      </c>
      <c r="DP27" s="10">
        <f>100*((AVERAGE(HAVERQ!BA148:BA151)/AVERAGE(HAVERQ!BA144:BA147))-1)</f>
        <v>2.7360515021459531</v>
      </c>
      <c r="DR27" s="10">
        <f>(HAVERQ!AT151*HAVERQ!$AT$1)+(HAVERQ!AU151*HAVERQ!$AU$1)</f>
        <v>65.166047987546591</v>
      </c>
      <c r="DT27" s="27" t="s">
        <v>1384</v>
      </c>
      <c r="DU27" s="22" t="s">
        <v>1385</v>
      </c>
      <c r="DV27" s="21" t="s">
        <v>1365</v>
      </c>
      <c r="DX27" s="21" t="s">
        <v>1365</v>
      </c>
      <c r="DY27" s="28" t="s">
        <v>1383</v>
      </c>
    </row>
    <row r="28" spans="13:129" ht="15.75" x14ac:dyDescent="0.25">
      <c r="M28" s="5">
        <v>43101</v>
      </c>
      <c r="N28">
        <f>HAVERM!C463</f>
        <v>4.173</v>
      </c>
      <c r="O28" s="3">
        <f>HAVERM!B463</f>
        <v>4.2</v>
      </c>
      <c r="Q28" s="5">
        <v>43101</v>
      </c>
      <c r="R28">
        <f>MIN(HAVERM!C462:C464)</f>
        <v>4.0579999999999998</v>
      </c>
      <c r="S28" s="3">
        <f t="shared" si="3"/>
        <v>0.3360000000000003</v>
      </c>
      <c r="T28" s="3">
        <f>HAVERM!B463</f>
        <v>4.2</v>
      </c>
      <c r="V28">
        <f>MAX(HAVERM!C462:C464)</f>
        <v>4.3940000000000001</v>
      </c>
      <c r="AB28" s="9">
        <v>38718</v>
      </c>
      <c r="AC28" s="8">
        <f>HAVERQ!P112</f>
        <v>1484</v>
      </c>
      <c r="AD28" s="8">
        <f>HAVERQ!O112</f>
        <v>1603</v>
      </c>
      <c r="AE28" s="8">
        <f>HAVERQ!N112</f>
        <v>1284</v>
      </c>
      <c r="AF28" s="8">
        <f>HAVERQ!M112</f>
        <v>274</v>
      </c>
      <c r="AG28" s="8">
        <f>HAVERQ!L112</f>
        <v>205</v>
      </c>
      <c r="AH28" s="8">
        <f>HAVERQ!E112-AC28-AD28-AE28-AF28-AG28</f>
        <v>781</v>
      </c>
      <c r="AJ28" s="9">
        <v>38718</v>
      </c>
      <c r="AK28" s="8">
        <f t="shared" si="11"/>
        <v>26.354111170307227</v>
      </c>
      <c r="AL28" s="8">
        <f t="shared" si="12"/>
        <v>28.467412537737523</v>
      </c>
      <c r="AM28" s="8">
        <f t="shared" si="13"/>
        <v>22.802344166222696</v>
      </c>
      <c r="AN28" s="8">
        <f t="shared" si="14"/>
        <v>4.8659207955958088</v>
      </c>
      <c r="AO28" s="8">
        <f t="shared" si="15"/>
        <v>3.640561179186645</v>
      </c>
      <c r="AP28" s="8">
        <f t="shared" si="15"/>
        <v>13.869650150950097</v>
      </c>
      <c r="AR28" s="8"/>
      <c r="AS28" s="8"/>
      <c r="AT28" s="8"/>
      <c r="AU28" s="8"/>
      <c r="AV28" s="8"/>
      <c r="AW28" s="8"/>
      <c r="AX28" s="8"/>
      <c r="AY28" s="8"/>
      <c r="AZ28" s="8"/>
      <c r="BA28" s="8"/>
      <c r="BB28" s="8"/>
      <c r="BC28" s="8"/>
      <c r="BD28" s="8"/>
      <c r="BE28" s="8"/>
      <c r="BF28" s="8"/>
      <c r="BG28" s="8"/>
      <c r="BH28" s="8"/>
      <c r="BI28" s="8"/>
      <c r="BJ28" s="8"/>
      <c r="BK28" s="8"/>
      <c r="BM28" s="8"/>
      <c r="CK28">
        <v>2018</v>
      </c>
      <c r="CL28" s="2">
        <f>100*((DataQ!F187/DataQ!F183)-1)</f>
        <v>2.5453424233925048</v>
      </c>
      <c r="CM28" s="2">
        <f>100*(DataQ!I187/DataQ!J187)</f>
        <v>21.870310714305887</v>
      </c>
      <c r="CX28">
        <v>2016</v>
      </c>
      <c r="CY28" s="10">
        <f>(HAVERQ!AQ152-AVERAGE(HAVERQ!AQ$128:AQ$183))/STDEV(HAVERQ!AQ$128:AQ$183)</f>
        <v>-0.25661648289720623</v>
      </c>
      <c r="CZ28" s="10">
        <f t="shared" si="6"/>
        <v>-0.30353742534529388</v>
      </c>
      <c r="DA28" s="10">
        <f t="shared" si="7"/>
        <v>0.34489343598053485</v>
      </c>
      <c r="DB28" s="10">
        <f>(HAVERQ!AR152-AVERAGE(HAVERQ!AR$128:AR$183))/STDEV(HAVERQ!AR$128:AR$183)</f>
        <v>-0.22337463389202808</v>
      </c>
      <c r="DC28" s="10">
        <f t="shared" si="8"/>
        <v>-0.14613802804213369</v>
      </c>
      <c r="DD28" s="10" t="e">
        <f t="shared" si="26"/>
        <v>#N/A</v>
      </c>
      <c r="DE28" s="10">
        <f>(HAVERQ!AZ152-AVERAGE(HAVERQ!AZ$128:AZ$167,AZ$174:AZ$183))/STDEV(HAVERQ!AZ$128:AZ$167,AZ$174:AZ$183)</f>
        <v>0.61151881338135383</v>
      </c>
      <c r="DF28" s="10">
        <f>(HAVERQ!AS152-AVERAGE(HAVERQ!AS$128:AS$183))/STDEV(HAVERQ!AS$128:AS$183)</f>
        <v>0.33417298647560417</v>
      </c>
      <c r="DG28" s="10">
        <f t="shared" si="27"/>
        <v>-0.17898306681555728</v>
      </c>
      <c r="DH28" s="10">
        <f>(HAVERQ!AX152-AVERAGE(HAVERQ!AX$128:AX$183))/STDEV(HAVERQ!AX$128:AX$183)</f>
        <v>0.4860372895043798</v>
      </c>
      <c r="DJ28" s="10">
        <f t="shared" si="9"/>
        <v>0.57383704108209654</v>
      </c>
      <c r="DL28" s="10">
        <f>100*(HAVERQ!AV152/(HAVERQ!AW152*HAVERQ!AX152/100))</f>
        <v>1.4042652937993045</v>
      </c>
      <c r="DM28" s="10">
        <f>HAVERQ!AO152/HAVERQ!AP152</f>
        <v>0.42930489731437599</v>
      </c>
      <c r="DN28" s="10" t="e">
        <f>100*((AVERAGE(HAVERQ!BC149:BC152)/AVERAGE(HAVERQ!BC145:BC148))-1)</f>
        <v>#N/A</v>
      </c>
      <c r="DO28" s="10">
        <f>100*(HAVERQ!BE152+HAVERQ!BF152)/(HAVERQ!BB152+HAVERQ!BG152)</f>
        <v>10.184851758492378</v>
      </c>
      <c r="DP28" s="10">
        <f>100*((AVERAGE(HAVERQ!BA149:BA152)/AVERAGE(HAVERQ!BA145:BA148))-1)</f>
        <v>2.6465364120781487</v>
      </c>
      <c r="DR28" s="10">
        <f>(HAVERQ!AT152*HAVERQ!$AT$1)+(HAVERQ!AU152*HAVERQ!$AU$1)</f>
        <v>68.310946130012425</v>
      </c>
      <c r="DT28" s="29"/>
      <c r="DU28" s="22" t="s">
        <v>1386</v>
      </c>
      <c r="DV28" s="21" t="s">
        <v>1361</v>
      </c>
      <c r="DX28" s="21" t="s">
        <v>1361</v>
      </c>
      <c r="DY28" s="28" t="s">
        <v>1362</v>
      </c>
    </row>
    <row r="29" spans="13:129" ht="15.75" x14ac:dyDescent="0.25">
      <c r="M29" s="5">
        <v>43132</v>
      </c>
      <c r="N29">
        <f>HAVERM!C464</f>
        <v>4.0579999999999998</v>
      </c>
      <c r="O29" s="3">
        <f>HAVERM!B464</f>
        <v>4.2</v>
      </c>
      <c r="Q29" s="5">
        <v>43132</v>
      </c>
      <c r="R29">
        <f>MIN(HAVERM!C463:C465)</f>
        <v>4.0579999999999998</v>
      </c>
      <c r="S29" s="3">
        <f t="shared" si="3"/>
        <v>0.32600000000000051</v>
      </c>
      <c r="T29" s="3">
        <f>HAVERM!B464</f>
        <v>4.2</v>
      </c>
      <c r="V29">
        <f>MAX(HAVERM!C463:C465)</f>
        <v>4.3840000000000003</v>
      </c>
      <c r="AB29" s="9">
        <v>38808</v>
      </c>
      <c r="AC29" s="8">
        <f>HAVERQ!P113</f>
        <v>1477</v>
      </c>
      <c r="AD29" s="8">
        <f>HAVERQ!O113</f>
        <v>1609</v>
      </c>
      <c r="AE29" s="8">
        <f>HAVERQ!N113</f>
        <v>1283</v>
      </c>
      <c r="AF29" s="8">
        <f>HAVERQ!M113</f>
        <v>274</v>
      </c>
      <c r="AG29" s="8">
        <f>HAVERQ!L113</f>
        <v>204</v>
      </c>
      <c r="AH29" s="8">
        <f>HAVERQ!E113-AC29-AD29-AE29-AF29-AG29</f>
        <v>776</v>
      </c>
      <c r="AJ29" s="9">
        <v>38808</v>
      </c>
      <c r="AK29" s="8">
        <f t="shared" si="11"/>
        <v>26.26711719722568</v>
      </c>
      <c r="AL29" s="8">
        <f t="shared" si="12"/>
        <v>28.614618531033258</v>
      </c>
      <c r="AM29" s="8">
        <f t="shared" si="13"/>
        <v>22.817001600569093</v>
      </c>
      <c r="AN29" s="8">
        <f t="shared" si="14"/>
        <v>4.8728436777520896</v>
      </c>
      <c r="AO29" s="8">
        <f t="shared" si="15"/>
        <v>3.6279566067935267</v>
      </c>
      <c r="AP29" s="8">
        <f t="shared" si="15"/>
        <v>13.800462386626355</v>
      </c>
      <c r="AR29" s="8"/>
      <c r="AS29" s="8"/>
      <c r="AT29" s="8"/>
      <c r="AU29" s="8"/>
      <c r="AV29" s="8"/>
      <c r="AW29" s="8"/>
      <c r="AX29" s="8"/>
      <c r="AY29" s="8"/>
      <c r="AZ29" s="8"/>
      <c r="BA29" s="8"/>
      <c r="BB29" s="8"/>
      <c r="BC29" s="8"/>
      <c r="BD29" s="8"/>
      <c r="BE29" s="8"/>
      <c r="BF29" s="8"/>
      <c r="BG29" s="8"/>
      <c r="BH29" s="8"/>
      <c r="BI29" s="8"/>
      <c r="BJ29" s="8"/>
      <c r="BK29" s="8"/>
      <c r="BM29" s="8"/>
      <c r="CL29" s="2">
        <f>100*((DataQ!F188/DataQ!F184)-1)</f>
        <v>1.4605073980299865</v>
      </c>
      <c r="CM29" s="2">
        <f>100*(DataQ!I188/DataQ!J188)</f>
        <v>22.015766081085371</v>
      </c>
      <c r="CY29" s="10">
        <f>(HAVERQ!AQ153-AVERAGE(HAVERQ!AQ$128:AQ$183))/STDEV(HAVERQ!AQ$128:AQ$183)</f>
        <v>-0.37840057647554143</v>
      </c>
      <c r="CZ29" s="10">
        <f t="shared" si="6"/>
        <v>-0.39399524041377992</v>
      </c>
      <c r="DA29" s="10">
        <f t="shared" si="7"/>
        <v>0.22076120526189655</v>
      </c>
      <c r="DB29" s="10">
        <f>(HAVERQ!AR153-AVERAGE(HAVERQ!AR$128:AR$183))/STDEV(HAVERQ!AR$128:AR$183)</f>
        <v>-0.22337463389202808</v>
      </c>
      <c r="DC29" s="10">
        <f t="shared" si="8"/>
        <v>-2.30280058702792E-2</v>
      </c>
      <c r="DD29" s="10">
        <f t="shared" si="26"/>
        <v>0.75705595146975846</v>
      </c>
      <c r="DE29" s="10">
        <f>(HAVERQ!AZ153-AVERAGE(HAVERQ!AZ$128:AZ$167,AZ$174:AZ$183))/STDEV(HAVERQ!AZ$128:AZ$167,AZ$174:AZ$183)</f>
        <v>0.18238280399091886</v>
      </c>
      <c r="DF29" s="10">
        <f>(HAVERQ!AS153-AVERAGE(HAVERQ!AS$128:AS$183))/STDEV(HAVERQ!AS$128:AS$183)</f>
        <v>0.21134522210763718</v>
      </c>
      <c r="DG29" s="10">
        <f t="shared" si="27"/>
        <v>-0.21583747169168777</v>
      </c>
      <c r="DH29" s="10">
        <f>(HAVERQ!AX153-AVERAGE(HAVERQ!AX$128:AX$183))/STDEV(HAVERQ!AX$128:AX$183)</f>
        <v>0.78846049186264011</v>
      </c>
      <c r="DJ29" s="10">
        <f t="shared" si="9"/>
        <v>0.17078851000364825</v>
      </c>
      <c r="DL29" s="10">
        <f>100*(HAVERQ!AV153/(HAVERQ!AW153*HAVERQ!AX153/100))</f>
        <v>1.3365207309614264</v>
      </c>
      <c r="DM29" s="10">
        <f>HAVERQ!AO153/HAVERQ!AP153</f>
        <v>0.45835866261398178</v>
      </c>
      <c r="DN29" s="10">
        <f>100*((AVERAGE(HAVERQ!BC150:BC153)/AVERAGE(HAVERQ!BC146:BC149))-1)</f>
        <v>2.3020532058707799</v>
      </c>
      <c r="DO29" s="10">
        <f>100*(HAVERQ!BE153+HAVERQ!BF153)/(HAVERQ!BB153+HAVERQ!BG153)</f>
        <v>9.9976089425548444</v>
      </c>
      <c r="DP29" s="10">
        <f>100*((AVERAGE(HAVERQ!BA150:BA153)/AVERAGE(HAVERQ!BA146:BA149))-1)</f>
        <v>2.5749559082892448</v>
      </c>
      <c r="DR29" s="10">
        <f>(HAVERQ!AT153*HAVERQ!$AT$1)+(HAVERQ!AU153*HAVERQ!$AU$1)</f>
        <v>64.310946130012425</v>
      </c>
      <c r="DT29" s="29"/>
      <c r="DU29" s="22" t="s">
        <v>1387</v>
      </c>
      <c r="DV29" s="21" t="s">
        <v>1361</v>
      </c>
      <c r="DX29" s="21" t="s">
        <v>1361</v>
      </c>
      <c r="DY29" s="28" t="s">
        <v>1379</v>
      </c>
    </row>
    <row r="30" spans="13:129" ht="15.75" x14ac:dyDescent="0.25">
      <c r="M30" s="5">
        <v>43160</v>
      </c>
      <c r="N30">
        <f>HAVERM!C465</f>
        <v>4.3840000000000003</v>
      </c>
      <c r="O30" s="3">
        <f>HAVERM!B465</f>
        <v>4.2</v>
      </c>
      <c r="Q30" s="5">
        <v>43160</v>
      </c>
      <c r="R30">
        <f>MIN(HAVERM!C464:C466)</f>
        <v>4.0579999999999998</v>
      </c>
      <c r="S30" s="3">
        <f t="shared" si="3"/>
        <v>0.32600000000000051</v>
      </c>
      <c r="T30" s="3">
        <f>HAVERM!B465</f>
        <v>4.2</v>
      </c>
      <c r="V30">
        <f>MAX(HAVERM!C464:C466)</f>
        <v>4.3840000000000003</v>
      </c>
      <c r="AB30" s="9">
        <v>38899</v>
      </c>
      <c r="AC30" s="8">
        <f>HAVERQ!P114</f>
        <v>1460</v>
      </c>
      <c r="AD30" s="8">
        <f>HAVERQ!O114</f>
        <v>1611</v>
      </c>
      <c r="AE30" s="8">
        <f>HAVERQ!N114</f>
        <v>1283</v>
      </c>
      <c r="AF30" s="8">
        <f>HAVERQ!M114</f>
        <v>276</v>
      </c>
      <c r="AG30" s="8">
        <f>HAVERQ!L114</f>
        <v>203</v>
      </c>
      <c r="AH30" s="8">
        <f>HAVERQ!E114-AC30-AD30-AE30-AF30-AG30</f>
        <v>768</v>
      </c>
      <c r="AJ30" s="9">
        <v>38899</v>
      </c>
      <c r="AK30" s="8">
        <f t="shared" si="11"/>
        <v>26.066773790394571</v>
      </c>
      <c r="AL30" s="8">
        <f t="shared" si="12"/>
        <v>28.762720942688809</v>
      </c>
      <c r="AM30" s="8">
        <f t="shared" si="13"/>
        <v>22.906623817175504</v>
      </c>
      <c r="AN30" s="8">
        <f t="shared" si="14"/>
        <v>4.9276914836636312</v>
      </c>
      <c r="AO30" s="8">
        <f t="shared" si="15"/>
        <v>3.6243527941439027</v>
      </c>
      <c r="AP30" s="8">
        <f t="shared" si="15"/>
        <v>13.711837171933583</v>
      </c>
      <c r="AR30" s="8"/>
      <c r="AS30" s="8">
        <f>RANK(AS26,$AS26:$BK26)</f>
        <v>14</v>
      </c>
      <c r="AT30" s="8">
        <f t="shared" ref="AT30:BK30" si="31">RANK(AT26,$AS26:$BK26)</f>
        <v>13</v>
      </c>
      <c r="AU30" s="8">
        <f t="shared" si="31"/>
        <v>18</v>
      </c>
      <c r="AV30" s="8">
        <f t="shared" si="31"/>
        <v>12</v>
      </c>
      <c r="AW30" s="8">
        <f t="shared" si="31"/>
        <v>11</v>
      </c>
      <c r="AX30" s="8">
        <f t="shared" si="31"/>
        <v>17</v>
      </c>
      <c r="AY30" s="8">
        <f t="shared" si="31"/>
        <v>19</v>
      </c>
      <c r="AZ30" s="8">
        <f t="shared" si="31"/>
        <v>7</v>
      </c>
      <c r="BA30" s="8">
        <f t="shared" si="31"/>
        <v>3</v>
      </c>
      <c r="BB30" s="8">
        <f t="shared" si="31"/>
        <v>5</v>
      </c>
      <c r="BC30" s="8">
        <f t="shared" si="31"/>
        <v>10</v>
      </c>
      <c r="BD30" s="8">
        <f t="shared" si="31"/>
        <v>8</v>
      </c>
      <c r="BE30" s="8">
        <f t="shared" si="31"/>
        <v>2</v>
      </c>
      <c r="BF30" s="8">
        <f t="shared" si="31"/>
        <v>16</v>
      </c>
      <c r="BG30" s="8">
        <f t="shared" si="31"/>
        <v>4</v>
      </c>
      <c r="BH30" s="8">
        <f t="shared" si="31"/>
        <v>6</v>
      </c>
      <c r="BI30" s="8">
        <f t="shared" si="31"/>
        <v>1</v>
      </c>
      <c r="BJ30" s="8">
        <f t="shared" si="31"/>
        <v>9</v>
      </c>
      <c r="BK30" s="8">
        <f t="shared" si="31"/>
        <v>15</v>
      </c>
      <c r="BM30" s="8"/>
      <c r="CL30" s="2">
        <f>100*((DataQ!F189/DataQ!F185)-1)</f>
        <v>3.0151688609044047</v>
      </c>
      <c r="CM30" s="2">
        <f>100*(DataQ!I189/DataQ!J189)</f>
        <v>21.743782452957674</v>
      </c>
      <c r="CY30" s="10">
        <f>(HAVERQ!AQ154-AVERAGE(HAVERQ!AQ$128:AQ$183))/STDEV(HAVERQ!AQ$128:AQ$183)</f>
        <v>-0.43929262326470953</v>
      </c>
      <c r="CZ30" s="10">
        <f t="shared" si="6"/>
        <v>-0.44856615631330304</v>
      </c>
      <c r="DA30" s="10">
        <f t="shared" si="7"/>
        <v>0.27241824401781067</v>
      </c>
      <c r="DB30" s="10">
        <f>(HAVERQ!AR154-AVERAGE(HAVERQ!AR$128:AR$183))/STDEV(HAVERQ!AR$128:AR$183)</f>
        <v>-0.16945661881464222</v>
      </c>
      <c r="DC30" s="10">
        <f t="shared" si="8"/>
        <v>4.7421189749119408E-2</v>
      </c>
      <c r="DD30" s="10">
        <f t="shared" si="26"/>
        <v>0.53819019510883748</v>
      </c>
      <c r="DE30" s="10">
        <f>(HAVERQ!AZ154-AVERAGE(HAVERQ!AZ$128:AZ$167,AZ$174:AZ$183))/STDEV(HAVERQ!AZ$128:AZ$167,AZ$174:AZ$183)</f>
        <v>0.18238280399091886</v>
      </c>
      <c r="DF30" s="10">
        <f>(HAVERQ!AS154-AVERAGE(HAVERQ!AS$128:AS$183))/STDEV(HAVERQ!AS$128:AS$183)</f>
        <v>0.15870475166422268</v>
      </c>
      <c r="DG30" s="10">
        <f t="shared" si="27"/>
        <v>-0.31679552197520644</v>
      </c>
      <c r="DH30" s="10">
        <f>(HAVERQ!AX154-AVERAGE(HAVERQ!AX$128:AX$183))/STDEV(HAVERQ!AX$128:AX$183)</f>
        <v>0.78846049186264011</v>
      </c>
      <c r="DJ30" s="10">
        <f t="shared" si="9"/>
        <v>-0.60397695691673936</v>
      </c>
      <c r="DL30" s="10">
        <f>100*(HAVERQ!AV154/(HAVERQ!AW154*HAVERQ!AX154/100))</f>
        <v>1.2956521466552846</v>
      </c>
      <c r="DM30" s="10">
        <f>HAVERQ!AO154/HAVERQ!AP154</f>
        <v>0.47498455836936382</v>
      </c>
      <c r="DN30" s="10">
        <f>100*((AVERAGE(HAVERQ!BC151:BC154)/AVERAGE(HAVERQ!BC147:BC150))-1)</f>
        <v>1.9819405522208733</v>
      </c>
      <c r="DO30" s="10">
        <f>100*(HAVERQ!BE154+HAVERQ!BF154)/(HAVERQ!BB154+HAVERQ!BG154)</f>
        <v>10.075529151864346</v>
      </c>
      <c r="DP30" s="10">
        <f>100*((AVERAGE(HAVERQ!BA151:BA154)/AVERAGE(HAVERQ!BA147:BA150))-1)</f>
        <v>2.3788700367325388</v>
      </c>
      <c r="DR30" s="10">
        <f>(HAVERQ!AT154*HAVERQ!$AT$1)+(HAVERQ!AU154*HAVERQ!$AU$1)</f>
        <v>56.62189226002485</v>
      </c>
      <c r="DT30" s="29"/>
      <c r="DU30" s="22" t="s">
        <v>1388</v>
      </c>
      <c r="DV30" s="21" t="s">
        <v>1361</v>
      </c>
      <c r="DX30" s="21" t="s">
        <v>1361</v>
      </c>
      <c r="DY30" s="28" t="s">
        <v>1389</v>
      </c>
    </row>
    <row r="31" spans="13:129" ht="15.75" x14ac:dyDescent="0.25">
      <c r="M31" s="5">
        <v>43191</v>
      </c>
      <c r="N31">
        <f>HAVERM!C466</f>
        <v>4.1589999999999998</v>
      </c>
      <c r="O31" s="3">
        <f>HAVERM!B466</f>
        <v>4.2</v>
      </c>
      <c r="Q31" s="5">
        <v>43191</v>
      </c>
      <c r="R31">
        <f>MIN(HAVERM!C465:C467)</f>
        <v>3.9380000000000002</v>
      </c>
      <c r="S31" s="3">
        <f t="shared" si="3"/>
        <v>0.44600000000000017</v>
      </c>
      <c r="T31" s="3">
        <f>HAVERM!B466</f>
        <v>4.2</v>
      </c>
      <c r="V31">
        <f>MAX(HAVERM!C465:C467)</f>
        <v>4.3840000000000003</v>
      </c>
      <c r="AB31" s="9">
        <v>38991</v>
      </c>
      <c r="AC31" s="8">
        <f>HAVERQ!P115</f>
        <v>1447</v>
      </c>
      <c r="AD31" s="8">
        <f>HAVERQ!O115</f>
        <v>1611</v>
      </c>
      <c r="AE31" s="8">
        <f>HAVERQ!N115</f>
        <v>1280</v>
      </c>
      <c r="AF31" s="8">
        <f>HAVERQ!M115</f>
        <v>279</v>
      </c>
      <c r="AG31" s="8">
        <f>HAVERQ!L115</f>
        <v>202</v>
      </c>
      <c r="AH31" s="8">
        <f>HAVERQ!E115-AC31-AD31-AE31-AF31-AG31</f>
        <v>763</v>
      </c>
      <c r="AJ31" s="9">
        <v>38991</v>
      </c>
      <c r="AK31" s="8">
        <f t="shared" si="11"/>
        <v>25.922608384091721</v>
      </c>
      <c r="AL31" s="8">
        <f t="shared" si="12"/>
        <v>28.860623432461484</v>
      </c>
      <c r="AM31" s="8">
        <f t="shared" si="13"/>
        <v>22.930849158007881</v>
      </c>
      <c r="AN31" s="8">
        <f t="shared" si="14"/>
        <v>4.9982085274095303</v>
      </c>
      <c r="AO31" s="8">
        <f t="shared" si="15"/>
        <v>3.6187746327481189</v>
      </c>
      <c r="AP31" s="8">
        <f t="shared" si="15"/>
        <v>13.668935865281263</v>
      </c>
      <c r="AR31" s="8"/>
      <c r="AS31" s="8" t="str">
        <f>AS3</f>
        <v>Agriculture</v>
      </c>
      <c r="AT31" s="8" t="str">
        <f t="shared" ref="AT31:BK31" si="32">AT3</f>
        <v>Extraction</v>
      </c>
      <c r="AU31" s="8" t="str">
        <f t="shared" si="32"/>
        <v>Manufacturing</v>
      </c>
      <c r="AV31" s="8" t="str">
        <f t="shared" si="32"/>
        <v>Utilities</v>
      </c>
      <c r="AW31" s="8" t="str">
        <f t="shared" si="32"/>
        <v>Water</v>
      </c>
      <c r="AX31" s="8" t="str">
        <f t="shared" si="32"/>
        <v>Construction</v>
      </c>
      <c r="AY31" s="8" t="str">
        <f t="shared" si="32"/>
        <v>Wholesale &amp; retail</v>
      </c>
      <c r="AZ31" s="8" t="str">
        <f t="shared" si="32"/>
        <v>Transport</v>
      </c>
      <c r="BA31" s="8" t="str">
        <f t="shared" si="32"/>
        <v>Accommodation &amp; food</v>
      </c>
      <c r="BB31" s="8" t="str">
        <f t="shared" si="32"/>
        <v>Communications</v>
      </c>
      <c r="BC31" s="8" t="str">
        <f t="shared" si="32"/>
        <v>Financial services</v>
      </c>
      <c r="BD31" s="8" t="str">
        <f t="shared" si="32"/>
        <v>Real estate</v>
      </c>
      <c r="BE31" s="8" t="str">
        <f t="shared" si="32"/>
        <v>Professional services</v>
      </c>
      <c r="BF31" s="8" t="str">
        <f t="shared" si="32"/>
        <v>Administrative services</v>
      </c>
      <c r="BG31" s="8" t="str">
        <f t="shared" si="32"/>
        <v>Public admin</v>
      </c>
      <c r="BH31" s="8" t="str">
        <f t="shared" si="32"/>
        <v>Education</v>
      </c>
      <c r="BI31" s="8" t="str">
        <f t="shared" si="32"/>
        <v>Health</v>
      </c>
      <c r="BJ31" s="8" t="str">
        <f t="shared" si="32"/>
        <v>Art &amp; recreation</v>
      </c>
      <c r="BK31" s="8" t="str">
        <f t="shared" si="32"/>
        <v>Other services</v>
      </c>
      <c r="BM31" s="8" t="s">
        <v>861</v>
      </c>
      <c r="CL31" s="2">
        <f>100*((DataQ!F190/DataQ!F186)-1)</f>
        <v>4.2156007036295851</v>
      </c>
      <c r="CM31" s="2">
        <f>100*(DataQ!I190/DataQ!J190)</f>
        <v>21.464949813025321</v>
      </c>
      <c r="CY31" s="10">
        <f>(HAVERQ!AQ155-AVERAGE(HAVERQ!AQ$128:AQ$183))/STDEV(HAVERQ!AQ$128:AQ$183)</f>
        <v>-0.50018467005387712</v>
      </c>
      <c r="CZ31" s="10">
        <f t="shared" si="6"/>
        <v>-0.56773681587221281</v>
      </c>
      <c r="DA31" s="10">
        <f t="shared" si="7"/>
        <v>0.13309841864440364</v>
      </c>
      <c r="DB31" s="10">
        <f>(HAVERQ!AR155-AVERAGE(HAVERQ!AR$128:AR$183))/STDEV(HAVERQ!AR$128:AR$183)</f>
        <v>-6.1620588659870031E-2</v>
      </c>
      <c r="DC31" s="10">
        <f t="shared" si="8"/>
        <v>5.0623891046197481E-2</v>
      </c>
      <c r="DD31" s="10">
        <f t="shared" si="26"/>
        <v>0.30279672780520306</v>
      </c>
      <c r="DE31" s="10">
        <f>(HAVERQ!AZ155-AVERAGE(HAVERQ!AZ$128:AZ$167,AZ$174:AZ$183))/STDEV(HAVERQ!AZ$128:AZ$167,AZ$174:AZ$183)</f>
        <v>0.61151881338135383</v>
      </c>
      <c r="DF31" s="10">
        <f>(HAVERQ!AS155-AVERAGE(HAVERQ!AS$128:AS$183))/STDEV(HAVERQ!AS$128:AS$183)</f>
        <v>5.3423810777393853E-2</v>
      </c>
      <c r="DG31" s="10">
        <f t="shared" si="27"/>
        <v>-0.22418303166762282</v>
      </c>
      <c r="DH31" s="10">
        <f>(HAVERQ!AX155-AVERAGE(HAVERQ!AX$128:AX$183))/STDEV(HAVERQ!AX$128:AX$183)</f>
        <v>0.4860372895043798</v>
      </c>
      <c r="DJ31" s="10">
        <f t="shared" si="9"/>
        <v>-0.97462834100963747</v>
      </c>
      <c r="DL31" s="10">
        <f>100*(HAVERQ!AV155/(HAVERQ!AW155*HAVERQ!AX155/100))</f>
        <v>1.2064043107573281</v>
      </c>
      <c r="DM31" s="10">
        <f>HAVERQ!AO155/HAVERQ!AP155</f>
        <v>0.47574039067422813</v>
      </c>
      <c r="DN31" s="10">
        <f>100*((AVERAGE(HAVERQ!BC152:BC155)/AVERAGE(HAVERQ!BC148:BC151))-1)</f>
        <v>1.6376544988733643</v>
      </c>
      <c r="DO31" s="10">
        <f>100*(HAVERQ!BE155+HAVERQ!BF155)/(HAVERQ!BB155+HAVERQ!BG155)</f>
        <v>9.865377152920809</v>
      </c>
      <c r="DP31" s="10">
        <f>100*((AVERAGE(HAVERQ!BA152:BA155)/AVERAGE(HAVERQ!BA148:BA151))-1)</f>
        <v>2.5587467362924166</v>
      </c>
      <c r="DR31" s="10">
        <f>(HAVERQ!AT155*HAVERQ!$AT$1)+(HAVERQ!AU155*HAVERQ!$AU$1)</f>
        <v>52.943413312577647</v>
      </c>
      <c r="DT31" s="29"/>
      <c r="DU31" s="22" t="s">
        <v>1390</v>
      </c>
      <c r="DV31" s="21" t="s">
        <v>1361</v>
      </c>
      <c r="DX31" s="21" t="s">
        <v>1361</v>
      </c>
      <c r="DY31" s="28" t="s">
        <v>1375</v>
      </c>
    </row>
    <row r="32" spans="13:129" ht="15.75" x14ac:dyDescent="0.25">
      <c r="M32" s="5">
        <v>43221</v>
      </c>
      <c r="N32">
        <f>HAVERM!C467</f>
        <v>3.9380000000000002</v>
      </c>
      <c r="O32" s="3">
        <f>HAVERM!B467</f>
        <v>4</v>
      </c>
      <c r="Q32" s="5">
        <v>43221</v>
      </c>
      <c r="R32">
        <f>MIN(HAVERM!C466:C468)</f>
        <v>3.9380000000000002</v>
      </c>
      <c r="S32" s="3">
        <f t="shared" si="3"/>
        <v>0.22099999999999964</v>
      </c>
      <c r="T32" s="3">
        <f>HAVERM!B467</f>
        <v>4</v>
      </c>
      <c r="V32">
        <f>MAX(HAVERM!C466:C468)</f>
        <v>4.1589999999999998</v>
      </c>
      <c r="AB32" s="9">
        <v>39083</v>
      </c>
      <c r="AC32" s="8">
        <f>HAVERQ!P116</f>
        <v>1448</v>
      </c>
      <c r="AD32" s="8">
        <f>HAVERQ!O116</f>
        <v>1618</v>
      </c>
      <c r="AE32" s="8">
        <f>HAVERQ!N116</f>
        <v>1276</v>
      </c>
      <c r="AF32" s="8">
        <f>HAVERQ!M116</f>
        <v>282</v>
      </c>
      <c r="AG32" s="8">
        <f>HAVERQ!L116</f>
        <v>199</v>
      </c>
      <c r="AH32" s="8">
        <f>HAVERQ!E116-AC32-AD32-AE32-AF32-AG32</f>
        <v>764</v>
      </c>
      <c r="AJ32" s="9">
        <v>39083</v>
      </c>
      <c r="AK32" s="8">
        <f t="shared" si="11"/>
        <v>25.917308036513337</v>
      </c>
      <c r="AL32" s="8">
        <f t="shared" si="12"/>
        <v>28.960085913728296</v>
      </c>
      <c r="AM32" s="8">
        <f t="shared" si="13"/>
        <v>22.838732772507605</v>
      </c>
      <c r="AN32" s="8">
        <f t="shared" si="14"/>
        <v>5.0474315374977623</v>
      </c>
      <c r="AO32" s="8">
        <f t="shared" si="15"/>
        <v>3.5618399856810452</v>
      </c>
      <c r="AP32" s="8">
        <f t="shared" si="15"/>
        <v>13.674601754071952</v>
      </c>
      <c r="AR32" s="9">
        <f>AR26</f>
        <v>45474</v>
      </c>
      <c r="AS32" s="8">
        <f>AS26</f>
        <v>-37.25</v>
      </c>
      <c r="AT32" s="8">
        <f t="shared" ref="AT32:BK32" si="33">AT26</f>
        <v>-15.25</v>
      </c>
      <c r="AU32" s="8">
        <f t="shared" si="33"/>
        <v>-110.75</v>
      </c>
      <c r="AV32" s="8">
        <f t="shared" si="33"/>
        <v>-0.75</v>
      </c>
      <c r="AW32" s="8">
        <f t="shared" si="33"/>
        <v>19.5</v>
      </c>
      <c r="AX32" s="8">
        <f t="shared" si="33"/>
        <v>-106.25</v>
      </c>
      <c r="AY32" s="8">
        <f t="shared" si="33"/>
        <v>-264.5</v>
      </c>
      <c r="AZ32" s="8">
        <f t="shared" si="33"/>
        <v>82</v>
      </c>
      <c r="BA32" s="8">
        <f t="shared" si="33"/>
        <v>203</v>
      </c>
      <c r="BB32" s="8">
        <f t="shared" si="33"/>
        <v>132.75</v>
      </c>
      <c r="BC32" s="8">
        <f t="shared" si="33"/>
        <v>47.75</v>
      </c>
      <c r="BD32" s="8">
        <f t="shared" si="33"/>
        <v>76.25</v>
      </c>
      <c r="BE32" s="8">
        <f t="shared" si="33"/>
        <v>316</v>
      </c>
      <c r="BF32" s="8">
        <f t="shared" si="33"/>
        <v>-74.5</v>
      </c>
      <c r="BG32" s="8">
        <f t="shared" si="33"/>
        <v>202.25</v>
      </c>
      <c r="BH32" s="8">
        <f t="shared" si="33"/>
        <v>115</v>
      </c>
      <c r="BI32" s="8">
        <f t="shared" si="33"/>
        <v>629.75</v>
      </c>
      <c r="BJ32" s="8">
        <f t="shared" si="33"/>
        <v>63.25</v>
      </c>
      <c r="BK32" s="8">
        <f t="shared" si="33"/>
        <v>-51.5</v>
      </c>
      <c r="BM32" s="8">
        <f>SUM(AS32:BK32)</f>
        <v>1226.75</v>
      </c>
      <c r="CK32">
        <v>2019</v>
      </c>
      <c r="CL32" s="2">
        <f>100*((DataQ!F191/DataQ!F187)-1)</f>
        <v>2.4656823339957779</v>
      </c>
      <c r="CM32" s="2">
        <f>100*(DataQ!I191/DataQ!J191)</f>
        <v>21.22190653116235</v>
      </c>
      <c r="CX32">
        <v>2017</v>
      </c>
      <c r="CY32" s="10">
        <f>(HAVERQ!AQ156-AVERAGE(HAVERQ!AQ$128:AQ$183))/STDEV(HAVERQ!AQ$128:AQ$183)</f>
        <v>-0.56107671684304528</v>
      </c>
      <c r="CZ32" s="10">
        <f t="shared" si="6"/>
        <v>-0.64553439548846825</v>
      </c>
      <c r="DA32" s="10">
        <f t="shared" si="7"/>
        <v>-0.1960101910448275</v>
      </c>
      <c r="DB32" s="10">
        <f>(HAVERQ!AR156-AVERAGE(HAVERQ!AR$128:AR$183))/STDEV(HAVERQ!AR$128:AR$183)</f>
        <v>-0.60080073943373047</v>
      </c>
      <c r="DC32" s="10">
        <f t="shared" si="8"/>
        <v>0.10356876149902497</v>
      </c>
      <c r="DD32" s="10">
        <f t="shared" si="26"/>
        <v>0.15216179027617696</v>
      </c>
      <c r="DE32" s="10">
        <f>(HAVERQ!AZ156-AVERAGE(HAVERQ!AZ$128:AZ$167,AZ$174:AZ$183))/STDEV(HAVERQ!AZ$128:AZ$167,AZ$174:AZ$183)</f>
        <v>1.0406548227717887</v>
      </c>
      <c r="DF32" s="10">
        <f>(HAVERQ!AS156-AVERAGE(HAVERQ!AS$128:AS$183))/STDEV(HAVERQ!AS$128:AS$183)</f>
        <v>0.15870475166422257</v>
      </c>
      <c r="DG32" s="10">
        <f t="shared" si="27"/>
        <v>-0.2319338610376491</v>
      </c>
      <c r="DH32" s="10">
        <f>(HAVERQ!AX156-AVERAGE(HAVERQ!AX$128:AX$183))/STDEV(HAVERQ!AX$128:AX$183)</f>
        <v>0.4860372895043798</v>
      </c>
      <c r="DJ32" s="10">
        <f t="shared" si="9"/>
        <v>-0.33978950090449711</v>
      </c>
      <c r="DL32" s="10">
        <f>100*(HAVERQ!AV156/(HAVERQ!AW156*HAVERQ!AX156/100))</f>
        <v>1.1481410969381791</v>
      </c>
      <c r="DM32" s="10">
        <f>HAVERQ!AO156/HAVERQ!AP156</f>
        <v>0.48823529411764705</v>
      </c>
      <c r="DN32" s="10">
        <f>100*((AVERAGE(HAVERQ!BC153:BC156)/AVERAGE(HAVERQ!BC149:BC152))-1)</f>
        <v>1.4173361156481379</v>
      </c>
      <c r="DO32" s="10">
        <f>100*(HAVERQ!BE156+HAVERQ!BF156)/(HAVERQ!BB156+HAVERQ!BG156)</f>
        <v>9.3689450621516084</v>
      </c>
      <c r="DP32" s="10">
        <f>100*((AVERAGE(HAVERQ!BA153:BA156)/AVERAGE(HAVERQ!BA149:BA152))-1)</f>
        <v>2.5436926803945381</v>
      </c>
      <c r="DR32" s="10">
        <f>(HAVERQ!AT156*HAVERQ!$AT$1)+(HAVERQ!AU156*HAVERQ!$AU$1)</f>
        <v>59.243784520049701</v>
      </c>
      <c r="DT32" s="27" t="s">
        <v>1391</v>
      </c>
      <c r="DU32" s="22" t="s">
        <v>1392</v>
      </c>
      <c r="DV32" s="21" t="s">
        <v>1361</v>
      </c>
      <c r="DX32" s="21" t="s">
        <v>1361</v>
      </c>
      <c r="DY32" s="28" t="s">
        <v>1362</v>
      </c>
    </row>
    <row r="33" spans="13:129" ht="16.5" thickBot="1" x14ac:dyDescent="0.3">
      <c r="M33" s="5">
        <v>43252</v>
      </c>
      <c r="N33">
        <f>HAVERM!C468</f>
        <v>4.0359999999999996</v>
      </c>
      <c r="O33" s="3">
        <f>HAVERM!B468</f>
        <v>4</v>
      </c>
      <c r="Q33" s="5">
        <v>43252</v>
      </c>
      <c r="R33">
        <f>MIN(HAVERM!C467:C469)</f>
        <v>3.9380000000000002</v>
      </c>
      <c r="S33" s="3">
        <f t="shared" si="3"/>
        <v>0.19499999999999984</v>
      </c>
      <c r="T33" s="3">
        <f>HAVERM!B468</f>
        <v>4</v>
      </c>
      <c r="V33">
        <f>MAX(HAVERM!C467:C469)</f>
        <v>4.133</v>
      </c>
      <c r="AB33" s="9">
        <v>39173</v>
      </c>
      <c r="AC33" s="8">
        <f>HAVERQ!P117</f>
        <v>1443</v>
      </c>
      <c r="AD33" s="8">
        <f>HAVERQ!O117</f>
        <v>1623</v>
      </c>
      <c r="AE33" s="8">
        <f>HAVERQ!N117</f>
        <v>1269</v>
      </c>
      <c r="AF33" s="8">
        <f>HAVERQ!M117</f>
        <v>283</v>
      </c>
      <c r="AG33" s="8">
        <f>HAVERQ!L117</f>
        <v>197</v>
      </c>
      <c r="AH33" s="8">
        <f>HAVERQ!E117-AC33-AD33-AE33-AF33-AG33</f>
        <v>765</v>
      </c>
      <c r="AJ33" s="9">
        <v>39173</v>
      </c>
      <c r="AK33" s="8">
        <f t="shared" si="11"/>
        <v>25.86021505376344</v>
      </c>
      <c r="AL33" s="8">
        <f t="shared" si="12"/>
        <v>29.08602150537634</v>
      </c>
      <c r="AM33" s="8">
        <f t="shared" si="13"/>
        <v>22.741935483870968</v>
      </c>
      <c r="AN33" s="8">
        <f t="shared" si="14"/>
        <v>5.0716845878136203</v>
      </c>
      <c r="AO33" s="8">
        <f t="shared" si="15"/>
        <v>3.5304659498207887</v>
      </c>
      <c r="AP33" s="8">
        <f t="shared" si="15"/>
        <v>13.709677419354838</v>
      </c>
      <c r="AR33" s="8"/>
      <c r="AS33" s="8"/>
      <c r="AT33" s="8"/>
      <c r="AU33" s="8"/>
      <c r="AV33" s="8"/>
      <c r="AW33" s="8"/>
      <c r="AX33" s="8"/>
      <c r="AY33" s="8"/>
      <c r="AZ33" s="8"/>
      <c r="BA33" s="8"/>
      <c r="BB33" s="8"/>
      <c r="BC33" s="8"/>
      <c r="BD33" s="8"/>
      <c r="BE33" s="8"/>
      <c r="BF33" s="8"/>
      <c r="BG33" s="8"/>
      <c r="BH33" s="8"/>
      <c r="BI33" s="8"/>
      <c r="BJ33" s="8"/>
      <c r="BK33" s="8"/>
      <c r="BM33" s="8"/>
      <c r="CL33" s="2">
        <f>100*((DataQ!F192/DataQ!F188)-1)</f>
        <v>4.4057962855780897</v>
      </c>
      <c r="CM33" s="2">
        <f>100*(DataQ!I192/DataQ!J192)</f>
        <v>21.285047401205528</v>
      </c>
      <c r="CY33" s="10">
        <f>(HAVERQ!AQ157-AVERAGE(HAVERQ!AQ$128:AQ$183))/STDEV(HAVERQ!AQ$128:AQ$183)</f>
        <v>-0.68286081042138047</v>
      </c>
      <c r="CZ33" s="10">
        <f t="shared" si="6"/>
        <v>-0.69758888372838668</v>
      </c>
      <c r="DA33" s="10">
        <f t="shared" si="7"/>
        <v>-0.35452438557740096</v>
      </c>
      <c r="DB33" s="10">
        <f>(HAVERQ!AR157-AVERAGE(HAVERQ!AR$128:AR$183))/STDEV(HAVERQ!AR$128:AR$183)</f>
        <v>-0.27729264896941441</v>
      </c>
      <c r="DC33" s="10">
        <f t="shared" si="8"/>
        <v>0.29959940609668745</v>
      </c>
      <c r="DD33" s="10">
        <f t="shared" si="26"/>
        <v>9.1248869964083087E-2</v>
      </c>
      <c r="DE33" s="10">
        <f>(HAVERQ!AZ157-AVERAGE(HAVERQ!AZ$128:AZ$167,AZ$174:AZ$183))/STDEV(HAVERQ!AZ$128:AZ$167,AZ$174:AZ$183)</f>
        <v>1.4697908321621933</v>
      </c>
      <c r="DF33" s="10">
        <f>(HAVERQ!AS157-AVERAGE(HAVERQ!AS$128:AS$183))/STDEV(HAVERQ!AS$128:AS$183)</f>
        <v>0.42190710388129482</v>
      </c>
      <c r="DG33" s="10">
        <f t="shared" si="27"/>
        <v>-0.24026561848688568</v>
      </c>
      <c r="DH33" s="10">
        <f>(HAVERQ!AX157-AVERAGE(HAVERQ!AX$128:AX$183))/STDEV(HAVERQ!AX$128:AX$183)</f>
        <v>0.78846049186264011</v>
      </c>
      <c r="DJ33" s="10">
        <f t="shared" si="9"/>
        <v>0.28721644039151556</v>
      </c>
      <c r="DL33" s="10">
        <f>100*(HAVERQ!AV157/(HAVERQ!AW157*HAVERQ!AX157/100))</f>
        <v>1.1091570849222701</v>
      </c>
      <c r="DM33" s="10">
        <f>HAVERQ!AO157/HAVERQ!AP157</f>
        <v>0.53449820788530467</v>
      </c>
      <c r="DN33" s="10">
        <f>100*((AVERAGE(HAVERQ!BC154:BC157)/AVERAGE(HAVERQ!BC150:BC153))-1)</f>
        <v>1.3282449901706794</v>
      </c>
      <c r="DO33" s="10">
        <f>100*(HAVERQ!BE157+HAVERQ!BF157)/(HAVERQ!BB157+HAVERQ!BG157)</f>
        <v>9.129840004758222</v>
      </c>
      <c r="DP33" s="10">
        <f>100*((AVERAGE(HAVERQ!BA154:BA157)/AVERAGE(HAVERQ!BA150:BA153))-1)</f>
        <v>2.5275103163686419</v>
      </c>
      <c r="DR33" s="10">
        <f>(HAVERQ!AT157*HAVERQ!$AT$1)+(HAVERQ!AU157*HAVERQ!$AU$1)</f>
        <v>65.466419195018645</v>
      </c>
      <c r="DT33" s="30"/>
      <c r="DU33" s="31" t="s">
        <v>1393</v>
      </c>
      <c r="DV33" s="32" t="s">
        <v>1394</v>
      </c>
      <c r="DX33" s="32" t="s">
        <v>1361</v>
      </c>
      <c r="DY33" s="33" t="s">
        <v>1362</v>
      </c>
    </row>
    <row r="34" spans="13:129" x14ac:dyDescent="0.25">
      <c r="M34" s="5">
        <v>43282</v>
      </c>
      <c r="N34">
        <f>HAVERM!C469</f>
        <v>4.133</v>
      </c>
      <c r="O34" s="3">
        <f>HAVERM!B469</f>
        <v>4</v>
      </c>
      <c r="Q34" s="5">
        <v>43282</v>
      </c>
      <c r="R34">
        <f>MIN(HAVERM!C468:C470)</f>
        <v>3.9260000000000002</v>
      </c>
      <c r="S34" s="3">
        <f t="shared" si="3"/>
        <v>0.20699999999999985</v>
      </c>
      <c r="T34" s="3">
        <f>HAVERM!B469</f>
        <v>4</v>
      </c>
      <c r="V34">
        <f>MAX(HAVERM!C468:C470)</f>
        <v>4.133</v>
      </c>
      <c r="AB34" s="9">
        <v>39264</v>
      </c>
      <c r="AC34" s="8">
        <f>HAVERQ!P118</f>
        <v>1444</v>
      </c>
      <c r="AD34" s="8">
        <f>HAVERQ!O118</f>
        <v>1628</v>
      </c>
      <c r="AE34" s="8">
        <f>HAVERQ!N118</f>
        <v>1269</v>
      </c>
      <c r="AF34" s="8">
        <f>HAVERQ!M118</f>
        <v>284</v>
      </c>
      <c r="AG34" s="8">
        <f>HAVERQ!L118</f>
        <v>195</v>
      </c>
      <c r="AH34" s="8">
        <f>HAVERQ!E118-AC34-AD34-AE34-AF34-AG34</f>
        <v>744</v>
      </c>
      <c r="AJ34" s="9">
        <v>39264</v>
      </c>
      <c r="AK34" s="8">
        <f t="shared" si="11"/>
        <v>25.952552120776417</v>
      </c>
      <c r="AL34" s="8">
        <f t="shared" si="12"/>
        <v>29.259525521207763</v>
      </c>
      <c r="AM34" s="8">
        <f t="shared" si="13"/>
        <v>22.807332854061826</v>
      </c>
      <c r="AN34" s="8">
        <f t="shared" si="14"/>
        <v>5.1042415528396834</v>
      </c>
      <c r="AO34" s="8">
        <f t="shared" si="15"/>
        <v>3.5046728971962615</v>
      </c>
      <c r="AP34" s="8">
        <f t="shared" si="15"/>
        <v>13.371675053918045</v>
      </c>
      <c r="AR34" s="8"/>
      <c r="AS34" s="8">
        <v>1</v>
      </c>
      <c r="AT34" s="8">
        <f>+AS34+1</f>
        <v>2</v>
      </c>
      <c r="AU34" s="8">
        <f t="shared" ref="AU34:BK34" si="34">+AT34+1</f>
        <v>3</v>
      </c>
      <c r="AV34" s="8">
        <f t="shared" si="34"/>
        <v>4</v>
      </c>
      <c r="AW34" s="8">
        <f t="shared" si="34"/>
        <v>5</v>
      </c>
      <c r="AX34" s="8">
        <f t="shared" si="34"/>
        <v>6</v>
      </c>
      <c r="AY34" s="8">
        <f t="shared" si="34"/>
        <v>7</v>
      </c>
      <c r="AZ34" s="8">
        <f t="shared" si="34"/>
        <v>8</v>
      </c>
      <c r="BA34" s="8">
        <f t="shared" si="34"/>
        <v>9</v>
      </c>
      <c r="BB34" s="8">
        <f t="shared" si="34"/>
        <v>10</v>
      </c>
      <c r="BC34" s="8">
        <f t="shared" si="34"/>
        <v>11</v>
      </c>
      <c r="BD34" s="8">
        <f t="shared" si="34"/>
        <v>12</v>
      </c>
      <c r="BE34" s="8">
        <f t="shared" si="34"/>
        <v>13</v>
      </c>
      <c r="BF34" s="8">
        <f t="shared" si="34"/>
        <v>14</v>
      </c>
      <c r="BG34" s="8">
        <f t="shared" si="34"/>
        <v>15</v>
      </c>
      <c r="BH34" s="8">
        <f t="shared" si="34"/>
        <v>16</v>
      </c>
      <c r="BI34" s="8">
        <f t="shared" si="34"/>
        <v>17</v>
      </c>
      <c r="BJ34" s="8">
        <f t="shared" si="34"/>
        <v>18</v>
      </c>
      <c r="BK34" s="8">
        <f t="shared" si="34"/>
        <v>19</v>
      </c>
      <c r="BM34" s="8" t="s">
        <v>861</v>
      </c>
      <c r="CL34" s="2">
        <f>100*((DataQ!F193/DataQ!F189)-1)</f>
        <v>2.5605317626793855</v>
      </c>
      <c r="CM34" s="2">
        <f>100*(DataQ!I193/DataQ!J193)</f>
        <v>22.040536484079013</v>
      </c>
      <c r="CY34" s="10">
        <f>(HAVERQ!AQ158-AVERAGE(HAVERQ!AQ$128:AQ$183))/STDEV(HAVERQ!AQ$128:AQ$183)</f>
        <v>-0.74375285721054851</v>
      </c>
      <c r="CZ34" s="10">
        <f t="shared" si="6"/>
        <v>-0.62326119478418163</v>
      </c>
      <c r="DA34" s="10">
        <f t="shared" si="7"/>
        <v>-0.33975509308123952</v>
      </c>
      <c r="DB34" s="10">
        <f>(HAVERQ!AR158-AVERAGE(HAVERQ!AR$128:AR$183))/STDEV(HAVERQ!AR$128:AR$183)</f>
        <v>-0.4390466942015725</v>
      </c>
      <c r="DC34" s="10">
        <f t="shared" si="8"/>
        <v>0.45326695950660928</v>
      </c>
      <c r="DD34" s="10">
        <f t="shared" si="26"/>
        <v>7.037130701893124E-2</v>
      </c>
      <c r="DE34" s="10">
        <f>(HAVERQ!AZ158-AVERAGE(HAVERQ!AZ$128:AZ$167,AZ$174:AZ$183))/STDEV(HAVERQ!AZ$128:AZ$167,AZ$174:AZ$183)</f>
        <v>0.18238280399091886</v>
      </c>
      <c r="DF34" s="10">
        <f>(HAVERQ!AS158-AVERAGE(HAVERQ!AS$128:AS$183))/STDEV(HAVERQ!AS$128:AS$183)</f>
        <v>0.55350827998983088</v>
      </c>
      <c r="DG34" s="10">
        <f t="shared" si="27"/>
        <v>-0.24849203678504547</v>
      </c>
      <c r="DH34" s="10">
        <f>(HAVERQ!AX158-AVERAGE(HAVERQ!AX$128:AX$183))/STDEV(HAVERQ!AX$128:AX$183)</f>
        <v>0.18361408714611957</v>
      </c>
      <c r="DJ34" s="10">
        <f t="shared" si="9"/>
        <v>0.49657360473986595</v>
      </c>
      <c r="DL34" s="10">
        <f>100*(HAVERQ!AV158/(HAVERQ!AW158*HAVERQ!AX158/100))</f>
        <v>1.1648216705687695</v>
      </c>
      <c r="DM34" s="10">
        <f>HAVERQ!AO158/HAVERQ!AP158</f>
        <v>0.57076350093109873</v>
      </c>
      <c r="DN34" s="10">
        <f>100*((AVERAGE(HAVERQ!BC155:BC158)/AVERAGE(HAVERQ!BC151:BC154))-1)</f>
        <v>1.2977095049159892</v>
      </c>
      <c r="DO34" s="10">
        <f>100*(HAVERQ!BE158+HAVERQ!BF158)/(HAVERQ!BB158+HAVERQ!BG158)</f>
        <v>9.1521182148602751</v>
      </c>
      <c r="DP34" s="10">
        <f>100*((AVERAGE(HAVERQ!BA155:BA158)/AVERAGE(HAVERQ!BA151:BA154))-1)</f>
        <v>2.5115325474115879</v>
      </c>
      <c r="DR34" s="10">
        <f>(HAVERQ!AT158*HAVERQ!$AT$1)+(HAVERQ!AU158*HAVERQ!$AU$1)</f>
        <v>67.544155727521741</v>
      </c>
      <c r="DT34" s="34" t="s">
        <v>1395</v>
      </c>
    </row>
    <row r="35" spans="13:129" x14ac:dyDescent="0.25">
      <c r="M35" s="5">
        <v>43313</v>
      </c>
      <c r="N35">
        <f>HAVERM!C470</f>
        <v>3.9260000000000002</v>
      </c>
      <c r="O35" s="3">
        <f>HAVERM!B470</f>
        <v>4.0999999999999996</v>
      </c>
      <c r="Q35" s="5">
        <v>43313</v>
      </c>
      <c r="R35">
        <f>MIN(HAVERM!C469:C471)</f>
        <v>3.9260000000000002</v>
      </c>
      <c r="S35" s="3">
        <f t="shared" si="3"/>
        <v>0.25899999999999945</v>
      </c>
      <c r="T35" s="3">
        <f>HAVERM!B470</f>
        <v>4.0999999999999996</v>
      </c>
      <c r="V35">
        <f>MAX(HAVERM!C469:C471)</f>
        <v>4.1849999999999996</v>
      </c>
      <c r="AB35" s="9">
        <v>39356</v>
      </c>
      <c r="AC35" s="8">
        <f>HAVERQ!P119</f>
        <v>1447</v>
      </c>
      <c r="AD35" s="8">
        <f>HAVERQ!O119</f>
        <v>1634</v>
      </c>
      <c r="AE35" s="8">
        <f>HAVERQ!N119</f>
        <v>1257</v>
      </c>
      <c r="AF35" s="8">
        <f>HAVERQ!M119</f>
        <v>284</v>
      </c>
      <c r="AG35" s="8">
        <f>HAVERQ!L119</f>
        <v>195</v>
      </c>
      <c r="AH35" s="8">
        <f>HAVERQ!E119-AC35-AD35-AE35-AF35-AG35</f>
        <v>736</v>
      </c>
      <c r="AJ35" s="9">
        <v>39356</v>
      </c>
      <c r="AK35" s="8">
        <f t="shared" si="11"/>
        <v>26.057986673869983</v>
      </c>
      <c r="AL35" s="8">
        <f t="shared" si="12"/>
        <v>29.425535746443366</v>
      </c>
      <c r="AM35" s="8">
        <f t="shared" si="13"/>
        <v>22.636412749864938</v>
      </c>
      <c r="AN35" s="8">
        <f t="shared" si="14"/>
        <v>5.1143526021970107</v>
      </c>
      <c r="AO35" s="8">
        <f t="shared" si="15"/>
        <v>3.5116153430578065</v>
      </c>
      <c r="AP35" s="8">
        <f t="shared" si="15"/>
        <v>13.254096884566902</v>
      </c>
      <c r="AR35" s="8"/>
      <c r="AS35" s="8" t="str">
        <f>HLOOKUP(AS$34,$AS$30:$BK$32,2,FALSE)</f>
        <v>Health</v>
      </c>
      <c r="AT35" s="8" t="str">
        <f t="shared" ref="AT35:BK35" si="35">HLOOKUP(AT$34,$AS$30:$BK$32,2,FALSE)</f>
        <v>Professional services</v>
      </c>
      <c r="AU35" s="8" t="str">
        <f t="shared" si="35"/>
        <v>Accommodation &amp; food</v>
      </c>
      <c r="AV35" s="8" t="str">
        <f t="shared" si="35"/>
        <v>Public admin</v>
      </c>
      <c r="AW35" s="8" t="str">
        <f t="shared" si="35"/>
        <v>Communications</v>
      </c>
      <c r="AX35" s="8" t="str">
        <f t="shared" si="35"/>
        <v>Education</v>
      </c>
      <c r="AY35" s="8" t="str">
        <f t="shared" si="35"/>
        <v>Transport</v>
      </c>
      <c r="AZ35" s="8" t="str">
        <f t="shared" si="35"/>
        <v>Real estate</v>
      </c>
      <c r="BA35" s="8" t="str">
        <f t="shared" si="35"/>
        <v>Art &amp; recreation</v>
      </c>
      <c r="BB35" s="8" t="str">
        <f t="shared" si="35"/>
        <v>Financial services</v>
      </c>
      <c r="BC35" s="8" t="str">
        <f t="shared" si="35"/>
        <v>Water</v>
      </c>
      <c r="BD35" s="8" t="str">
        <f t="shared" si="35"/>
        <v>Utilities</v>
      </c>
      <c r="BE35" s="8" t="str">
        <f t="shared" si="35"/>
        <v>Extraction</v>
      </c>
      <c r="BF35" s="8" t="str">
        <f t="shared" si="35"/>
        <v>Agriculture</v>
      </c>
      <c r="BG35" s="8" t="str">
        <f t="shared" si="35"/>
        <v>Other services</v>
      </c>
      <c r="BH35" s="8" t="str">
        <f t="shared" si="35"/>
        <v>Administrative services</v>
      </c>
      <c r="BI35" s="8" t="str">
        <f t="shared" si="35"/>
        <v>Construction</v>
      </c>
      <c r="BJ35" s="8" t="str">
        <f t="shared" si="35"/>
        <v>Manufacturing</v>
      </c>
      <c r="BK35" s="8" t="str">
        <f t="shared" si="35"/>
        <v>Wholesale &amp; retail</v>
      </c>
      <c r="BM35" s="8"/>
      <c r="CL35" s="2">
        <f>100*((DataQ!F194/DataQ!F190)-1)</f>
        <v>1.4104638897192379</v>
      </c>
      <c r="CM35" s="2">
        <f>100*(DataQ!I194/DataQ!J194)</f>
        <v>22.276662459921027</v>
      </c>
      <c r="CY35" s="10">
        <f>(HAVERQ!AQ159-AVERAGE(HAVERQ!AQ$128:AQ$183))/STDEV(HAVERQ!AQ$128:AQ$183)</f>
        <v>-0.68286081042138047</v>
      </c>
      <c r="CZ35" s="10">
        <f t="shared" si="6"/>
        <v>-0.71893237287763534</v>
      </c>
      <c r="DA35" s="10">
        <f t="shared" si="7"/>
        <v>-0.47604246360567304</v>
      </c>
      <c r="DB35" s="10">
        <f>(HAVERQ!AR159-AVERAGE(HAVERQ!AR$128:AR$183))/STDEV(HAVERQ!AR$128:AR$183)</f>
        <v>-0.38512867912418636</v>
      </c>
      <c r="DC35" s="10">
        <f t="shared" si="8"/>
        <v>0.39941695577076153</v>
      </c>
      <c r="DD35" s="10">
        <f t="shared" si="26"/>
        <v>8.4055523665284737E-2</v>
      </c>
      <c r="DE35" s="10">
        <f>(HAVERQ!AZ159-AVERAGE(HAVERQ!AZ$128:AZ$167,AZ$174:AZ$183))/STDEV(HAVERQ!AZ$128:AZ$167,AZ$174:AZ$183)</f>
        <v>-0.24675320539951612</v>
      </c>
      <c r="DF35" s="10">
        <f>(HAVERQ!AS159-AVERAGE(HAVERQ!AS$128:AS$183))/STDEV(HAVERQ!AS$128:AS$183)</f>
        <v>0.73774992654178162</v>
      </c>
      <c r="DG35" s="10">
        <f t="shared" si="27"/>
        <v>-0.23957447957070982</v>
      </c>
      <c r="DH35" s="10">
        <f>(HAVERQ!AX159-AVERAGE(HAVERQ!AX$128:AX$183))/STDEV(HAVERQ!AX$128:AX$183)</f>
        <v>0.4860372895043798</v>
      </c>
      <c r="DJ35" s="10">
        <f t="shared" si="9"/>
        <v>0.87612343939093285</v>
      </c>
      <c r="DL35" s="10">
        <f>100*(HAVERQ!AV159/(HAVERQ!AW159*HAVERQ!AX159/100))</f>
        <v>1.0931727795224973</v>
      </c>
      <c r="DM35" s="10">
        <f>HAVERQ!AO159/HAVERQ!AP159</f>
        <v>0.55805498750284022</v>
      </c>
      <c r="DN35" s="10">
        <f>100*((AVERAGE(HAVERQ!BC156:BC159)/AVERAGE(HAVERQ!BC152:BC155))-1)</f>
        <v>1.3177240150733516</v>
      </c>
      <c r="DO35" s="10">
        <f>100*(HAVERQ!BE159+HAVERQ!BF159)/(HAVERQ!BB159+HAVERQ!BG159)</f>
        <v>8.9465404137849145</v>
      </c>
      <c r="DP35" s="10">
        <f>100*((AVERAGE(HAVERQ!BA156:BA159)/AVERAGE(HAVERQ!BA152:BA155))-1)</f>
        <v>2.5288526816021673</v>
      </c>
      <c r="DR35" s="10">
        <f>(HAVERQ!AT159*HAVERQ!$AT$1)+(HAVERQ!AU159*HAVERQ!$AU$1)</f>
        <v>71.310946130012425</v>
      </c>
    </row>
    <row r="36" spans="13:129" x14ac:dyDescent="0.25">
      <c r="M36" s="5">
        <v>43344</v>
      </c>
      <c r="N36">
        <f>HAVERM!C471</f>
        <v>4.1849999999999996</v>
      </c>
      <c r="O36" s="3">
        <f>HAVERM!B471</f>
        <v>4.0999999999999996</v>
      </c>
      <c r="Q36" s="5">
        <v>43344</v>
      </c>
      <c r="R36">
        <f>MIN(HAVERM!C470:C472)</f>
        <v>3.9260000000000002</v>
      </c>
      <c r="S36" s="3">
        <f t="shared" ref="S36:S67" si="36">V36-R36</f>
        <v>0.25899999999999945</v>
      </c>
      <c r="T36" s="3">
        <f>HAVERM!B471</f>
        <v>4.0999999999999996</v>
      </c>
      <c r="V36">
        <f>MAX(HAVERM!C470:C472)</f>
        <v>4.1849999999999996</v>
      </c>
      <c r="AB36" s="9">
        <v>39448</v>
      </c>
      <c r="AC36" s="8">
        <f>HAVERQ!P120</f>
        <v>1451</v>
      </c>
      <c r="AD36" s="8">
        <f>HAVERQ!O120</f>
        <v>1630</v>
      </c>
      <c r="AE36" s="8">
        <f>HAVERQ!N120</f>
        <v>1234</v>
      </c>
      <c r="AF36" s="8">
        <f>HAVERQ!M120</f>
        <v>286</v>
      </c>
      <c r="AG36" s="8">
        <f>HAVERQ!L120</f>
        <v>193</v>
      </c>
      <c r="AH36" s="8">
        <f>HAVERQ!E120-AC36-AD36-AE36-AF36-AG36</f>
        <v>751</v>
      </c>
      <c r="AJ36" s="9">
        <v>39448</v>
      </c>
      <c r="AK36" s="8">
        <f t="shared" si="11"/>
        <v>26.167718665464385</v>
      </c>
      <c r="AL36" s="8">
        <f t="shared" si="12"/>
        <v>29.395852119026149</v>
      </c>
      <c r="AM36" s="8">
        <f t="shared" si="13"/>
        <v>22.254283137962126</v>
      </c>
      <c r="AN36" s="8">
        <f t="shared" si="14"/>
        <v>5.1577998196573489</v>
      </c>
      <c r="AO36" s="8">
        <f t="shared" si="15"/>
        <v>3.4806131650135255</v>
      </c>
      <c r="AP36" s="8">
        <f t="shared" si="15"/>
        <v>13.543733092876465</v>
      </c>
      <c r="AR36" s="9">
        <f>AR32</f>
        <v>45474</v>
      </c>
      <c r="AS36" s="8">
        <f>HLOOKUP(AS$34,$AS$30:$BK$32,3,FALSE)</f>
        <v>629.75</v>
      </c>
      <c r="AT36" s="8">
        <f t="shared" ref="AT36:BK36" si="37">HLOOKUP(AT$34,$AS$30:$BK$32,3,FALSE)</f>
        <v>316</v>
      </c>
      <c r="AU36" s="8">
        <f t="shared" si="37"/>
        <v>203</v>
      </c>
      <c r="AV36" s="8">
        <f t="shared" si="37"/>
        <v>202.25</v>
      </c>
      <c r="AW36" s="8">
        <f t="shared" si="37"/>
        <v>132.75</v>
      </c>
      <c r="AX36" s="8">
        <f t="shared" si="37"/>
        <v>115</v>
      </c>
      <c r="AY36" s="8">
        <f t="shared" si="37"/>
        <v>82</v>
      </c>
      <c r="AZ36" s="8">
        <f t="shared" si="37"/>
        <v>76.25</v>
      </c>
      <c r="BA36" s="8">
        <f t="shared" si="37"/>
        <v>63.25</v>
      </c>
      <c r="BB36" s="8">
        <f t="shared" si="37"/>
        <v>47.75</v>
      </c>
      <c r="BC36" s="8">
        <f t="shared" si="37"/>
        <v>19.5</v>
      </c>
      <c r="BD36" s="8">
        <f t="shared" si="37"/>
        <v>-0.75</v>
      </c>
      <c r="BE36" s="8">
        <f t="shared" si="37"/>
        <v>-15.25</v>
      </c>
      <c r="BF36" s="8">
        <f t="shared" si="37"/>
        <v>-37.25</v>
      </c>
      <c r="BG36" s="8">
        <f t="shared" si="37"/>
        <v>-51.5</v>
      </c>
      <c r="BH36" s="8">
        <f t="shared" si="37"/>
        <v>-74.5</v>
      </c>
      <c r="BI36" s="8">
        <f t="shared" si="37"/>
        <v>-106.25</v>
      </c>
      <c r="BJ36" s="8">
        <f t="shared" si="37"/>
        <v>-110.75</v>
      </c>
      <c r="BK36" s="8">
        <f t="shared" si="37"/>
        <v>-264.5</v>
      </c>
      <c r="BM36" s="8">
        <f>SUM(AS36:BK36)</f>
        <v>1226.75</v>
      </c>
      <c r="CK36">
        <v>2020</v>
      </c>
      <c r="CL36" s="2">
        <f>100*((DataQ!F195/DataQ!F191)-1)</f>
        <v>3.8728990320532786</v>
      </c>
      <c r="CM36" s="2">
        <f>100*(DataQ!I195/DataQ!J195)</f>
        <v>21.597939164332576</v>
      </c>
      <c r="CX36">
        <v>2018</v>
      </c>
      <c r="CY36" s="10">
        <f>(HAVERQ!AQ160-AVERAGE(HAVERQ!AQ$128:AQ$183))/STDEV(HAVERQ!AQ$128:AQ$183)</f>
        <v>-0.80464490399971611</v>
      </c>
      <c r="CZ36" s="10">
        <f t="shared" ref="CZ36:CZ62" si="38">(DL36-AVERAGE(DL$5:DL$59))/STDEV(DL$5:DL$59)</f>
        <v>-0.76483893029693473</v>
      </c>
      <c r="DA36" s="10">
        <f t="shared" ref="DA36:DA62" si="39">(DO36-AVERAGE(DO$5:DO$59))/STDEV(DO$5:DO$59)</f>
        <v>-0.51482850688410031</v>
      </c>
      <c r="DB36" s="10">
        <f>(HAVERQ!AR160-AVERAGE(HAVERQ!AR$128:AR$183))/STDEV(HAVERQ!AR$128:AR$183)</f>
        <v>-0.60080073943373047</v>
      </c>
      <c r="DC36" s="10">
        <f t="shared" ref="DC36:DC62" si="40">(DM36-AVERAGE(DM$5:DM$59))/STDEV(DM$5:DM$59)</f>
        <v>0.39180589887528849</v>
      </c>
      <c r="DD36" s="10">
        <f t="shared" si="26"/>
        <v>9.5732605613460045E-2</v>
      </c>
      <c r="DE36" s="10">
        <f>(HAVERQ!AZ160-AVERAGE(HAVERQ!AZ$128:AZ$167,AZ$174:AZ$183))/STDEV(HAVERQ!AZ$128:AZ$167,AZ$174:AZ$183)</f>
        <v>-0.24675320539951612</v>
      </c>
      <c r="DF36" s="10">
        <f>(HAVERQ!AS160-AVERAGE(HAVERQ!AS$128:AS$183))/STDEV(HAVERQ!AS$128:AS$183)</f>
        <v>0.84303086742861033</v>
      </c>
      <c r="DG36" s="10">
        <f t="shared" si="27"/>
        <v>-0.16885035972938378</v>
      </c>
      <c r="DH36" s="10">
        <f>(HAVERQ!AX160-AVERAGE(HAVERQ!AX$128:AX$183))/STDEV(HAVERQ!AX$128:AX$183)</f>
        <v>1.0908836942208788</v>
      </c>
      <c r="DJ36" s="10">
        <f t="shared" ref="DJ36:DJ62" si="41">(DR36-AVERAGE(DR$5:DR$59))/STDEV(DR$5:DR$59)</f>
        <v>-0.19309552702916413</v>
      </c>
      <c r="DL36" s="10">
        <f>100*(HAVERQ!AV160/(HAVERQ!AW160*HAVERQ!AX160/100))</f>
        <v>1.0587930008222506</v>
      </c>
      <c r="DM36" s="10">
        <f>HAVERQ!AO160/HAVERQ!AP160</f>
        <v>0.55625879043600568</v>
      </c>
      <c r="DN36" s="10">
        <f>100*((AVERAGE(HAVERQ!BC157:BC160)/AVERAGE(HAVERQ!BC153:BC156))-1)</f>
        <v>1.3348028937041123</v>
      </c>
      <c r="DO36" s="10">
        <f>100*(HAVERQ!BE160+HAVERQ!BF160)/(HAVERQ!BB160+HAVERQ!BG160)</f>
        <v>8.8880349964530616</v>
      </c>
      <c r="DP36" s="10">
        <f>100*((AVERAGE(HAVERQ!BA157:BA160)/AVERAGE(HAVERQ!BA153:BA156))-1)</f>
        <v>2.6662166722915881</v>
      </c>
      <c r="DR36" s="10">
        <f>(HAVERQ!AT160*HAVERQ!$AT$1)+(HAVERQ!AU160*HAVERQ!$AU$1)</f>
        <v>60.699628792527953</v>
      </c>
    </row>
    <row r="37" spans="13:129" x14ac:dyDescent="0.25">
      <c r="M37" s="5">
        <v>43374</v>
      </c>
      <c r="N37">
        <f>HAVERM!C472</f>
        <v>4.101</v>
      </c>
      <c r="O37" s="3">
        <f>HAVERM!B472</f>
        <v>4</v>
      </c>
      <c r="Q37" s="5">
        <v>43374</v>
      </c>
      <c r="R37">
        <f>MIN(HAVERM!C471:C473)</f>
        <v>3.8290000000000002</v>
      </c>
      <c r="S37" s="3">
        <f t="shared" si="36"/>
        <v>0.35599999999999943</v>
      </c>
      <c r="T37" s="3">
        <f>HAVERM!B472</f>
        <v>4</v>
      </c>
      <c r="V37">
        <f>MAX(HAVERM!C471:C473)</f>
        <v>4.1849999999999996</v>
      </c>
      <c r="AB37" s="9">
        <v>39539</v>
      </c>
      <c r="AC37" s="8">
        <f>HAVERQ!P121</f>
        <v>1463</v>
      </c>
      <c r="AD37" s="8">
        <f>HAVERQ!O121</f>
        <v>1637</v>
      </c>
      <c r="AE37" s="8">
        <f>HAVERQ!N121</f>
        <v>1226</v>
      </c>
      <c r="AF37" s="8">
        <f>HAVERQ!M121</f>
        <v>286</v>
      </c>
      <c r="AG37" s="8">
        <f>HAVERQ!L121</f>
        <v>193</v>
      </c>
      <c r="AH37" s="8">
        <f>HAVERQ!E121-AC37-AD37-AE37-AF37-AG37</f>
        <v>753</v>
      </c>
      <c r="AJ37" s="9">
        <v>39539</v>
      </c>
      <c r="AK37" s="8">
        <f t="shared" si="11"/>
        <v>26.322418136020154</v>
      </c>
      <c r="AL37" s="8">
        <f t="shared" si="12"/>
        <v>29.45304066210867</v>
      </c>
      <c r="AM37" s="8">
        <f t="shared" si="13"/>
        <v>22.058294350485784</v>
      </c>
      <c r="AN37" s="8">
        <f t="shared" si="14"/>
        <v>5.1457358762144656</v>
      </c>
      <c r="AO37" s="8">
        <f t="shared" si="15"/>
        <v>3.472472112270601</v>
      </c>
      <c r="AP37" s="8">
        <f t="shared" si="15"/>
        <v>13.548038862900324</v>
      </c>
      <c r="AR37" s="8"/>
      <c r="AS37" s="10">
        <f>AS36/$BM$36</f>
        <v>0.51334827797024662</v>
      </c>
      <c r="AT37" s="8"/>
      <c r="AU37" s="8"/>
      <c r="AV37" s="10">
        <f>AV36/$BM$36</f>
        <v>0.16486651722029752</v>
      </c>
      <c r="AW37" s="8"/>
      <c r="AX37" s="10">
        <f>AX36/$BM$36</f>
        <v>9.3743631546769915E-2</v>
      </c>
      <c r="AY37" s="8"/>
      <c r="AZ37" s="8"/>
      <c r="BA37" s="8"/>
      <c r="BB37" s="8"/>
      <c r="BC37" s="8"/>
      <c r="BD37" s="8"/>
      <c r="BE37" s="8"/>
      <c r="BF37" s="8"/>
      <c r="BG37" s="8"/>
      <c r="BH37" s="8"/>
      <c r="BI37" s="8"/>
      <c r="BJ37" s="8"/>
      <c r="BK37" s="8"/>
      <c r="BM37" s="8"/>
      <c r="CL37" s="2">
        <f>100*((DataQ!F196/DataQ!F192)-1)</f>
        <v>24.742239379116615</v>
      </c>
      <c r="CM37" s="2">
        <f>100*(DataQ!I196/DataQ!J196)</f>
        <v>24.290994623655916</v>
      </c>
      <c r="CY37" s="10">
        <f>(HAVERQ!AQ161-AVERAGE(HAVERQ!AQ$128:AQ$183))/STDEV(HAVERQ!AQ$128:AQ$183)</f>
        <v>-0.92642899757805186</v>
      </c>
      <c r="CZ37" s="10">
        <f t="shared" si="38"/>
        <v>-0.78023500383718947</v>
      </c>
      <c r="DA37" s="10">
        <f t="shared" si="39"/>
        <v>-0.69078017726928564</v>
      </c>
      <c r="DB37" s="10">
        <f>(HAVERQ!AR161-AVERAGE(HAVERQ!AR$128:AR$183))/STDEV(HAVERQ!AR$128:AR$183)</f>
        <v>-0.54688272435634444</v>
      </c>
      <c r="DC37" s="10">
        <f t="shared" si="40"/>
        <v>0.64679165953366158</v>
      </c>
      <c r="DD37" s="10">
        <f t="shared" si="26"/>
        <v>5.7526309316415364E-2</v>
      </c>
      <c r="DE37" s="10">
        <f>(HAVERQ!AZ161-AVERAGE(HAVERQ!AZ$128:AZ$167,AZ$174:AZ$183))/STDEV(HAVERQ!AZ$128:AZ$167,AZ$174:AZ$183)</f>
        <v>-0.24675320539951612</v>
      </c>
      <c r="DF37" s="10">
        <f>(HAVERQ!AS161-AVERAGE(HAVERQ!AS$128:AS$183))/STDEV(HAVERQ!AS$128:AS$183)</f>
        <v>0.79039039698519586</v>
      </c>
      <c r="DG37" s="10">
        <f t="shared" si="27"/>
        <v>-0.19463685894900648</v>
      </c>
      <c r="DH37" s="10">
        <f>(HAVERQ!AX161-AVERAGE(HAVERQ!AX$128:AX$183))/STDEV(HAVERQ!AX$128:AX$183)</f>
        <v>0.78846049186264011</v>
      </c>
      <c r="DJ37" s="10">
        <f t="shared" si="41"/>
        <v>0.1013579724705445</v>
      </c>
      <c r="DL37" s="10">
        <f>100*(HAVERQ!AV161/(HAVERQ!AW161*HAVERQ!AX161/100))</f>
        <v>1.0472627613331063</v>
      </c>
      <c r="DM37" s="10">
        <f>HAVERQ!AO161/HAVERQ!AP161</f>
        <v>0.61643501584979266</v>
      </c>
      <c r="DN37" s="10">
        <f>100*((AVERAGE(HAVERQ!BC158:BC161)/AVERAGE(HAVERQ!BC154:BC157))-1)</f>
        <v>1.2789224348459749</v>
      </c>
      <c r="DO37" s="10">
        <f>100*(HAVERQ!BE161+HAVERQ!BF161)/(HAVERQ!BB161+HAVERQ!BG161)</f>
        <v>8.6226270033709866</v>
      </c>
      <c r="DP37" s="10">
        <f>100*((AVERAGE(HAVERQ!BA158:BA161)/AVERAGE(HAVERQ!BA154:BA157))-1)</f>
        <v>2.6161328190507982</v>
      </c>
      <c r="DR37" s="10">
        <f>(HAVERQ!AT161*HAVERQ!$AT$1)+(HAVERQ!AU161*HAVERQ!$AU$1)</f>
        <v>63.621892260024843</v>
      </c>
    </row>
    <row r="38" spans="13:129" x14ac:dyDescent="0.25">
      <c r="M38" s="5">
        <v>43405</v>
      </c>
      <c r="N38">
        <f>HAVERM!C473</f>
        <v>3.8290000000000002</v>
      </c>
      <c r="O38" s="3">
        <f>HAVERM!B473</f>
        <v>4</v>
      </c>
      <c r="Q38" s="5">
        <v>43405</v>
      </c>
      <c r="R38">
        <f>MIN(HAVERM!C472:C474)</f>
        <v>3.8290000000000002</v>
      </c>
      <c r="S38" s="3">
        <f t="shared" si="36"/>
        <v>0.31399999999999961</v>
      </c>
      <c r="T38" s="3">
        <f>HAVERM!B473</f>
        <v>4</v>
      </c>
      <c r="V38">
        <f>MAX(HAVERM!C472:C474)</f>
        <v>4.1429999999999998</v>
      </c>
      <c r="AB38" s="9">
        <v>39630</v>
      </c>
      <c r="AC38" s="8">
        <f>HAVERQ!P122</f>
        <v>1483</v>
      </c>
      <c r="AD38" s="8">
        <f>HAVERQ!O122</f>
        <v>1646</v>
      </c>
      <c r="AE38" s="8">
        <f>HAVERQ!N122</f>
        <v>1208</v>
      </c>
      <c r="AF38" s="8">
        <f>HAVERQ!M122</f>
        <v>287</v>
      </c>
      <c r="AG38" s="8">
        <f>HAVERQ!L122</f>
        <v>194</v>
      </c>
      <c r="AH38" s="8">
        <f>HAVERQ!E122-AC38-AD38-AE38-AF38-AG38</f>
        <v>769</v>
      </c>
      <c r="AJ38" s="9">
        <v>39630</v>
      </c>
      <c r="AK38" s="8">
        <f t="shared" si="11"/>
        <v>26.543762305351709</v>
      </c>
      <c r="AL38" s="8">
        <f t="shared" si="12"/>
        <v>29.461249328798999</v>
      </c>
      <c r="AM38" s="8">
        <f t="shared" si="13"/>
        <v>21.621621621621621</v>
      </c>
      <c r="AN38" s="8">
        <f t="shared" si="14"/>
        <v>5.1369250044746728</v>
      </c>
      <c r="AO38" s="8">
        <f t="shared" si="15"/>
        <v>3.4723465187041342</v>
      </c>
      <c r="AP38" s="8">
        <f t="shared" si="15"/>
        <v>13.764095221048864</v>
      </c>
      <c r="AR38" s="8"/>
      <c r="AS38" s="8"/>
      <c r="AT38" s="8"/>
      <c r="AU38" s="8"/>
      <c r="AV38" s="8"/>
      <c r="AW38" s="8"/>
      <c r="AX38" s="8"/>
      <c r="AY38" s="8"/>
      <c r="AZ38" s="8"/>
      <c r="BA38" s="8"/>
      <c r="BB38" s="8"/>
      <c r="BC38" s="8"/>
      <c r="BD38" s="8"/>
      <c r="BE38" s="8"/>
      <c r="BF38" s="8"/>
      <c r="BG38" s="8"/>
      <c r="BH38" s="8"/>
      <c r="BI38" s="8"/>
      <c r="BJ38" s="8"/>
      <c r="BK38" s="8"/>
      <c r="BM38" s="8"/>
      <c r="CL38" s="2">
        <f>100*((DataQ!F197/DataQ!F193)-1)</f>
        <v>10.361267908479244</v>
      </c>
      <c r="CM38" s="2">
        <f>100*(DataQ!I197/DataQ!J197)</f>
        <v>23.60239487753978</v>
      </c>
      <c r="CY38" s="10">
        <f>(HAVERQ!AQ162-AVERAGE(HAVERQ!AQ$128:AQ$183))/STDEV(HAVERQ!AQ$128:AQ$183)</f>
        <v>-0.86553695078888426</v>
      </c>
      <c r="CZ38" s="10">
        <f t="shared" si="38"/>
        <v>-0.72928583044550443</v>
      </c>
      <c r="DA38" s="10">
        <f t="shared" si="39"/>
        <v>-0.91240817000975249</v>
      </c>
      <c r="DB38" s="10">
        <f>(HAVERQ!AR162-AVERAGE(HAVERQ!AR$128:AR$183))/STDEV(HAVERQ!AR$128:AR$183)</f>
        <v>-0.81647279974327469</v>
      </c>
      <c r="DC38" s="10">
        <f t="shared" si="40"/>
        <v>0.68385073404718355</v>
      </c>
      <c r="DD38" s="10">
        <f t="shared" si="26"/>
        <v>1.9987603174295987E-2</v>
      </c>
      <c r="DE38" s="10">
        <f>(HAVERQ!AZ162-AVERAGE(HAVERQ!AZ$128:AZ$167,AZ$174:AZ$183))/STDEV(HAVERQ!AZ$128:AZ$167,AZ$174:AZ$183)</f>
        <v>1.0406548227717887</v>
      </c>
      <c r="DF38" s="10">
        <f>(HAVERQ!AS162-AVERAGE(HAVERQ!AS$128:AS$183))/STDEV(HAVERQ!AS$128:AS$183)</f>
        <v>0.8956713378720248</v>
      </c>
      <c r="DG38" s="10">
        <f t="shared" si="27"/>
        <v>-0.10855091204036871</v>
      </c>
      <c r="DH38" s="10">
        <f>(HAVERQ!AX162-AVERAGE(HAVERQ!AX$128:AX$183))/STDEV(HAVERQ!AX$128:AX$183)</f>
        <v>1.0908836942208788</v>
      </c>
      <c r="DJ38" s="10">
        <f t="shared" si="41"/>
        <v>0.96905267335141732</v>
      </c>
      <c r="DL38" s="10">
        <f>100*(HAVERQ!AV162/(HAVERQ!AW162*HAVERQ!AX162/100))</f>
        <v>1.0854189944430679</v>
      </c>
      <c r="DM38" s="10">
        <f>HAVERQ!AO162/HAVERQ!AP162</f>
        <v>0.62518089725036174</v>
      </c>
      <c r="DN38" s="10">
        <f>100*((AVERAGE(HAVERQ!BC159:BC162)/AVERAGE(HAVERQ!BC155:BC158))-1)</f>
        <v>1.2240183921234493</v>
      </c>
      <c r="DO38" s="10">
        <f>100*(HAVERQ!BE162+HAVERQ!BF162)/(HAVERQ!BB162+HAVERQ!BG162)</f>
        <v>8.2883201983529613</v>
      </c>
      <c r="DP38" s="10">
        <f>100*((AVERAGE(HAVERQ!BA159:BA162)/AVERAGE(HAVERQ!BA155:BA158))-1)</f>
        <v>2.7833333333333155</v>
      </c>
      <c r="DR38" s="10">
        <f>(HAVERQ!AT162*HAVERQ!$AT$1)+(HAVERQ!AU162*HAVERQ!$AU$1)</f>
        <v>72.233209597509315</v>
      </c>
    </row>
    <row r="39" spans="13:129" x14ac:dyDescent="0.25">
      <c r="M39" s="5">
        <v>43435</v>
      </c>
      <c r="N39">
        <f>HAVERM!C474</f>
        <v>4.1429999999999998</v>
      </c>
      <c r="O39" s="3">
        <f>HAVERM!B474</f>
        <v>3.9</v>
      </c>
      <c r="Q39" s="5">
        <v>43435</v>
      </c>
      <c r="R39">
        <f>MIN(HAVERM!C473:C475)</f>
        <v>3.8290000000000002</v>
      </c>
      <c r="S39" s="3">
        <f t="shared" si="36"/>
        <v>0.31399999999999961</v>
      </c>
      <c r="T39" s="3">
        <f>HAVERM!B474</f>
        <v>3.9</v>
      </c>
      <c r="V39">
        <f>MAX(HAVERM!C473:C475)</f>
        <v>4.1429999999999998</v>
      </c>
      <c r="AB39" s="9">
        <v>39722</v>
      </c>
      <c r="AC39" s="8">
        <f>HAVERQ!P123</f>
        <v>1503</v>
      </c>
      <c r="AD39" s="8">
        <f>HAVERQ!O123</f>
        <v>1649</v>
      </c>
      <c r="AE39" s="8">
        <f>HAVERQ!N123</f>
        <v>1210</v>
      </c>
      <c r="AF39" s="8">
        <f>HAVERQ!M123</f>
        <v>289</v>
      </c>
      <c r="AG39" s="8">
        <f>HAVERQ!L123</f>
        <v>193</v>
      </c>
      <c r="AH39" s="8">
        <f>HAVERQ!E123-AC39-AD39-AE39-AF39-AG39</f>
        <v>764</v>
      </c>
      <c r="AJ39" s="9">
        <v>39722</v>
      </c>
      <c r="AK39" s="8">
        <f t="shared" si="11"/>
        <v>26.80099857346648</v>
      </c>
      <c r="AL39" s="8">
        <f t="shared" si="12"/>
        <v>29.404422253922966</v>
      </c>
      <c r="AM39" s="8">
        <f t="shared" si="13"/>
        <v>21.576319543509275</v>
      </c>
      <c r="AN39" s="8">
        <f t="shared" si="14"/>
        <v>5.1533523537803143</v>
      </c>
      <c r="AO39" s="8">
        <f t="shared" si="15"/>
        <v>3.4415121255349499</v>
      </c>
      <c r="AP39" s="8">
        <f t="shared" si="15"/>
        <v>13.623395149786019</v>
      </c>
      <c r="AR39" s="8"/>
      <c r="AS39" s="8"/>
      <c r="AT39" s="8"/>
      <c r="AU39" s="8"/>
      <c r="AV39" s="8"/>
      <c r="AW39" s="8"/>
      <c r="AX39" s="8"/>
      <c r="AY39" s="8"/>
      <c r="AZ39" s="8"/>
      <c r="BA39" s="8"/>
      <c r="BB39" s="8"/>
      <c r="BC39" s="8"/>
      <c r="BD39" s="8"/>
      <c r="BE39" s="8"/>
      <c r="BF39" s="8"/>
      <c r="BG39" s="8"/>
      <c r="BH39" s="8"/>
      <c r="BI39" s="8"/>
      <c r="BJ39" s="8"/>
      <c r="BK39" s="8"/>
      <c r="BM39" s="8"/>
      <c r="CL39" s="2">
        <f>100*((DataQ!F198/DataQ!F194)-1)</f>
        <v>11.727665139728405</v>
      </c>
      <c r="CM39" s="2">
        <f>100*(DataQ!I198/DataQ!J198)</f>
        <v>21.76445095037656</v>
      </c>
      <c r="CY39" s="10">
        <f>(HAVERQ!AQ163-AVERAGE(HAVERQ!AQ$128:AQ$183))/STDEV(HAVERQ!AQ$128:AQ$183)</f>
        <v>-0.92642899757805186</v>
      </c>
      <c r="CZ39" s="10">
        <f t="shared" si="38"/>
        <v>-0.8065504580572721</v>
      </c>
      <c r="DA39" s="10">
        <f t="shared" si="39"/>
        <v>-1.0880459859073399</v>
      </c>
      <c r="DB39" s="10">
        <f>(HAVERQ!AR163-AVERAGE(HAVERQ!AR$128:AR$183))/STDEV(HAVERQ!AR$128:AR$183)</f>
        <v>-0.70863676958850275</v>
      </c>
      <c r="DC39" s="10">
        <f t="shared" si="40"/>
        <v>0.67392760652931649</v>
      </c>
      <c r="DD39" s="10">
        <f t="shared" si="26"/>
        <v>-3.221038984928154E-2</v>
      </c>
      <c r="DE39" s="10">
        <f>(HAVERQ!AZ163-AVERAGE(HAVERQ!AZ$128:AZ$167,AZ$174:AZ$183))/STDEV(HAVERQ!AZ$128:AZ$167,AZ$174:AZ$183)</f>
        <v>0.18238280399091886</v>
      </c>
      <c r="DF39" s="10">
        <f>(HAVERQ!AS163-AVERAGE(HAVERQ!AS$128:AS$183))/STDEV(HAVERQ!AS$128:AS$183)</f>
        <v>1.1062332196456823</v>
      </c>
      <c r="DG39" s="10">
        <f t="shared" si="27"/>
        <v>1.8088978832344831E-2</v>
      </c>
      <c r="DH39" s="10">
        <f>(HAVERQ!AX163-AVERAGE(HAVERQ!AX$128:AX$183))/STDEV(HAVERQ!AX$128:AX$183)</f>
        <v>1.6957300989373993</v>
      </c>
      <c r="DJ39" s="10">
        <f t="shared" si="41"/>
        <v>0.83019159828521127</v>
      </c>
      <c r="DL39" s="10">
        <f>100*(HAVERQ!AV163/(HAVERQ!AW163*HAVERQ!AX163/100))</f>
        <v>1.0275549125345256</v>
      </c>
      <c r="DM39" s="10">
        <f>HAVERQ!AO163/HAVERQ!AP163</f>
        <v>0.62283905527148764</v>
      </c>
      <c r="DN39" s="10">
        <f>100*((AVERAGE(HAVERQ!BC160:BC163)/AVERAGE(HAVERQ!BC156:BC159))-1)</f>
        <v>1.147673703306884</v>
      </c>
      <c r="DO39" s="10">
        <f>100*(HAVERQ!BE163+HAVERQ!BF163)/(HAVERQ!BB163+HAVERQ!BG163)</f>
        <v>8.0233856278277216</v>
      </c>
      <c r="DP39" s="10">
        <f>100*((AVERAGE(HAVERQ!BA160:BA163)/AVERAGE(HAVERQ!BA156:BA159))-1)</f>
        <v>3.0292997848038627</v>
      </c>
      <c r="DR39" s="10">
        <f>(HAVERQ!AT163*HAVERQ!$AT$1)+(HAVERQ!AU163*HAVERQ!$AU$1)</f>
        <v>70.855101857534166</v>
      </c>
    </row>
    <row r="40" spans="13:129" x14ac:dyDescent="0.25">
      <c r="M40" s="5">
        <v>43466</v>
      </c>
      <c r="N40">
        <f>HAVERM!C475</f>
        <v>3.8639999999999999</v>
      </c>
      <c r="O40" s="3">
        <f>HAVERM!B475</f>
        <v>4</v>
      </c>
      <c r="Q40" s="5">
        <v>43466</v>
      </c>
      <c r="R40">
        <f>MIN(HAVERM!C474:C476)</f>
        <v>3.8220000000000001</v>
      </c>
      <c r="S40" s="3">
        <f t="shared" si="36"/>
        <v>0.32099999999999973</v>
      </c>
      <c r="T40" s="3">
        <f>HAVERM!B475</f>
        <v>4</v>
      </c>
      <c r="V40">
        <f>MAX(HAVERM!C474:C476)</f>
        <v>4.1429999999999998</v>
      </c>
      <c r="AB40" s="9">
        <v>39814</v>
      </c>
      <c r="AC40" s="8">
        <f>HAVERQ!P124</f>
        <v>1503</v>
      </c>
      <c r="AD40" s="8">
        <f>HAVERQ!O124</f>
        <v>1662</v>
      </c>
      <c r="AE40" s="8">
        <f>HAVERQ!N124</f>
        <v>1208</v>
      </c>
      <c r="AF40" s="8">
        <f>HAVERQ!M124</f>
        <v>293</v>
      </c>
      <c r="AG40" s="8">
        <f>HAVERQ!L124</f>
        <v>196</v>
      </c>
      <c r="AH40" s="8">
        <f>HAVERQ!E124-AC40-AD40-AE40-AF40-AG40</f>
        <v>750</v>
      </c>
      <c r="AJ40" s="9">
        <v>39814</v>
      </c>
      <c r="AK40" s="8">
        <f t="shared" si="11"/>
        <v>26.781895937277262</v>
      </c>
      <c r="AL40" s="8">
        <f t="shared" si="12"/>
        <v>29.615110477548111</v>
      </c>
      <c r="AM40" s="8">
        <f t="shared" si="13"/>
        <v>21.525302922309336</v>
      </c>
      <c r="AN40" s="8">
        <f t="shared" si="14"/>
        <v>5.2209550962223812</v>
      </c>
      <c r="AO40" s="8">
        <f t="shared" si="15"/>
        <v>3.4925160370634352</v>
      </c>
      <c r="AP40" s="8">
        <f t="shared" si="15"/>
        <v>13.364219529579472</v>
      </c>
      <c r="AR40" s="8"/>
      <c r="AS40" s="8" t="s">
        <v>862</v>
      </c>
      <c r="AT40" s="8">
        <f>AU1+AX1+BF1+AY1</f>
        <v>12506</v>
      </c>
      <c r="AU40" s="8"/>
      <c r="AV40" s="8"/>
      <c r="AW40" s="8"/>
      <c r="AX40" s="8"/>
      <c r="AY40" s="8"/>
      <c r="AZ40" s="8"/>
      <c r="BA40" s="8"/>
      <c r="BB40" s="8"/>
      <c r="BC40" s="8"/>
      <c r="BD40" s="8"/>
      <c r="BE40" s="8"/>
      <c r="BF40" s="8"/>
      <c r="BG40" s="8"/>
      <c r="BH40" s="8"/>
      <c r="BI40" s="8"/>
      <c r="BJ40" s="8"/>
      <c r="BK40" s="8"/>
      <c r="BM40" s="8"/>
      <c r="CK40">
        <v>2021</v>
      </c>
      <c r="CL40" s="2">
        <f>100*((DataQ!F199/DataQ!F195)-1)</f>
        <v>9.9731084269871104</v>
      </c>
      <c r="CM40" s="2">
        <f>100*(DataQ!I199/DataQ!J199)</f>
        <v>21.95515918452319</v>
      </c>
      <c r="CX40">
        <v>2019</v>
      </c>
      <c r="CY40" s="10">
        <f>(HAVERQ!AQ164-AVERAGE(HAVERQ!AQ$128:AQ$183))/STDEV(HAVERQ!AQ$128:AQ$183)</f>
        <v>-1.0482130911563876</v>
      </c>
      <c r="CZ40" s="10">
        <f t="shared" si="38"/>
        <v>-0.82606804791531419</v>
      </c>
      <c r="DA40" s="10">
        <f t="shared" si="39"/>
        <v>-1.0124249869370008</v>
      </c>
      <c r="DB40" s="10">
        <f>(HAVERQ!AR164-AVERAGE(HAVERQ!AR$128:AR$183))/STDEV(HAVERQ!AR$128:AR$183)</f>
        <v>-0.70863676958850275</v>
      </c>
      <c r="DC40" s="10">
        <f t="shared" si="40"/>
        <v>0.69824843844597917</v>
      </c>
      <c r="DD40" s="10">
        <f t="shared" si="26"/>
        <v>-4.7283410159147485E-2</v>
      </c>
      <c r="DE40" s="10">
        <f>(HAVERQ!AZ164-AVERAGE(HAVERQ!AZ$128:AZ$167,AZ$174:AZ$183))/STDEV(HAVERQ!AZ$128:AZ$167,AZ$174:AZ$183)</f>
        <v>1.4697908321621933</v>
      </c>
      <c r="DF40" s="10">
        <f>(HAVERQ!AS164-AVERAGE(HAVERQ!AS$128:AS$183))/STDEV(HAVERQ!AS$128:AS$183)</f>
        <v>1.1851939253108041</v>
      </c>
      <c r="DG40" s="10">
        <f t="shared" si="27"/>
        <v>5.7841354784568554E-2</v>
      </c>
      <c r="DH40" s="10">
        <f>(HAVERQ!AX164-AVERAGE(HAVERQ!AX$128:AX$183))/STDEV(HAVERQ!AX$128:AX$183)</f>
        <v>1.3933068965791391</v>
      </c>
      <c r="DJ40" s="10">
        <f t="shared" si="41"/>
        <v>0.81452580066695746</v>
      </c>
      <c r="DL40" s="10">
        <f>100*(HAVERQ!AV164/(HAVERQ!AW164*HAVERQ!AX164/100))</f>
        <v>1.0129380373471135</v>
      </c>
      <c r="DM40" s="10">
        <f>HAVERQ!AO164/HAVERQ!AP164</f>
        <v>0.62857873210633941</v>
      </c>
      <c r="DN40" s="10">
        <f>100*((AVERAGE(HAVERQ!BC161:BC164)/AVERAGE(HAVERQ!BC157:BC160))-1)</f>
        <v>1.1256279314596274</v>
      </c>
      <c r="DO40" s="10">
        <f>100*(HAVERQ!BE164+HAVERQ!BF164)/(HAVERQ!BB164+HAVERQ!BG164)</f>
        <v>8.1374534143263784</v>
      </c>
      <c r="DP40" s="10">
        <f>100*((AVERAGE(HAVERQ!BA161:BA164)/AVERAGE(HAVERQ!BA157:BA160))-1)</f>
        <v>3.1065088757396664</v>
      </c>
      <c r="DR40" s="10">
        <f>(HAVERQ!AT164*HAVERQ!$AT$1)+(HAVERQ!AU164*HAVERQ!$AU$1)</f>
        <v>70.69962879252796</v>
      </c>
    </row>
    <row r="41" spans="13:129" x14ac:dyDescent="0.25">
      <c r="M41" s="5">
        <v>43497</v>
      </c>
      <c r="N41">
        <f>HAVERM!C476</f>
        <v>3.8220000000000001</v>
      </c>
      <c r="O41" s="3">
        <f>HAVERM!B476</f>
        <v>3.8</v>
      </c>
      <c r="Q41" s="5">
        <v>43497</v>
      </c>
      <c r="R41">
        <f>MIN(HAVERM!C475:C477)</f>
        <v>3.8140000000000001</v>
      </c>
      <c r="S41" s="3">
        <f t="shared" si="36"/>
        <v>4.9999999999999822E-2</v>
      </c>
      <c r="T41" s="3">
        <f>HAVERM!B476</f>
        <v>3.8</v>
      </c>
      <c r="V41">
        <f>MAX(HAVERM!C475:C477)</f>
        <v>3.8639999999999999</v>
      </c>
      <c r="AB41" s="9">
        <v>39904</v>
      </c>
      <c r="AC41" s="8">
        <f>HAVERQ!P125</f>
        <v>1530</v>
      </c>
      <c r="AD41" s="8">
        <f>HAVERQ!O125</f>
        <v>1657</v>
      </c>
      <c r="AE41" s="8">
        <f>HAVERQ!N125</f>
        <v>1208</v>
      </c>
      <c r="AF41" s="8">
        <f>HAVERQ!M125</f>
        <v>294</v>
      </c>
      <c r="AG41" s="8">
        <f>HAVERQ!L125</f>
        <v>197</v>
      </c>
      <c r="AH41" s="8">
        <f>HAVERQ!E125-AC41-AD41-AE41-AF41-AG41</f>
        <v>735</v>
      </c>
      <c r="AJ41" s="9">
        <v>39904</v>
      </c>
      <c r="AK41" s="8">
        <f t="shared" si="11"/>
        <v>27.219355986479275</v>
      </c>
      <c r="AL41" s="8">
        <f t="shared" si="12"/>
        <v>29.478740437644547</v>
      </c>
      <c r="AM41" s="8">
        <f t="shared" si="13"/>
        <v>21.490837929194093</v>
      </c>
      <c r="AN41" s="8">
        <f t="shared" si="14"/>
        <v>5.230386052303861</v>
      </c>
      <c r="AO41" s="8">
        <f t="shared" si="15"/>
        <v>3.5047144636185732</v>
      </c>
      <c r="AP41" s="8">
        <f t="shared" si="15"/>
        <v>13.07596513075965</v>
      </c>
      <c r="AR41" s="8"/>
      <c r="AS41" s="8" t="s">
        <v>861</v>
      </c>
      <c r="AT41" s="8">
        <f>HAVERQ!S186</f>
        <v>36793</v>
      </c>
      <c r="AU41" s="8"/>
      <c r="AV41" s="8"/>
      <c r="AW41" s="8"/>
      <c r="AX41" s="8"/>
      <c r="AY41" s="8"/>
      <c r="AZ41" s="8"/>
      <c r="BA41" s="8"/>
      <c r="BB41" s="8"/>
      <c r="BC41" s="8"/>
      <c r="BD41" s="8"/>
      <c r="BE41" s="8"/>
      <c r="BF41" s="8"/>
      <c r="BG41" s="8"/>
      <c r="BH41" s="8"/>
      <c r="BI41" s="8"/>
      <c r="BJ41" s="8"/>
      <c r="BK41" s="8"/>
      <c r="BM41" s="8"/>
      <c r="CL41" s="2">
        <f>100*((DataQ!F200/DataQ!F196)-1)</f>
        <v>-13.621606434545219</v>
      </c>
      <c r="CM41" s="2">
        <f>100*(DataQ!I200/DataQ!J200)</f>
        <v>22.58667665750254</v>
      </c>
      <c r="CY41" s="10">
        <f>(HAVERQ!AQ165-AVERAGE(HAVERQ!AQ$128:AQ$183))/STDEV(HAVERQ!AQ$128:AQ$183)</f>
        <v>-0.98732104436721968</v>
      </c>
      <c r="CZ41" s="10">
        <f t="shared" si="38"/>
        <v>-0.85778360627610972</v>
      </c>
      <c r="DA41" s="10">
        <f t="shared" si="39"/>
        <v>-1.0623374922873987</v>
      </c>
      <c r="DB41" s="10">
        <f>(HAVERQ!AR165-AVERAGE(HAVERQ!AR$128:AR$183))/STDEV(HAVERQ!AR$128:AR$183)</f>
        <v>-0.4929647092789583</v>
      </c>
      <c r="DC41" s="10">
        <f t="shared" si="40"/>
        <v>0.6993999558966858</v>
      </c>
      <c r="DD41" s="10">
        <f t="shared" si="26"/>
        <v>-3.7467362714163475E-2</v>
      </c>
      <c r="DE41" s="10">
        <f>(HAVERQ!AZ165-AVERAGE(HAVERQ!AZ$128:AZ$167,AZ$174:AZ$183))/STDEV(HAVERQ!AZ$128:AZ$167,AZ$174:AZ$183)</f>
        <v>0.61151881338135383</v>
      </c>
      <c r="DF41" s="10">
        <f>(HAVERQ!AS165-AVERAGE(HAVERQ!AS$128:AS$183))/STDEV(HAVERQ!AS$128:AS$183)</f>
        <v>1.1062332196456826</v>
      </c>
      <c r="DG41" s="10">
        <f t="shared" si="27"/>
        <v>0.28429109267398889</v>
      </c>
      <c r="DH41" s="10">
        <f>(HAVERQ!AX165-AVERAGE(HAVERQ!AX$128:AX$183))/STDEV(HAVERQ!AX$128:AX$183)</f>
        <v>2.3005765036539199</v>
      </c>
      <c r="DJ41" s="10">
        <f t="shared" si="41"/>
        <v>-0.37112109614100619</v>
      </c>
      <c r="DL41" s="10">
        <f>100*(HAVERQ!AV165/(HAVERQ!AW165*HAVERQ!AX165/100))</f>
        <v>0.9891860084628803</v>
      </c>
      <c r="DM41" s="10">
        <f>HAVERQ!AO165/HAVERQ!AP165</f>
        <v>0.62885048835462054</v>
      </c>
      <c r="DN41" s="10">
        <f>100*((AVERAGE(HAVERQ!BC162:BC165)/AVERAGE(HAVERQ!BC158:BC161))-1)</f>
        <v>1.1399848644408905</v>
      </c>
      <c r="DO41" s="10">
        <f>100*(HAVERQ!BE165+HAVERQ!BF165)/(HAVERQ!BB165+HAVERQ!BG165)</f>
        <v>8.0621646839281542</v>
      </c>
      <c r="DP41" s="10">
        <f>100*((AVERAGE(HAVERQ!BA162:BA165)/AVERAGE(HAVERQ!BA158:BA161))-1)</f>
        <v>3.5463310998529174</v>
      </c>
      <c r="DR41" s="10">
        <f>(HAVERQ!AT165*HAVERQ!$AT$1)+(HAVERQ!AU165*HAVERQ!$AU$1)</f>
        <v>58.932838390037276</v>
      </c>
    </row>
    <row r="42" spans="13:129" x14ac:dyDescent="0.25">
      <c r="M42" s="5">
        <v>43525</v>
      </c>
      <c r="N42">
        <f>HAVERM!C477</f>
        <v>3.8140000000000001</v>
      </c>
      <c r="O42" s="3">
        <f>HAVERM!B477</f>
        <v>3.8</v>
      </c>
      <c r="Q42" s="5">
        <v>43525</v>
      </c>
      <c r="R42">
        <f>MIN(HAVERM!C476:C478)</f>
        <v>3.8140000000000001</v>
      </c>
      <c r="S42" s="3">
        <f t="shared" si="36"/>
        <v>7.4999999999999734E-2</v>
      </c>
      <c r="T42" s="3">
        <f>HAVERM!B477</f>
        <v>3.8</v>
      </c>
      <c r="V42">
        <f>MAX(HAVERM!C476:C478)</f>
        <v>3.8889999999999998</v>
      </c>
      <c r="AB42" s="9">
        <v>39995</v>
      </c>
      <c r="AC42" s="8">
        <f>HAVERQ!P126</f>
        <v>1546</v>
      </c>
      <c r="AD42" s="8">
        <f>HAVERQ!O126</f>
        <v>1656</v>
      </c>
      <c r="AE42" s="8">
        <f>HAVERQ!N126</f>
        <v>1220</v>
      </c>
      <c r="AF42" s="8">
        <f>HAVERQ!M126</f>
        <v>296</v>
      </c>
      <c r="AG42" s="8">
        <f>HAVERQ!L126</f>
        <v>199</v>
      </c>
      <c r="AH42" s="8">
        <f>HAVERQ!E126-AC42-AD42-AE42-AF42-AG42</f>
        <v>729</v>
      </c>
      <c r="AJ42" s="9">
        <v>39995</v>
      </c>
      <c r="AK42" s="8">
        <f t="shared" si="11"/>
        <v>27.382217499114418</v>
      </c>
      <c r="AL42" s="8">
        <f t="shared" si="12"/>
        <v>29.330499468650373</v>
      </c>
      <c r="AM42" s="8">
        <f t="shared" si="13"/>
        <v>21.608218207580588</v>
      </c>
      <c r="AN42" s="8">
        <f t="shared" si="14"/>
        <v>5.2426496634785691</v>
      </c>
      <c r="AO42" s="8">
        <f t="shared" si="15"/>
        <v>3.5246191994332272</v>
      </c>
      <c r="AP42" s="8">
        <f t="shared" si="15"/>
        <v>12.911795961742827</v>
      </c>
      <c r="AR42" s="8"/>
      <c r="AS42" s="8" t="s">
        <v>863</v>
      </c>
      <c r="AT42" s="10">
        <f>AT40/AT41</f>
        <v>0.33990161171962058</v>
      </c>
      <c r="AU42" s="8"/>
      <c r="AV42" s="8"/>
      <c r="AW42" s="8"/>
      <c r="AX42" s="8"/>
      <c r="AY42" s="8"/>
      <c r="AZ42" s="8"/>
      <c r="BA42" s="8"/>
      <c r="BB42" s="8"/>
      <c r="BC42" s="8"/>
      <c r="BD42" s="8"/>
      <c r="BE42" s="8"/>
      <c r="BF42" s="8"/>
      <c r="BG42" s="8"/>
      <c r="BH42" s="8"/>
      <c r="BI42" s="8"/>
      <c r="BJ42" s="8"/>
      <c r="BK42" s="8"/>
      <c r="BM42" s="8"/>
      <c r="CL42" s="2">
        <f>100*((DataQ!F201/DataQ!F197)-1)</f>
        <v>-2.4675533873343092</v>
      </c>
      <c r="CM42" s="2">
        <f>100*(DataQ!I201/DataQ!J201)</f>
        <v>21.710194996605392</v>
      </c>
      <c r="CY42" s="10">
        <f>(HAVERQ!AQ166-AVERAGE(HAVERQ!AQ$128:AQ$183))/STDEV(HAVERQ!AQ$128:AQ$183)</f>
        <v>-0.98732104436721968</v>
      </c>
      <c r="CZ42" s="10">
        <f t="shared" si="38"/>
        <v>-0.96432107168545733</v>
      </c>
      <c r="DA42" s="10">
        <f t="shared" si="39"/>
        <v>-1.058216356398235</v>
      </c>
      <c r="DB42" s="10">
        <f>(HAVERQ!AR166-AVERAGE(HAVERQ!AR$128:AR$183))/STDEV(HAVERQ!AR$128:AR$183)</f>
        <v>-0.16945661881464222</v>
      </c>
      <c r="DC42" s="10">
        <f t="shared" si="40"/>
        <v>0.70838242659909134</v>
      </c>
      <c r="DD42" s="10">
        <f t="shared" si="26"/>
        <v>-6.0399734522801757E-2</v>
      </c>
      <c r="DE42" s="10">
        <f>(HAVERQ!AZ166-AVERAGE(HAVERQ!AZ$128:AZ$167,AZ$174:AZ$183))/STDEV(HAVERQ!AZ$128:AZ$167,AZ$174:AZ$183)</f>
        <v>0.18238280399091886</v>
      </c>
      <c r="DF42" s="10">
        <f>(HAVERQ!AS166-AVERAGE(HAVERQ!AS$128:AS$183))/STDEV(HAVERQ!AS$128:AS$183)</f>
        <v>1.0535927492022681</v>
      </c>
      <c r="DG42" s="10">
        <f t="shared" si="27"/>
        <v>0.38696184742241618</v>
      </c>
      <c r="DH42" s="10">
        <f>(HAVERQ!AX166-AVERAGE(HAVERQ!AX$128:AX$183))/STDEV(HAVERQ!AX$128:AX$183)</f>
        <v>1.6957300989373993</v>
      </c>
      <c r="DJ42" s="10">
        <f t="shared" si="41"/>
        <v>0.90745503462744193</v>
      </c>
      <c r="DL42" s="10">
        <f>100*(HAVERQ!AV166/(HAVERQ!AW166*HAVERQ!AX166/100))</f>
        <v>0.90939927014129318</v>
      </c>
      <c r="DM42" s="10">
        <f>HAVERQ!AO166/HAVERQ!AP166</f>
        <v>0.63097033685268977</v>
      </c>
      <c r="DN42" s="10">
        <f>100*((AVERAGE(HAVERQ!BC163:BC166)/AVERAGE(HAVERQ!BC159:BC162))-1)</f>
        <v>1.1064440195128977</v>
      </c>
      <c r="DO42" s="10">
        <f>100*(HAVERQ!BE166+HAVERQ!BF166)/(HAVERQ!BB166+HAVERQ!BG166)</f>
        <v>8.0683810637054361</v>
      </c>
      <c r="DP42" s="10">
        <f>100*((AVERAGE(HAVERQ!BA163:BA166)/AVERAGE(HAVERQ!BA159:BA162))-1)</f>
        <v>3.7457434733257911</v>
      </c>
      <c r="DR42" s="10">
        <f>(HAVERQ!AT166*HAVERQ!$AT$1)+(HAVERQ!AU166*HAVERQ!$AU$1)</f>
        <v>71.62189226002485</v>
      </c>
    </row>
    <row r="43" spans="13:129" x14ac:dyDescent="0.25">
      <c r="M43" s="5">
        <v>43556</v>
      </c>
      <c r="N43">
        <f>HAVERM!C478</f>
        <v>3.8889999999999998</v>
      </c>
      <c r="O43" s="3">
        <f>HAVERM!B478</f>
        <v>3.8</v>
      </c>
      <c r="Q43" s="5">
        <v>43556</v>
      </c>
      <c r="R43">
        <f>MIN(HAVERM!C477:C479)</f>
        <v>3.6880000000000002</v>
      </c>
      <c r="S43" s="3">
        <f t="shared" si="36"/>
        <v>0.20099999999999962</v>
      </c>
      <c r="T43" s="3">
        <f>HAVERM!B478</f>
        <v>3.8</v>
      </c>
      <c r="V43">
        <f>MAX(HAVERM!C477:C479)</f>
        <v>3.8889999999999998</v>
      </c>
      <c r="AB43" s="9">
        <v>40087</v>
      </c>
      <c r="AC43" s="8">
        <f>HAVERQ!P127</f>
        <v>1552</v>
      </c>
      <c r="AD43" s="8">
        <f>HAVERQ!O127</f>
        <v>1673</v>
      </c>
      <c r="AE43" s="8">
        <f>HAVERQ!N127</f>
        <v>1213</v>
      </c>
      <c r="AF43" s="8">
        <f>HAVERQ!M127</f>
        <v>295</v>
      </c>
      <c r="AG43" s="8">
        <f>HAVERQ!L127</f>
        <v>199</v>
      </c>
      <c r="AH43" s="8">
        <f>HAVERQ!E127-AC43-AD43-AE43-AF43-AG43</f>
        <v>726</v>
      </c>
      <c r="AJ43" s="9">
        <v>40087</v>
      </c>
      <c r="AK43" s="8">
        <f t="shared" si="11"/>
        <v>27.430187345351715</v>
      </c>
      <c r="AL43" s="8">
        <f t="shared" si="12"/>
        <v>29.568752209261223</v>
      </c>
      <c r="AM43" s="8">
        <f t="shared" si="13"/>
        <v>21.438670908448216</v>
      </c>
      <c r="AN43" s="8">
        <f t="shared" si="14"/>
        <v>5.2138564863909513</v>
      </c>
      <c r="AO43" s="8">
        <f t="shared" si="15"/>
        <v>3.5171438670908448</v>
      </c>
      <c r="AP43" s="8">
        <f t="shared" si="15"/>
        <v>12.83138918345705</v>
      </c>
      <c r="AR43" s="8"/>
      <c r="AS43" s="8"/>
      <c r="AT43" s="8"/>
      <c r="AU43" s="8"/>
      <c r="AV43" s="8"/>
      <c r="AW43" s="8"/>
      <c r="AX43" s="8"/>
      <c r="AY43" s="8"/>
      <c r="AZ43" s="8"/>
      <c r="BA43" s="8"/>
      <c r="BB43" s="8"/>
      <c r="BC43" s="8"/>
      <c r="BD43" s="8"/>
      <c r="BE43" s="8"/>
      <c r="BF43" s="8"/>
      <c r="BG43" s="8"/>
      <c r="BH43" s="8"/>
      <c r="BI43" s="8"/>
      <c r="BJ43" s="8"/>
      <c r="BK43" s="8"/>
      <c r="BM43" s="8"/>
      <c r="CL43" s="2">
        <f>100*((DataQ!F202/DataQ!F198)-1)</f>
        <v>-4.299826387572681</v>
      </c>
      <c r="CM43" s="2">
        <f>100*(DataQ!I202/DataQ!J202)</f>
        <v>21.584472484516365</v>
      </c>
      <c r="CY43" s="10">
        <f>(HAVERQ!AQ167-AVERAGE(HAVERQ!AQ$128:AQ$183))/STDEV(HAVERQ!AQ$128:AQ$183)</f>
        <v>-1.1091051379455552</v>
      </c>
      <c r="CZ43" s="10">
        <f t="shared" si="38"/>
        <v>-1.0351297130427992</v>
      </c>
      <c r="DA43" s="10">
        <f t="shared" si="39"/>
        <v>-0.93790899191866939</v>
      </c>
      <c r="DB43" s="10">
        <f>(HAVERQ!AR167-AVERAGE(HAVERQ!AR$128:AR$183))/STDEV(HAVERQ!AR$128:AR$183)</f>
        <v>-0.33121066404680027</v>
      </c>
      <c r="DC43" s="10">
        <f t="shared" si="40"/>
        <v>0.68596954778773866</v>
      </c>
      <c r="DD43" s="10">
        <f t="shared" si="26"/>
        <v>-0.10060953656471147</v>
      </c>
      <c r="DE43" s="10">
        <f>(HAVERQ!AZ167-AVERAGE(HAVERQ!AZ$128:AZ$167,AZ$174:AZ$183))/STDEV(HAVERQ!AZ$128:AZ$167,AZ$174:AZ$183)</f>
        <v>-0.6758892147899358</v>
      </c>
      <c r="DF43" s="10">
        <f>(HAVERQ!AS167-AVERAGE(HAVERQ!AS$128:AS$183))/STDEV(HAVERQ!AS$128:AS$183)</f>
        <v>0.94831180831543904</v>
      </c>
      <c r="DG43" s="10">
        <f t="shared" si="27"/>
        <v>0.23694349387906324</v>
      </c>
      <c r="DH43" s="10">
        <f>(HAVERQ!AX167-AVERAGE(HAVERQ!AX$128:AX$183))/STDEV(HAVERQ!AX$128:AX$183)</f>
        <v>2.3005765036539199</v>
      </c>
      <c r="DJ43" s="10">
        <f t="shared" si="41"/>
        <v>0.98471847096967113</v>
      </c>
      <c r="DL43" s="10">
        <f>100*(HAVERQ!AV167/(HAVERQ!AW167*HAVERQ!AX167/100))</f>
        <v>0.85637012666413248</v>
      </c>
      <c r="DM43" s="10">
        <f>HAVERQ!AO167/HAVERQ!AP167</f>
        <v>0.62568093385214008</v>
      </c>
      <c r="DN43" s="10">
        <f>100*((AVERAGE(HAVERQ!BC164:BC167)/AVERAGE(HAVERQ!BC160:BC163))-1)</f>
        <v>1.0476332368286156</v>
      </c>
      <c r="DO43" s="10">
        <f>100*(HAVERQ!BE167+HAVERQ!BF167)/(HAVERQ!BB167+HAVERQ!BG167)</f>
        <v>8.2498543972044267</v>
      </c>
      <c r="DP43" s="10">
        <f>100*((AVERAGE(HAVERQ!BA164:BA167)/AVERAGE(HAVERQ!BA160:BA163))-1)</f>
        <v>3.4543701799485849</v>
      </c>
      <c r="DR43" s="10">
        <f>(HAVERQ!AT167*HAVERQ!$AT$1)+(HAVERQ!AU167*HAVERQ!$AU$1)</f>
        <v>72.388682662515521</v>
      </c>
    </row>
    <row r="44" spans="13:129" x14ac:dyDescent="0.25">
      <c r="M44" s="5">
        <v>43586</v>
      </c>
      <c r="N44">
        <f>HAVERM!C479</f>
        <v>3.6880000000000002</v>
      </c>
      <c r="O44" s="3">
        <f>HAVERM!B479</f>
        <v>3.9</v>
      </c>
      <c r="Q44" s="5">
        <v>43586</v>
      </c>
      <c r="R44">
        <f>MIN(HAVERM!C478:C480)</f>
        <v>3.6880000000000002</v>
      </c>
      <c r="S44" s="3">
        <f t="shared" si="36"/>
        <v>0.39500000000000002</v>
      </c>
      <c r="T44" s="3">
        <f>HAVERM!B479</f>
        <v>3.9</v>
      </c>
      <c r="V44">
        <f>MAX(HAVERM!C478:C480)</f>
        <v>4.0830000000000002</v>
      </c>
      <c r="AB44" s="9">
        <v>40179</v>
      </c>
      <c r="AC44" s="8">
        <f>HAVERQ!P128</f>
        <v>1557</v>
      </c>
      <c r="AD44" s="8">
        <f>HAVERQ!O128</f>
        <v>1671</v>
      </c>
      <c r="AE44" s="8">
        <f>HAVERQ!N128</f>
        <v>1213</v>
      </c>
      <c r="AF44" s="8">
        <f>HAVERQ!M128</f>
        <v>295</v>
      </c>
      <c r="AG44" s="8">
        <f>HAVERQ!L128</f>
        <v>199</v>
      </c>
      <c r="AH44" s="8">
        <f>HAVERQ!E128-AC44-AD44-AE44-AF44-AG44</f>
        <v>717</v>
      </c>
      <c r="AJ44" s="9">
        <v>40179</v>
      </c>
      <c r="AK44" s="8">
        <f t="shared" si="11"/>
        <v>27.547770700636942</v>
      </c>
      <c r="AL44" s="8">
        <f t="shared" si="12"/>
        <v>29.564755838641187</v>
      </c>
      <c r="AM44" s="8">
        <f t="shared" si="13"/>
        <v>21.461429582448691</v>
      </c>
      <c r="AN44" s="8">
        <f t="shared" si="14"/>
        <v>5.219391365888181</v>
      </c>
      <c r="AO44" s="8">
        <f t="shared" si="15"/>
        <v>3.5208775654635525</v>
      </c>
      <c r="AP44" s="8">
        <f t="shared" si="15"/>
        <v>12.685774946921443</v>
      </c>
      <c r="AR44" s="8"/>
      <c r="AS44" s="8"/>
      <c r="AT44" s="8"/>
      <c r="AU44" s="8"/>
      <c r="AV44" s="8"/>
      <c r="AW44" s="8"/>
      <c r="AX44" s="8"/>
      <c r="AY44" s="8"/>
      <c r="AZ44" s="8"/>
      <c r="BA44" s="8"/>
      <c r="BB44" s="8"/>
      <c r="BC44" s="8"/>
      <c r="BD44" s="8"/>
      <c r="BE44" s="8"/>
      <c r="BF44" s="8"/>
      <c r="BG44" s="8"/>
      <c r="BH44" s="8"/>
      <c r="BI44" s="8"/>
      <c r="BJ44" s="8"/>
      <c r="BK44" s="8"/>
      <c r="BM44" s="8"/>
      <c r="CK44">
        <v>2022</v>
      </c>
      <c r="CL44" s="2">
        <f>100*((DataQ!F203/DataQ!F199)-1)</f>
        <v>-3.5561127662665837</v>
      </c>
      <c r="CM44" s="2">
        <f>100*(DataQ!I203/DataQ!J203)</f>
        <v>21.094264564689535</v>
      </c>
      <c r="CX44">
        <v>2020</v>
      </c>
      <c r="CY44" s="10">
        <f>(HAVERQ!AQ168-AVERAGE(HAVERQ!AQ$128:AQ$183))/STDEV(HAVERQ!AQ$128:AQ$183)</f>
        <v>-0.86553695078888426</v>
      </c>
      <c r="CZ44" s="10">
        <f t="shared" si="38"/>
        <v>-0.96991355272697144</v>
      </c>
      <c r="DA44" s="10">
        <f t="shared" si="39"/>
        <v>-0.91389887013837556</v>
      </c>
      <c r="DB44" s="10">
        <f>(HAVERQ!AR168-AVERAGE(HAVERQ!AR$128:AR$183))/STDEV(HAVERQ!AR$128:AR$183)</f>
        <v>-0.4390466942015725</v>
      </c>
      <c r="DC44" s="10">
        <f t="shared" si="40"/>
        <v>0.34711690648623006</v>
      </c>
      <c r="DD44" s="10">
        <f t="shared" si="26"/>
        <v>-0.18625634312208328</v>
      </c>
      <c r="DE44" s="10">
        <f>(HAVERQ!AZ168-AVERAGE(HAVERQ!AZ$128:AZ$167,AZ$174:AZ$183))/STDEV(HAVERQ!AZ$128:AZ$167,AZ$174:AZ$183)</f>
        <v>-3.2507052711325151</v>
      </c>
      <c r="DF44" s="10">
        <f>(HAVERQ!AS168-AVERAGE(HAVERQ!AS$128:AS$183))/STDEV(HAVERQ!AS$128:AS$183)</f>
        <v>0.68510945609836693</v>
      </c>
      <c r="DG44" s="10">
        <f t="shared" si="27"/>
        <v>9.1728306587695443E-2</v>
      </c>
      <c r="DH44" s="10">
        <f>(HAVERQ!AX168-AVERAGE(HAVERQ!AX$128:AX$183))/STDEV(HAVERQ!AX$128:AX$183)</f>
        <v>2.3005765036539199</v>
      </c>
      <c r="DJ44" s="10">
        <f t="shared" si="41"/>
        <v>0.98471847096967113</v>
      </c>
      <c r="DL44" s="10">
        <f>100*(HAVERQ!AV168/(HAVERQ!AW168*HAVERQ!AX168/100))</f>
        <v>0.90521101749502209</v>
      </c>
      <c r="DM44" s="10">
        <f>HAVERQ!AO168/HAVERQ!AP168</f>
        <v>0.54571226080793767</v>
      </c>
      <c r="DN44" s="10">
        <f>100*((AVERAGE(HAVERQ!BC165:BC168)/AVERAGE(HAVERQ!BC161:BC164))-1)</f>
        <v>0.92236637471379002</v>
      </c>
      <c r="DO44" s="10">
        <f>100*(HAVERQ!BE168+HAVERQ!BF168)/(HAVERQ!BB168+HAVERQ!BG168)</f>
        <v>8.28607160515371</v>
      </c>
      <c r="DP44" s="10">
        <f>100*((AVERAGE(HAVERQ!BA165:BA168)/AVERAGE(HAVERQ!BA161:BA164))-1)</f>
        <v>3.1723258409054544</v>
      </c>
      <c r="DR44" s="10">
        <f>(HAVERQ!AT168*HAVERQ!$AT$1)+(HAVERQ!AU168*HAVERQ!$AU$1)</f>
        <v>72.388682662515521</v>
      </c>
    </row>
    <row r="45" spans="13:129" x14ac:dyDescent="0.25">
      <c r="M45" s="5">
        <v>43617</v>
      </c>
      <c r="N45">
        <f>HAVERM!C480</f>
        <v>4.0830000000000002</v>
      </c>
      <c r="O45" s="3">
        <f>HAVERM!B480</f>
        <v>3.9</v>
      </c>
      <c r="Q45" s="5">
        <v>43617</v>
      </c>
      <c r="R45">
        <f>MIN(HAVERM!C479:C481)</f>
        <v>3.6880000000000002</v>
      </c>
      <c r="S45" s="3">
        <f t="shared" si="36"/>
        <v>0.39500000000000002</v>
      </c>
      <c r="T45" s="3">
        <f>HAVERM!B480</f>
        <v>3.9</v>
      </c>
      <c r="V45">
        <f>MAX(HAVERM!C479:C481)</f>
        <v>4.0830000000000002</v>
      </c>
      <c r="AB45" s="9">
        <v>40269</v>
      </c>
      <c r="AC45" s="8">
        <f>HAVERQ!P129</f>
        <v>1559</v>
      </c>
      <c r="AD45" s="8">
        <f>HAVERQ!O129</f>
        <v>1688</v>
      </c>
      <c r="AE45" s="8">
        <f>HAVERQ!N129</f>
        <v>1200</v>
      </c>
      <c r="AF45" s="8">
        <f>HAVERQ!M129</f>
        <v>292</v>
      </c>
      <c r="AG45" s="8">
        <f>HAVERQ!L129</f>
        <v>197</v>
      </c>
      <c r="AH45" s="8">
        <f>HAVERQ!E129-AC45-AD45-AE45-AF45-AG45</f>
        <v>697</v>
      </c>
      <c r="AJ45" s="9">
        <v>40269</v>
      </c>
      <c r="AK45" s="8">
        <f t="shared" si="11"/>
        <v>27.67619385762471</v>
      </c>
      <c r="AL45" s="8">
        <f t="shared" si="12"/>
        <v>29.966270193502574</v>
      </c>
      <c r="AM45" s="8">
        <f t="shared" si="13"/>
        <v>21.303035682584767</v>
      </c>
      <c r="AN45" s="8">
        <f t="shared" si="14"/>
        <v>5.1837386827622938</v>
      </c>
      <c r="AO45" s="8">
        <f t="shared" si="15"/>
        <v>3.4972483578909994</v>
      </c>
      <c r="AP45" s="8">
        <f t="shared" si="15"/>
        <v>12.373513225634653</v>
      </c>
      <c r="AR45" s="8"/>
      <c r="AS45" s="8"/>
      <c r="AT45" s="8"/>
      <c r="AU45" s="8"/>
      <c r="AV45" s="8"/>
      <c r="AW45" s="8"/>
      <c r="AX45" s="8"/>
      <c r="AY45" s="8"/>
      <c r="AZ45" s="8"/>
      <c r="BA45" s="8"/>
      <c r="BB45" s="8"/>
      <c r="BC45" s="8"/>
      <c r="BD45" s="8"/>
      <c r="BE45" s="8"/>
      <c r="BF45" s="8"/>
      <c r="BG45" s="8"/>
      <c r="BH45" s="8"/>
      <c r="BI45" s="8"/>
      <c r="BJ45" s="8"/>
      <c r="BK45" s="8"/>
      <c r="BM45" s="8"/>
      <c r="CL45" s="2">
        <f>100*((DataQ!F204/DataQ!F200)-1)</f>
        <v>2.3235521096652167</v>
      </c>
      <c r="CM45" s="2">
        <f>100*(DataQ!I204/DataQ!J204)</f>
        <v>21.380344606510015</v>
      </c>
      <c r="CY45" s="10">
        <f>(HAVERQ!AQ169-AVERAGE(HAVERQ!AQ$128:AQ$183))/STDEV(HAVERQ!AQ$128:AQ$183)</f>
        <v>-0.86553695078888426</v>
      </c>
      <c r="CZ45" s="10">
        <f t="shared" si="38"/>
        <v>-1.2166463451903384</v>
      </c>
      <c r="DA45" s="10">
        <f t="shared" si="39"/>
        <v>-0.27919017606076441</v>
      </c>
      <c r="DB45" s="10">
        <f>(HAVERQ!AR169-AVERAGE(HAVERQ!AR$128:AR$183))/STDEV(HAVERQ!AR$128:AR$183)</f>
        <v>0.10013345657228802</v>
      </c>
      <c r="DC45" s="10">
        <f t="shared" si="40"/>
        <v>-0.91099780750243919</v>
      </c>
      <c r="DD45" s="10">
        <f t="shared" si="26"/>
        <v>-0.66086019139228358</v>
      </c>
      <c r="DE45" s="10">
        <f>(HAVERQ!AZ169-AVERAGE(HAVERQ!AZ$128:AZ$167,AZ$174:AZ$183))/STDEV(HAVERQ!AZ$128:AZ$167,AZ$174:AZ$183)</f>
        <v>-25.994913768825246</v>
      </c>
      <c r="DF45" s="10">
        <f>(HAVERQ!AS169-AVERAGE(HAVERQ!AS$128:AS$183))/STDEV(HAVERQ!AS$128:AS$183)</f>
        <v>-0.49930112887845773</v>
      </c>
      <c r="DG45" s="10">
        <f t="shared" si="27"/>
        <v>-0.74524317158313758</v>
      </c>
      <c r="DH45" s="10">
        <f>(HAVERQ!AX169-AVERAGE(HAVERQ!AX$128:AX$183))/STDEV(HAVERQ!AX$128:AX$183)</f>
        <v>0.18361408714611957</v>
      </c>
      <c r="DJ45" s="10">
        <f t="shared" si="41"/>
        <v>0.25588484515500654</v>
      </c>
      <c r="DL45" s="10">
        <f>100*(HAVERQ!AV169/(HAVERQ!AW169*HAVERQ!AX169/100))</f>
        <v>0.72043090589775605</v>
      </c>
      <c r="DM45" s="10">
        <f>HAVERQ!AO169/HAVERQ!AP169</f>
        <v>0.24879923150816521</v>
      </c>
      <c r="DN45" s="10">
        <f>100*((AVERAGE(HAVERQ!BC166:BC169)/AVERAGE(HAVERQ!BC162:BC165))-1)</f>
        <v>0.22821165709914215</v>
      </c>
      <c r="DO45" s="10">
        <f>100*(HAVERQ!BE169+HAVERQ!BF169)/(HAVERQ!BB169+HAVERQ!BG169)</f>
        <v>9.2434751939807196</v>
      </c>
      <c r="DP45" s="10">
        <f>100*((AVERAGE(HAVERQ!BA166:BA169)/AVERAGE(HAVERQ!BA162:BA165))-1)</f>
        <v>1.5467171717171935</v>
      </c>
      <c r="DR45" s="10">
        <f>(HAVERQ!AT169*HAVERQ!$AT$1)+(HAVERQ!AU169*HAVERQ!$AU$1)</f>
        <v>65.15547306500622</v>
      </c>
    </row>
    <row r="46" spans="13:129" x14ac:dyDescent="0.25">
      <c r="M46" s="5">
        <v>43647</v>
      </c>
      <c r="N46">
        <f>HAVERM!C481</f>
        <v>3.782</v>
      </c>
      <c r="O46" s="3">
        <f>HAVERM!B481</f>
        <v>3.9</v>
      </c>
      <c r="Q46" s="5">
        <v>43647</v>
      </c>
      <c r="R46">
        <f>MIN(HAVERM!C480:C482)</f>
        <v>3.7749999999999999</v>
      </c>
      <c r="S46" s="3">
        <f t="shared" si="36"/>
        <v>0.30800000000000027</v>
      </c>
      <c r="T46" s="3">
        <f>HAVERM!B481</f>
        <v>3.9</v>
      </c>
      <c r="V46">
        <f>MAX(HAVERM!C480:C482)</f>
        <v>4.0830000000000002</v>
      </c>
      <c r="AB46" s="9">
        <v>40360</v>
      </c>
      <c r="AC46" s="8">
        <f>HAVERQ!P130</f>
        <v>1551</v>
      </c>
      <c r="AD46" s="8">
        <f>HAVERQ!O130</f>
        <v>1664</v>
      </c>
      <c r="AE46" s="8">
        <f>HAVERQ!N130</f>
        <v>1181</v>
      </c>
      <c r="AF46" s="8">
        <f>HAVERQ!M130</f>
        <v>290</v>
      </c>
      <c r="AG46" s="8">
        <f>HAVERQ!L130</f>
        <v>196</v>
      </c>
      <c r="AH46" s="8">
        <f>HAVERQ!E130-AC46-AD46-AE46-AF46-AG46</f>
        <v>696</v>
      </c>
      <c r="AJ46" s="9">
        <v>40360</v>
      </c>
      <c r="AK46" s="8">
        <f t="shared" si="11"/>
        <v>27.805665112943707</v>
      </c>
      <c r="AL46" s="8">
        <f t="shared" si="12"/>
        <v>29.831480817497315</v>
      </c>
      <c r="AM46" s="8">
        <f t="shared" si="13"/>
        <v>21.172463248476156</v>
      </c>
      <c r="AN46" s="8">
        <f t="shared" si="14"/>
        <v>5.1989960559340265</v>
      </c>
      <c r="AO46" s="8">
        <f t="shared" si="15"/>
        <v>3.5138042309071351</v>
      </c>
      <c r="AP46" s="8">
        <f t="shared" si="15"/>
        <v>12.477590534241664</v>
      </c>
      <c r="AR46" s="8"/>
      <c r="AS46" s="8"/>
      <c r="AT46" s="8"/>
      <c r="AU46" s="8"/>
      <c r="AV46" s="8"/>
      <c r="AW46" s="8"/>
      <c r="AX46" s="8"/>
      <c r="AY46" s="8"/>
      <c r="AZ46" s="8"/>
      <c r="BA46" s="8"/>
      <c r="BB46" s="8"/>
      <c r="BC46" s="8"/>
      <c r="BD46" s="8"/>
      <c r="BE46" s="8"/>
      <c r="BF46" s="8"/>
      <c r="BG46" s="8"/>
      <c r="BH46" s="8"/>
      <c r="BI46" s="8"/>
      <c r="BJ46" s="8"/>
      <c r="BK46" s="8"/>
      <c r="BM46" s="8"/>
      <c r="CL46" s="2">
        <f>100*((DataQ!F205/DataQ!F201)-1)</f>
        <v>4.6629561207099268</v>
      </c>
      <c r="CM46" s="2">
        <f>100*(DataQ!I205/DataQ!J205)</f>
        <v>21.146078959646722</v>
      </c>
      <c r="CY46" s="10">
        <f>(HAVERQ!AQ170-AVERAGE(HAVERQ!AQ$128:AQ$183))/STDEV(HAVERQ!AQ$128:AQ$183)</f>
        <v>-0.31750852968637383</v>
      </c>
      <c r="CZ46" s="10">
        <f t="shared" si="38"/>
        <v>-0.80990768845509531</v>
      </c>
      <c r="DA46" s="10">
        <f t="shared" si="39"/>
        <v>-0.6701396817066666</v>
      </c>
      <c r="DB46" s="10">
        <f>(HAVERQ!AR170-AVERAGE(HAVERQ!AR$128:AR$183))/STDEV(HAVERQ!AR$128:AR$183)</f>
        <v>3.6587224516797674</v>
      </c>
      <c r="DC46" s="10">
        <f t="shared" si="40"/>
        <v>-0.69228984175444708</v>
      </c>
      <c r="DD46" s="10">
        <f t="shared" si="26"/>
        <v>-1.226753943524201</v>
      </c>
      <c r="DE46" s="10">
        <f>(HAVERQ!AZ170-AVERAGE(HAVERQ!AZ$128:AZ$167,AZ$174:AZ$183))/STDEV(HAVERQ!AZ$128:AZ$167,AZ$174:AZ$183)</f>
        <v>-16.124785552845381</v>
      </c>
      <c r="DF46" s="10">
        <f>(HAVERQ!AS170-AVERAGE(HAVERQ!AS$128:AS$183))/STDEV(HAVERQ!AS$128:AS$183)</f>
        <v>-1.6573914786335753</v>
      </c>
      <c r="DG46" s="10">
        <f t="shared" si="27"/>
        <v>-1.1311835470748168</v>
      </c>
      <c r="DH46" s="10">
        <f>(HAVERQ!AX170-AVERAGE(HAVERQ!AX$128:AX$183))/STDEV(HAVERQ!AX$128:AX$183)</f>
        <v>0.18361408714611957</v>
      </c>
      <c r="DJ46" s="10">
        <f t="shared" si="41"/>
        <v>-0.31735635622615765</v>
      </c>
      <c r="DL46" s="10">
        <f>100*(HAVERQ!AV170/(HAVERQ!AW170*HAVERQ!AX170/100))</f>
        <v>1.0250406565194496</v>
      </c>
      <c r="DM46" s="10">
        <f>HAVERQ!AO170/HAVERQ!AP170</f>
        <v>0.30041395623891187</v>
      </c>
      <c r="DN46" s="10">
        <f>100*((AVERAGE(HAVERQ!BC167:BC170)/AVERAGE(HAVERQ!BC163:BC166))-1)</f>
        <v>-0.59946350639297208</v>
      </c>
      <c r="DO46" s="10">
        <f>100*(HAVERQ!BE170+HAVERQ!BF170)/(HAVERQ!BB170+HAVERQ!BG170)</f>
        <v>8.6537614193813699</v>
      </c>
      <c r="DP46" s="10">
        <f>100*((AVERAGE(HAVERQ!BA167:BA170)/AVERAGE(HAVERQ!BA163:BA166))-1)</f>
        <v>0.79712410128165434</v>
      </c>
      <c r="DR46" s="10">
        <f>(HAVERQ!AT170*HAVERQ!$AT$1)+(HAVERQ!AU170*HAVERQ!$AU$1)</f>
        <v>59.466419195018638</v>
      </c>
    </row>
    <row r="47" spans="13:129" x14ac:dyDescent="0.25">
      <c r="M47" s="5">
        <v>43678</v>
      </c>
      <c r="N47">
        <f>HAVERM!C482</f>
        <v>3.7749999999999999</v>
      </c>
      <c r="O47" s="3">
        <f>HAVERM!B482</f>
        <v>3.9</v>
      </c>
      <c r="Q47" s="5">
        <v>43678</v>
      </c>
      <c r="R47">
        <f>MIN(HAVERM!C481:C483)</f>
        <v>3.7749999999999999</v>
      </c>
      <c r="S47" s="3">
        <f t="shared" si="36"/>
        <v>0.30099999999999971</v>
      </c>
      <c r="T47" s="3">
        <f>HAVERM!B482</f>
        <v>3.9</v>
      </c>
      <c r="V47">
        <f>MAX(HAVERM!C481:C483)</f>
        <v>4.0759999999999996</v>
      </c>
      <c r="AB47" s="9">
        <v>40452</v>
      </c>
      <c r="AC47" s="8">
        <f>HAVERQ!P131</f>
        <v>1545</v>
      </c>
      <c r="AD47" s="8">
        <f>HAVERQ!O131</f>
        <v>1658</v>
      </c>
      <c r="AE47" s="8">
        <f>HAVERQ!N131</f>
        <v>1175</v>
      </c>
      <c r="AF47" s="8">
        <f>HAVERQ!M131</f>
        <v>286</v>
      </c>
      <c r="AG47" s="8">
        <f>HAVERQ!L131</f>
        <v>196</v>
      </c>
      <c r="AH47" s="8">
        <f>HAVERQ!E131-AC47-AD47-AE47-AF47-AG47</f>
        <v>687</v>
      </c>
      <c r="AJ47" s="9">
        <v>40452</v>
      </c>
      <c r="AK47" s="8">
        <f t="shared" si="11"/>
        <v>27.852893455922118</v>
      </c>
      <c r="AL47" s="8">
        <f t="shared" si="12"/>
        <v>29.890030647196681</v>
      </c>
      <c r="AM47" s="8">
        <f t="shared" si="13"/>
        <v>21.182621236704524</v>
      </c>
      <c r="AN47" s="8">
        <f t="shared" si="14"/>
        <v>5.1559401478276552</v>
      </c>
      <c r="AO47" s="8">
        <f t="shared" si="15"/>
        <v>3.5334414999098609</v>
      </c>
      <c r="AP47" s="8">
        <f t="shared" si="15"/>
        <v>12.385073012439156</v>
      </c>
      <c r="AR47" s="8"/>
      <c r="AS47" s="8"/>
      <c r="AT47" s="8"/>
      <c r="AU47" s="8"/>
      <c r="AV47" s="8"/>
      <c r="AW47" s="8"/>
      <c r="AX47" s="8"/>
      <c r="AY47" s="8"/>
      <c r="AZ47" s="8"/>
      <c r="BA47" s="8"/>
      <c r="BB47" s="8"/>
      <c r="BC47" s="8"/>
      <c r="BD47" s="8"/>
      <c r="BE47" s="8"/>
      <c r="BF47" s="8"/>
      <c r="BG47" s="8"/>
      <c r="BH47" s="8"/>
      <c r="BI47" s="8"/>
      <c r="BJ47" s="8"/>
      <c r="BK47" s="8"/>
      <c r="BM47" s="8"/>
      <c r="CL47" s="2">
        <f>100*((DataQ!F206/DataQ!F202)-1)</f>
        <v>7.3192565399734066</v>
      </c>
      <c r="CM47" s="2">
        <f>100*(DataQ!I206/DataQ!J206)</f>
        <v>22.653968584018028</v>
      </c>
      <c r="CY47" s="10">
        <f>(HAVERQ!AQ171-AVERAGE(HAVERQ!AQ$128:AQ$183))/STDEV(HAVERQ!AQ$128:AQ$183)</f>
        <v>-0.13483238931887054</v>
      </c>
      <c r="CZ47" s="10">
        <f t="shared" si="38"/>
        <v>-0.65665724134386627</v>
      </c>
      <c r="DA47" s="10">
        <f t="shared" si="39"/>
        <v>-0.47057628679919367</v>
      </c>
      <c r="DB47" s="10">
        <f>(HAVERQ!AR171-AVERAGE(HAVERQ!AR$128:AR$183))/STDEV(HAVERQ!AR$128:AR$183)</f>
        <v>4.3596566476857861</v>
      </c>
      <c r="DC47" s="10">
        <f t="shared" si="40"/>
        <v>-0.57090818943680099</v>
      </c>
      <c r="DD47" s="10">
        <f t="shared" si="26"/>
        <v>-1.8735791402370088</v>
      </c>
      <c r="DE47" s="10">
        <f>(HAVERQ!AZ171-AVERAGE(HAVERQ!AZ$128:AZ$167,AZ$174:AZ$183))/STDEV(HAVERQ!AZ$128:AZ$167,AZ$174:AZ$183)</f>
        <v>-7.5420653650368035</v>
      </c>
      <c r="DF47" s="10">
        <f>(HAVERQ!AS171-AVERAGE(HAVERQ!AS$128:AS$183))/STDEV(HAVERQ!AS$128:AS$183)</f>
        <v>-1.8153128899638185</v>
      </c>
      <c r="DG47" s="10">
        <f t="shared" si="27"/>
        <v>-0.8619306732498111</v>
      </c>
      <c r="DH47" s="10">
        <f>(HAVERQ!AX171-AVERAGE(HAVERQ!AX$128:AX$183))/STDEV(HAVERQ!AX$128:AX$183)</f>
        <v>-0.11880911521214067</v>
      </c>
      <c r="DJ47" s="10">
        <f t="shared" si="41"/>
        <v>-0.84466571650160027</v>
      </c>
      <c r="DL47" s="10">
        <f>100*(HAVERQ!AV171/(HAVERQ!AW171*HAVERQ!AX171/100))</f>
        <v>1.1398111109727149</v>
      </c>
      <c r="DM47" s="10">
        <f>HAVERQ!AO171/HAVERQ!AP171</f>
        <v>0.32905982905982906</v>
      </c>
      <c r="DN47" s="10">
        <f>100*((AVERAGE(HAVERQ!BC168:BC171)/AVERAGE(HAVERQ!BC164:BC167))-1)</f>
        <v>-1.5455088522254745</v>
      </c>
      <c r="DO47" s="10">
        <f>100*(HAVERQ!BE171+HAVERQ!BF171)/(HAVERQ!BB171+HAVERQ!BG171)</f>
        <v>8.9547856723429238</v>
      </c>
      <c r="DP47" s="10">
        <f>100*((AVERAGE(HAVERQ!BA168:BA171)/AVERAGE(HAVERQ!BA164:BA167))-1)</f>
        <v>1.3200807578816587</v>
      </c>
      <c r="DR47" s="10">
        <f>(HAVERQ!AT171*HAVERQ!$AT$1)+(HAVERQ!AU171*HAVERQ!$AU$1)</f>
        <v>54.233209597509315</v>
      </c>
    </row>
    <row r="48" spans="13:129" x14ac:dyDescent="0.25">
      <c r="M48" s="5">
        <v>43709</v>
      </c>
      <c r="N48">
        <f>HAVERM!C483</f>
        <v>4.0759999999999996</v>
      </c>
      <c r="O48" s="3">
        <f>HAVERM!B483</f>
        <v>3.8</v>
      </c>
      <c r="Q48" s="5">
        <v>43709</v>
      </c>
      <c r="R48">
        <f>MIN(HAVERM!C482:C484)</f>
        <v>3.5489999999999999</v>
      </c>
      <c r="S48" s="3">
        <f t="shared" si="36"/>
        <v>0.52699999999999969</v>
      </c>
      <c r="T48" s="3">
        <f>HAVERM!B483</f>
        <v>3.8</v>
      </c>
      <c r="V48">
        <f>MAX(HAVERM!C482:C484)</f>
        <v>4.0759999999999996</v>
      </c>
      <c r="AB48" s="9">
        <v>40544</v>
      </c>
      <c r="AC48" s="8">
        <f>HAVERQ!P132</f>
        <v>1539</v>
      </c>
      <c r="AD48" s="8">
        <f>HAVERQ!O132</f>
        <v>1659</v>
      </c>
      <c r="AE48" s="8">
        <f>HAVERQ!N132</f>
        <v>1164</v>
      </c>
      <c r="AF48" s="8">
        <f>HAVERQ!M132</f>
        <v>282</v>
      </c>
      <c r="AG48" s="8">
        <f>HAVERQ!L132</f>
        <v>194</v>
      </c>
      <c r="AH48" s="8">
        <f>HAVERQ!E132-AC48-AD48-AE48-AF48-AG48</f>
        <v>688</v>
      </c>
      <c r="AJ48" s="9">
        <v>40544</v>
      </c>
      <c r="AK48" s="8">
        <f t="shared" si="11"/>
        <v>27.850162866449512</v>
      </c>
      <c r="AL48" s="8">
        <f t="shared" si="12"/>
        <v>30.021715526601522</v>
      </c>
      <c r="AM48" s="8">
        <f t="shared" si="13"/>
        <v>21.064060803474487</v>
      </c>
      <c r="AN48" s="8">
        <f t="shared" si="14"/>
        <v>5.1031487513572209</v>
      </c>
      <c r="AO48" s="8">
        <f t="shared" si="15"/>
        <v>3.5106768005790809</v>
      </c>
      <c r="AP48" s="8">
        <f t="shared" si="15"/>
        <v>12.450235251538183</v>
      </c>
      <c r="AR48" s="8"/>
      <c r="AS48" s="8"/>
      <c r="AT48" s="8"/>
      <c r="AU48" s="8"/>
      <c r="AV48" s="8"/>
      <c r="AW48" s="8"/>
      <c r="AX48" s="8"/>
      <c r="AY48" s="8"/>
      <c r="AZ48" s="8"/>
      <c r="BA48" s="8"/>
      <c r="BB48" s="8"/>
      <c r="BC48" s="8"/>
      <c r="BD48" s="8"/>
      <c r="BE48" s="8"/>
      <c r="BF48" s="8"/>
      <c r="BG48" s="8"/>
      <c r="BH48" s="8"/>
      <c r="BI48" s="8"/>
      <c r="BJ48" s="8"/>
      <c r="BK48" s="8"/>
      <c r="BM48" s="8"/>
      <c r="CK48">
        <v>2023</v>
      </c>
      <c r="CL48" s="2">
        <f>100*((DataQ!F207/DataQ!F203)-1)</f>
        <v>7.5866246291953265</v>
      </c>
      <c r="CM48" s="2">
        <f>100*(DataQ!I207/DataQ!J207)</f>
        <v>23.524103474276085</v>
      </c>
      <c r="CX48">
        <v>2021</v>
      </c>
      <c r="CY48" s="10">
        <f>(HAVERQ!AQ172-AVERAGE(HAVERQ!AQ$128:AQ$183))/STDEV(HAVERQ!AQ$128:AQ$183)</f>
        <v>-0.37840057647554143</v>
      </c>
      <c r="CZ48" s="10">
        <f t="shared" si="38"/>
        <v>-0.61860499629759735</v>
      </c>
      <c r="DA48" s="10">
        <f t="shared" si="39"/>
        <v>-0.60402137044695936</v>
      </c>
      <c r="DB48" s="10">
        <f>(HAVERQ!AR172-AVERAGE(HAVERQ!AR$128:AR$183))/STDEV(HAVERQ!AR$128:AR$183)</f>
        <v>0.47755956211399048</v>
      </c>
      <c r="DC48" s="10">
        <f t="shared" si="40"/>
        <v>-0.43417883585935113</v>
      </c>
      <c r="DD48" s="10">
        <f t="shared" si="26"/>
        <v>-2.4976597856706646</v>
      </c>
      <c r="DE48" s="10">
        <f>(HAVERQ!AZ172-AVERAGE(HAVERQ!AZ$128:AZ$167,AZ$174:AZ$183))/STDEV(HAVERQ!AZ$128:AZ$167,AZ$174:AZ$183)</f>
        <v>-10.546017430769803</v>
      </c>
      <c r="DF48" s="10">
        <f>(HAVERQ!AS172-AVERAGE(HAVERQ!AS$128:AS$183))/STDEV(HAVERQ!AS$128:AS$183)</f>
        <v>-1.8153128899638185</v>
      </c>
      <c r="DG48" s="10">
        <f t="shared" si="27"/>
        <v>-0.61878214824080935</v>
      </c>
      <c r="DH48" s="10">
        <f>(HAVERQ!AX172-AVERAGE(HAVERQ!AX$128:AX$183))/STDEV(HAVERQ!AX$128:AX$183)</f>
        <v>-0.72365551992863963</v>
      </c>
      <c r="DJ48" s="10">
        <f t="shared" si="41"/>
        <v>5.4360579615781633E-2</v>
      </c>
      <c r="DL48" s="10">
        <f>100*(HAVERQ!AV172/(HAVERQ!AW172*HAVERQ!AX172/100))</f>
        <v>1.168308733911182</v>
      </c>
      <c r="DM48" s="10">
        <f>HAVERQ!AO172/HAVERQ!AP172</f>
        <v>0.36132773445310939</v>
      </c>
      <c r="DN48" s="10">
        <f>100*((AVERAGE(HAVERQ!BC169:BC172)/AVERAGE(HAVERQ!BC165:BC168))-1)</f>
        <v>-2.4582880590917733</v>
      </c>
      <c r="DO48" s="10">
        <f>100*(HAVERQ!BE172+HAVERQ!BF172)/(HAVERQ!BB172+HAVERQ!BG172)</f>
        <v>8.7534952170713769</v>
      </c>
      <c r="DP48" s="10">
        <f>100*((AVERAGE(HAVERQ!BA169:BA172)/AVERAGE(HAVERQ!BA165:BA168))-1)</f>
        <v>1.7923362175525259</v>
      </c>
      <c r="DR48" s="10">
        <f>(HAVERQ!AT172*HAVERQ!$AT$1)+(HAVERQ!AU172*HAVERQ!$AU$1)</f>
        <v>63.155473065006213</v>
      </c>
    </row>
    <row r="49" spans="13:122" x14ac:dyDescent="0.25">
      <c r="M49" s="5">
        <v>43739</v>
      </c>
      <c r="N49">
        <f>HAVERM!C484</f>
        <v>3.5489999999999999</v>
      </c>
      <c r="O49" s="3">
        <f>HAVERM!B484</f>
        <v>3.8</v>
      </c>
      <c r="Q49" s="5">
        <v>43739</v>
      </c>
      <c r="R49">
        <f>MIN(HAVERM!C483:C485)</f>
        <v>3.5489999999999999</v>
      </c>
      <c r="S49" s="3">
        <f t="shared" si="36"/>
        <v>0.52699999999999969</v>
      </c>
      <c r="T49" s="3">
        <f>HAVERM!B484</f>
        <v>3.8</v>
      </c>
      <c r="V49">
        <f>MAX(HAVERM!C483:C485)</f>
        <v>4.0759999999999996</v>
      </c>
      <c r="AB49" s="9">
        <v>40634</v>
      </c>
      <c r="AC49" s="8">
        <f>HAVERQ!P133</f>
        <v>1531</v>
      </c>
      <c r="AD49" s="8">
        <f>HAVERQ!O133</f>
        <v>1662</v>
      </c>
      <c r="AE49" s="8">
        <f>HAVERQ!N133</f>
        <v>1120</v>
      </c>
      <c r="AF49" s="8">
        <f>HAVERQ!M133</f>
        <v>277</v>
      </c>
      <c r="AG49" s="8">
        <f>HAVERQ!L133</f>
        <v>193</v>
      </c>
      <c r="AH49" s="8">
        <f>HAVERQ!E133-AC49-AD49-AE49-AF49-AG49</f>
        <v>671</v>
      </c>
      <c r="AJ49" s="9">
        <v>40634</v>
      </c>
      <c r="AK49" s="8">
        <f t="shared" si="11"/>
        <v>28.071140447378074</v>
      </c>
      <c r="AL49" s="8">
        <f t="shared" si="12"/>
        <v>30.473047304730471</v>
      </c>
      <c r="AM49" s="8">
        <f t="shared" si="13"/>
        <v>20.535386872020535</v>
      </c>
      <c r="AN49" s="8">
        <f t="shared" si="14"/>
        <v>5.0788412174550785</v>
      </c>
      <c r="AO49" s="8">
        <f t="shared" si="15"/>
        <v>3.5386872020535387</v>
      </c>
      <c r="AP49" s="8">
        <f t="shared" si="15"/>
        <v>12.302896956362302</v>
      </c>
      <c r="AR49" s="8"/>
      <c r="AS49" s="8"/>
      <c r="AT49" s="8"/>
      <c r="AU49" s="8"/>
      <c r="AV49" s="8"/>
      <c r="AW49" s="8"/>
      <c r="AX49" s="8"/>
      <c r="AY49" s="8"/>
      <c r="AZ49" s="8"/>
      <c r="BA49" s="8"/>
      <c r="BB49" s="8"/>
      <c r="BC49" s="8"/>
      <c r="BD49" s="8"/>
      <c r="BE49" s="8"/>
      <c r="BF49" s="8"/>
      <c r="BG49" s="8"/>
      <c r="BH49" s="8"/>
      <c r="BI49" s="8"/>
      <c r="BJ49" s="8"/>
      <c r="BK49" s="8"/>
      <c r="BM49" s="8"/>
      <c r="CL49" s="2">
        <f>100*((DataQ!F208/DataQ!F204)-1)</f>
        <v>8.0728131896346191</v>
      </c>
      <c r="CM49" s="2">
        <f>100*(DataQ!I208/DataQ!J208)</f>
        <v>21.631860683834901</v>
      </c>
      <c r="CY49" s="10">
        <f>(HAVERQ!AQ173-AVERAGE(HAVERQ!AQ$128:AQ$183))/STDEV(HAVERQ!AQ$128:AQ$183)</f>
        <v>-0.50018467005387712</v>
      </c>
      <c r="CZ49" s="10">
        <f t="shared" si="38"/>
        <v>-0.42065202232920812</v>
      </c>
      <c r="DA49" s="10">
        <f t="shared" si="39"/>
        <v>-0.89392687993166176</v>
      </c>
      <c r="DB49" s="10">
        <f>(HAVERQ!AR173-AVERAGE(HAVERQ!AR$128:AR$183))/STDEV(HAVERQ!AR$128:AR$183)</f>
        <v>-0.54688272435634444</v>
      </c>
      <c r="DC49" s="10">
        <f t="shared" si="40"/>
        <v>0.4024642304515394</v>
      </c>
      <c r="DD49" s="10">
        <f t="shared" si="26"/>
        <v>-2.1946617949303886</v>
      </c>
      <c r="DE49" s="10">
        <f>(HAVERQ!AZ173-AVERAGE(HAVERQ!AZ$128:AZ$167,AZ$174:AZ$183))/STDEV(HAVERQ!AZ$128:AZ$167,AZ$174:AZ$183)</f>
        <v>-4.1089772899133701</v>
      </c>
      <c r="DF49" s="10">
        <f>(HAVERQ!AS173-AVERAGE(HAVERQ!AS$128:AS$183))/STDEV(HAVERQ!AS$128:AS$183)</f>
        <v>-0.94674512764748042</v>
      </c>
      <c r="DG49" s="10">
        <f t="shared" si="27"/>
        <v>0.98712355986488254</v>
      </c>
      <c r="DH49" s="10">
        <f>(HAVERQ!AX173-AVERAGE(HAVERQ!AX$128:AX$183))/STDEV(HAVERQ!AX$128:AX$183)</f>
        <v>-0.72365551992863963</v>
      </c>
      <c r="DJ49" s="10">
        <f t="shared" si="41"/>
        <v>0.65893337623345483</v>
      </c>
      <c r="DL49" s="10">
        <f>100*(HAVERQ!AV173/(HAVERQ!AW173*HAVERQ!AX173/100))</f>
        <v>1.3165572591910977</v>
      </c>
      <c r="DM49" s="10">
        <f>HAVERQ!AO173/HAVERQ!AP173</f>
        <v>0.55877413937867337</v>
      </c>
      <c r="DN49" s="10">
        <f>100*((AVERAGE(HAVERQ!BC170:BC173)/AVERAGE(HAVERQ!BC166:BC169))-1)</f>
        <v>-2.0151237538154732</v>
      </c>
      <c r="DO49" s="10">
        <f>100*(HAVERQ!BE173+HAVERQ!BF173)/(HAVERQ!BB173+HAVERQ!BG173)</f>
        <v>8.3161976382116212</v>
      </c>
      <c r="DP49" s="10">
        <f>100*((AVERAGE(HAVERQ!BA170:BA173)/AVERAGE(HAVERQ!BA166:BA169))-1)</f>
        <v>4.9114081442337421</v>
      </c>
      <c r="DR49" s="10">
        <f>(HAVERQ!AT173*HAVERQ!$AT$1)+(HAVERQ!AU173*HAVERQ!$AU$1)</f>
        <v>69.15547306500622</v>
      </c>
    </row>
    <row r="50" spans="13:122" x14ac:dyDescent="0.25">
      <c r="M50" s="5">
        <v>43770</v>
      </c>
      <c r="N50">
        <f>HAVERM!C485</f>
        <v>3.8690000000000002</v>
      </c>
      <c r="O50" s="3">
        <f>HAVERM!B485</f>
        <v>3.7</v>
      </c>
      <c r="Q50" s="5">
        <v>43770</v>
      </c>
      <c r="R50">
        <f>MIN(HAVERM!C484:C486)</f>
        <v>3.5489999999999999</v>
      </c>
      <c r="S50" s="3">
        <f t="shared" si="36"/>
        <v>0.32000000000000028</v>
      </c>
      <c r="T50" s="3">
        <f>HAVERM!B485</f>
        <v>3.7</v>
      </c>
      <c r="V50">
        <f>MAX(HAVERM!C484:C486)</f>
        <v>3.8690000000000002</v>
      </c>
      <c r="AB50" s="9">
        <v>40725</v>
      </c>
      <c r="AC50" s="8">
        <f>HAVERQ!P134</f>
        <v>1523</v>
      </c>
      <c r="AD50" s="8">
        <f>HAVERQ!O134</f>
        <v>1668</v>
      </c>
      <c r="AE50" s="8">
        <f>HAVERQ!N134</f>
        <v>1109</v>
      </c>
      <c r="AF50" s="8">
        <f>HAVERQ!M134</f>
        <v>273</v>
      </c>
      <c r="AG50" s="8">
        <f>HAVERQ!L134</f>
        <v>191</v>
      </c>
      <c r="AH50" s="8">
        <f>HAVERQ!E134-AC50-AD50-AE50-AF50-AG50</f>
        <v>656</v>
      </c>
      <c r="AJ50" s="9">
        <v>40725</v>
      </c>
      <c r="AK50" s="8">
        <f t="shared" si="11"/>
        <v>28.099630996309966</v>
      </c>
      <c r="AL50" s="8">
        <f t="shared" si="12"/>
        <v>30.774907749077489</v>
      </c>
      <c r="AM50" s="8">
        <f t="shared" si="13"/>
        <v>20.461254612546124</v>
      </c>
      <c r="AN50" s="8">
        <f t="shared" si="14"/>
        <v>5.03690036900369</v>
      </c>
      <c r="AO50" s="8">
        <f t="shared" si="15"/>
        <v>3.5239852398523985</v>
      </c>
      <c r="AP50" s="8">
        <f t="shared" si="15"/>
        <v>12.103321033210332</v>
      </c>
      <c r="AR50" s="8"/>
      <c r="AS50" s="8"/>
      <c r="AT50" s="8"/>
      <c r="AU50" s="8"/>
      <c r="AV50" s="8"/>
      <c r="AW50" s="8"/>
      <c r="AX50" s="8"/>
      <c r="AY50" s="8"/>
      <c r="AZ50" s="8"/>
      <c r="BA50" s="8"/>
      <c r="BB50" s="8"/>
      <c r="BC50" s="8"/>
      <c r="BD50" s="8"/>
      <c r="BE50" s="8"/>
      <c r="BF50" s="8"/>
      <c r="BG50" s="8"/>
      <c r="BH50" s="8"/>
      <c r="BI50" s="8"/>
      <c r="BJ50" s="8"/>
      <c r="BK50" s="8"/>
      <c r="BM50" s="8"/>
      <c r="CL50" s="2">
        <f>100*((DataQ!F209/DataQ!F205)-1)</f>
        <v>7.228804306579284</v>
      </c>
      <c r="CM50" s="2">
        <f>100*(DataQ!I209/DataQ!J209)</f>
        <v>21.010605297539541</v>
      </c>
      <c r="CY50" s="10">
        <f>(HAVERQ!AQ174-AVERAGE(HAVERQ!AQ$128:AQ$183))/STDEV(HAVERQ!AQ$128:AQ$183)</f>
        <v>-0.68286081042138047</v>
      </c>
      <c r="CZ50" s="10">
        <f t="shared" si="38"/>
        <v>-0.33988358320290263</v>
      </c>
      <c r="DA50" s="10">
        <f t="shared" si="39"/>
        <v>-1.0201480665921181</v>
      </c>
      <c r="DB50" s="10">
        <f>(HAVERQ!AR174-AVERAGE(HAVERQ!AR$128:AR$183))/STDEV(HAVERQ!AR$128:AR$183)</f>
        <v>-0.4390466942015725</v>
      </c>
      <c r="DC50" s="10">
        <f t="shared" si="40"/>
        <v>1.2626550582689571</v>
      </c>
      <c r="DD50" s="10">
        <f t="shared" si="26"/>
        <v>-1.4000154658251975</v>
      </c>
      <c r="DE50" s="10">
        <f>(HAVERQ!AZ174-AVERAGE(HAVERQ!AZ$128:AZ$167,AZ$174:AZ$183))/STDEV(HAVERQ!AZ$128:AZ$167,AZ$174:AZ$183)</f>
        <v>-1.5341612335707904</v>
      </c>
      <c r="DF50" s="10">
        <f>(HAVERQ!AS174-AVERAGE(HAVERQ!AS$128:AS$183))/STDEV(HAVERQ!AS$128:AS$183)</f>
        <v>0.97463204353714616</v>
      </c>
      <c r="DG50" s="10">
        <f t="shared" si="27"/>
        <v>1.7396900266744475</v>
      </c>
      <c r="DH50" s="10">
        <f>(HAVERQ!AX174-AVERAGE(HAVERQ!AX$128:AX$183))/STDEV(HAVERQ!AX$128:AX$183)</f>
        <v>-0.11880911521214067</v>
      </c>
      <c r="DJ50" s="10">
        <f t="shared" si="41"/>
        <v>1.2870048692785088</v>
      </c>
      <c r="DL50" s="10">
        <f>100*(HAVERQ!AV174/(HAVERQ!AW174*HAVERQ!AX174/100))</f>
        <v>1.3770453728556467</v>
      </c>
      <c r="DM50" s="10">
        <f>HAVERQ!AO174/HAVERQ!AP174</f>
        <v>0.76177777777777778</v>
      </c>
      <c r="DN50" s="10">
        <f>100*((AVERAGE(HAVERQ!BC171:BC174)/AVERAGE(HAVERQ!BC167:BC170))-1)</f>
        <v>-0.85287549098745918</v>
      </c>
      <c r="DO50" s="10">
        <f>100*(HAVERQ!BE174+HAVERQ!BF174)/(HAVERQ!BB174+HAVERQ!BG174)</f>
        <v>8.1258038115281188</v>
      </c>
      <c r="DP50" s="10">
        <f>100*((AVERAGE(HAVERQ!BA171:BA174)/AVERAGE(HAVERQ!BA167:BA170))-1)</f>
        <v>6.3730810978446018</v>
      </c>
      <c r="DR50" s="10">
        <f>(HAVERQ!AT174*HAVERQ!$AT$1)+(HAVERQ!AU174*HAVERQ!$AU$1)</f>
        <v>75.388682662515535</v>
      </c>
    </row>
    <row r="51" spans="13:122" x14ac:dyDescent="0.25">
      <c r="M51" s="5">
        <v>43800</v>
      </c>
      <c r="N51">
        <f>HAVERM!C486</f>
        <v>3.8039999999999998</v>
      </c>
      <c r="O51" s="3">
        <f>HAVERM!B486</f>
        <v>3.9</v>
      </c>
      <c r="Q51" s="5">
        <v>43800</v>
      </c>
      <c r="R51">
        <f>MIN(HAVERM!C485:C487)</f>
        <v>3.8039999999999998</v>
      </c>
      <c r="S51" s="3">
        <f t="shared" si="36"/>
        <v>0.19100000000000028</v>
      </c>
      <c r="T51" s="3">
        <f>HAVERM!B486</f>
        <v>3.9</v>
      </c>
      <c r="V51">
        <f>MAX(HAVERM!C485:C487)</f>
        <v>3.9950000000000001</v>
      </c>
      <c r="AB51" s="9">
        <v>40817</v>
      </c>
      <c r="AC51" s="8">
        <f>HAVERQ!P135</f>
        <v>1515</v>
      </c>
      <c r="AD51" s="8">
        <f>HAVERQ!O135</f>
        <v>1664</v>
      </c>
      <c r="AE51" s="8">
        <f>HAVERQ!N135</f>
        <v>1093</v>
      </c>
      <c r="AF51" s="8">
        <f>HAVERQ!M135</f>
        <v>270</v>
      </c>
      <c r="AG51" s="8">
        <f>HAVERQ!L135</f>
        <v>190</v>
      </c>
      <c r="AH51" s="8">
        <f>HAVERQ!E135-AC51-AD51-AE51-AF51-AG51</f>
        <v>656</v>
      </c>
      <c r="AJ51" s="9">
        <v>40817</v>
      </c>
      <c r="AK51" s="8">
        <f t="shared" si="11"/>
        <v>28.118040089086861</v>
      </c>
      <c r="AL51" s="8">
        <f t="shared" si="12"/>
        <v>30.88344469190794</v>
      </c>
      <c r="AM51" s="8">
        <f t="shared" si="13"/>
        <v>20.285820341499626</v>
      </c>
      <c r="AN51" s="8">
        <f t="shared" si="14"/>
        <v>5.0111358574610243</v>
      </c>
      <c r="AO51" s="8">
        <f t="shared" si="15"/>
        <v>3.5263548626577581</v>
      </c>
      <c r="AP51" s="8">
        <f t="shared" si="15"/>
        <v>12.175204157386785</v>
      </c>
      <c r="AR51" s="8"/>
      <c r="AS51" s="8"/>
      <c r="AT51" s="8"/>
      <c r="AU51" s="8"/>
      <c r="AV51" s="8"/>
      <c r="AW51" s="8"/>
      <c r="AX51" s="8"/>
      <c r="AY51" s="8"/>
      <c r="AZ51" s="8"/>
      <c r="BA51" s="8"/>
      <c r="BB51" s="8"/>
      <c r="BC51" s="8"/>
      <c r="BD51" s="8"/>
      <c r="BE51" s="8"/>
      <c r="BF51" s="8"/>
      <c r="BG51" s="8"/>
      <c r="BH51" s="8"/>
      <c r="BI51" s="8"/>
      <c r="BJ51" s="8"/>
      <c r="BK51" s="8"/>
      <c r="BM51" s="8"/>
      <c r="CL51" s="2">
        <f>100*((DataQ!F210/DataQ!F206)-1)</f>
        <v>6.7720966763268331</v>
      </c>
      <c r="CM51" s="2">
        <f>100*(DataQ!I210/DataQ!J210)</f>
        <v>20.546876481044816</v>
      </c>
      <c r="CY51" s="10">
        <f>(HAVERQ!AQ175-AVERAGE(HAVERQ!AQ$128:AQ$183))/STDEV(HAVERQ!AQ$128:AQ$183)</f>
        <v>-0.80464490399971611</v>
      </c>
      <c r="CZ51" s="10">
        <f t="shared" si="38"/>
        <v>-0.48286393982364567</v>
      </c>
      <c r="DA51" s="10">
        <f t="shared" si="39"/>
        <v>-1.2563269154850998</v>
      </c>
      <c r="DB51" s="10">
        <f>(HAVERQ!AR175-AVERAGE(HAVERQ!AR$128:AR$183))/STDEV(HAVERQ!AR$128:AR$183)</f>
        <v>-1.0860628751302048</v>
      </c>
      <c r="DC51" s="10">
        <f t="shared" si="40"/>
        <v>1.6715446537839675</v>
      </c>
      <c r="DD51" s="10">
        <f t="shared" si="26"/>
        <v>-0.2670897821731919</v>
      </c>
      <c r="DE51" s="10">
        <f>(HAVERQ!AZ175-AVERAGE(HAVERQ!AZ$128:AZ$167,AZ$174:AZ$183))/STDEV(HAVERQ!AZ$128:AZ$167,AZ$174:AZ$183)</f>
        <v>-1.1050252241803709</v>
      </c>
      <c r="DF51" s="10">
        <f>(HAVERQ!AS175-AVERAGE(HAVERQ!AS$128:AS$183))/STDEV(HAVERQ!AS$128:AS$183)</f>
        <v>1.5799974536364123</v>
      </c>
      <c r="DG51" s="10">
        <f t="shared" si="27"/>
        <v>1.7887790388491847</v>
      </c>
      <c r="DH51" s="10">
        <f>(HAVERQ!AX175-AVERAGE(HAVERQ!AX$128:AX$183))/STDEV(HAVERQ!AX$128:AX$183)</f>
        <v>-0.72365551992863963</v>
      </c>
      <c r="DJ51" s="10">
        <f t="shared" si="41"/>
        <v>1.2948377680876351</v>
      </c>
      <c r="DL51" s="10">
        <f>100*(HAVERQ!AV175/(HAVERQ!AW175*HAVERQ!AX175/100))</f>
        <v>1.269966269227699</v>
      </c>
      <c r="DM51" s="10">
        <f>HAVERQ!AO175/HAVERQ!AP175</f>
        <v>0.85827505827505823</v>
      </c>
      <c r="DN51" s="10">
        <f>100*((AVERAGE(HAVERQ!BC172:BC175)/AVERAGE(HAVERQ!BC168:BC171))-1)</f>
        <v>0.80413953508142733</v>
      </c>
      <c r="DO51" s="10">
        <f>100*(HAVERQ!BE175+HAVERQ!BF175)/(HAVERQ!BB175+HAVERQ!BG175)</f>
        <v>7.7695482888843355</v>
      </c>
      <c r="DP51" s="10">
        <f>100*((AVERAGE(HAVERQ!BA172:BA175)/AVERAGE(HAVERQ!BA168:BA171))-1)</f>
        <v>6.4684242795830516</v>
      </c>
      <c r="DR51" s="10">
        <f>(HAVERQ!AT175*HAVERQ!$AT$1)+(HAVERQ!AU175*HAVERQ!$AU$1)</f>
        <v>75.466419195018631</v>
      </c>
    </row>
    <row r="52" spans="13:122" x14ac:dyDescent="0.25">
      <c r="M52" s="5">
        <v>43831</v>
      </c>
      <c r="N52">
        <f>HAVERM!C487</f>
        <v>3.9950000000000001</v>
      </c>
      <c r="O52" s="3">
        <f>HAVERM!B487</f>
        <v>3.9</v>
      </c>
      <c r="Q52" s="5">
        <v>43831</v>
      </c>
      <c r="R52">
        <f>MIN(HAVERM!C486:C488)</f>
        <v>3.8039999999999998</v>
      </c>
      <c r="S52" s="3">
        <f t="shared" si="36"/>
        <v>0.25099999999999989</v>
      </c>
      <c r="T52" s="3">
        <f>HAVERM!B487</f>
        <v>3.9</v>
      </c>
      <c r="V52">
        <f>MAX(HAVERM!C486:C488)</f>
        <v>4.0549999999999997</v>
      </c>
      <c r="AB52" s="9">
        <v>40909</v>
      </c>
      <c r="AC52" s="8">
        <f>HAVERQ!P136</f>
        <v>1507</v>
      </c>
      <c r="AD52" s="8">
        <f>HAVERQ!O136</f>
        <v>1683</v>
      </c>
      <c r="AE52" s="8">
        <f>HAVERQ!N136</f>
        <v>1080</v>
      </c>
      <c r="AF52" s="8">
        <f>HAVERQ!M136</f>
        <v>268</v>
      </c>
      <c r="AG52" s="8">
        <f>HAVERQ!L136</f>
        <v>187</v>
      </c>
      <c r="AH52" s="8">
        <f>HAVERQ!E136-AC52-AD52-AE52-AF52-AG52</f>
        <v>628</v>
      </c>
      <c r="AJ52" s="9">
        <v>40909</v>
      </c>
      <c r="AK52" s="8">
        <f t="shared" si="11"/>
        <v>28.152437885297964</v>
      </c>
      <c r="AL52" s="8">
        <f t="shared" si="12"/>
        <v>31.440313842705024</v>
      </c>
      <c r="AM52" s="8">
        <f t="shared" si="13"/>
        <v>20.175602465906969</v>
      </c>
      <c r="AN52" s="8">
        <f t="shared" si="14"/>
        <v>5.0065383896880258</v>
      </c>
      <c r="AO52" s="8">
        <f t="shared" si="15"/>
        <v>3.493368204745003</v>
      </c>
      <c r="AP52" s="8">
        <f t="shared" si="15"/>
        <v>11.731739211657015</v>
      </c>
      <c r="AR52" s="8"/>
      <c r="AS52" s="8"/>
      <c r="AT52" s="8"/>
      <c r="AU52" s="8"/>
      <c r="AV52" s="8"/>
      <c r="AW52" s="8"/>
      <c r="AX52" s="8"/>
      <c r="AY52" s="8"/>
      <c r="AZ52" s="8"/>
      <c r="BA52" s="8"/>
      <c r="BB52" s="8"/>
      <c r="BC52" s="8"/>
      <c r="BD52" s="8"/>
      <c r="BE52" s="8"/>
      <c r="BF52" s="8"/>
      <c r="BG52" s="8"/>
      <c r="BH52" s="8"/>
      <c r="BI52" s="8"/>
      <c r="BJ52" s="8"/>
      <c r="BK52" s="8"/>
      <c r="BM52" s="8"/>
      <c r="CK52">
        <v>2024</v>
      </c>
      <c r="CL52" s="2">
        <f>100*((DataQ!F211/DataQ!F207)-1)</f>
        <v>5.5341423205402585</v>
      </c>
      <c r="CM52" s="2">
        <f>100*(DataQ!I211/DataQ!J211)</f>
        <v>20.505520937706507</v>
      </c>
      <c r="CX52">
        <v>2022</v>
      </c>
      <c r="CY52" s="10">
        <f>(HAVERQ!AQ176-AVERAGE(HAVERQ!AQ$128:AQ$183))/STDEV(HAVERQ!AQ$128:AQ$183)</f>
        <v>-1.0482130911563876</v>
      </c>
      <c r="CZ52" s="10">
        <f t="shared" si="38"/>
        <v>-0.70588346300111893</v>
      </c>
      <c r="DA52" s="10">
        <f t="shared" si="39"/>
        <v>-1.1403604211546963</v>
      </c>
      <c r="DB52" s="10">
        <f>(HAVERQ!AR176-AVERAGE(HAVERQ!AR$128:AR$183))/STDEV(HAVERQ!AR$128:AR$183)</f>
        <v>-1.139980890207591</v>
      </c>
      <c r="DC52" s="10">
        <f t="shared" si="40"/>
        <v>2.1691562816257894</v>
      </c>
      <c r="DD52" s="10">
        <f t="shared" si="26"/>
        <v>1.0031501774531795</v>
      </c>
      <c r="DE52" s="10">
        <f>(HAVERQ!AZ176-AVERAGE(HAVERQ!AZ$128:AZ$167,AZ$174:AZ$183))/STDEV(HAVERQ!AZ$128:AZ$167,AZ$174:AZ$183)</f>
        <v>-0.6758892147899358</v>
      </c>
      <c r="DF52" s="10">
        <f>(HAVERQ!AS176-AVERAGE(HAVERQ!AS$128:AS$183))/STDEV(HAVERQ!AS$128:AS$183)</f>
        <v>1.5799974536364123</v>
      </c>
      <c r="DG52" s="10">
        <f t="shared" si="27"/>
        <v>2.3269365356263116</v>
      </c>
      <c r="DH52" s="10">
        <f>(HAVERQ!AX176-AVERAGE(HAVERQ!AX$128:AX$183))/STDEV(HAVERQ!AX$128:AX$183)</f>
        <v>-1.6309251270034204</v>
      </c>
      <c r="DJ52" s="10">
        <f t="shared" si="41"/>
        <v>1.3877670020481194</v>
      </c>
      <c r="DL52" s="10">
        <f>100*(HAVERQ!AV176/(HAVERQ!AW176*HAVERQ!AX176/100))</f>
        <v>1.1029452098473531</v>
      </c>
      <c r="DM52" s="10">
        <f>HAVERQ!AO176/HAVERQ!AP176</f>
        <v>0.97571059431524554</v>
      </c>
      <c r="DN52" s="10">
        <f>100*((AVERAGE(HAVERQ!BC173:BC176)/AVERAGE(HAVERQ!BC169:BC172))-1)</f>
        <v>2.66199016922819</v>
      </c>
      <c r="DO52" s="10">
        <f>100*(HAVERQ!BE176+HAVERQ!BF176)/(HAVERQ!BB176+HAVERQ!BG176)</f>
        <v>7.9444737923343309</v>
      </c>
      <c r="DP52" s="10">
        <f>100*((AVERAGE(HAVERQ!BA173:BA176)/AVERAGE(HAVERQ!BA169:BA172))-1)</f>
        <v>7.5136612021857951</v>
      </c>
      <c r="DR52" s="10">
        <f>(HAVERQ!AT176*HAVERQ!$AT$1)+(HAVERQ!AU176*HAVERQ!$AU$1)</f>
        <v>76.388682662515521</v>
      </c>
    </row>
    <row r="53" spans="13:122" x14ac:dyDescent="0.25">
      <c r="M53" s="5">
        <v>43862</v>
      </c>
      <c r="N53">
        <f>HAVERM!C488</f>
        <v>4.0549999999999997</v>
      </c>
      <c r="O53" s="3">
        <f>HAVERM!B488</f>
        <v>4.0999999999999996</v>
      </c>
      <c r="Q53" s="5">
        <v>43862</v>
      </c>
      <c r="R53">
        <f>MIN(HAVERM!C487:C489)</f>
        <v>3.9950000000000001</v>
      </c>
      <c r="S53" s="3">
        <f t="shared" si="36"/>
        <v>0.25800000000000001</v>
      </c>
      <c r="T53" s="3">
        <f>HAVERM!B488</f>
        <v>4.0999999999999996</v>
      </c>
      <c r="V53">
        <f>MAX(HAVERM!C487:C489)</f>
        <v>4.2530000000000001</v>
      </c>
      <c r="AB53" s="9">
        <v>41000</v>
      </c>
      <c r="AC53" s="8">
        <f>HAVERQ!P137</f>
        <v>1504</v>
      </c>
      <c r="AD53" s="8">
        <f>HAVERQ!O137</f>
        <v>1663</v>
      </c>
      <c r="AE53" s="8">
        <f>HAVERQ!N137</f>
        <v>1078</v>
      </c>
      <c r="AF53" s="8">
        <f>HAVERQ!M137</f>
        <v>266</v>
      </c>
      <c r="AG53" s="8">
        <f>HAVERQ!L137</f>
        <v>186</v>
      </c>
      <c r="AH53" s="8">
        <f>HAVERQ!E137-AC53-AD53-AE53-AF53-AG53</f>
        <v>621</v>
      </c>
      <c r="AJ53" s="9">
        <v>41000</v>
      </c>
      <c r="AK53" s="8">
        <f t="shared" si="11"/>
        <v>28.281308762692742</v>
      </c>
      <c r="AL53" s="8">
        <f t="shared" si="12"/>
        <v>31.27115456938699</v>
      </c>
      <c r="AM53" s="8">
        <f t="shared" si="13"/>
        <v>20.270778488153439</v>
      </c>
      <c r="AN53" s="8">
        <f t="shared" si="14"/>
        <v>5.0018804061677322</v>
      </c>
      <c r="AO53" s="8">
        <f t="shared" si="15"/>
        <v>3.4975554719819479</v>
      </c>
      <c r="AP53" s="8">
        <f t="shared" si="15"/>
        <v>11.677322301617149</v>
      </c>
      <c r="AR53" s="8"/>
      <c r="AS53" s="8"/>
      <c r="AT53" s="8"/>
      <c r="AU53" s="8"/>
      <c r="AV53" s="8"/>
      <c r="AW53" s="8"/>
      <c r="AX53" s="8"/>
      <c r="AY53" s="8"/>
      <c r="AZ53" s="8"/>
      <c r="BA53" s="8"/>
      <c r="BB53" s="8"/>
      <c r="BC53" s="8"/>
      <c r="BD53" s="8"/>
      <c r="BE53" s="8"/>
      <c r="BF53" s="8"/>
      <c r="BG53" s="8"/>
      <c r="BH53" s="8"/>
      <c r="BI53" s="8"/>
      <c r="BJ53" s="8"/>
      <c r="BK53" s="8"/>
      <c r="BM53" s="8"/>
      <c r="CL53" s="2">
        <f>100*((DataQ!F212/DataQ!F208)-1)</f>
        <v>4.6888588781808682</v>
      </c>
      <c r="CM53" s="2">
        <f>100*(DataQ!I212/DataQ!J212)</f>
        <v>20.250684912061551</v>
      </c>
      <c r="CY53" s="10">
        <f>(HAVERQ!AQ177-AVERAGE(HAVERQ!AQ$128:AQ$183))/STDEV(HAVERQ!AQ$128:AQ$183)</f>
        <v>-1.0482130911563876</v>
      </c>
      <c r="CZ53" s="10">
        <f t="shared" si="38"/>
        <v>-0.77623103301534002</v>
      </c>
      <c r="DA53" s="10">
        <f t="shared" si="39"/>
        <v>-1.2431621720877708</v>
      </c>
      <c r="DB53" s="10">
        <f>(HAVERQ!AR177-AVERAGE(HAVERQ!AR$128:AR$183))/STDEV(HAVERQ!AR$128:AR$183)</f>
        <v>-1.4634889806719074</v>
      </c>
      <c r="DC53" s="10">
        <f t="shared" si="40"/>
        <v>2.3516368841733972</v>
      </c>
      <c r="DD53" s="10">
        <f t="shared" si="26"/>
        <v>1.5968062216456029</v>
      </c>
      <c r="DE53" s="10">
        <f>(HAVERQ!AZ177-AVERAGE(HAVERQ!AZ$128:AZ$167,AZ$174:AZ$183))/STDEV(HAVERQ!AZ$128:AZ$167,AZ$174:AZ$183)</f>
        <v>-1.1050252241803709</v>
      </c>
      <c r="DF53" s="10">
        <f>(HAVERQ!AS177-AVERAGE(HAVERQ!AS$128:AS$183))/STDEV(HAVERQ!AS$128:AS$183)</f>
        <v>1.5799974536364123</v>
      </c>
      <c r="DG53" s="10">
        <f t="shared" si="27"/>
        <v>1.7764326245843862</v>
      </c>
      <c r="DH53" s="10">
        <f>(HAVERQ!AX177-AVERAGE(HAVERQ!AX$128:AX$183))/STDEV(HAVERQ!AX$128:AX$183)</f>
        <v>-1.0260787222868999</v>
      </c>
      <c r="DJ53" s="10">
        <f t="shared" si="41"/>
        <v>1.0082171673970539</v>
      </c>
      <c r="DL53" s="10">
        <f>100*(HAVERQ!AV177/(HAVERQ!AW177*HAVERQ!AX177/100))</f>
        <v>1.0502613662931801</v>
      </c>
      <c r="DM53" s="10">
        <f>HAVERQ!AO177/HAVERQ!AP177</f>
        <v>1.018775720164609</v>
      </c>
      <c r="DN53" s="10">
        <f>100*((AVERAGE(HAVERQ!BC174:BC177)/AVERAGE(HAVERQ!BC170:BC173))-1)</f>
        <v>3.530270410146108</v>
      </c>
      <c r="DO53" s="10">
        <f>100*(HAVERQ!BE177+HAVERQ!BF177)/(HAVERQ!BB177+HAVERQ!BG177)</f>
        <v>7.7894061743870795</v>
      </c>
      <c r="DP53" s="10">
        <f>100*((AVERAGE(HAVERQ!BA174:BA177)/AVERAGE(HAVERQ!BA170:BA173))-1)</f>
        <v>6.4444444444444526</v>
      </c>
      <c r="DR53" s="10">
        <f>(HAVERQ!AT177*HAVERQ!$AT$1)+(HAVERQ!AU177*HAVERQ!$AU$1)</f>
        <v>72.62189226002485</v>
      </c>
    </row>
    <row r="54" spans="13:122" x14ac:dyDescent="0.25">
      <c r="M54" s="5">
        <v>43891</v>
      </c>
      <c r="N54">
        <f>HAVERM!C489</f>
        <v>4.2530000000000001</v>
      </c>
      <c r="O54" s="3">
        <f>HAVERM!B489</f>
        <v>4.0999999999999996</v>
      </c>
      <c r="Q54" s="5">
        <v>43891</v>
      </c>
      <c r="R54">
        <f>MIN(HAVERM!C488:C490)</f>
        <v>3.9670000000000001</v>
      </c>
      <c r="S54" s="3">
        <f t="shared" si="36"/>
        <v>0.28600000000000003</v>
      </c>
      <c r="T54" s="3">
        <f>HAVERM!B489</f>
        <v>4.0999999999999996</v>
      </c>
      <c r="V54">
        <f>MAX(HAVERM!C488:C490)</f>
        <v>4.2530000000000001</v>
      </c>
      <c r="AB54" s="9">
        <v>41091</v>
      </c>
      <c r="AC54" s="8">
        <f>HAVERQ!P138</f>
        <v>1502</v>
      </c>
      <c r="AD54" s="8">
        <f>HAVERQ!O138</f>
        <v>1660</v>
      </c>
      <c r="AE54" s="8">
        <f>HAVERQ!N138</f>
        <v>1070</v>
      </c>
      <c r="AF54" s="8">
        <f>HAVERQ!M138</f>
        <v>264</v>
      </c>
      <c r="AG54" s="8">
        <f>HAVERQ!L138</f>
        <v>183</v>
      </c>
      <c r="AH54" s="8">
        <f>HAVERQ!E138-AC54-AD54-AE54-AF54-AG54</f>
        <v>620</v>
      </c>
      <c r="AJ54" s="9">
        <v>41091</v>
      </c>
      <c r="AK54" s="8">
        <f t="shared" si="11"/>
        <v>28.344970749197962</v>
      </c>
      <c r="AL54" s="8">
        <f t="shared" si="12"/>
        <v>31.326665408567656</v>
      </c>
      <c r="AM54" s="8">
        <f t="shared" si="13"/>
        <v>20.192489148896016</v>
      </c>
      <c r="AN54" s="8">
        <f t="shared" si="14"/>
        <v>4.9820720890734105</v>
      </c>
      <c r="AO54" s="8">
        <f t="shared" si="15"/>
        <v>3.4534817890167955</v>
      </c>
      <c r="AP54" s="8">
        <f t="shared" si="15"/>
        <v>11.70032081524816</v>
      </c>
      <c r="AR54" s="8"/>
      <c r="AS54" s="8"/>
      <c r="AT54" s="8"/>
      <c r="AU54" s="8"/>
      <c r="AV54" s="8"/>
      <c r="AW54" s="8"/>
      <c r="AX54" s="8"/>
      <c r="AY54" s="8"/>
      <c r="AZ54" s="8"/>
      <c r="BA54" s="8"/>
      <c r="BB54" s="8"/>
      <c r="BC54" s="8"/>
      <c r="BD54" s="8"/>
      <c r="BE54" s="8"/>
      <c r="BF54" s="8"/>
      <c r="BG54" s="8"/>
      <c r="BH54" s="8"/>
      <c r="BI54" s="8"/>
      <c r="BJ54" s="8"/>
      <c r="BK54" s="8"/>
      <c r="BM54" s="8"/>
      <c r="CL54" s="2">
        <f>100*((DataQ!F213/DataQ!F209)-1)</f>
        <v>4.4570365002992274</v>
      </c>
      <c r="CM54" s="2">
        <f>100*(DataQ!I213/DataQ!J213)</f>
        <v>20.136897111072443</v>
      </c>
      <c r="CY54" s="10">
        <f>(HAVERQ!AQ178-AVERAGE(HAVERQ!AQ$128:AQ$183))/STDEV(HAVERQ!AQ$128:AQ$183)</f>
        <v>-1.1091051379455552</v>
      </c>
      <c r="CZ54" s="10">
        <f t="shared" si="38"/>
        <v>-0.91393292201424137</v>
      </c>
      <c r="DA54" s="10">
        <f t="shared" si="39"/>
        <v>-1.3334923982696716</v>
      </c>
      <c r="DB54" s="10">
        <f>(HAVERQ!AR178-AVERAGE(HAVERQ!AR$128:AR$183))/STDEV(HAVERQ!AR$128:AR$183)</f>
        <v>-1.0321448600528189</v>
      </c>
      <c r="DC54" s="10">
        <f t="shared" si="40"/>
        <v>2.1913989717944489</v>
      </c>
      <c r="DD54" s="10">
        <f t="shared" si="26"/>
        <v>1.6452551805024056</v>
      </c>
      <c r="DE54" s="10">
        <f>(HAVERQ!AZ178-AVERAGE(HAVERQ!AZ$128:AZ$167,AZ$174:AZ$183))/STDEV(HAVERQ!AZ$128:AZ$167,AZ$174:AZ$183)</f>
        <v>-0.6758892147899358</v>
      </c>
      <c r="DF54" s="10">
        <f>(HAVERQ!AS178-AVERAGE(HAVERQ!AS$128:AS$183))/STDEV(HAVERQ!AS$128:AS$183)</f>
        <v>1.5799974536364123</v>
      </c>
      <c r="DG54" s="10">
        <f t="shared" si="27"/>
        <v>1.7607547972868485</v>
      </c>
      <c r="DH54" s="10">
        <f>(HAVERQ!AX178-AVERAGE(HAVERQ!AX$128:AX$183))/STDEV(HAVERQ!AX$128:AX$183)</f>
        <v>-1.9333483293616807</v>
      </c>
      <c r="DJ54" s="10">
        <f t="shared" si="41"/>
        <v>1.1011464013575398</v>
      </c>
      <c r="DL54" s="10">
        <f>100*(HAVERQ!AV178/(HAVERQ!AW178*HAVERQ!AX178/100))</f>
        <v>0.94713534821372625</v>
      </c>
      <c r="DM54" s="10">
        <f>HAVERQ!AO178/HAVERQ!AP178</f>
        <v>0.98095983307250922</v>
      </c>
      <c r="DN54" s="10">
        <f>100*((AVERAGE(HAVERQ!BC175:BC178)/AVERAGE(HAVERQ!BC171:BC174))-1)</f>
        <v>3.6011317684695676</v>
      </c>
      <c r="DO54" s="10">
        <f>100*(HAVERQ!BE178+HAVERQ!BF178)/(HAVERQ!BB178+HAVERQ!BG178)</f>
        <v>7.6531507811128661</v>
      </c>
      <c r="DP54" s="10">
        <f>100*((AVERAGE(HAVERQ!BA175:BA178)/AVERAGE(HAVERQ!BA171:BA174))-1)</f>
        <v>6.4139941690962265</v>
      </c>
      <c r="DR54" s="10">
        <f>(HAVERQ!AT178*HAVERQ!$AT$1)+(HAVERQ!AU178*HAVERQ!$AU$1)</f>
        <v>73.544155727521755</v>
      </c>
    </row>
    <row r="55" spans="13:122" x14ac:dyDescent="0.25">
      <c r="M55" s="5">
        <v>43922</v>
      </c>
      <c r="N55">
        <f>HAVERM!C490</f>
        <v>3.9670000000000001</v>
      </c>
      <c r="O55" s="3">
        <f>HAVERM!B490</f>
        <v>4.0999999999999996</v>
      </c>
      <c r="Q55" s="5">
        <v>43922</v>
      </c>
      <c r="R55">
        <f>MIN(HAVERM!C489:C491)</f>
        <v>3.9670000000000001</v>
      </c>
      <c r="S55" s="3">
        <f t="shared" si="36"/>
        <v>0.28600000000000003</v>
      </c>
      <c r="T55" s="3">
        <f>HAVERM!B490</f>
        <v>4.0999999999999996</v>
      </c>
      <c r="V55">
        <f>MAX(HAVERM!C489:C491)</f>
        <v>4.2530000000000001</v>
      </c>
      <c r="AB55" s="9">
        <v>41183</v>
      </c>
      <c r="AC55" s="8">
        <f>HAVERQ!P139</f>
        <v>1505</v>
      </c>
      <c r="AD55" s="8">
        <f>HAVERQ!O139</f>
        <v>1659</v>
      </c>
      <c r="AE55" s="8">
        <f>HAVERQ!N139</f>
        <v>1069</v>
      </c>
      <c r="AF55" s="8">
        <f>HAVERQ!M139</f>
        <v>263</v>
      </c>
      <c r="AG55" s="8">
        <f>HAVERQ!L139</f>
        <v>179</v>
      </c>
      <c r="AH55" s="8">
        <f>HAVERQ!E139-AC55-AD55-AE55-AF55-AG55</f>
        <v>609</v>
      </c>
      <c r="AJ55" s="9">
        <v>41183</v>
      </c>
      <c r="AK55" s="8">
        <f t="shared" si="11"/>
        <v>28.482210446631338</v>
      </c>
      <c r="AL55" s="8">
        <f t="shared" si="12"/>
        <v>31.396669190007572</v>
      </c>
      <c r="AM55" s="8">
        <f t="shared" si="13"/>
        <v>20.230885692657079</v>
      </c>
      <c r="AN55" s="8">
        <f t="shared" si="14"/>
        <v>4.9772899318697963</v>
      </c>
      <c r="AO55" s="8">
        <f t="shared" si="15"/>
        <v>3.3875851627554883</v>
      </c>
      <c r="AP55" s="8">
        <f t="shared" si="15"/>
        <v>11.525359576078728</v>
      </c>
      <c r="AR55" s="8"/>
      <c r="AS55" s="8"/>
      <c r="AT55" s="8"/>
      <c r="AU55" s="8"/>
      <c r="AV55" s="8"/>
      <c r="AW55" s="8"/>
      <c r="AX55" s="8"/>
      <c r="AY55" s="8"/>
      <c r="AZ55" s="8"/>
      <c r="BA55" s="8"/>
      <c r="BB55" s="8"/>
      <c r="BC55" s="8"/>
      <c r="BD55" s="8"/>
      <c r="BE55" s="8"/>
      <c r="BF55" s="8"/>
      <c r="BG55" s="8"/>
      <c r="BH55" s="8"/>
      <c r="BI55" s="8"/>
      <c r="BJ55" s="8"/>
      <c r="BK55" s="8"/>
      <c r="BM55" s="8"/>
      <c r="CL55" s="2">
        <f>100*((DataQ!F214/DataQ!F210)-1)</f>
        <v>4.7574472086103325</v>
      </c>
      <c r="CM55" s="2">
        <f>100*(DataQ!I214/DataQ!J214)</f>
        <v>20.163580190307233</v>
      </c>
      <c r="CY55" s="10">
        <f>(HAVERQ!AQ179-AVERAGE(HAVERQ!AQ$128:AQ$183))/STDEV(HAVERQ!AQ$128:AQ$183)</f>
        <v>-0.98732104436721968</v>
      </c>
      <c r="CZ55" s="10">
        <f t="shared" si="38"/>
        <v>-1.0747763823538719</v>
      </c>
      <c r="DA55" s="10">
        <f t="shared" si="39"/>
        <v>-1.404586905821398</v>
      </c>
      <c r="DB55" s="10">
        <f>(HAVERQ!AR179-AVERAGE(HAVERQ!AR$128:AR$183))/STDEV(HAVERQ!AR$128:AR$183)</f>
        <v>-0.65471875451111661</v>
      </c>
      <c r="DC55" s="10">
        <f t="shared" si="40"/>
        <v>1.589312437098326</v>
      </c>
      <c r="DD55" s="10">
        <f t="shared" si="26"/>
        <v>1.4264014982749453</v>
      </c>
      <c r="DE55" s="10">
        <f>(HAVERQ!AZ179-AVERAGE(HAVERQ!AZ$128:AZ$167,AZ$174:AZ$183))/STDEV(HAVERQ!AZ$128:AZ$167,AZ$174:AZ$183)</f>
        <v>-1.1050252241803709</v>
      </c>
      <c r="DF55" s="10">
        <f>(HAVERQ!AS179-AVERAGE(HAVERQ!AS$128:AS$183))/STDEV(HAVERQ!AS$128:AS$183)</f>
        <v>1.0535927492022681</v>
      </c>
      <c r="DG55" s="10">
        <f t="shared" si="27"/>
        <v>1.9644774206557769</v>
      </c>
      <c r="DH55" s="10">
        <f>(HAVERQ!AX179-AVERAGE(HAVERQ!AX$128:AX$183))/STDEV(HAVERQ!AX$128:AX$183)</f>
        <v>-1.0260787222868999</v>
      </c>
      <c r="DJ55" s="10">
        <f t="shared" si="41"/>
        <v>1.6978862991660832</v>
      </c>
      <c r="DL55" s="10">
        <f>100*(HAVERQ!AV179/(HAVERQ!AW179*HAVERQ!AX179/100))</f>
        <v>0.82667842696496252</v>
      </c>
      <c r="DM55" s="10">
        <f>HAVERQ!AO179/HAVERQ!AP179</f>
        <v>0.83886838868388691</v>
      </c>
      <c r="DN55" s="10">
        <f>100*((AVERAGE(HAVERQ!BC176:BC179)/AVERAGE(HAVERQ!BC172:BC175))-1)</f>
        <v>3.2810367744251057</v>
      </c>
      <c r="DO55" s="10">
        <f>100*(HAVERQ!BE179+HAVERQ!BF179)/(HAVERQ!BB179+HAVERQ!BG179)</f>
        <v>7.545910818416548</v>
      </c>
      <c r="DP55" s="10">
        <f>100*((AVERAGE(HAVERQ!BA176:BA179)/AVERAGE(HAVERQ!BA172:BA175))-1)</f>
        <v>6.8096746328822455</v>
      </c>
      <c r="DR55" s="10">
        <f>(HAVERQ!AT179*HAVERQ!$AT$1)+(HAVERQ!AU179*HAVERQ!$AU$1)</f>
        <v>79.466419195018631</v>
      </c>
    </row>
    <row r="56" spans="13:122" x14ac:dyDescent="0.25">
      <c r="M56" s="5">
        <v>43952</v>
      </c>
      <c r="N56">
        <f>HAVERM!C491</f>
        <v>4.1589999999999998</v>
      </c>
      <c r="O56" s="3">
        <f>HAVERM!B491</f>
        <v>4.0999999999999996</v>
      </c>
      <c r="Q56" s="5">
        <v>43952</v>
      </c>
      <c r="R56">
        <f>MIN(HAVERM!C490:C492)</f>
        <v>3.9670000000000001</v>
      </c>
      <c r="S56" s="3">
        <f t="shared" si="36"/>
        <v>0.19199999999999973</v>
      </c>
      <c r="T56" s="3">
        <f>HAVERM!B491</f>
        <v>4.0999999999999996</v>
      </c>
      <c r="V56">
        <f>MAX(HAVERM!C490:C492)</f>
        <v>4.1589999999999998</v>
      </c>
      <c r="AB56" s="9">
        <v>41275</v>
      </c>
      <c r="AC56" s="8">
        <f>HAVERQ!P140</f>
        <v>1508</v>
      </c>
      <c r="AD56" s="8">
        <f>HAVERQ!O140</f>
        <v>1659</v>
      </c>
      <c r="AE56" s="8">
        <f>HAVERQ!N140</f>
        <v>1072</v>
      </c>
      <c r="AF56" s="8">
        <f>HAVERQ!M140</f>
        <v>261</v>
      </c>
      <c r="AG56" s="8">
        <f>HAVERQ!L140</f>
        <v>178</v>
      </c>
      <c r="AH56" s="8">
        <f>HAVERQ!E140-AC56-AD56-AE56-AF56-AG56</f>
        <v>602</v>
      </c>
      <c r="AJ56" s="9">
        <v>41275</v>
      </c>
      <c r="AK56" s="8">
        <f t="shared" si="11"/>
        <v>28.560606060606059</v>
      </c>
      <c r="AL56" s="8">
        <f t="shared" si="12"/>
        <v>31.420454545454547</v>
      </c>
      <c r="AM56" s="8">
        <f t="shared" si="13"/>
        <v>20.303030303030305</v>
      </c>
      <c r="AN56" s="8">
        <f t="shared" si="14"/>
        <v>4.9431818181818183</v>
      </c>
      <c r="AO56" s="8">
        <f t="shared" si="15"/>
        <v>3.3712121212121215</v>
      </c>
      <c r="AP56" s="8">
        <f t="shared" si="15"/>
        <v>11.401515151515152</v>
      </c>
      <c r="AR56" s="8"/>
      <c r="AS56" s="8"/>
      <c r="AT56" s="8"/>
      <c r="AU56" s="8"/>
      <c r="AV56" s="8"/>
      <c r="AW56" s="8"/>
      <c r="AX56" s="8"/>
      <c r="AY56" s="8"/>
      <c r="AZ56" s="8"/>
      <c r="BA56" s="8"/>
      <c r="BB56" s="8"/>
      <c r="BC56" s="8"/>
      <c r="BD56" s="8"/>
      <c r="BE56" s="8"/>
      <c r="BF56" s="8"/>
      <c r="BG56" s="8"/>
      <c r="BH56" s="8"/>
      <c r="BI56" s="8"/>
      <c r="BJ56" s="8"/>
      <c r="BK56" s="8"/>
      <c r="BM56" s="8"/>
      <c r="CK56">
        <v>2025</v>
      </c>
      <c r="CL56" s="2">
        <f>100*((DataQ!F215/DataQ!F211)-1)</f>
        <v>4.2462663496814157</v>
      </c>
      <c r="CM56" s="2">
        <f>100*(DataQ!I215/DataQ!J215)</f>
        <v>20.345111850157458</v>
      </c>
      <c r="CX56">
        <v>2023</v>
      </c>
      <c r="CY56" s="10">
        <f>(HAVERQ!AQ180-AVERAGE(HAVERQ!AQ$128:AQ$183))/STDEV(HAVERQ!AQ$128:AQ$183)</f>
        <v>-0.92642899757805186</v>
      </c>
      <c r="CZ56" s="10">
        <f t="shared" si="38"/>
        <v>-0.91986142449055897</v>
      </c>
      <c r="DA56" s="10">
        <f t="shared" si="39"/>
        <v>-1.2687420104789007</v>
      </c>
      <c r="DB56" s="10">
        <f>(HAVERQ!AR180-AVERAGE(HAVERQ!AR$128:AR$183))/STDEV(HAVERQ!AR$128:AR$183)</f>
        <v>-0.978226844975433</v>
      </c>
      <c r="DC56" s="10">
        <f t="shared" si="40"/>
        <v>1.3773296230851613</v>
      </c>
      <c r="DD56" s="10">
        <f t="shared" si="26"/>
        <v>1.0309955914871103</v>
      </c>
      <c r="DE56" s="10">
        <f>(HAVERQ!AZ180-AVERAGE(HAVERQ!AZ$128:AZ$167,AZ$174:AZ$183))/STDEV(HAVERQ!AZ$128:AZ$167,AZ$174:AZ$183)</f>
        <v>-1.1050252241803709</v>
      </c>
      <c r="DF56" s="10">
        <f>(HAVERQ!AS180-AVERAGE(HAVERQ!AS$128:AS$183))/STDEV(HAVERQ!AS$128:AS$183)</f>
        <v>0.52718804476812375</v>
      </c>
      <c r="DG56" s="10">
        <f t="shared" si="27"/>
        <v>1.7294745881825575</v>
      </c>
      <c r="DH56" s="10">
        <f>(HAVERQ!AX180-AVERAGE(HAVERQ!AX$128:AX$183))/STDEV(HAVERQ!AX$128:AX$183)</f>
        <v>-0.42123231757040092</v>
      </c>
      <c r="DJ56" s="10">
        <f t="shared" si="41"/>
        <v>1.7751497355083139</v>
      </c>
      <c r="DL56" s="10">
        <f>100*(HAVERQ!AV180/(HAVERQ!AW180*HAVERQ!AX180/100))</f>
        <v>0.94269544649559012</v>
      </c>
      <c r="DM56" s="10">
        <f>HAVERQ!AO180/HAVERQ!AP180</f>
        <v>0.78884078884078879</v>
      </c>
      <c r="DN56" s="10">
        <f>100*((AVERAGE(HAVERQ!BC177:BC180)/AVERAGE(HAVERQ!BC173:BC176))-1)</f>
        <v>2.702716820699802</v>
      </c>
      <c r="DO56" s="10">
        <f>100*(HAVERQ!BE180+HAVERQ!BF180)/(HAVERQ!BB180+HAVERQ!BG180)</f>
        <v>7.7508211836570045</v>
      </c>
      <c r="DP56" s="10">
        <f>100*((AVERAGE(HAVERQ!BA177:BA180)/AVERAGE(HAVERQ!BA173:BA176))-1)</f>
        <v>6.3532401524777793</v>
      </c>
      <c r="DR56" s="10">
        <f>(HAVERQ!AT180*HAVERQ!$AT$1)+(HAVERQ!AU180*HAVERQ!$AU$1)</f>
        <v>80.233209597509315</v>
      </c>
    </row>
    <row r="57" spans="13:122" x14ac:dyDescent="0.25">
      <c r="M57" s="5">
        <v>43983</v>
      </c>
      <c r="N57">
        <f>HAVERM!C492</f>
        <v>4.1150000000000002</v>
      </c>
      <c r="O57" s="3">
        <f>HAVERM!B492</f>
        <v>4.4000000000000004</v>
      </c>
      <c r="Q57" s="5">
        <v>43983</v>
      </c>
      <c r="R57">
        <f>MIN(HAVERM!C491:C493)</f>
        <v>4.1150000000000002</v>
      </c>
      <c r="S57" s="3">
        <f t="shared" si="36"/>
        <v>0.69399999999999995</v>
      </c>
      <c r="T57" s="3">
        <f>HAVERM!B492</f>
        <v>4.4000000000000004</v>
      </c>
      <c r="V57">
        <f>MAX(HAVERM!C491:C493)</f>
        <v>4.8090000000000002</v>
      </c>
      <c r="AB57" s="9">
        <v>41365</v>
      </c>
      <c r="AC57" s="8">
        <f>HAVERQ!P141</f>
        <v>1505</v>
      </c>
      <c r="AD57" s="8">
        <f>HAVERQ!O141</f>
        <v>1683</v>
      </c>
      <c r="AE57" s="8">
        <f>HAVERQ!N141</f>
        <v>1072</v>
      </c>
      <c r="AF57" s="8">
        <f>HAVERQ!M141</f>
        <v>261</v>
      </c>
      <c r="AG57" s="8">
        <f>HAVERQ!L141</f>
        <v>175</v>
      </c>
      <c r="AH57" s="8">
        <f>HAVERQ!E141-AC57-AD57-AE57-AF57-AG57</f>
        <v>589</v>
      </c>
      <c r="AJ57" s="9">
        <v>41365</v>
      </c>
      <c r="AK57" s="8">
        <f t="shared" si="11"/>
        <v>28.476821192052981</v>
      </c>
      <c r="AL57" s="8">
        <f t="shared" si="12"/>
        <v>31.844843897824031</v>
      </c>
      <c r="AM57" s="8">
        <f t="shared" si="13"/>
        <v>20.283822138126776</v>
      </c>
      <c r="AN57" s="8">
        <f t="shared" si="14"/>
        <v>4.9385052034058656</v>
      </c>
      <c r="AO57" s="8">
        <f t="shared" si="15"/>
        <v>3.3112582781456954</v>
      </c>
      <c r="AP57" s="8">
        <f t="shared" si="15"/>
        <v>11.144749290444654</v>
      </c>
      <c r="AR57" s="8"/>
      <c r="AS57" s="8"/>
      <c r="AT57" s="8"/>
      <c r="AU57" s="8"/>
      <c r="AV57" s="8"/>
      <c r="AW57" s="8"/>
      <c r="AX57" s="8"/>
      <c r="AY57" s="8"/>
      <c r="AZ57" s="8"/>
      <c r="BA57" s="8"/>
      <c r="BB57" s="8"/>
      <c r="BC57" s="8"/>
      <c r="BD57" s="8"/>
      <c r="BE57" s="8"/>
      <c r="BF57" s="8"/>
      <c r="BG57" s="8"/>
      <c r="BH57" s="8"/>
      <c r="BI57" s="8"/>
      <c r="BJ57" s="8"/>
      <c r="BK57" s="8"/>
      <c r="BM57" s="8"/>
      <c r="CL57" s="2">
        <f>100*((DataQ!F216/DataQ!F212)-1)</f>
        <v>5.5232756437315178</v>
      </c>
      <c r="CM57" s="2">
        <f>100*(DataQ!I216/DataQ!J216)</f>
        <v>19.868671813966841</v>
      </c>
      <c r="CY57" s="10">
        <f>(HAVERQ!AQ181-AVERAGE(HAVERQ!AQ$128:AQ$183))/STDEV(HAVERQ!AQ$128:AQ$183)</f>
        <v>-0.80464490399971611</v>
      </c>
      <c r="CZ57" s="10">
        <f t="shared" si="38"/>
        <v>-1.0290576226470303</v>
      </c>
      <c r="DA57" s="10">
        <f t="shared" si="39"/>
        <v>-1.4825182176639047</v>
      </c>
      <c r="DB57" s="10">
        <f>(HAVERQ!AR181-AVERAGE(HAVERQ!AR$128:AR$183))/STDEV(HAVERQ!AR$128:AR$183)</f>
        <v>-0.4390466942015725</v>
      </c>
      <c r="DC57" s="10">
        <f t="shared" si="40"/>
        <v>1.0892805610798422</v>
      </c>
      <c r="DD57" s="10">
        <f t="shared" si="26"/>
        <v>0.74362517764254676</v>
      </c>
      <c r="DE57" s="10">
        <f>(HAVERQ!AZ181-AVERAGE(HAVERQ!AZ$128:AZ$167,AZ$174:AZ$183))/STDEV(HAVERQ!AZ$128:AZ$167,AZ$174:AZ$183)</f>
        <v>-1.1050252241803709</v>
      </c>
      <c r="DF57" s="10">
        <f>(HAVERQ!AS181-AVERAGE(HAVERQ!AS$128:AS$183))/STDEV(HAVERQ!AS$128:AS$183)</f>
        <v>0.52718804476812375</v>
      </c>
      <c r="DG57" s="10">
        <f t="shared" si="27"/>
        <v>1.9696717869933504</v>
      </c>
      <c r="DH57" s="10">
        <f>(HAVERQ!AX181-AVERAGE(HAVERQ!AX$128:AX$183))/STDEV(HAVERQ!AX$128:AX$183)</f>
        <v>-0.11880911521214067</v>
      </c>
      <c r="DJ57" s="10">
        <f t="shared" si="41"/>
        <v>1.5041949324359869</v>
      </c>
      <c r="DL57" s="10">
        <f>100*(HAVERQ!AV181/(HAVERQ!AW181*HAVERQ!AX181/100))</f>
        <v>0.86091756249443652</v>
      </c>
      <c r="DM57" s="10">
        <f>HAVERQ!AO181/HAVERQ!AP181</f>
        <v>0.72086167800453516</v>
      </c>
      <c r="DN57" s="10">
        <f>100*((AVERAGE(HAVERQ!BC178:BC181)/AVERAGE(HAVERQ!BC174:BC177))-1)</f>
        <v>2.2824093807156443</v>
      </c>
      <c r="DO57" s="10">
        <f>100*(HAVERQ!BE181+HAVERQ!BF181)/(HAVERQ!BB181+HAVERQ!BG181)</f>
        <v>7.4283581232412565</v>
      </c>
      <c r="DP57" s="10">
        <f>100*((AVERAGE(HAVERQ!BA178:BA181)/AVERAGE(HAVERQ!BA174:BA177))-1)</f>
        <v>6.8197633959638182</v>
      </c>
      <c r="DR57" s="10">
        <f>(HAVERQ!AT181*HAVERQ!$AT$1)+(HAVERQ!AU181*HAVERQ!$AU$1)</f>
        <v>77.544155727521741</v>
      </c>
    </row>
    <row r="58" spans="13:122" x14ac:dyDescent="0.25">
      <c r="M58" s="5">
        <v>44013</v>
      </c>
      <c r="N58">
        <f>HAVERM!C493</f>
        <v>4.8090000000000002</v>
      </c>
      <c r="O58" s="3">
        <f>HAVERM!B493</f>
        <v>4.5999999999999996</v>
      </c>
      <c r="Q58" s="5">
        <v>44013</v>
      </c>
      <c r="R58">
        <f>MIN(HAVERM!C492:C494)</f>
        <v>4.1150000000000002</v>
      </c>
      <c r="S58" s="3">
        <f t="shared" si="36"/>
        <v>0.8490000000000002</v>
      </c>
      <c r="T58" s="3">
        <f>HAVERM!B493</f>
        <v>4.5999999999999996</v>
      </c>
      <c r="V58">
        <f>MAX(HAVERM!C492:C494)</f>
        <v>4.9640000000000004</v>
      </c>
      <c r="AB58" s="9">
        <v>41456</v>
      </c>
      <c r="AC58" s="8">
        <f>HAVERQ!P142</f>
        <v>1512</v>
      </c>
      <c r="AD58" s="8">
        <f>HAVERQ!O142</f>
        <v>1693</v>
      </c>
      <c r="AE58" s="8">
        <f>HAVERQ!N142</f>
        <v>1073</v>
      </c>
      <c r="AF58" s="8">
        <f>HAVERQ!M142</f>
        <v>259</v>
      </c>
      <c r="AG58" s="8">
        <f>HAVERQ!L142</f>
        <v>174</v>
      </c>
      <c r="AH58" s="8">
        <f>HAVERQ!E142-AC58-AD58-AE58-AF58-AG58</f>
        <v>589</v>
      </c>
      <c r="AJ58" s="9">
        <v>41456</v>
      </c>
      <c r="AK58" s="8">
        <f t="shared" si="11"/>
        <v>28.528301886792452</v>
      </c>
      <c r="AL58" s="8">
        <f t="shared" si="12"/>
        <v>31.943396226415093</v>
      </c>
      <c r="AM58" s="8">
        <f t="shared" si="13"/>
        <v>20.245283018867923</v>
      </c>
      <c r="AN58" s="8">
        <f t="shared" si="14"/>
        <v>4.8867924528301891</v>
      </c>
      <c r="AO58" s="8">
        <f t="shared" si="15"/>
        <v>3.283018867924528</v>
      </c>
      <c r="AP58" s="8">
        <f t="shared" si="15"/>
        <v>11.113207547169811</v>
      </c>
      <c r="AR58" s="8"/>
      <c r="AS58" s="8"/>
      <c r="AT58" s="8"/>
      <c r="AU58" s="8"/>
      <c r="AV58" s="8"/>
      <c r="AW58" s="8"/>
      <c r="AX58" s="8"/>
      <c r="AY58" s="8"/>
      <c r="AZ58" s="8"/>
      <c r="BA58" s="8"/>
      <c r="BB58" s="8"/>
      <c r="BC58" s="8"/>
      <c r="BD58" s="8"/>
      <c r="BE58" s="8"/>
      <c r="BF58" s="8"/>
      <c r="BG58" s="8"/>
      <c r="BH58" s="8"/>
      <c r="BI58" s="8"/>
      <c r="BJ58" s="8"/>
      <c r="BK58" s="8"/>
      <c r="BM58" s="8"/>
      <c r="CL58" s="2">
        <f>100*((DataQ!F217/DataQ!F213)-1)</f>
        <v>5.5411765968694571</v>
      </c>
      <c r="CM58" s="2">
        <f>100*(DataQ!I217/DataQ!J217)</f>
        <v>20.15770134557366</v>
      </c>
      <c r="CY58" s="10">
        <f>(HAVERQ!AQ182-AVERAGE(HAVERQ!AQ$128:AQ$183))/STDEV(HAVERQ!AQ$128:AQ$183)</f>
        <v>-0.86553695078888426</v>
      </c>
      <c r="CZ58" s="10">
        <f t="shared" si="38"/>
        <v>-1.2097302549835736</v>
      </c>
      <c r="DA58" s="10">
        <f t="shared" si="39"/>
        <v>-1.4344511559421245</v>
      </c>
      <c r="DB58" s="10">
        <f>(HAVERQ!AR182-AVERAGE(HAVERQ!AR$128:AR$183))/STDEV(HAVERQ!AR$128:AR$183)</f>
        <v>-1.0860628751302048</v>
      </c>
      <c r="DC58" s="10">
        <f t="shared" si="40"/>
        <v>1.0038461710278794</v>
      </c>
      <c r="DD58" s="10">
        <f t="shared" si="26"/>
        <v>0.56950397795736885</v>
      </c>
      <c r="DE58" s="10">
        <f>(HAVERQ!AZ182-AVERAGE(HAVERQ!AZ$128:AZ$167,AZ$174:AZ$183))/STDEV(HAVERQ!AZ$128:AZ$167,AZ$174:AZ$183)</f>
        <v>-1.9632972429612254</v>
      </c>
      <c r="DF58" s="10">
        <f>(HAVERQ!AS182-AVERAGE(HAVERQ!AS$128:AS$183))/STDEV(HAVERQ!AS$128:AS$183)</f>
        <v>0.52718804476812375</v>
      </c>
      <c r="DG58" s="10">
        <f t="shared" si="27"/>
        <v>2.1188933082707511</v>
      </c>
      <c r="DH58" s="10">
        <f>(HAVERQ!AX182-AVERAGE(HAVERQ!AX$128:AX$183))/STDEV(HAVERQ!AX$128:AX$183)</f>
        <v>-1.3285019246451601</v>
      </c>
      <c r="DJ58" s="10">
        <f t="shared" si="41"/>
        <v>0.79886000304870219</v>
      </c>
      <c r="DL58" s="10">
        <f>100*(HAVERQ!AV182/(HAVERQ!AW182*HAVERQ!AX182/100))</f>
        <v>0.7256104197656279</v>
      </c>
      <c r="DM58" s="10">
        <f>HAVERQ!AO182/HAVERQ!AP182</f>
        <v>0.70069930069930075</v>
      </c>
      <c r="DN58" s="10">
        <f>100*((AVERAGE(HAVERQ!BC179:BC182)/AVERAGE(HAVERQ!BC175:BC178))-1)</f>
        <v>2.0277400335565021</v>
      </c>
      <c r="DO58" s="10">
        <f>100*(HAVERQ!BE182+HAVERQ!BF182)/(HAVERQ!BB182+HAVERQ!BG182)</f>
        <v>7.5008631603176426</v>
      </c>
      <c r="DP58" s="10">
        <f>100*((AVERAGE(HAVERQ!BA179:BA182)/AVERAGE(HAVERQ!BA175:BA178))-1)</f>
        <v>7.1095890410958873</v>
      </c>
      <c r="DR58" s="10">
        <f>(HAVERQ!AT182*HAVERQ!$AT$1)+(HAVERQ!AU182*HAVERQ!$AU$1)</f>
        <v>70.544155727521741</v>
      </c>
    </row>
    <row r="59" spans="13:122" x14ac:dyDescent="0.25">
      <c r="M59" s="5">
        <v>44044</v>
      </c>
      <c r="N59">
        <f>HAVERM!C494</f>
        <v>4.9640000000000004</v>
      </c>
      <c r="O59" s="3">
        <f>HAVERM!B494</f>
        <v>5</v>
      </c>
      <c r="Q59" s="5">
        <v>44044</v>
      </c>
      <c r="R59">
        <f>MIN(HAVERM!C493:C495)</f>
        <v>4.8090000000000002</v>
      </c>
      <c r="S59" s="3">
        <f t="shared" si="36"/>
        <v>0.32599999999999962</v>
      </c>
      <c r="T59" s="3">
        <f>HAVERM!B494</f>
        <v>5</v>
      </c>
      <c r="V59">
        <f>MAX(HAVERM!C493:C495)</f>
        <v>5.1349999999999998</v>
      </c>
      <c r="AB59" s="9">
        <v>41548</v>
      </c>
      <c r="AC59" s="8">
        <f>HAVERQ!P143</f>
        <v>1516</v>
      </c>
      <c r="AD59" s="8">
        <f>HAVERQ!O143</f>
        <v>1699</v>
      </c>
      <c r="AE59" s="8">
        <f>HAVERQ!N143</f>
        <v>1061</v>
      </c>
      <c r="AF59" s="8">
        <f>HAVERQ!M143</f>
        <v>258</v>
      </c>
      <c r="AG59" s="8">
        <f>HAVERQ!L143</f>
        <v>169</v>
      </c>
      <c r="AH59" s="8">
        <f>HAVERQ!E143-AC59-AD59-AE59-AF59-AG59</f>
        <v>584</v>
      </c>
      <c r="AJ59" s="9">
        <v>41548</v>
      </c>
      <c r="AK59" s="8">
        <f t="shared" si="11"/>
        <v>28.67410629846794</v>
      </c>
      <c r="AL59" s="8">
        <f t="shared" si="12"/>
        <v>32.135426517874031</v>
      </c>
      <c r="AM59" s="8">
        <f t="shared" si="13"/>
        <v>20.068091545299794</v>
      </c>
      <c r="AN59" s="8">
        <f t="shared" si="14"/>
        <v>4.8798940798184223</v>
      </c>
      <c r="AO59" s="8">
        <f t="shared" si="15"/>
        <v>3.1965197654624551</v>
      </c>
      <c r="AP59" s="8">
        <f t="shared" si="15"/>
        <v>11.045961793077359</v>
      </c>
      <c r="AR59" s="8"/>
      <c r="AS59" s="8"/>
      <c r="AT59" s="8"/>
      <c r="AU59" s="8"/>
      <c r="AV59" s="8"/>
      <c r="AW59" s="8"/>
      <c r="AX59" s="8"/>
      <c r="AY59" s="8"/>
      <c r="AZ59" s="8"/>
      <c r="BA59" s="8"/>
      <c r="BB59" s="8"/>
      <c r="BC59" s="8"/>
      <c r="BD59" s="8"/>
      <c r="BE59" s="8"/>
      <c r="BF59" s="8"/>
      <c r="BG59" s="8"/>
      <c r="BH59" s="8"/>
      <c r="BI59" s="8"/>
      <c r="BJ59" s="8"/>
      <c r="BK59" s="8"/>
      <c r="BM59" s="8"/>
      <c r="CL59" s="2">
        <f>100*((DataQ!F218/DataQ!F214)-1)</f>
        <v>4.4765855673804422</v>
      </c>
      <c r="CM59" s="2">
        <f>100*(DataQ!I218/DataQ!J218)</f>
        <v>20.239625736032746</v>
      </c>
      <c r="CY59" s="10">
        <f>(HAVERQ!AQ183-AVERAGE(HAVERQ!AQ$128:AQ$183))/STDEV(HAVERQ!AQ$128:AQ$183)</f>
        <v>-0.98732104436721968</v>
      </c>
      <c r="CZ59" s="10">
        <f t="shared" si="38"/>
        <v>-1.1556891088743697</v>
      </c>
      <c r="DA59" s="10">
        <f t="shared" si="39"/>
        <v>-1.2270466589587492</v>
      </c>
      <c r="DB59" s="10">
        <f>(HAVERQ!AR183-AVERAGE(HAVERQ!AR$128:AR$183))/STDEV(HAVERQ!AR$128:AR$183)</f>
        <v>-0.38512867912418636</v>
      </c>
      <c r="DC59" s="10">
        <f t="shared" si="40"/>
        <v>0.91008335577187316</v>
      </c>
      <c r="DD59" s="10">
        <f t="shared" si="26"/>
        <v>0.39998217230951649</v>
      </c>
      <c r="DE59" s="10">
        <f>(HAVERQ!AZ183-AVERAGE(HAVERQ!AZ$128:AZ$167,AZ$174:AZ$183))/STDEV(HAVERQ!AZ$128:AZ$167,AZ$174:AZ$183)</f>
        <v>-1.5341612335707904</v>
      </c>
      <c r="DF59" s="10">
        <f>(HAVERQ!AS183-AVERAGE(HAVERQ!AS$128:AS$183))/STDEV(HAVERQ!AS$128:AS$183)</f>
        <v>0.52718804476812375</v>
      </c>
      <c r="DG59" s="10">
        <f t="shared" si="27"/>
        <v>1.9907810620687214</v>
      </c>
      <c r="DH59" s="10">
        <f>(HAVERQ!AX183-AVERAGE(HAVERQ!AX$128:AX$183))/STDEV(HAVERQ!AX$128:AX$183)</f>
        <v>-1.9333483293616807</v>
      </c>
      <c r="DJ59" s="10">
        <f t="shared" si="41"/>
        <v>1.2791719704693811</v>
      </c>
      <c r="DL59" s="10">
        <f>100*(HAVERQ!AV183/(HAVERQ!AW183*HAVERQ!AX183/100))</f>
        <v>0.7660822553461597</v>
      </c>
      <c r="DM59" s="10">
        <f>HAVERQ!AO183/HAVERQ!AP183</f>
        <v>0.6785714285714286</v>
      </c>
      <c r="DN59" s="10">
        <f>100*((AVERAGE(HAVERQ!BC180:BC183)/AVERAGE(HAVERQ!BC176:BC179))-1)</f>
        <v>1.7797977516767816</v>
      </c>
      <c r="DO59" s="10">
        <f>100*(HAVERQ!BE183+HAVERQ!BF183)/(HAVERQ!BB183+HAVERQ!BG183)</f>
        <v>7.8137150427695055</v>
      </c>
      <c r="DP59" s="10">
        <f>100*((AVERAGE(HAVERQ!BA180:BA183)/AVERAGE(HAVERQ!BA176:BA179))-1)</f>
        <v>6.8607629060520203</v>
      </c>
      <c r="DR59" s="10">
        <f>(HAVERQ!AT183*HAVERQ!$AT$1)+(HAVERQ!AU183*HAVERQ!$AU$1)</f>
        <v>75.310946130012425</v>
      </c>
    </row>
    <row r="60" spans="13:122" x14ac:dyDescent="0.25">
      <c r="M60" s="5">
        <v>44075</v>
      </c>
      <c r="N60">
        <f>HAVERM!C495</f>
        <v>5.1349999999999998</v>
      </c>
      <c r="O60" s="3">
        <f>HAVERM!B495</f>
        <v>5.2</v>
      </c>
      <c r="Q60" s="5">
        <v>44075</v>
      </c>
      <c r="R60">
        <f>MIN(HAVERM!C494:C496)</f>
        <v>4.9640000000000004</v>
      </c>
      <c r="S60" s="3">
        <f t="shared" si="36"/>
        <v>0.41299999999999937</v>
      </c>
      <c r="T60" s="3">
        <f>HAVERM!B495</f>
        <v>5.2</v>
      </c>
      <c r="V60">
        <f>MAX(HAVERM!C494:C496)</f>
        <v>5.3769999999999998</v>
      </c>
      <c r="AB60" s="9">
        <v>41640</v>
      </c>
      <c r="AC60" s="8">
        <f>HAVERQ!P144</f>
        <v>1523</v>
      </c>
      <c r="AD60" s="8">
        <f>HAVERQ!O144</f>
        <v>1699</v>
      </c>
      <c r="AE60" s="8">
        <f>HAVERQ!N144</f>
        <v>1059</v>
      </c>
      <c r="AF60" s="8">
        <f>HAVERQ!M144</f>
        <v>257</v>
      </c>
      <c r="AG60" s="8">
        <f>HAVERQ!L144</f>
        <v>166</v>
      </c>
      <c r="AH60" s="8">
        <f>HAVERQ!E144-AC60-AD60-AE60-AF60-AG60</f>
        <v>576</v>
      </c>
      <c r="AJ60" s="9">
        <v>41640</v>
      </c>
      <c r="AK60" s="8">
        <f t="shared" si="11"/>
        <v>28.844696969696969</v>
      </c>
      <c r="AL60" s="8">
        <f t="shared" si="12"/>
        <v>32.178030303030305</v>
      </c>
      <c r="AM60" s="8">
        <f t="shared" si="13"/>
        <v>20.05681818181818</v>
      </c>
      <c r="AN60" s="8">
        <f t="shared" si="14"/>
        <v>4.8674242424242422</v>
      </c>
      <c r="AO60" s="8">
        <f t="shared" si="15"/>
        <v>3.143939393939394</v>
      </c>
      <c r="AP60" s="8">
        <f t="shared" si="15"/>
        <v>10.909090909090908</v>
      </c>
      <c r="AR60" s="8"/>
      <c r="AS60" s="8"/>
      <c r="AT60" s="8"/>
      <c r="AU60" s="8"/>
      <c r="AV60" s="8"/>
      <c r="AW60" s="8"/>
      <c r="AX60" s="8"/>
      <c r="AY60" s="8"/>
      <c r="AZ60" s="8"/>
      <c r="BA60" s="8"/>
      <c r="BB60" s="8"/>
      <c r="BC60" s="8"/>
      <c r="BD60" s="8"/>
      <c r="BE60" s="8"/>
      <c r="BF60" s="8"/>
      <c r="BG60" s="8"/>
      <c r="BH60" s="8"/>
      <c r="BI60" s="8"/>
      <c r="BJ60" s="8"/>
      <c r="BK60" s="8"/>
      <c r="BM60" s="8"/>
      <c r="CK60">
        <v>2026</v>
      </c>
      <c r="CL60" s="2">
        <f>100*((DataQ!F219/DataQ!F215)-1)</f>
        <v>4.4014767158752077</v>
      </c>
      <c r="CM60" s="2">
        <f>100*(DataQ!I219/DataQ!J219)</f>
        <v>20.335935902242543</v>
      </c>
      <c r="CX60">
        <v>2024</v>
      </c>
      <c r="CY60" s="10">
        <f>(HAVERQ!AQ184-AVERAGE(HAVERQ!AQ$128:AQ$183))/STDEV(HAVERQ!AQ$128:AQ$183)</f>
        <v>-0.74375285721054851</v>
      </c>
      <c r="CZ60" s="10">
        <f t="shared" si="38"/>
        <v>-0.87114644646359241</v>
      </c>
      <c r="DA60" s="10">
        <f t="shared" si="39"/>
        <v>-1.5911941290586855</v>
      </c>
      <c r="DB60" s="10">
        <f>(HAVERQ!AR184-AVERAGE(HAVERQ!AR$128:AR$183))/STDEV(HAVERQ!AR$128:AR$183)</f>
        <v>-0.81647279974327469</v>
      </c>
      <c r="DC60" s="10">
        <f t="shared" si="40"/>
        <v>0.55844348001503041</v>
      </c>
      <c r="DD60" s="10">
        <f t="shared" si="26"/>
        <v>0.25433655255639509</v>
      </c>
      <c r="DE60" s="10">
        <f>(HAVERQ!AZ184-AVERAGE(HAVERQ!AZ$128:AZ$167,AZ$174:AZ$183))/STDEV(HAVERQ!AZ$128:AZ$167,AZ$174:AZ$183)</f>
        <v>0.18238280399091886</v>
      </c>
      <c r="DF60" s="10">
        <f>(HAVERQ!AS184-AVERAGE(HAVERQ!AS$128:AS$183))/STDEV(HAVERQ!AS$128:AS$183)</f>
        <v>0.52718804476812375</v>
      </c>
      <c r="DG60" s="10">
        <f t="shared" si="27"/>
        <v>1.9578285815374301</v>
      </c>
      <c r="DH60" s="10">
        <f>(HAVERQ!AX184-AVERAGE(HAVERQ!AX$128:AX$183))/STDEV(HAVERQ!AX$128:AX$183)</f>
        <v>-1.9333483293616807</v>
      </c>
      <c r="DJ60" s="10">
        <f t="shared" si="41"/>
        <v>0.27155064277326035</v>
      </c>
      <c r="DL60" s="10">
        <f>100*(HAVERQ!AV184/(HAVERQ!AW184*HAVERQ!AX184/100))</f>
        <v>0.97917847328100505</v>
      </c>
      <c r="DM60" s="10">
        <f>HAVERQ!AO184/HAVERQ!AP184</f>
        <v>0.59558498896247247</v>
      </c>
      <c r="DN60" s="10">
        <f>100*((AVERAGE(HAVERQ!BC181:BC184)/AVERAGE(HAVERQ!BC177:BC180))-1)</f>
        <v>1.5667767354755391</v>
      </c>
      <c r="DO60" s="10">
        <f>100*(HAVERQ!BE184+HAVERQ!BF184)/(HAVERQ!BB184+HAVERQ!BG184)</f>
        <v>7.2644298384087715</v>
      </c>
      <c r="DP60" s="10">
        <f>100*((AVERAGE(HAVERQ!BA181:BA184)/AVERAGE(HAVERQ!BA177:BA180))-1)</f>
        <v>6.7967609186246891</v>
      </c>
      <c r="DR60" s="10">
        <f>(HAVERQ!AT184*HAVERQ!$AT$1)+(HAVERQ!AU184*HAVERQ!$AU$1)</f>
        <v>65.310946130012425</v>
      </c>
    </row>
    <row r="61" spans="13:122" x14ac:dyDescent="0.25">
      <c r="M61" s="5">
        <v>44105</v>
      </c>
      <c r="N61">
        <f>HAVERM!C496</f>
        <v>5.3769999999999998</v>
      </c>
      <c r="O61" s="3">
        <f>HAVERM!B496</f>
        <v>5.2</v>
      </c>
      <c r="Q61" s="5">
        <v>44105</v>
      </c>
      <c r="R61">
        <f>MIN(HAVERM!C495:C497)</f>
        <v>5.1349999999999998</v>
      </c>
      <c r="S61" s="3">
        <f t="shared" si="36"/>
        <v>0.24199999999999999</v>
      </c>
      <c r="T61" s="3">
        <f>HAVERM!B496</f>
        <v>5.2</v>
      </c>
      <c r="V61">
        <f>MAX(HAVERM!C495:C497)</f>
        <v>5.3769999999999998</v>
      </c>
      <c r="AB61" s="9">
        <v>41730</v>
      </c>
      <c r="AC61" s="8">
        <f>HAVERQ!P145</f>
        <v>1528</v>
      </c>
      <c r="AD61" s="8">
        <f>HAVERQ!O145</f>
        <v>1694</v>
      </c>
      <c r="AE61" s="8">
        <f>HAVERQ!N145</f>
        <v>1059</v>
      </c>
      <c r="AF61" s="8">
        <f>HAVERQ!M145</f>
        <v>256</v>
      </c>
      <c r="AG61" s="8">
        <f>HAVERQ!L145</f>
        <v>164</v>
      </c>
      <c r="AH61" s="8">
        <f>HAVERQ!E145-AC61-AD61-AE61-AF61-AG61</f>
        <v>570</v>
      </c>
      <c r="AJ61" s="9">
        <v>41730</v>
      </c>
      <c r="AK61" s="8">
        <f t="shared" si="11"/>
        <v>28.988806678049706</v>
      </c>
      <c r="AL61" s="8">
        <f t="shared" si="12"/>
        <v>32.138114209827357</v>
      </c>
      <c r="AM61" s="8">
        <f t="shared" si="13"/>
        <v>20.091064314171884</v>
      </c>
      <c r="AN61" s="8">
        <f t="shared" si="14"/>
        <v>4.8567634225004745</v>
      </c>
      <c r="AO61" s="8">
        <f t="shared" si="15"/>
        <v>3.1113640675393661</v>
      </c>
      <c r="AP61" s="8">
        <f t="shared" si="15"/>
        <v>10.813887307911212</v>
      </c>
      <c r="AR61" s="8"/>
      <c r="AS61" s="8"/>
      <c r="AT61" s="8"/>
      <c r="AU61" s="8"/>
      <c r="AV61" s="8"/>
      <c r="AW61" s="8"/>
      <c r="AX61" s="8"/>
      <c r="AY61" s="8"/>
      <c r="AZ61" s="8"/>
      <c r="BA61" s="8"/>
      <c r="BB61" s="8"/>
      <c r="BC61" s="8"/>
      <c r="BD61" s="8"/>
      <c r="BE61" s="8"/>
      <c r="BF61" s="8"/>
      <c r="BG61" s="8"/>
      <c r="BH61" s="8"/>
      <c r="BI61" s="8"/>
      <c r="BJ61" s="8"/>
      <c r="BK61" s="8"/>
      <c r="BM61" s="8"/>
      <c r="CL61" s="2">
        <f>100*((DataQ!F220/DataQ!F216)-1)</f>
        <v>2.3454881067892952</v>
      </c>
      <c r="CM61" s="2">
        <f>100*(DataQ!I220/DataQ!J220)</f>
        <v>20.360530769447607</v>
      </c>
      <c r="CY61" s="10">
        <f>(HAVERQ!AQ185-AVERAGE(HAVERQ!AQ$128:AQ$183))/STDEV(HAVERQ!AQ$128:AQ$183)</f>
        <v>-0.80464490399971611</v>
      </c>
      <c r="CZ61" s="10">
        <f t="shared" si="38"/>
        <v>-0.88086782952638021</v>
      </c>
      <c r="DA61" s="10">
        <f t="shared" si="39"/>
        <v>-1.2986356188518304</v>
      </c>
      <c r="DB61" s="10">
        <f>(HAVERQ!AR185-AVERAGE(HAVERQ!AR$128:AR$183))/STDEV(HAVERQ!AR$128:AR$183)</f>
        <v>-0.4390466942015725</v>
      </c>
      <c r="DC61" s="10">
        <f t="shared" si="40"/>
        <v>0.63789098447055825</v>
      </c>
      <c r="DD61" s="10">
        <f t="shared" si="26"/>
        <v>6.5791842752961946E-2</v>
      </c>
      <c r="DE61" s="10">
        <f>(HAVERQ!AZ185-AVERAGE(HAVERQ!AZ$128:AZ$167,AZ$174:AZ$183))/STDEV(HAVERQ!AZ$128:AZ$167,AZ$174:AZ$183)</f>
        <v>0.18238280399091886</v>
      </c>
      <c r="DF61" s="10">
        <f>(HAVERQ!AS185-AVERAGE(HAVERQ!AS$128:AS$183))/STDEV(HAVERQ!AS$128:AS$183)</f>
        <v>0.52718804476812375</v>
      </c>
      <c r="DG61" s="10">
        <f t="shared" si="27"/>
        <v>1.6113324665669011</v>
      </c>
      <c r="DH61" s="10">
        <f>(HAVERQ!AX185-AVERAGE(HAVERQ!AX$128:AX$183))/STDEV(HAVERQ!AX$128:AX$183)</f>
        <v>-1.6309251270034204</v>
      </c>
      <c r="DJ61" s="10">
        <f t="shared" si="41"/>
        <v>1.1862427365088968</v>
      </c>
      <c r="DL61" s="10">
        <f>100*(HAVERQ!AV185/(HAVERQ!AW185*HAVERQ!AX185/100))</f>
        <v>0.97189805372555249</v>
      </c>
      <c r="DM61" s="10">
        <f>HAVERQ!AO185/HAVERQ!AP185</f>
        <v>0.61433447098976113</v>
      </c>
      <c r="DN61" s="10">
        <f>100*((AVERAGE(HAVERQ!BC182:BC185)/AVERAGE(HAVERQ!BC178:BC181))-1)</f>
        <v>1.2910115888835838</v>
      </c>
      <c r="DO61" s="10">
        <f>100*(HAVERQ!BE185+HAVERQ!BF185)/(HAVERQ!BB185+HAVERQ!BG185)</f>
        <v>7.7057292411544296</v>
      </c>
      <c r="DP61" s="10">
        <f>100*((AVERAGE(HAVERQ!BA182:BA185)/AVERAGE(HAVERQ!BA178:BA181))-1)</f>
        <v>6.1237785016286628</v>
      </c>
      <c r="DR61" s="10">
        <f>(HAVERQ!AT185*HAVERQ!$AT$1)+(HAVERQ!AU185*HAVERQ!$AU$1)</f>
        <v>74.388682662515535</v>
      </c>
    </row>
    <row r="62" spans="13:122" x14ac:dyDescent="0.25">
      <c r="M62" s="5">
        <v>44136</v>
      </c>
      <c r="N62">
        <f>HAVERM!C497</f>
        <v>5.173</v>
      </c>
      <c r="O62" s="3">
        <f>HAVERM!B497</f>
        <v>5.3</v>
      </c>
      <c r="Q62" s="5">
        <v>44136</v>
      </c>
      <c r="R62">
        <f>MIN(HAVERM!C496:C498)</f>
        <v>5.173</v>
      </c>
      <c r="S62" s="3">
        <f t="shared" si="36"/>
        <v>0.20399999999999974</v>
      </c>
      <c r="T62" s="3">
        <f>HAVERM!B497</f>
        <v>5.3</v>
      </c>
      <c r="V62">
        <f>MAX(HAVERM!C496:C498)</f>
        <v>5.3769999999999998</v>
      </c>
      <c r="AB62" s="9">
        <v>41821</v>
      </c>
      <c r="AC62" s="8">
        <f>HAVERQ!P146</f>
        <v>1534</v>
      </c>
      <c r="AD62" s="8">
        <f>HAVERQ!O146</f>
        <v>1689</v>
      </c>
      <c r="AE62" s="8">
        <f>HAVERQ!N146</f>
        <v>1053</v>
      </c>
      <c r="AF62" s="8">
        <f>HAVERQ!M146</f>
        <v>256</v>
      </c>
      <c r="AG62" s="8">
        <f>HAVERQ!L146</f>
        <v>163</v>
      </c>
      <c r="AH62" s="8">
        <f>HAVERQ!E146-AC62-AD62-AE62-AF62-AG62</f>
        <v>563</v>
      </c>
      <c r="AJ62" s="9">
        <v>41821</v>
      </c>
      <c r="AK62" s="8">
        <f t="shared" si="11"/>
        <v>29.174591099277293</v>
      </c>
      <c r="AL62" s="8">
        <f t="shared" si="12"/>
        <v>32.12248003042982</v>
      </c>
      <c r="AM62" s="8">
        <f t="shared" si="13"/>
        <v>20.0266260935717</v>
      </c>
      <c r="AN62" s="8">
        <f t="shared" si="14"/>
        <v>4.8687713959680492</v>
      </c>
      <c r="AO62" s="8">
        <f t="shared" si="15"/>
        <v>3.1000380372765308</v>
      </c>
      <c r="AP62" s="8">
        <f t="shared" si="15"/>
        <v>10.707493343476607</v>
      </c>
      <c r="AR62" s="8"/>
      <c r="AS62" s="8"/>
      <c r="AT62" s="8"/>
      <c r="AU62" s="8"/>
      <c r="AV62" s="8"/>
      <c r="AW62" s="8"/>
      <c r="AX62" s="8"/>
      <c r="AY62" s="8"/>
      <c r="AZ62" s="8"/>
      <c r="BA62" s="8"/>
      <c r="BB62" s="8"/>
      <c r="BC62" s="8"/>
      <c r="BD62" s="8"/>
      <c r="BE62" s="8"/>
      <c r="BF62" s="8"/>
      <c r="BG62" s="8"/>
      <c r="BH62" s="8"/>
      <c r="BI62" s="8"/>
      <c r="BJ62" s="8"/>
      <c r="BK62" s="8"/>
      <c r="BM62" s="8"/>
      <c r="CL62" s="2">
        <f>100*((DataQ!F221/DataQ!F217)-1)</f>
        <v>2.1182290120588476</v>
      </c>
      <c r="CM62" s="2">
        <f>100*(DataQ!I221/DataQ!J221)</f>
        <v>20.423383049139289</v>
      </c>
      <c r="CY62" s="10">
        <f>(HAVERQ!AQ186-AVERAGE(HAVERQ!AQ$128:AQ$183))/STDEV(HAVERQ!AQ$128:AQ$183)</f>
        <v>-0.74375285721054851</v>
      </c>
      <c r="CZ62" s="10">
        <f t="shared" si="38"/>
        <v>-0.88680620558112333</v>
      </c>
      <c r="DA62" s="10">
        <f t="shared" si="39"/>
        <v>-1.1066330921456566</v>
      </c>
      <c r="DB62" s="10">
        <f>(HAVERQ!AR186-AVERAGE(HAVERQ!AR$128:AR$183))/STDEV(HAVERQ!AR$128:AR$183)</f>
        <v>-0.76255478466588855</v>
      </c>
      <c r="DC62" s="10">
        <f t="shared" si="40"/>
        <v>0.43375454981318146</v>
      </c>
      <c r="DD62" s="10">
        <f t="shared" si="26"/>
        <v>-0.1092838269757079</v>
      </c>
      <c r="DE62" s="10">
        <f>(HAVERQ!AZ186-AVERAGE(HAVERQ!AZ$128:AZ$167,AZ$174:AZ$183))/STDEV(HAVERQ!AZ$128:AZ$167,AZ$174:AZ$183)</f>
        <v>0.61151881338135383</v>
      </c>
      <c r="DF62" s="10">
        <f>(HAVERQ!AS186-AVERAGE(HAVERQ!AS$128:AS$183))/STDEV(HAVERQ!AS$128:AS$183)</f>
        <v>7.8334033397937865E-4</v>
      </c>
      <c r="DG62" s="10">
        <f t="shared" si="27"/>
        <v>1.2174405418956289</v>
      </c>
      <c r="DH62" s="10">
        <f>(HAVERQ!AX186-AVERAGE(HAVERQ!AX$128:AX$183))/STDEV(HAVERQ!AX$128:AX$183)</f>
        <v>-0.72365551992863963</v>
      </c>
      <c r="DJ62" s="10">
        <f t="shared" si="41"/>
        <v>1.2019085341271505</v>
      </c>
      <c r="DL62" s="10">
        <f>100*(HAVERQ!AV186/(HAVERQ!AW186*HAVERQ!AX186/100))</f>
        <v>0.96745075760756738</v>
      </c>
      <c r="DM62" s="10">
        <f>HAVERQ!AO186/HAVERQ!AP186</f>
        <v>0.56615860393196382</v>
      </c>
      <c r="DN62" s="10">
        <f>100*((AVERAGE(HAVERQ!BC183:BC186)/AVERAGE(HAVERQ!BC179:BC182))-1)</f>
        <v>1.0349462355902173</v>
      </c>
      <c r="DO62" s="10">
        <f>100*(HAVERQ!BE186+HAVERQ!BF186)/(HAVERQ!BB186+HAVERQ!BG186)</f>
        <v>7.9953485733734189</v>
      </c>
      <c r="DP62" s="10">
        <f>100*((AVERAGE(HAVERQ!BA183:BA186)/AVERAGE(HAVERQ!BA179:BA182))-1)</f>
        <v>5.3587415270494931</v>
      </c>
      <c r="DR62" s="10">
        <f>(HAVERQ!AT186*HAVERQ!$AT$1)+(HAVERQ!AU186*HAVERQ!$AU$1)</f>
        <v>74.544155727521741</v>
      </c>
    </row>
    <row r="63" spans="13:122" x14ac:dyDescent="0.25">
      <c r="M63" s="5">
        <v>44166</v>
      </c>
      <c r="N63">
        <f>HAVERM!C498</f>
        <v>5.2610000000000001</v>
      </c>
      <c r="O63" s="3">
        <f>HAVERM!B498</f>
        <v>5.2</v>
      </c>
      <c r="Q63" s="5">
        <v>44166</v>
      </c>
      <c r="R63">
        <f>MIN(HAVERM!C497:C499)</f>
        <v>5.0519999999999996</v>
      </c>
      <c r="S63" s="3">
        <f t="shared" si="36"/>
        <v>0.20900000000000052</v>
      </c>
      <c r="T63" s="3">
        <f>HAVERM!B498</f>
        <v>5.2</v>
      </c>
      <c r="V63">
        <f>MAX(HAVERM!C497:C499)</f>
        <v>5.2610000000000001</v>
      </c>
      <c r="AB63" s="9">
        <v>41913</v>
      </c>
      <c r="AC63" s="8">
        <f>HAVERQ!P147</f>
        <v>1538</v>
      </c>
      <c r="AD63" s="8">
        <f>HAVERQ!O147</f>
        <v>1691</v>
      </c>
      <c r="AE63" s="8">
        <f>HAVERQ!N147</f>
        <v>1045</v>
      </c>
      <c r="AF63" s="8">
        <f>HAVERQ!M147</f>
        <v>255</v>
      </c>
      <c r="AG63" s="8">
        <f>HAVERQ!L147</f>
        <v>162</v>
      </c>
      <c r="AH63" s="8">
        <f>HAVERQ!E147-AC63-AD63-AE63-AF63-AG63</f>
        <v>563</v>
      </c>
      <c r="AJ63" s="9">
        <v>41913</v>
      </c>
      <c r="AK63" s="8">
        <f t="shared" si="11"/>
        <v>29.272934906737724</v>
      </c>
      <c r="AL63" s="8">
        <f t="shared" si="12"/>
        <v>32.185001903311758</v>
      </c>
      <c r="AM63" s="8">
        <f t="shared" si="13"/>
        <v>19.889607917776932</v>
      </c>
      <c r="AN63" s="8">
        <f t="shared" si="14"/>
        <v>4.853444994290065</v>
      </c>
      <c r="AO63" s="8">
        <f t="shared" si="15"/>
        <v>3.0833650551960412</v>
      </c>
      <c r="AP63" s="8">
        <f t="shared" si="15"/>
        <v>10.715645222687478</v>
      </c>
      <c r="AR63" s="8"/>
      <c r="AS63" s="8"/>
      <c r="AT63" s="8"/>
      <c r="AU63" s="8"/>
      <c r="AV63" s="8"/>
      <c r="AW63" s="8"/>
      <c r="AX63" s="8"/>
      <c r="AY63" s="8"/>
      <c r="AZ63" s="8"/>
      <c r="BA63" s="8"/>
      <c r="BB63" s="8"/>
      <c r="BC63" s="8"/>
      <c r="BD63" s="8"/>
      <c r="BE63" s="8"/>
      <c r="BF63" s="8"/>
      <c r="BG63" s="8"/>
      <c r="BH63" s="8"/>
      <c r="BI63" s="8"/>
      <c r="BJ63" s="8"/>
      <c r="BK63" s="8"/>
      <c r="BM63" s="8"/>
      <c r="CL63" s="2">
        <f>100*((DataQ!F222/DataQ!F218)-1)</f>
        <v>1.9566747141989138</v>
      </c>
      <c r="CM63" s="2">
        <f>100*(DataQ!I222/DataQ!J222)</f>
        <v>20.503418527704294</v>
      </c>
    </row>
    <row r="64" spans="13:122" x14ac:dyDescent="0.25">
      <c r="M64" s="5">
        <v>44197</v>
      </c>
      <c r="N64">
        <f>HAVERM!C499</f>
        <v>5.0519999999999996</v>
      </c>
      <c r="O64" s="3">
        <f>HAVERM!B499</f>
        <v>5</v>
      </c>
      <c r="Q64" s="5">
        <v>44197</v>
      </c>
      <c r="R64">
        <f>MIN(HAVERM!C498:C500)</f>
        <v>4.8360000000000003</v>
      </c>
      <c r="S64" s="3">
        <f t="shared" si="36"/>
        <v>0.42499999999999982</v>
      </c>
      <c r="T64" s="3">
        <f>HAVERM!B499</f>
        <v>5</v>
      </c>
      <c r="V64">
        <f>MAX(HAVERM!C498:C500)</f>
        <v>5.2610000000000001</v>
      </c>
      <c r="AB64" s="9">
        <v>42005</v>
      </c>
      <c r="AC64" s="8">
        <f>HAVERQ!P148</f>
        <v>1545</v>
      </c>
      <c r="AD64" s="8">
        <f>HAVERQ!O148</f>
        <v>1688</v>
      </c>
      <c r="AE64" s="8">
        <f>HAVERQ!N148</f>
        <v>1034</v>
      </c>
      <c r="AF64" s="8">
        <f>HAVERQ!M148</f>
        <v>255</v>
      </c>
      <c r="AG64" s="8">
        <f>HAVERQ!L148</f>
        <v>160</v>
      </c>
      <c r="AH64" s="8">
        <f>HAVERQ!E148-AC64-AD64-AE64-AF64-AG64</f>
        <v>562</v>
      </c>
      <c r="AJ64" s="9">
        <v>42005</v>
      </c>
      <c r="AK64" s="8">
        <f t="shared" si="11"/>
        <v>29.462242562929063</v>
      </c>
      <c r="AL64" s="8">
        <f t="shared" si="12"/>
        <v>32.189168573607937</v>
      </c>
      <c r="AM64" s="8">
        <f t="shared" si="13"/>
        <v>19.71777269260107</v>
      </c>
      <c r="AN64" s="8">
        <f t="shared" si="14"/>
        <v>4.8627002288329519</v>
      </c>
      <c r="AO64" s="8">
        <f t="shared" si="15"/>
        <v>3.0511060259344012</v>
      </c>
      <c r="AP64" s="8">
        <f t="shared" si="15"/>
        <v>10.717009916094584</v>
      </c>
      <c r="AR64" s="8"/>
      <c r="AS64" s="8"/>
      <c r="AT64" s="8"/>
      <c r="AU64" s="8"/>
      <c r="AV64" s="8"/>
      <c r="AW64" s="8"/>
      <c r="AX64" s="8"/>
      <c r="AY64" s="8"/>
      <c r="AZ64" s="8"/>
      <c r="BA64" s="8"/>
      <c r="BB64" s="8"/>
      <c r="BC64" s="8"/>
      <c r="BD64" s="8"/>
      <c r="BE64" s="8"/>
      <c r="BF64" s="8"/>
      <c r="BG64" s="8"/>
      <c r="BH64" s="8"/>
      <c r="BI64" s="8"/>
      <c r="BJ64" s="8"/>
      <c r="BK64" s="8"/>
      <c r="BM64" s="8"/>
      <c r="CK64">
        <v>2027</v>
      </c>
      <c r="CL64" s="2">
        <f>100*((DataQ!F223/DataQ!F219)-1)</f>
        <v>1.9052586596953525</v>
      </c>
      <c r="CM64" s="2">
        <f>100*(DataQ!I223/DataQ!J223)</f>
        <v>20.747983900887792</v>
      </c>
    </row>
    <row r="65" spans="13:91" x14ac:dyDescent="0.25">
      <c r="M65" s="5">
        <v>44228</v>
      </c>
      <c r="N65">
        <f>HAVERM!C500</f>
        <v>4.8360000000000003</v>
      </c>
      <c r="O65" s="3">
        <f>HAVERM!B500</f>
        <v>4.9000000000000004</v>
      </c>
      <c r="Q65" s="5">
        <v>44228</v>
      </c>
      <c r="R65">
        <f>MIN(HAVERM!C499:C501)</f>
        <v>4.8360000000000003</v>
      </c>
      <c r="S65" s="3">
        <f t="shared" si="36"/>
        <v>0.2159999999999993</v>
      </c>
      <c r="T65" s="3">
        <f>HAVERM!B500</f>
        <v>4.9000000000000004</v>
      </c>
      <c r="V65">
        <f>MAX(HAVERM!C499:C501)</f>
        <v>5.0519999999999996</v>
      </c>
      <c r="AB65" s="9">
        <v>42095</v>
      </c>
      <c r="AC65" s="8">
        <f>HAVERQ!P149</f>
        <v>1551</v>
      </c>
      <c r="AD65" s="8">
        <f>HAVERQ!O149</f>
        <v>1689</v>
      </c>
      <c r="AE65" s="8">
        <f>HAVERQ!N149</f>
        <v>1020</v>
      </c>
      <c r="AF65" s="8">
        <f>HAVERQ!M149</f>
        <v>254</v>
      </c>
      <c r="AG65" s="8">
        <f>HAVERQ!L149</f>
        <v>159</v>
      </c>
      <c r="AH65" s="8">
        <f>HAVERQ!E149-AC65-AD65-AE65-AF65-AG65</f>
        <v>555</v>
      </c>
      <c r="AJ65" s="9">
        <v>42095</v>
      </c>
      <c r="AK65" s="8">
        <f t="shared" si="11"/>
        <v>29.667176740627394</v>
      </c>
      <c r="AL65" s="8">
        <f t="shared" si="12"/>
        <v>32.306809487375673</v>
      </c>
      <c r="AM65" s="8">
        <f t="shared" si="13"/>
        <v>19.510328997704669</v>
      </c>
      <c r="AN65" s="8">
        <f t="shared" si="14"/>
        <v>4.8584544758990056</v>
      </c>
      <c r="AO65" s="8">
        <f t="shared" si="15"/>
        <v>3.0413159908186689</v>
      </c>
      <c r="AP65" s="8">
        <f t="shared" si="15"/>
        <v>10.615914307574597</v>
      </c>
      <c r="AR65" s="8"/>
      <c r="AS65" s="8"/>
      <c r="AT65" s="8"/>
      <c r="AU65" s="8"/>
      <c r="AV65" s="8"/>
      <c r="AW65" s="8"/>
      <c r="AX65" s="8"/>
      <c r="AY65" s="8"/>
      <c r="AZ65" s="8"/>
      <c r="BA65" s="8"/>
      <c r="BB65" s="8"/>
      <c r="BC65" s="8"/>
      <c r="BD65" s="8"/>
      <c r="BE65" s="8"/>
      <c r="BF65" s="8"/>
      <c r="BG65" s="8"/>
      <c r="BH65" s="8"/>
      <c r="BI65" s="8"/>
      <c r="BJ65" s="8"/>
      <c r="BK65" s="8"/>
      <c r="BM65" s="8"/>
      <c r="CL65" s="2">
        <f>100*((DataQ!F224/DataQ!F220)-1)</f>
        <v>1.8503486445076822</v>
      </c>
      <c r="CM65" s="2">
        <f>100*(DataQ!I224/DataQ!J224)</f>
        <v>20.703421284233382</v>
      </c>
    </row>
    <row r="66" spans="13:91" x14ac:dyDescent="0.25">
      <c r="M66" s="5">
        <v>44256</v>
      </c>
      <c r="N66">
        <f>HAVERM!C501</f>
        <v>4.8440000000000003</v>
      </c>
      <c r="O66" s="3">
        <f>HAVERM!B501</f>
        <v>4.8</v>
      </c>
      <c r="Q66" s="5">
        <v>44256</v>
      </c>
      <c r="R66">
        <f>MIN(HAVERM!C500:C502)</f>
        <v>4.782</v>
      </c>
      <c r="S66" s="3">
        <f t="shared" si="36"/>
        <v>6.2000000000000277E-2</v>
      </c>
      <c r="T66" s="3">
        <f>HAVERM!B501</f>
        <v>4.8</v>
      </c>
      <c r="V66">
        <f>MAX(HAVERM!C500:C502)</f>
        <v>4.8440000000000003</v>
      </c>
      <c r="AB66" s="9">
        <v>42186</v>
      </c>
      <c r="AC66" s="8">
        <f>HAVERQ!P150</f>
        <v>1559</v>
      </c>
      <c r="AD66" s="8">
        <f>HAVERQ!O150</f>
        <v>1682</v>
      </c>
      <c r="AE66" s="8">
        <f>HAVERQ!N150</f>
        <v>1016</v>
      </c>
      <c r="AF66" s="8">
        <f>HAVERQ!M150</f>
        <v>252</v>
      </c>
      <c r="AG66" s="8">
        <f>HAVERQ!L150</f>
        <v>159</v>
      </c>
      <c r="AH66" s="8">
        <f>HAVERQ!E150-AC66-AD66-AE66-AF66-AG66</f>
        <v>548</v>
      </c>
      <c r="AJ66" s="9">
        <v>42186</v>
      </c>
      <c r="AK66" s="8">
        <f t="shared" si="11"/>
        <v>29.888803680981596</v>
      </c>
      <c r="AL66" s="8">
        <f t="shared" si="12"/>
        <v>32.24693251533742</v>
      </c>
      <c r="AM66" s="8">
        <f t="shared" si="13"/>
        <v>19.478527607361965</v>
      </c>
      <c r="AN66" s="8">
        <f t="shared" si="14"/>
        <v>4.8312883435582821</v>
      </c>
      <c r="AO66" s="8">
        <f t="shared" si="15"/>
        <v>3.048312883435583</v>
      </c>
      <c r="AP66" s="8">
        <f t="shared" si="15"/>
        <v>10.506134969325153</v>
      </c>
      <c r="AR66" s="8"/>
      <c r="AS66" s="8"/>
      <c r="AT66" s="8"/>
      <c r="AU66" s="8"/>
      <c r="AV66" s="8"/>
      <c r="AW66" s="8"/>
      <c r="AX66" s="8"/>
      <c r="AY66" s="8"/>
      <c r="AZ66" s="8"/>
      <c r="BA66" s="8"/>
      <c r="BB66" s="8"/>
      <c r="BC66" s="8"/>
      <c r="BD66" s="8"/>
      <c r="BE66" s="8"/>
      <c r="BF66" s="8"/>
      <c r="BG66" s="8"/>
      <c r="BH66" s="8"/>
      <c r="BI66" s="8"/>
      <c r="BJ66" s="8"/>
      <c r="BK66" s="8"/>
      <c r="BM66" s="8"/>
      <c r="CL66" s="2">
        <f>100*((DataQ!F225/DataQ!F221)-1)</f>
        <v>1.8152222965718057</v>
      </c>
      <c r="CM66" s="2">
        <f>100*(DataQ!I225/DataQ!J225)</f>
        <v>20.877363785918948</v>
      </c>
    </row>
    <row r="67" spans="13:91" x14ac:dyDescent="0.25">
      <c r="M67" s="5">
        <v>44287</v>
      </c>
      <c r="N67">
        <f>HAVERM!C502</f>
        <v>4.782</v>
      </c>
      <c r="O67" s="3">
        <f>HAVERM!B502</f>
        <v>4.8</v>
      </c>
      <c r="Q67" s="5">
        <v>44287</v>
      </c>
      <c r="R67">
        <f>MIN(HAVERM!C501:C503)</f>
        <v>4.7590000000000003</v>
      </c>
      <c r="S67" s="3">
        <f t="shared" si="36"/>
        <v>8.4999999999999964E-2</v>
      </c>
      <c r="T67" s="3">
        <f>HAVERM!B502</f>
        <v>4.8</v>
      </c>
      <c r="V67">
        <f>MAX(HAVERM!C501:C503)</f>
        <v>4.8440000000000003</v>
      </c>
      <c r="AB67" s="9">
        <v>42278</v>
      </c>
      <c r="AC67" s="8">
        <f>HAVERQ!P151</f>
        <v>1571</v>
      </c>
      <c r="AD67" s="8">
        <f>HAVERQ!O151</f>
        <v>1681</v>
      </c>
      <c r="AE67" s="8">
        <f>HAVERQ!N151</f>
        <v>1015</v>
      </c>
      <c r="AF67" s="8">
        <f>HAVERQ!M151</f>
        <v>250</v>
      </c>
      <c r="AG67" s="8">
        <f>HAVERQ!L151</f>
        <v>159</v>
      </c>
      <c r="AH67" s="8">
        <f>HAVERQ!E151-AC67-AD67-AE67-AF67-AG67</f>
        <v>549</v>
      </c>
      <c r="AJ67" s="9">
        <v>42278</v>
      </c>
      <c r="AK67" s="8">
        <f t="shared" si="11"/>
        <v>30.066985645933013</v>
      </c>
      <c r="AL67" s="8">
        <f t="shared" si="12"/>
        <v>32.172248803827749</v>
      </c>
      <c r="AM67" s="8">
        <f t="shared" si="13"/>
        <v>19.425837320574164</v>
      </c>
      <c r="AN67" s="8">
        <f t="shared" si="14"/>
        <v>4.7846889952153111</v>
      </c>
      <c r="AO67" s="8">
        <f t="shared" si="15"/>
        <v>3.0430622009569377</v>
      </c>
      <c r="AP67" s="8">
        <f t="shared" si="15"/>
        <v>10.507177033492823</v>
      </c>
      <c r="AR67" s="8"/>
      <c r="AS67" s="8"/>
      <c r="AT67" s="8"/>
      <c r="AU67" s="8"/>
      <c r="AV67" s="8"/>
      <c r="AW67" s="8"/>
      <c r="AX67" s="8"/>
      <c r="AY67" s="8"/>
      <c r="AZ67" s="8"/>
      <c r="BA67" s="8"/>
      <c r="BB67" s="8"/>
      <c r="BC67" s="8"/>
      <c r="BD67" s="8"/>
      <c r="BE67" s="8"/>
      <c r="BF67" s="8"/>
      <c r="BG67" s="8"/>
      <c r="BH67" s="8"/>
      <c r="BI67" s="8"/>
      <c r="BJ67" s="8"/>
      <c r="BK67" s="8"/>
      <c r="BM67" s="8"/>
      <c r="CL67" s="2">
        <f>100*((DataQ!F226/DataQ!F222)-1)</f>
        <v>1.7846809617922288</v>
      </c>
      <c r="CM67" s="2">
        <f>100*(DataQ!I226/DataQ!J226)</f>
        <v>20.929373187470055</v>
      </c>
    </row>
    <row r="68" spans="13:91" x14ac:dyDescent="0.25">
      <c r="M68" s="5">
        <v>44317</v>
      </c>
      <c r="N68">
        <f>HAVERM!C503</f>
        <v>4.7590000000000003</v>
      </c>
      <c r="O68" s="3">
        <f>HAVERM!B503</f>
        <v>4.7</v>
      </c>
      <c r="Q68" s="5">
        <v>44317</v>
      </c>
      <c r="R68">
        <f>MIN(HAVERM!C502:C504)</f>
        <v>4.4660000000000002</v>
      </c>
      <c r="S68" s="3">
        <f t="shared" ref="S68:S99" si="42">V68-R68</f>
        <v>0.31599999999999984</v>
      </c>
      <c r="T68" s="3">
        <f>HAVERM!B503</f>
        <v>4.7</v>
      </c>
      <c r="V68">
        <f>MAX(HAVERM!C502:C504)</f>
        <v>4.782</v>
      </c>
      <c r="AB68" s="9">
        <v>42370</v>
      </c>
      <c r="AC68" s="8">
        <f>HAVERQ!P152</f>
        <v>1579</v>
      </c>
      <c r="AD68" s="8">
        <f>HAVERQ!O152</f>
        <v>1680</v>
      </c>
      <c r="AE68" s="8">
        <f>HAVERQ!N152</f>
        <v>1010</v>
      </c>
      <c r="AF68" s="8">
        <f>HAVERQ!M152</f>
        <v>248</v>
      </c>
      <c r="AG68" s="8">
        <f>HAVERQ!L152</f>
        <v>158</v>
      </c>
      <c r="AH68" s="8">
        <f>HAVERQ!E152-AC68-AD68-AE68-AF68-AG68</f>
        <v>549</v>
      </c>
      <c r="AJ68" s="9">
        <v>42370</v>
      </c>
      <c r="AK68" s="8">
        <f t="shared" si="11"/>
        <v>30.225880551301685</v>
      </c>
      <c r="AL68" s="8">
        <f t="shared" si="12"/>
        <v>32.159264931087286</v>
      </c>
      <c r="AM68" s="8">
        <f t="shared" si="13"/>
        <v>19.333843797856048</v>
      </c>
      <c r="AN68" s="8">
        <f t="shared" si="14"/>
        <v>4.7473200612557429</v>
      </c>
      <c r="AO68" s="8">
        <f t="shared" si="15"/>
        <v>3.0245022970903519</v>
      </c>
      <c r="AP68" s="8">
        <f t="shared" si="15"/>
        <v>10.509188361408881</v>
      </c>
      <c r="AR68" s="8"/>
      <c r="AS68" s="8"/>
      <c r="AT68" s="8"/>
      <c r="AU68" s="8"/>
      <c r="AV68" s="8"/>
      <c r="AW68" s="8"/>
      <c r="AX68" s="8"/>
      <c r="AY68" s="8"/>
      <c r="AZ68" s="8"/>
      <c r="BA68" s="8"/>
      <c r="BB68" s="8"/>
      <c r="BC68" s="8"/>
      <c r="BD68" s="8"/>
      <c r="BE68" s="8"/>
      <c r="BF68" s="8"/>
      <c r="BG68" s="8"/>
      <c r="BH68" s="8"/>
      <c r="BI68" s="8"/>
      <c r="BJ68" s="8"/>
      <c r="BK68" s="8"/>
      <c r="BM68" s="8"/>
    </row>
    <row r="69" spans="13:91" x14ac:dyDescent="0.25">
      <c r="M69" s="5">
        <v>44348</v>
      </c>
      <c r="N69">
        <f>HAVERM!C504</f>
        <v>4.4660000000000002</v>
      </c>
      <c r="O69" s="3">
        <f>HAVERM!B504</f>
        <v>4.5999999999999996</v>
      </c>
      <c r="Q69" s="5">
        <v>44348</v>
      </c>
      <c r="R69">
        <f>MIN(HAVERM!C503:C505)</f>
        <v>4.4660000000000002</v>
      </c>
      <c r="S69" s="3">
        <f t="shared" si="42"/>
        <v>0.29300000000000015</v>
      </c>
      <c r="T69" s="3">
        <f>HAVERM!B504</f>
        <v>4.5999999999999996</v>
      </c>
      <c r="V69">
        <f>MAX(HAVERM!C503:C505)</f>
        <v>4.7590000000000003</v>
      </c>
      <c r="AB69" s="9">
        <v>42461</v>
      </c>
      <c r="AC69" s="8">
        <f>HAVERQ!P153</f>
        <v>1589</v>
      </c>
      <c r="AD69" s="8">
        <f>HAVERQ!O153</f>
        <v>1676</v>
      </c>
      <c r="AE69" s="8">
        <f>HAVERQ!N153</f>
        <v>1003</v>
      </c>
      <c r="AF69" s="8">
        <f>HAVERQ!M153</f>
        <v>247</v>
      </c>
      <c r="AG69" s="8">
        <f>HAVERQ!L153</f>
        <v>158</v>
      </c>
      <c r="AH69" s="8">
        <f>HAVERQ!E153-AC69-AD69-AE69-AF69-AG69</f>
        <v>545</v>
      </c>
      <c r="AJ69" s="9">
        <v>42461</v>
      </c>
      <c r="AK69" s="8">
        <f t="shared" ref="AK69:AK102" si="43">100*(AC69/SUM($AC69:$AH69))</f>
        <v>30.452280567267152</v>
      </c>
      <c r="AL69" s="8">
        <f t="shared" ref="AL69:AL102" si="44">100*(AD69/SUM($AC69:$AH69))</f>
        <v>32.119586048294366</v>
      </c>
      <c r="AM69" s="8">
        <f t="shared" ref="AM69:AM102" si="45">100*(AE69/SUM($AC69:$AH69))</f>
        <v>19.221924108853965</v>
      </c>
      <c r="AN69" s="8">
        <f t="shared" ref="AN69:AN102" si="46">100*(AF69/SUM($AC69:$AH69))</f>
        <v>4.7336144116519741</v>
      </c>
      <c r="AO69" s="8">
        <f t="shared" ref="AO69:AP102" si="47">100*(AG69/SUM($AC69:$AH69))</f>
        <v>3.0279800689919512</v>
      </c>
      <c r="AP69" s="8">
        <f t="shared" si="47"/>
        <v>10.444614794940591</v>
      </c>
      <c r="AR69" s="8"/>
      <c r="AS69" s="8"/>
      <c r="AT69" s="8"/>
      <c r="AU69" s="8"/>
      <c r="AV69" s="8"/>
      <c r="AW69" s="8"/>
      <c r="AX69" s="8"/>
      <c r="AY69" s="8"/>
      <c r="AZ69" s="8"/>
      <c r="BA69" s="8"/>
      <c r="BB69" s="8"/>
      <c r="BC69" s="8"/>
      <c r="BD69" s="8"/>
      <c r="BE69" s="8"/>
      <c r="BF69" s="8"/>
      <c r="BG69" s="8"/>
      <c r="BH69" s="8"/>
      <c r="BI69" s="8"/>
      <c r="BJ69" s="8"/>
      <c r="BK69" s="8"/>
      <c r="BM69" s="8"/>
    </row>
    <row r="70" spans="13:91" x14ac:dyDescent="0.25">
      <c r="M70" s="5">
        <v>44378</v>
      </c>
      <c r="N70">
        <f>HAVERM!C505</f>
        <v>4.4889999999999999</v>
      </c>
      <c r="O70" s="3">
        <f>HAVERM!B505</f>
        <v>4.5</v>
      </c>
      <c r="Q70" s="5">
        <v>44378</v>
      </c>
      <c r="R70">
        <f>MIN(HAVERM!C504:C506)</f>
        <v>4.4660000000000002</v>
      </c>
      <c r="S70" s="3">
        <f t="shared" si="42"/>
        <v>0.13499999999999979</v>
      </c>
      <c r="T70" s="3">
        <f>HAVERM!B505</f>
        <v>4.5</v>
      </c>
      <c r="V70">
        <f>MAX(HAVERM!C504:C506)</f>
        <v>4.601</v>
      </c>
      <c r="AB70" s="9">
        <v>42552</v>
      </c>
      <c r="AC70" s="8">
        <f>HAVERQ!P154</f>
        <v>1596</v>
      </c>
      <c r="AD70" s="8">
        <f>HAVERQ!O154</f>
        <v>1678</v>
      </c>
      <c r="AE70" s="8">
        <f>HAVERQ!N154</f>
        <v>1002</v>
      </c>
      <c r="AF70" s="8">
        <f>HAVERQ!M154</f>
        <v>247</v>
      </c>
      <c r="AG70" s="8">
        <f>HAVERQ!L154</f>
        <v>158</v>
      </c>
      <c r="AH70" s="8">
        <f>HAVERQ!E154-AC70-AD70-AE70-AF70-AG70</f>
        <v>537</v>
      </c>
      <c r="AJ70" s="9">
        <v>42552</v>
      </c>
      <c r="AK70" s="8">
        <f t="shared" si="43"/>
        <v>30.586431582981987</v>
      </c>
      <c r="AL70" s="8">
        <f t="shared" si="44"/>
        <v>32.157914909927179</v>
      </c>
      <c r="AM70" s="8">
        <f t="shared" si="45"/>
        <v>19.202759678037562</v>
      </c>
      <c r="AN70" s="8">
        <f t="shared" si="46"/>
        <v>4.7336144116519741</v>
      </c>
      <c r="AO70" s="8">
        <f t="shared" si="47"/>
        <v>3.0279800689919512</v>
      </c>
      <c r="AP70" s="8">
        <f t="shared" si="47"/>
        <v>10.291299348409352</v>
      </c>
      <c r="AR70" s="8"/>
      <c r="AS70" s="8"/>
      <c r="AT70" s="8"/>
      <c r="AU70" s="8"/>
      <c r="AV70" s="8"/>
      <c r="AW70" s="8"/>
      <c r="AX70" s="8"/>
      <c r="AY70" s="8"/>
      <c r="AZ70" s="8"/>
      <c r="BA70" s="8"/>
      <c r="BB70" s="8"/>
      <c r="BC70" s="8"/>
      <c r="BD70" s="8"/>
      <c r="BE70" s="8"/>
      <c r="BF70" s="8"/>
      <c r="BG70" s="8"/>
      <c r="BH70" s="8"/>
      <c r="BI70" s="8"/>
      <c r="BJ70" s="8"/>
      <c r="BK70" s="8"/>
      <c r="BM70" s="8"/>
    </row>
    <row r="71" spans="13:91" x14ac:dyDescent="0.25">
      <c r="M71" s="5">
        <v>44409</v>
      </c>
      <c r="N71">
        <f>HAVERM!C506</f>
        <v>4.601</v>
      </c>
      <c r="O71" s="3">
        <f>HAVERM!B506</f>
        <v>4.4000000000000004</v>
      </c>
      <c r="Q71" s="5">
        <v>44409</v>
      </c>
      <c r="R71">
        <f>MIN(HAVERM!C505:C507)</f>
        <v>4.069</v>
      </c>
      <c r="S71" s="3">
        <f t="shared" si="42"/>
        <v>0.53200000000000003</v>
      </c>
      <c r="T71" s="3">
        <f>HAVERM!B506</f>
        <v>4.4000000000000004</v>
      </c>
      <c r="V71">
        <f>MAX(HAVERM!C505:C507)</f>
        <v>4.601</v>
      </c>
      <c r="AB71" s="9">
        <v>42644</v>
      </c>
      <c r="AC71" s="8">
        <f>HAVERQ!P155</f>
        <v>1601</v>
      </c>
      <c r="AD71" s="8">
        <f>HAVERQ!O155</f>
        <v>1671</v>
      </c>
      <c r="AE71" s="8">
        <f>HAVERQ!N155</f>
        <v>1003</v>
      </c>
      <c r="AF71" s="8">
        <f>HAVERQ!M155</f>
        <v>246</v>
      </c>
      <c r="AG71" s="8">
        <f>HAVERQ!L155</f>
        <v>158</v>
      </c>
      <c r="AH71" s="8">
        <f>HAVERQ!E155-AC71-AD71-AE71-AF71-AG71</f>
        <v>529</v>
      </c>
      <c r="AJ71" s="9">
        <v>42644</v>
      </c>
      <c r="AK71" s="8">
        <f t="shared" si="43"/>
        <v>30.74116743471582</v>
      </c>
      <c r="AL71" s="8">
        <f t="shared" si="44"/>
        <v>32.085253456221196</v>
      </c>
      <c r="AM71" s="8">
        <f t="shared" si="45"/>
        <v>19.25883256528418</v>
      </c>
      <c r="AN71" s="8">
        <f t="shared" si="46"/>
        <v>4.7235023041474653</v>
      </c>
      <c r="AO71" s="8">
        <f t="shared" si="47"/>
        <v>3.0337941628264207</v>
      </c>
      <c r="AP71" s="8">
        <f t="shared" si="47"/>
        <v>10.157450076804915</v>
      </c>
      <c r="AR71" s="8"/>
      <c r="AS71" s="8"/>
      <c r="AT71" s="8"/>
      <c r="AU71" s="8"/>
      <c r="AV71" s="8"/>
      <c r="AW71" s="8"/>
      <c r="AX71" s="8"/>
      <c r="AY71" s="8"/>
      <c r="AZ71" s="8"/>
      <c r="BA71" s="8"/>
      <c r="BB71" s="8"/>
      <c r="BC71" s="8"/>
      <c r="BD71" s="8"/>
      <c r="BE71" s="8"/>
      <c r="BF71" s="8"/>
      <c r="BG71" s="8"/>
      <c r="BH71" s="8"/>
      <c r="BI71" s="8"/>
      <c r="BJ71" s="8"/>
      <c r="BK71" s="8"/>
      <c r="BM71" s="8"/>
    </row>
    <row r="72" spans="13:91" x14ac:dyDescent="0.25">
      <c r="M72" s="5">
        <v>44440</v>
      </c>
      <c r="N72">
        <f>HAVERM!C507</f>
        <v>4.069</v>
      </c>
      <c r="O72" s="3">
        <f>HAVERM!B507</f>
        <v>4.3</v>
      </c>
      <c r="Q72" s="5">
        <v>44440</v>
      </c>
      <c r="R72">
        <f>MIN(HAVERM!C506:C508)</f>
        <v>4.069</v>
      </c>
      <c r="S72" s="3">
        <f t="shared" si="42"/>
        <v>0.53200000000000003</v>
      </c>
      <c r="T72" s="3">
        <f>HAVERM!B507</f>
        <v>4.3</v>
      </c>
      <c r="V72">
        <f>MAX(HAVERM!C506:C508)</f>
        <v>4.601</v>
      </c>
      <c r="AB72" s="9">
        <v>42736</v>
      </c>
      <c r="AC72" s="8">
        <f>HAVERQ!P156</f>
        <v>1613</v>
      </c>
      <c r="AD72" s="8">
        <f>HAVERQ!O156</f>
        <v>1668</v>
      </c>
      <c r="AE72" s="8">
        <f>HAVERQ!N156</f>
        <v>1005</v>
      </c>
      <c r="AF72" s="8">
        <f>HAVERQ!M156</f>
        <v>245</v>
      </c>
      <c r="AG72" s="8">
        <f>HAVERQ!L156</f>
        <v>157</v>
      </c>
      <c r="AH72" s="8">
        <f>HAVERQ!E156-AC72-AD72-AE72-AF72-AG72</f>
        <v>522</v>
      </c>
      <c r="AJ72" s="9">
        <v>42736</v>
      </c>
      <c r="AK72" s="8">
        <f t="shared" si="43"/>
        <v>30.95969289827255</v>
      </c>
      <c r="AL72" s="8">
        <f t="shared" si="44"/>
        <v>32.015355086372359</v>
      </c>
      <c r="AM72" s="8">
        <f t="shared" si="45"/>
        <v>19.289827255278311</v>
      </c>
      <c r="AN72" s="8">
        <f t="shared" si="46"/>
        <v>4.702495201535509</v>
      </c>
      <c r="AO72" s="8">
        <f t="shared" si="47"/>
        <v>3.0134357005758159</v>
      </c>
      <c r="AP72" s="8">
        <f t="shared" si="47"/>
        <v>10.019193857965451</v>
      </c>
      <c r="AR72" s="8"/>
      <c r="AS72" s="8"/>
      <c r="AT72" s="8"/>
      <c r="AU72" s="8"/>
      <c r="AV72" s="8"/>
      <c r="AW72" s="8"/>
      <c r="AX72" s="8"/>
      <c r="AY72" s="8"/>
      <c r="AZ72" s="8"/>
      <c r="BA72" s="8"/>
      <c r="BB72" s="8"/>
      <c r="BC72" s="8"/>
      <c r="BD72" s="8"/>
      <c r="BE72" s="8"/>
      <c r="BF72" s="8"/>
      <c r="BG72" s="8"/>
      <c r="BH72" s="8"/>
      <c r="BI72" s="8"/>
      <c r="BJ72" s="8"/>
      <c r="BK72" s="8"/>
      <c r="BM72" s="8"/>
    </row>
    <row r="73" spans="13:91" x14ac:dyDescent="0.25">
      <c r="M73" s="5">
        <v>44470</v>
      </c>
      <c r="N73">
        <f>HAVERM!C508</f>
        <v>4.25</v>
      </c>
      <c r="O73" s="3">
        <f>HAVERM!B508</f>
        <v>4.2</v>
      </c>
      <c r="Q73" s="5">
        <v>44470</v>
      </c>
      <c r="R73">
        <f>MIN(HAVERM!C507:C509)</f>
        <v>4.069</v>
      </c>
      <c r="S73" s="3">
        <f t="shared" si="42"/>
        <v>0.30200000000000049</v>
      </c>
      <c r="T73" s="3">
        <f>HAVERM!B508</f>
        <v>4.2</v>
      </c>
      <c r="V73">
        <f>MAX(HAVERM!C507:C509)</f>
        <v>4.3710000000000004</v>
      </c>
      <c r="AB73" s="9">
        <v>42826</v>
      </c>
      <c r="AC73" s="8">
        <f>HAVERQ!P157</f>
        <v>1623</v>
      </c>
      <c r="AD73" s="8">
        <f>HAVERQ!O157</f>
        <v>1662</v>
      </c>
      <c r="AE73" s="8">
        <f>HAVERQ!N157</f>
        <v>1012</v>
      </c>
      <c r="AF73" s="8">
        <f>HAVERQ!M157</f>
        <v>245</v>
      </c>
      <c r="AG73" s="8">
        <f>HAVERQ!L157</f>
        <v>156</v>
      </c>
      <c r="AH73" s="8">
        <f>HAVERQ!E157-AC73-AD73-AE73-AF73-AG73</f>
        <v>521</v>
      </c>
      <c r="AJ73" s="9">
        <v>42826</v>
      </c>
      <c r="AK73" s="8">
        <f t="shared" si="43"/>
        <v>31.097911477294499</v>
      </c>
      <c r="AL73" s="8">
        <f t="shared" si="44"/>
        <v>31.845181069170341</v>
      </c>
      <c r="AM73" s="8">
        <f t="shared" si="45"/>
        <v>19.390687871239702</v>
      </c>
      <c r="AN73" s="8">
        <f t="shared" si="46"/>
        <v>4.6943858976815482</v>
      </c>
      <c r="AO73" s="8">
        <f t="shared" si="47"/>
        <v>2.9890783675033528</v>
      </c>
      <c r="AP73" s="8">
        <f t="shared" si="47"/>
        <v>9.9827553171105574</v>
      </c>
      <c r="AR73" s="8"/>
      <c r="AS73" s="8"/>
      <c r="AT73" s="8"/>
      <c r="AU73" s="8"/>
      <c r="AV73" s="8"/>
      <c r="AW73" s="8"/>
      <c r="AX73" s="8"/>
      <c r="AY73" s="8"/>
      <c r="AZ73" s="8"/>
      <c r="BA73" s="8"/>
      <c r="BB73" s="8"/>
      <c r="BC73" s="8"/>
      <c r="BD73" s="8"/>
      <c r="BE73" s="8"/>
      <c r="BF73" s="8"/>
      <c r="BG73" s="8"/>
      <c r="BH73" s="8"/>
      <c r="BI73" s="8"/>
      <c r="BJ73" s="8"/>
      <c r="BK73" s="8"/>
      <c r="BM73" s="8"/>
    </row>
    <row r="74" spans="13:91" x14ac:dyDescent="0.25">
      <c r="M74" s="5">
        <v>44501</v>
      </c>
      <c r="N74">
        <f>HAVERM!C509</f>
        <v>4.3710000000000004</v>
      </c>
      <c r="O74" s="3">
        <f>HAVERM!B509</f>
        <v>4.2</v>
      </c>
      <c r="Q74" s="5">
        <v>44501</v>
      </c>
      <c r="R74">
        <f>MIN(HAVERM!C508:C510)</f>
        <v>3.931</v>
      </c>
      <c r="S74" s="3">
        <f t="shared" si="42"/>
        <v>0.44000000000000039</v>
      </c>
      <c r="T74" s="3">
        <f>HAVERM!B509</f>
        <v>4.2</v>
      </c>
      <c r="V74">
        <f>MAX(HAVERM!C508:C510)</f>
        <v>4.3710000000000004</v>
      </c>
      <c r="AB74" s="9">
        <v>42917</v>
      </c>
      <c r="AC74" s="8">
        <f>HAVERQ!P158</f>
        <v>1629</v>
      </c>
      <c r="AD74" s="8">
        <f>HAVERQ!O158</f>
        <v>1650</v>
      </c>
      <c r="AE74" s="8">
        <f>HAVERQ!N158</f>
        <v>1017</v>
      </c>
      <c r="AF74" s="8">
        <f>HAVERQ!M158</f>
        <v>245</v>
      </c>
      <c r="AG74" s="8">
        <f>HAVERQ!L158</f>
        <v>156</v>
      </c>
      <c r="AH74" s="8">
        <f>HAVERQ!E158-AC74-AD74-AE74-AF74-AG74</f>
        <v>519</v>
      </c>
      <c r="AJ74" s="9">
        <v>42917</v>
      </c>
      <c r="AK74" s="8">
        <f t="shared" si="43"/>
        <v>31.230828220858896</v>
      </c>
      <c r="AL74" s="8">
        <f t="shared" si="44"/>
        <v>31.633435582822084</v>
      </c>
      <c r="AM74" s="8">
        <f t="shared" si="45"/>
        <v>19.497699386503069</v>
      </c>
      <c r="AN74" s="8">
        <f t="shared" si="46"/>
        <v>4.6970858895705518</v>
      </c>
      <c r="AO74" s="8">
        <f t="shared" si="47"/>
        <v>2.9907975460122702</v>
      </c>
      <c r="AP74" s="8">
        <f t="shared" si="47"/>
        <v>9.9501533742331283</v>
      </c>
      <c r="AR74" s="8"/>
      <c r="AS74" s="8"/>
      <c r="AT74" s="8"/>
      <c r="AU74" s="8"/>
      <c r="AV74" s="8"/>
      <c r="AW74" s="8"/>
      <c r="AX74" s="8"/>
      <c r="AY74" s="8"/>
      <c r="AZ74" s="8"/>
      <c r="BA74" s="8"/>
      <c r="BB74" s="8"/>
      <c r="BC74" s="8"/>
      <c r="BD74" s="8"/>
      <c r="BE74" s="8"/>
      <c r="BF74" s="8"/>
      <c r="BG74" s="8"/>
      <c r="BH74" s="8"/>
      <c r="BI74" s="8"/>
      <c r="BJ74" s="8"/>
      <c r="BK74" s="8"/>
      <c r="BM74" s="8"/>
    </row>
    <row r="75" spans="13:91" x14ac:dyDescent="0.25">
      <c r="M75" s="5">
        <v>44531</v>
      </c>
      <c r="N75">
        <f>HAVERM!C510</f>
        <v>3.931</v>
      </c>
      <c r="O75" s="3">
        <f>HAVERM!B510</f>
        <v>4.0999999999999996</v>
      </c>
      <c r="Q75" s="5">
        <v>44531</v>
      </c>
      <c r="R75">
        <f>MIN(HAVERM!C509:C511)</f>
        <v>3.931</v>
      </c>
      <c r="S75" s="3">
        <f t="shared" si="42"/>
        <v>0.44000000000000039</v>
      </c>
      <c r="T75" s="3">
        <f>HAVERM!B510</f>
        <v>4.0999999999999996</v>
      </c>
      <c r="V75">
        <f>MAX(HAVERM!C509:C511)</f>
        <v>4.3710000000000004</v>
      </c>
      <c r="AB75" s="9">
        <v>43009</v>
      </c>
      <c r="AC75" s="8">
        <f>HAVERQ!P159</f>
        <v>1639</v>
      </c>
      <c r="AD75" s="8">
        <f>HAVERQ!O159</f>
        <v>1644</v>
      </c>
      <c r="AE75" s="8">
        <f>HAVERQ!N159</f>
        <v>1017</v>
      </c>
      <c r="AF75" s="8">
        <f>HAVERQ!M159</f>
        <v>246</v>
      </c>
      <c r="AG75" s="8">
        <f>HAVERQ!L159</f>
        <v>156</v>
      </c>
      <c r="AH75" s="8">
        <f>HAVERQ!E159-AC75-AD75-AE75-AF75-AG75</f>
        <v>520</v>
      </c>
      <c r="AJ75" s="9">
        <v>43009</v>
      </c>
      <c r="AK75" s="8">
        <f t="shared" si="43"/>
        <v>31.386441976254311</v>
      </c>
      <c r="AL75" s="8">
        <f t="shared" si="44"/>
        <v>31.482190731520493</v>
      </c>
      <c r="AM75" s="8">
        <f t="shared" si="45"/>
        <v>19.475296821141324</v>
      </c>
      <c r="AN75" s="8">
        <f t="shared" si="46"/>
        <v>4.7108387590961316</v>
      </c>
      <c r="AO75" s="8">
        <f t="shared" si="47"/>
        <v>2.9873611643048639</v>
      </c>
      <c r="AP75" s="8">
        <f t="shared" si="47"/>
        <v>9.9578705476828802</v>
      </c>
      <c r="AR75" s="8"/>
      <c r="AS75" s="8"/>
      <c r="AT75" s="8"/>
      <c r="AU75" s="8"/>
      <c r="AV75" s="8"/>
      <c r="AW75" s="8"/>
      <c r="AX75" s="8"/>
      <c r="AY75" s="8"/>
      <c r="AZ75" s="8"/>
      <c r="BA75" s="8"/>
      <c r="BB75" s="8"/>
      <c r="BC75" s="8"/>
      <c r="BD75" s="8"/>
      <c r="BE75" s="8"/>
      <c r="BF75" s="8"/>
      <c r="BG75" s="8"/>
      <c r="BH75" s="8"/>
      <c r="BI75" s="8"/>
      <c r="BJ75" s="8"/>
      <c r="BK75" s="8"/>
      <c r="BM75" s="8"/>
    </row>
    <row r="76" spans="13:91" x14ac:dyDescent="0.25">
      <c r="M76" s="5">
        <v>44562</v>
      </c>
      <c r="N76">
        <f>HAVERM!C511</f>
        <v>3.9740000000000002</v>
      </c>
      <c r="O76" s="3">
        <f>HAVERM!B511</f>
        <v>3.9</v>
      </c>
      <c r="Q76" s="5">
        <v>44562</v>
      </c>
      <c r="R76">
        <f>MIN(HAVERM!C510:C512)</f>
        <v>3.8839999999999999</v>
      </c>
      <c r="S76" s="3">
        <f t="shared" si="42"/>
        <v>9.0000000000000302E-2</v>
      </c>
      <c r="T76" s="3">
        <f>HAVERM!B511</f>
        <v>3.9</v>
      </c>
      <c r="V76">
        <f>MAX(HAVERM!C510:C512)</f>
        <v>3.9740000000000002</v>
      </c>
      <c r="AB76" s="9">
        <v>43101</v>
      </c>
      <c r="AC76" s="8">
        <f>HAVERQ!P160</f>
        <v>1642</v>
      </c>
      <c r="AD76" s="8">
        <f>HAVERQ!O160</f>
        <v>1644</v>
      </c>
      <c r="AE76" s="8">
        <f>HAVERQ!N160</f>
        <v>1022</v>
      </c>
      <c r="AF76" s="8">
        <f>HAVERQ!M160</f>
        <v>246</v>
      </c>
      <c r="AG76" s="8">
        <f>HAVERQ!L160</f>
        <v>155</v>
      </c>
      <c r="AH76" s="8">
        <f>HAVERQ!E160-AC76-AD76-AE76-AF76-AG76</f>
        <v>521</v>
      </c>
      <c r="AJ76" s="9">
        <v>43101</v>
      </c>
      <c r="AK76" s="8">
        <f t="shared" si="43"/>
        <v>31.395793499043979</v>
      </c>
      <c r="AL76" s="8">
        <f t="shared" si="44"/>
        <v>31.434034416826002</v>
      </c>
      <c r="AM76" s="8">
        <f t="shared" si="45"/>
        <v>19.541108986615679</v>
      </c>
      <c r="AN76" s="8">
        <f t="shared" si="46"/>
        <v>4.7036328871892925</v>
      </c>
      <c r="AO76" s="8">
        <f t="shared" si="47"/>
        <v>2.9636711281070744</v>
      </c>
      <c r="AP76" s="8">
        <f t="shared" si="47"/>
        <v>9.9617590822179736</v>
      </c>
      <c r="AR76" s="8"/>
      <c r="AS76" s="8"/>
      <c r="AT76" s="8"/>
      <c r="AU76" s="8"/>
      <c r="AV76" s="8"/>
      <c r="AW76" s="8"/>
      <c r="AX76" s="8"/>
      <c r="AY76" s="8"/>
      <c r="AZ76" s="8"/>
      <c r="BA76" s="8"/>
      <c r="BB76" s="8"/>
      <c r="BC76" s="8"/>
      <c r="BD76" s="8"/>
      <c r="BE76" s="8"/>
      <c r="BF76" s="8"/>
      <c r="BG76" s="8"/>
      <c r="BH76" s="8"/>
      <c r="BI76" s="8"/>
      <c r="BJ76" s="8"/>
      <c r="BK76" s="8"/>
      <c r="BM76" s="8"/>
    </row>
    <row r="77" spans="13:91" x14ac:dyDescent="0.25">
      <c r="M77" s="5">
        <v>44593</v>
      </c>
      <c r="N77">
        <f>HAVERM!C512</f>
        <v>3.8839999999999999</v>
      </c>
      <c r="O77" s="3">
        <f>HAVERM!B512</f>
        <v>3.8</v>
      </c>
      <c r="Q77" s="5">
        <v>44593</v>
      </c>
      <c r="R77">
        <f>MIN(HAVERM!C511:C513)</f>
        <v>3.4830000000000001</v>
      </c>
      <c r="S77" s="3">
        <f t="shared" si="42"/>
        <v>0.4910000000000001</v>
      </c>
      <c r="T77" s="3">
        <f>HAVERM!B512</f>
        <v>3.8</v>
      </c>
      <c r="V77">
        <f>MAX(HAVERM!C511:C513)</f>
        <v>3.9740000000000002</v>
      </c>
      <c r="AB77" s="9">
        <v>43191</v>
      </c>
      <c r="AC77" s="8">
        <f>HAVERQ!P161</f>
        <v>1650</v>
      </c>
      <c r="AD77" s="8">
        <f>HAVERQ!O161</f>
        <v>1644</v>
      </c>
      <c r="AE77" s="8">
        <f>HAVERQ!N161</f>
        <v>1028</v>
      </c>
      <c r="AF77" s="8">
        <f>HAVERQ!M161</f>
        <v>247</v>
      </c>
      <c r="AG77" s="8">
        <f>HAVERQ!L161</f>
        <v>154</v>
      </c>
      <c r="AH77" s="8">
        <f>HAVERQ!E161-AC77-AD77-AE77-AF77-AG77</f>
        <v>521</v>
      </c>
      <c r="AJ77" s="9">
        <v>43191</v>
      </c>
      <c r="AK77" s="8">
        <f t="shared" si="43"/>
        <v>31.464530892448511</v>
      </c>
      <c r="AL77" s="8">
        <f t="shared" si="44"/>
        <v>31.350114416475972</v>
      </c>
      <c r="AM77" s="8">
        <f t="shared" si="45"/>
        <v>19.60335621662853</v>
      </c>
      <c r="AN77" s="8">
        <f t="shared" si="46"/>
        <v>4.7101449275362324</v>
      </c>
      <c r="AO77" s="8">
        <f t="shared" si="47"/>
        <v>2.9366895499618613</v>
      </c>
      <c r="AP77" s="8">
        <f t="shared" si="47"/>
        <v>9.9351639969488943</v>
      </c>
      <c r="AR77" s="8"/>
      <c r="AS77" s="8"/>
      <c r="AT77" s="8"/>
      <c r="AU77" s="8"/>
      <c r="AV77" s="8"/>
      <c r="AW77" s="8"/>
      <c r="AX77" s="8"/>
      <c r="AY77" s="8"/>
      <c r="AZ77" s="8"/>
      <c r="BA77" s="8"/>
      <c r="BB77" s="8"/>
      <c r="BC77" s="8"/>
      <c r="BD77" s="8"/>
      <c r="BE77" s="8"/>
      <c r="BF77" s="8"/>
      <c r="BG77" s="8"/>
      <c r="BH77" s="8"/>
      <c r="BI77" s="8"/>
      <c r="BJ77" s="8"/>
      <c r="BK77" s="8"/>
      <c r="BM77" s="8"/>
    </row>
    <row r="78" spans="13:91" x14ac:dyDescent="0.25">
      <c r="M78" s="5">
        <v>44621</v>
      </c>
      <c r="N78">
        <f>HAVERM!C513</f>
        <v>3.4830000000000001</v>
      </c>
      <c r="O78" s="3">
        <f>HAVERM!B513</f>
        <v>3.8</v>
      </c>
      <c r="Q78" s="5">
        <v>44621</v>
      </c>
      <c r="R78">
        <f>MIN(HAVERM!C512:C514)</f>
        <v>3.4830000000000001</v>
      </c>
      <c r="S78" s="3">
        <f t="shared" si="42"/>
        <v>0.59699999999999998</v>
      </c>
      <c r="T78" s="3">
        <f>HAVERM!B513</f>
        <v>3.8</v>
      </c>
      <c r="V78">
        <f>MAX(HAVERM!C512:C514)</f>
        <v>4.08</v>
      </c>
      <c r="AB78" s="9">
        <v>43282</v>
      </c>
      <c r="AC78" s="8">
        <f>HAVERQ!P162</f>
        <v>1663</v>
      </c>
      <c r="AD78" s="8">
        <f>HAVERQ!O162</f>
        <v>1636</v>
      </c>
      <c r="AE78" s="8">
        <f>HAVERQ!N162</f>
        <v>1033</v>
      </c>
      <c r="AF78" s="8">
        <f>HAVERQ!M162</f>
        <v>247</v>
      </c>
      <c r="AG78" s="8">
        <f>HAVERQ!L162</f>
        <v>153</v>
      </c>
      <c r="AH78" s="8">
        <f>HAVERQ!E162-AC78-AD78-AE78-AF78-AG78</f>
        <v>523</v>
      </c>
      <c r="AJ78" s="9">
        <v>43282</v>
      </c>
      <c r="AK78" s="8">
        <f t="shared" si="43"/>
        <v>31.64605137963844</v>
      </c>
      <c r="AL78" s="8">
        <f t="shared" si="44"/>
        <v>31.132254995242626</v>
      </c>
      <c r="AM78" s="8">
        <f t="shared" si="45"/>
        <v>19.657469077069457</v>
      </c>
      <c r="AN78" s="8">
        <f t="shared" si="46"/>
        <v>4.7002854424357752</v>
      </c>
      <c r="AO78" s="8">
        <f t="shared" si="47"/>
        <v>2.9115128449096099</v>
      </c>
      <c r="AP78" s="8">
        <f t="shared" si="47"/>
        <v>9.9524262607040921</v>
      </c>
      <c r="AR78" s="8"/>
      <c r="AS78" s="8"/>
      <c r="AT78" s="8"/>
      <c r="AU78" s="8"/>
      <c r="AV78" s="8"/>
      <c r="AW78" s="8"/>
      <c r="AX78" s="8"/>
      <c r="AY78" s="8"/>
      <c r="AZ78" s="8"/>
      <c r="BA78" s="8"/>
      <c r="BB78" s="8"/>
      <c r="BC78" s="8"/>
      <c r="BD78" s="8"/>
      <c r="BE78" s="8"/>
      <c r="BF78" s="8"/>
      <c r="BG78" s="8"/>
      <c r="BH78" s="8"/>
      <c r="BI78" s="8"/>
      <c r="BJ78" s="8"/>
      <c r="BK78" s="8"/>
      <c r="BM78" s="8"/>
    </row>
    <row r="79" spans="13:91" x14ac:dyDescent="0.25">
      <c r="M79" s="5">
        <v>44652</v>
      </c>
      <c r="N79">
        <f>HAVERM!C514</f>
        <v>4.08</v>
      </c>
      <c r="O79" s="3">
        <f>HAVERM!B514</f>
        <v>3.7</v>
      </c>
      <c r="Q79" s="5">
        <v>44652</v>
      </c>
      <c r="R79">
        <f>MIN(HAVERM!C513:C515)</f>
        <v>3.4830000000000001</v>
      </c>
      <c r="S79" s="3">
        <f t="shared" si="42"/>
        <v>0.59699999999999998</v>
      </c>
      <c r="T79" s="3">
        <f>HAVERM!B514</f>
        <v>3.7</v>
      </c>
      <c r="V79">
        <f>MAX(HAVERM!C513:C515)</f>
        <v>4.08</v>
      </c>
      <c r="AB79" s="9">
        <v>43374</v>
      </c>
      <c r="AC79" s="8">
        <f>HAVERQ!P163</f>
        <v>1671</v>
      </c>
      <c r="AD79" s="8">
        <f>HAVERQ!O163</f>
        <v>1637</v>
      </c>
      <c r="AE79" s="8">
        <f>HAVERQ!N163</f>
        <v>1038</v>
      </c>
      <c r="AF79" s="8">
        <f>HAVERQ!M163</f>
        <v>247</v>
      </c>
      <c r="AG79" s="8">
        <f>HAVERQ!L163</f>
        <v>153</v>
      </c>
      <c r="AH79" s="8">
        <f>HAVERQ!E163-AC79-AD79-AE79-AF79-AG79</f>
        <v>523</v>
      </c>
      <c r="AJ79" s="9">
        <v>43374</v>
      </c>
      <c r="AK79" s="8">
        <f t="shared" si="43"/>
        <v>31.713797684570128</v>
      </c>
      <c r="AL79" s="8">
        <f t="shared" si="44"/>
        <v>31.068513949516035</v>
      </c>
      <c r="AM79" s="8">
        <f t="shared" si="45"/>
        <v>19.700132852533688</v>
      </c>
      <c r="AN79" s="8">
        <f t="shared" si="46"/>
        <v>4.6877965458341242</v>
      </c>
      <c r="AO79" s="8">
        <f t="shared" si="47"/>
        <v>2.9037768077434047</v>
      </c>
      <c r="AP79" s="8">
        <f t="shared" si="47"/>
        <v>9.9259821598026203</v>
      </c>
      <c r="AR79" s="8"/>
      <c r="AS79" s="8"/>
      <c r="AT79" s="8"/>
      <c r="AU79" s="8"/>
      <c r="AV79" s="8"/>
      <c r="AW79" s="8"/>
      <c r="AX79" s="8"/>
      <c r="AY79" s="8"/>
      <c r="AZ79" s="8"/>
      <c r="BA79" s="8"/>
      <c r="BB79" s="8"/>
      <c r="BC79" s="8"/>
      <c r="BD79" s="8"/>
      <c r="BE79" s="8"/>
      <c r="BF79" s="8"/>
      <c r="BG79" s="8"/>
      <c r="BH79" s="8"/>
      <c r="BI79" s="8"/>
      <c r="BJ79" s="8"/>
      <c r="BK79" s="8"/>
      <c r="BM79" s="8"/>
    </row>
    <row r="80" spans="13:91" x14ac:dyDescent="0.25">
      <c r="M80" s="5">
        <v>44682</v>
      </c>
      <c r="N80">
        <f>HAVERM!C515</f>
        <v>3.6560000000000001</v>
      </c>
      <c r="O80" s="3">
        <f>HAVERM!B515</f>
        <v>3.8</v>
      </c>
      <c r="Q80" s="5">
        <v>44682</v>
      </c>
      <c r="R80">
        <f>MIN(HAVERM!C514:C516)</f>
        <v>3.56</v>
      </c>
      <c r="S80" s="3">
        <f t="shared" si="42"/>
        <v>0.52</v>
      </c>
      <c r="T80" s="3">
        <f>HAVERM!B515</f>
        <v>3.8</v>
      </c>
      <c r="V80">
        <f>MAX(HAVERM!C514:C516)</f>
        <v>4.08</v>
      </c>
      <c r="AB80" s="9">
        <v>43466</v>
      </c>
      <c r="AC80" s="8">
        <f>HAVERQ!P164</f>
        <v>1682</v>
      </c>
      <c r="AD80" s="8">
        <f>HAVERQ!O164</f>
        <v>1635</v>
      </c>
      <c r="AE80" s="8">
        <f>HAVERQ!N164</f>
        <v>1049</v>
      </c>
      <c r="AF80" s="8">
        <f>HAVERQ!M164</f>
        <v>249</v>
      </c>
      <c r="AG80" s="8">
        <f>HAVERQ!L164</f>
        <v>153</v>
      </c>
      <c r="AH80" s="8">
        <f>HAVERQ!E164-AC80-AD80-AE80-AF80-AG80</f>
        <v>517</v>
      </c>
      <c r="AJ80" s="9">
        <v>43466</v>
      </c>
      <c r="AK80" s="8">
        <f t="shared" si="43"/>
        <v>31.82592242194891</v>
      </c>
      <c r="AL80" s="8">
        <f t="shared" si="44"/>
        <v>30.936613055818352</v>
      </c>
      <c r="AM80" s="8">
        <f t="shared" si="45"/>
        <v>19.848628192999055</v>
      </c>
      <c r="AN80" s="8">
        <f t="shared" si="46"/>
        <v>4.7114474929044459</v>
      </c>
      <c r="AO80" s="8">
        <f t="shared" si="47"/>
        <v>2.8949858088930935</v>
      </c>
      <c r="AP80" s="8">
        <f t="shared" si="47"/>
        <v>9.7824030274361409</v>
      </c>
      <c r="AR80" s="8"/>
      <c r="AS80" s="8"/>
      <c r="AT80" s="8"/>
      <c r="AU80" s="8"/>
      <c r="AV80" s="8"/>
      <c r="AW80" s="8"/>
      <c r="AX80" s="8"/>
      <c r="AY80" s="8"/>
      <c r="AZ80" s="8"/>
      <c r="BA80" s="8"/>
      <c r="BB80" s="8"/>
      <c r="BC80" s="8"/>
      <c r="BD80" s="8"/>
      <c r="BE80" s="8"/>
      <c r="BF80" s="8"/>
      <c r="BG80" s="8"/>
      <c r="BH80" s="8"/>
      <c r="BI80" s="8"/>
      <c r="BJ80" s="8"/>
      <c r="BK80" s="8"/>
      <c r="BM80" s="8"/>
    </row>
    <row r="81" spans="13:65" x14ac:dyDescent="0.25">
      <c r="M81" s="5">
        <v>44713</v>
      </c>
      <c r="N81">
        <f>HAVERM!C516</f>
        <v>3.56</v>
      </c>
      <c r="O81" s="3">
        <f>HAVERM!B516</f>
        <v>3.6</v>
      </c>
      <c r="Q81" s="5">
        <v>44713</v>
      </c>
      <c r="R81">
        <f>MIN(HAVERM!C515:C517)</f>
        <v>3.56</v>
      </c>
      <c r="S81" s="3">
        <f t="shared" si="42"/>
        <v>0.10699999999999976</v>
      </c>
      <c r="T81" s="3">
        <f>HAVERM!B516</f>
        <v>3.6</v>
      </c>
      <c r="V81">
        <f>MAX(HAVERM!C515:C517)</f>
        <v>3.6669999999999998</v>
      </c>
      <c r="AB81" s="9">
        <v>43556</v>
      </c>
      <c r="AC81" s="8">
        <f>HAVERQ!P165</f>
        <v>1695</v>
      </c>
      <c r="AD81" s="8">
        <f>HAVERQ!O165</f>
        <v>1636</v>
      </c>
      <c r="AE81" s="8">
        <f>HAVERQ!N165</f>
        <v>1053</v>
      </c>
      <c r="AF81" s="8">
        <f>HAVERQ!M165</f>
        <v>249</v>
      </c>
      <c r="AG81" s="8">
        <f>HAVERQ!L165</f>
        <v>153</v>
      </c>
      <c r="AH81" s="8">
        <f>HAVERQ!E165-AC81-AD81-AE81-AF81-AG81</f>
        <v>519</v>
      </c>
      <c r="AJ81" s="9">
        <v>43556</v>
      </c>
      <c r="AK81" s="8">
        <f t="shared" si="43"/>
        <v>31.950989632422242</v>
      </c>
      <c r="AL81" s="8">
        <f t="shared" si="44"/>
        <v>30.838831291234687</v>
      </c>
      <c r="AM81" s="8">
        <f t="shared" si="45"/>
        <v>19.849198868991515</v>
      </c>
      <c r="AN81" s="8">
        <f t="shared" si="46"/>
        <v>4.6936852026390197</v>
      </c>
      <c r="AO81" s="8">
        <f t="shared" si="47"/>
        <v>2.8840716305372287</v>
      </c>
      <c r="AP81" s="8">
        <f t="shared" si="47"/>
        <v>9.7832233741753072</v>
      </c>
      <c r="AR81" s="8"/>
      <c r="AS81" s="8"/>
      <c r="AT81" s="8"/>
      <c r="AU81" s="8"/>
      <c r="AV81" s="8"/>
      <c r="AW81" s="8"/>
      <c r="AX81" s="8"/>
      <c r="AY81" s="8"/>
      <c r="AZ81" s="8"/>
      <c r="BA81" s="8"/>
      <c r="BB81" s="8"/>
      <c r="BC81" s="8"/>
      <c r="BD81" s="8"/>
      <c r="BE81" s="8"/>
      <c r="BF81" s="8"/>
      <c r="BG81" s="8"/>
      <c r="BH81" s="8"/>
      <c r="BI81" s="8"/>
      <c r="BJ81" s="8"/>
      <c r="BK81" s="8"/>
      <c r="BM81" s="8"/>
    </row>
    <row r="82" spans="13:65" x14ac:dyDescent="0.25">
      <c r="M82" s="5">
        <v>44743</v>
      </c>
      <c r="N82">
        <f>HAVERM!C517</f>
        <v>3.6669999999999998</v>
      </c>
      <c r="O82" s="3">
        <f>HAVERM!B517</f>
        <v>3.6</v>
      </c>
      <c r="Q82" s="5">
        <v>44743</v>
      </c>
      <c r="R82">
        <f>MIN(HAVERM!C516:C518)</f>
        <v>3.56</v>
      </c>
      <c r="S82" s="3">
        <f t="shared" si="42"/>
        <v>0.10699999999999976</v>
      </c>
      <c r="T82" s="3">
        <f>HAVERM!B517</f>
        <v>3.6</v>
      </c>
      <c r="V82">
        <f>MAX(HAVERM!C516:C518)</f>
        <v>3.6669999999999998</v>
      </c>
      <c r="AB82" s="9">
        <v>43647</v>
      </c>
      <c r="AC82" s="8">
        <f>HAVERQ!P166</f>
        <v>1711</v>
      </c>
      <c r="AD82" s="8">
        <f>HAVERQ!O166</f>
        <v>1630</v>
      </c>
      <c r="AE82" s="8">
        <f>HAVERQ!N166</f>
        <v>1057</v>
      </c>
      <c r="AF82" s="8">
        <f>HAVERQ!M166</f>
        <v>252</v>
      </c>
      <c r="AG82" s="8">
        <f>HAVERQ!L166</f>
        <v>154</v>
      </c>
      <c r="AH82" s="8">
        <f>HAVERQ!E166-AC82-AD82-AE82-AF82-AG82</f>
        <v>525</v>
      </c>
      <c r="AJ82" s="9">
        <v>43647</v>
      </c>
      <c r="AK82" s="8">
        <f t="shared" si="43"/>
        <v>32.107337211484335</v>
      </c>
      <c r="AL82" s="8">
        <f t="shared" si="44"/>
        <v>30.587352223681741</v>
      </c>
      <c r="AM82" s="8">
        <f t="shared" si="45"/>
        <v>19.834865828485647</v>
      </c>
      <c r="AN82" s="8">
        <f t="shared" si="46"/>
        <v>4.7288421842747228</v>
      </c>
      <c r="AO82" s="8">
        <f t="shared" si="47"/>
        <v>2.8898480015012198</v>
      </c>
      <c r="AP82" s="8">
        <f t="shared" si="47"/>
        <v>9.8517545505723412</v>
      </c>
      <c r="AR82" s="8"/>
      <c r="AS82" s="8"/>
      <c r="AT82" s="8"/>
      <c r="AU82" s="8"/>
      <c r="AV82" s="8"/>
      <c r="AW82" s="8"/>
      <c r="AX82" s="8"/>
      <c r="AY82" s="8"/>
      <c r="AZ82" s="8"/>
      <c r="BA82" s="8"/>
      <c r="BB82" s="8"/>
      <c r="BC82" s="8"/>
      <c r="BD82" s="8"/>
      <c r="BE82" s="8"/>
      <c r="BF82" s="8"/>
      <c r="BG82" s="8"/>
      <c r="BH82" s="8"/>
      <c r="BI82" s="8"/>
      <c r="BJ82" s="8"/>
      <c r="BK82" s="8"/>
      <c r="BM82" s="8"/>
    </row>
    <row r="83" spans="13:65" x14ac:dyDescent="0.25">
      <c r="M83" s="5">
        <v>44774</v>
      </c>
      <c r="N83">
        <f>HAVERM!C518</f>
        <v>3.5750000000000002</v>
      </c>
      <c r="O83" s="3">
        <f>HAVERM!B518</f>
        <v>3.7</v>
      </c>
      <c r="Q83" s="5">
        <v>44774</v>
      </c>
      <c r="R83">
        <f>MIN(HAVERM!C517:C519)</f>
        <v>3.5750000000000002</v>
      </c>
      <c r="S83" s="3">
        <f t="shared" si="42"/>
        <v>0.34899999999999975</v>
      </c>
      <c r="T83" s="3">
        <f>HAVERM!B518</f>
        <v>3.7</v>
      </c>
      <c r="V83">
        <f>MAX(HAVERM!C517:C519)</f>
        <v>3.9239999999999999</v>
      </c>
      <c r="AB83" s="9">
        <v>43739</v>
      </c>
      <c r="AC83" s="8">
        <f>HAVERQ!P167</f>
        <v>1727</v>
      </c>
      <c r="AD83" s="8">
        <f>HAVERQ!O167</f>
        <v>1624</v>
      </c>
      <c r="AE83" s="8">
        <f>HAVERQ!N167</f>
        <v>1065</v>
      </c>
      <c r="AF83" s="8">
        <f>HAVERQ!M167</f>
        <v>253</v>
      </c>
      <c r="AG83" s="8">
        <f>HAVERQ!L167</f>
        <v>154</v>
      </c>
      <c r="AH83" s="8">
        <f>HAVERQ!E167-AC83-AD83-AE83-AF83-AG83</f>
        <v>521</v>
      </c>
      <c r="AJ83" s="9">
        <v>43739</v>
      </c>
      <c r="AK83" s="8">
        <f t="shared" si="43"/>
        <v>32.316616766467064</v>
      </c>
      <c r="AL83" s="8">
        <f t="shared" si="44"/>
        <v>30.389221556886227</v>
      </c>
      <c r="AM83" s="8">
        <f t="shared" si="45"/>
        <v>19.928892215568865</v>
      </c>
      <c r="AN83" s="8">
        <f t="shared" si="46"/>
        <v>4.7342814371257491</v>
      </c>
      <c r="AO83" s="8">
        <f t="shared" si="47"/>
        <v>2.8817365269461082</v>
      </c>
      <c r="AP83" s="8">
        <f t="shared" si="47"/>
        <v>9.7492514970059876</v>
      </c>
      <c r="AR83" s="8"/>
      <c r="AS83" s="8"/>
      <c r="AT83" s="8"/>
      <c r="AU83" s="8"/>
      <c r="AV83" s="8"/>
      <c r="AW83" s="8"/>
      <c r="AX83" s="8"/>
      <c r="AY83" s="8"/>
      <c r="AZ83" s="8"/>
      <c r="BA83" s="8"/>
      <c r="BB83" s="8"/>
      <c r="BC83" s="8"/>
      <c r="BD83" s="8"/>
      <c r="BE83" s="8"/>
      <c r="BF83" s="8"/>
      <c r="BG83" s="8"/>
      <c r="BH83" s="8"/>
      <c r="BI83" s="8"/>
      <c r="BJ83" s="8"/>
      <c r="BK83" s="8"/>
      <c r="BM83" s="8"/>
    </row>
    <row r="84" spans="13:65" x14ac:dyDescent="0.25">
      <c r="M84" s="5">
        <v>44805</v>
      </c>
      <c r="N84">
        <f>HAVERM!C519</f>
        <v>3.9239999999999999</v>
      </c>
      <c r="O84" s="3">
        <f>HAVERM!B519</f>
        <v>3.8</v>
      </c>
      <c r="Q84" s="5">
        <v>44805</v>
      </c>
      <c r="R84">
        <f>MIN(HAVERM!C518:C520)</f>
        <v>3.5750000000000002</v>
      </c>
      <c r="S84" s="3">
        <f t="shared" si="42"/>
        <v>0.4870000000000001</v>
      </c>
      <c r="T84" s="3">
        <f>HAVERM!B519</f>
        <v>3.8</v>
      </c>
      <c r="V84">
        <f>MAX(HAVERM!C518:C520)</f>
        <v>4.0620000000000003</v>
      </c>
      <c r="AB84" s="9">
        <v>43831</v>
      </c>
      <c r="AC84" s="8">
        <f>HAVERQ!P168</f>
        <v>1744</v>
      </c>
      <c r="AD84" s="8">
        <f>HAVERQ!O168</f>
        <v>1622</v>
      </c>
      <c r="AE84" s="8">
        <f>HAVERQ!N168</f>
        <v>1067</v>
      </c>
      <c r="AF84" s="8">
        <f>HAVERQ!M168</f>
        <v>258</v>
      </c>
      <c r="AG84" s="8">
        <f>HAVERQ!L168</f>
        <v>155</v>
      </c>
      <c r="AH84" s="8">
        <f>HAVERQ!E168-AC84-AD84-AE84-AF84-AG84</f>
        <v>523</v>
      </c>
      <c r="AJ84" s="9">
        <v>43831</v>
      </c>
      <c r="AK84" s="8">
        <f t="shared" si="43"/>
        <v>32.48277146582231</v>
      </c>
      <c r="AL84" s="8">
        <f t="shared" si="44"/>
        <v>30.210467498603094</v>
      </c>
      <c r="AM84" s="8">
        <f t="shared" si="45"/>
        <v>19.87334699199106</v>
      </c>
      <c r="AN84" s="8">
        <f t="shared" si="46"/>
        <v>4.8053641273980254</v>
      </c>
      <c r="AO84" s="8">
        <f t="shared" si="47"/>
        <v>2.8869435649096666</v>
      </c>
      <c r="AP84" s="8">
        <f t="shared" si="47"/>
        <v>9.7411063512758425</v>
      </c>
      <c r="AR84" s="8"/>
      <c r="AS84" s="8"/>
      <c r="AT84" s="8"/>
      <c r="AU84" s="8"/>
      <c r="AV84" s="8"/>
      <c r="AW84" s="8"/>
      <c r="AX84" s="8"/>
      <c r="AY84" s="8"/>
      <c r="AZ84" s="8"/>
      <c r="BA84" s="8"/>
      <c r="BB84" s="8"/>
      <c r="BC84" s="8"/>
      <c r="BD84" s="8"/>
      <c r="BE84" s="8"/>
      <c r="BF84" s="8"/>
      <c r="BG84" s="8"/>
      <c r="BH84" s="8"/>
      <c r="BI84" s="8"/>
      <c r="BJ84" s="8"/>
      <c r="BK84" s="8"/>
      <c r="BM84" s="8"/>
    </row>
    <row r="85" spans="13:65" x14ac:dyDescent="0.25">
      <c r="M85" s="5">
        <v>44835</v>
      </c>
      <c r="N85">
        <f>HAVERM!C520</f>
        <v>4.0620000000000003</v>
      </c>
      <c r="O85" s="3">
        <f>HAVERM!B520</f>
        <v>3.9</v>
      </c>
      <c r="Q85" s="5">
        <v>44835</v>
      </c>
      <c r="R85">
        <f>MIN(HAVERM!C519:C521)</f>
        <v>3.706</v>
      </c>
      <c r="S85" s="3">
        <f t="shared" si="42"/>
        <v>0.35600000000000032</v>
      </c>
      <c r="T85" s="3">
        <f>HAVERM!B520</f>
        <v>3.9</v>
      </c>
      <c r="V85">
        <f>MAX(HAVERM!C519:C521)</f>
        <v>4.0620000000000003</v>
      </c>
      <c r="AB85" s="9">
        <v>43922</v>
      </c>
      <c r="AC85" s="8">
        <f>HAVERQ!P169</f>
        <v>1783</v>
      </c>
      <c r="AD85" s="8">
        <f>HAVERQ!O169</f>
        <v>1618</v>
      </c>
      <c r="AE85" s="8">
        <f>HAVERQ!N169</f>
        <v>1071</v>
      </c>
      <c r="AF85" s="8">
        <f>HAVERQ!M169</f>
        <v>261</v>
      </c>
      <c r="AG85" s="8">
        <f>HAVERQ!L169</f>
        <v>157</v>
      </c>
      <c r="AH85" s="8">
        <f>HAVERQ!E169-AC85-AD85-AE85-AF85-AG85</f>
        <v>523</v>
      </c>
      <c r="AJ85" s="9">
        <v>43922</v>
      </c>
      <c r="AK85" s="8">
        <f t="shared" si="43"/>
        <v>32.939220395344542</v>
      </c>
      <c r="AL85" s="8">
        <f t="shared" si="44"/>
        <v>29.891003140587475</v>
      </c>
      <c r="AM85" s="8">
        <f t="shared" si="45"/>
        <v>19.785701089968594</v>
      </c>
      <c r="AN85" s="8">
        <f t="shared" si="46"/>
        <v>4.8217254757066321</v>
      </c>
      <c r="AO85" s="8">
        <f t="shared" si="47"/>
        <v>2.9004249030112694</v>
      </c>
      <c r="AP85" s="8">
        <f t="shared" si="47"/>
        <v>9.6619249953814901</v>
      </c>
      <c r="AR85" s="8"/>
      <c r="AS85" s="8"/>
      <c r="AT85" s="8"/>
      <c r="AU85" s="8"/>
      <c r="AV85" s="8"/>
      <c r="AW85" s="8"/>
      <c r="AX85" s="8"/>
      <c r="AY85" s="8"/>
      <c r="AZ85" s="8"/>
      <c r="BA85" s="8"/>
      <c r="BB85" s="8"/>
      <c r="BC85" s="8"/>
      <c r="BD85" s="8"/>
      <c r="BE85" s="8"/>
      <c r="BF85" s="8"/>
      <c r="BG85" s="8"/>
      <c r="BH85" s="8"/>
      <c r="BI85" s="8"/>
      <c r="BJ85" s="8"/>
      <c r="BK85" s="8"/>
      <c r="BM85" s="8"/>
    </row>
    <row r="86" spans="13:65" x14ac:dyDescent="0.25">
      <c r="M86" s="5">
        <v>44866</v>
      </c>
      <c r="N86">
        <f>HAVERM!C521</f>
        <v>3.706</v>
      </c>
      <c r="O86" s="3">
        <f>HAVERM!B521</f>
        <v>3.9</v>
      </c>
      <c r="Q86" s="5">
        <v>44866</v>
      </c>
      <c r="R86">
        <f>MIN(HAVERM!C520:C522)</f>
        <v>3.706</v>
      </c>
      <c r="S86" s="3">
        <f t="shared" si="42"/>
        <v>0.35600000000000032</v>
      </c>
      <c r="T86" s="3">
        <f>HAVERM!B521</f>
        <v>3.9</v>
      </c>
      <c r="V86">
        <f>MAX(HAVERM!C520:C522)</f>
        <v>4.0620000000000003</v>
      </c>
      <c r="AB86" s="9">
        <v>44013</v>
      </c>
      <c r="AC86" s="8">
        <f>HAVERQ!P170</f>
        <v>1778</v>
      </c>
      <c r="AD86" s="8">
        <f>HAVERQ!O170</f>
        <v>1623</v>
      </c>
      <c r="AE86" s="8">
        <f>HAVERQ!N170</f>
        <v>1081</v>
      </c>
      <c r="AF86" s="8">
        <f>HAVERQ!M170</f>
        <v>263</v>
      </c>
      <c r="AG86" s="8">
        <f>HAVERQ!L170</f>
        <v>157</v>
      </c>
      <c r="AH86" s="8">
        <f>HAVERQ!E170-AC86-AD86-AE86-AF86-AG86</f>
        <v>518</v>
      </c>
      <c r="AJ86" s="9">
        <v>44013</v>
      </c>
      <c r="AK86" s="8">
        <f t="shared" si="43"/>
        <v>32.804428044280442</v>
      </c>
      <c r="AL86" s="8">
        <f t="shared" si="44"/>
        <v>29.944649446494466</v>
      </c>
      <c r="AM86" s="8">
        <f t="shared" si="45"/>
        <v>19.944649446494463</v>
      </c>
      <c r="AN86" s="8">
        <f t="shared" si="46"/>
        <v>4.8523985239852401</v>
      </c>
      <c r="AO86" s="8">
        <f t="shared" si="47"/>
        <v>2.896678966789668</v>
      </c>
      <c r="AP86" s="8">
        <f t="shared" si="47"/>
        <v>9.5571955719557184</v>
      </c>
      <c r="AR86" s="8"/>
      <c r="AS86" s="8"/>
      <c r="AT86" s="8"/>
      <c r="AU86" s="8"/>
      <c r="AV86" s="8"/>
      <c r="AW86" s="8"/>
      <c r="AX86" s="8"/>
      <c r="AY86" s="8"/>
      <c r="AZ86" s="8"/>
      <c r="BA86" s="8"/>
      <c r="BB86" s="8"/>
      <c r="BC86" s="8"/>
      <c r="BD86" s="8"/>
      <c r="BE86" s="8"/>
      <c r="BF86" s="8"/>
      <c r="BG86" s="8"/>
      <c r="BH86" s="8"/>
      <c r="BI86" s="8"/>
      <c r="BJ86" s="8"/>
      <c r="BK86" s="8"/>
      <c r="BM86" s="8"/>
    </row>
    <row r="87" spans="13:65" x14ac:dyDescent="0.25">
      <c r="M87" s="5">
        <v>44896</v>
      </c>
      <c r="N87">
        <f>HAVERM!C522</f>
        <v>3.9689999999999999</v>
      </c>
      <c r="O87" s="3">
        <f>HAVERM!B522</f>
        <v>3.9</v>
      </c>
      <c r="Q87" s="5">
        <v>44896</v>
      </c>
      <c r="R87">
        <f>MIN(HAVERM!C521:C523)</f>
        <v>3.706</v>
      </c>
      <c r="S87" s="3">
        <f t="shared" si="42"/>
        <v>0.2629999999999999</v>
      </c>
      <c r="T87" s="3">
        <f>HAVERM!B522</f>
        <v>3.9</v>
      </c>
      <c r="V87">
        <f>MAX(HAVERM!C521:C523)</f>
        <v>3.9689999999999999</v>
      </c>
      <c r="AB87" s="9">
        <v>44105</v>
      </c>
      <c r="AC87" s="8">
        <f>HAVERQ!P171</f>
        <v>1792</v>
      </c>
      <c r="AD87" s="8">
        <f>HAVERQ!O171</f>
        <v>1623</v>
      </c>
      <c r="AE87" s="8">
        <f>HAVERQ!N171</f>
        <v>1096</v>
      </c>
      <c r="AF87" s="8">
        <f>HAVERQ!M171</f>
        <v>264</v>
      </c>
      <c r="AG87" s="8">
        <f>HAVERQ!L171</f>
        <v>159</v>
      </c>
      <c r="AH87" s="8">
        <f>HAVERQ!E171-AC87-AD87-AE87-AF87-AG87</f>
        <v>516</v>
      </c>
      <c r="AJ87" s="9">
        <v>44105</v>
      </c>
      <c r="AK87" s="8">
        <f t="shared" si="43"/>
        <v>32.88073394495413</v>
      </c>
      <c r="AL87" s="8">
        <f t="shared" si="44"/>
        <v>29.779816513761471</v>
      </c>
      <c r="AM87" s="8">
        <f t="shared" si="45"/>
        <v>20.110091743119266</v>
      </c>
      <c r="AN87" s="8">
        <f t="shared" si="46"/>
        <v>4.8440366972477067</v>
      </c>
      <c r="AO87" s="8">
        <f t="shared" si="47"/>
        <v>2.9174311926605507</v>
      </c>
      <c r="AP87" s="8">
        <f t="shared" si="47"/>
        <v>9.4678899082568808</v>
      </c>
      <c r="AR87" s="8"/>
      <c r="AS87" s="8"/>
      <c r="AT87" s="8"/>
      <c r="AU87" s="8"/>
      <c r="AV87" s="8"/>
      <c r="AW87" s="8"/>
      <c r="AX87" s="8"/>
      <c r="AY87" s="8"/>
      <c r="AZ87" s="8"/>
      <c r="BA87" s="8"/>
      <c r="BB87" s="8"/>
      <c r="BC87" s="8"/>
      <c r="BD87" s="8"/>
      <c r="BE87" s="8"/>
      <c r="BF87" s="8"/>
      <c r="BG87" s="8"/>
      <c r="BH87" s="8"/>
      <c r="BI87" s="8"/>
      <c r="BJ87" s="8"/>
      <c r="BK87" s="8"/>
      <c r="BM87" s="8"/>
    </row>
    <row r="88" spans="13:65" x14ac:dyDescent="0.25">
      <c r="M88" s="5">
        <v>44927</v>
      </c>
      <c r="N88">
        <f>HAVERM!C523</f>
        <v>3.9620000000000002</v>
      </c>
      <c r="O88" s="3">
        <f>HAVERM!B523</f>
        <v>4</v>
      </c>
      <c r="Q88" s="5">
        <v>44927</v>
      </c>
      <c r="R88">
        <f>MIN(HAVERM!C522:C524)</f>
        <v>3.9620000000000002</v>
      </c>
      <c r="S88" s="3">
        <f t="shared" si="42"/>
        <v>3.6000000000000032E-2</v>
      </c>
      <c r="T88" s="3">
        <f>HAVERM!B523</f>
        <v>4</v>
      </c>
      <c r="V88">
        <f>MAX(HAVERM!C522:C524)</f>
        <v>3.9980000000000002</v>
      </c>
      <c r="AB88" s="9">
        <v>44197</v>
      </c>
      <c r="AC88" s="8">
        <f>HAVERQ!P172</f>
        <v>1835</v>
      </c>
      <c r="AD88" s="8">
        <f>HAVERQ!O172</f>
        <v>1621</v>
      </c>
      <c r="AE88" s="8">
        <f>HAVERQ!N172</f>
        <v>1126</v>
      </c>
      <c r="AF88" s="8">
        <f>HAVERQ!M172</f>
        <v>268</v>
      </c>
      <c r="AG88" s="8">
        <f>HAVERQ!L172</f>
        <v>160</v>
      </c>
      <c r="AH88" s="8">
        <f>HAVERQ!E172-AC88-AD88-AE88-AF88-AG88</f>
        <v>520</v>
      </c>
      <c r="AJ88" s="9">
        <v>44197</v>
      </c>
      <c r="AK88" s="8">
        <f t="shared" si="43"/>
        <v>33.182640144665463</v>
      </c>
      <c r="AL88" s="8">
        <f t="shared" si="44"/>
        <v>29.312839059674502</v>
      </c>
      <c r="AM88" s="8">
        <f t="shared" si="45"/>
        <v>20.361663652802893</v>
      </c>
      <c r="AN88" s="8">
        <f t="shared" si="46"/>
        <v>4.8462929475587702</v>
      </c>
      <c r="AO88" s="8">
        <f t="shared" si="47"/>
        <v>2.8933092224231465</v>
      </c>
      <c r="AP88" s="8">
        <f t="shared" si="47"/>
        <v>9.4032549728752262</v>
      </c>
      <c r="AR88" s="8"/>
      <c r="AS88" s="8"/>
      <c r="AT88" s="8"/>
      <c r="AU88" s="8"/>
      <c r="AV88" s="8"/>
      <c r="AW88" s="8"/>
      <c r="AX88" s="8"/>
      <c r="AY88" s="8"/>
      <c r="AZ88" s="8"/>
      <c r="BA88" s="8"/>
      <c r="BB88" s="8"/>
      <c r="BC88" s="8"/>
      <c r="BD88" s="8"/>
      <c r="BE88" s="8"/>
      <c r="BF88" s="8"/>
      <c r="BG88" s="8"/>
      <c r="BH88" s="8"/>
      <c r="BI88" s="8"/>
      <c r="BJ88" s="8"/>
      <c r="BK88" s="8"/>
      <c r="BM88" s="8"/>
    </row>
    <row r="89" spans="13:65" x14ac:dyDescent="0.25">
      <c r="M89" s="5">
        <v>44958</v>
      </c>
      <c r="N89">
        <f>HAVERM!C524</f>
        <v>3.9980000000000002</v>
      </c>
      <c r="O89" s="3">
        <f>HAVERM!B524</f>
        <v>4</v>
      </c>
      <c r="Q89" s="5">
        <v>44958</v>
      </c>
      <c r="R89">
        <f>MIN(HAVERM!C523:C525)</f>
        <v>3.9620000000000002</v>
      </c>
      <c r="S89" s="3">
        <f t="shared" si="42"/>
        <v>3.6000000000000032E-2</v>
      </c>
      <c r="T89" s="3">
        <f>HAVERM!B524</f>
        <v>4</v>
      </c>
      <c r="V89">
        <f>MAX(HAVERM!C523:C525)</f>
        <v>3.9980000000000002</v>
      </c>
      <c r="AB89" s="9">
        <v>44287</v>
      </c>
      <c r="AC89" s="8">
        <f>HAVERQ!P173</f>
        <v>1847</v>
      </c>
      <c r="AD89" s="8">
        <f>HAVERQ!O173</f>
        <v>1625</v>
      </c>
      <c r="AE89" s="8">
        <f>HAVERQ!N173</f>
        <v>1119</v>
      </c>
      <c r="AF89" s="8">
        <f>HAVERQ!M173</f>
        <v>269</v>
      </c>
      <c r="AG89" s="8">
        <f>HAVERQ!L173</f>
        <v>160</v>
      </c>
      <c r="AH89" s="8">
        <f>HAVERQ!E173-AC89-AD89-AE89-AF89-AG89</f>
        <v>521</v>
      </c>
      <c r="AJ89" s="9">
        <v>44287</v>
      </c>
      <c r="AK89" s="8">
        <f t="shared" si="43"/>
        <v>33.333333333333329</v>
      </c>
      <c r="AL89" s="8">
        <f t="shared" si="44"/>
        <v>29.326836311135175</v>
      </c>
      <c r="AM89" s="8">
        <f t="shared" si="45"/>
        <v>20.194910665944775</v>
      </c>
      <c r="AN89" s="8">
        <f t="shared" si="46"/>
        <v>4.8547193647356073</v>
      </c>
      <c r="AO89" s="8">
        <f t="shared" si="47"/>
        <v>2.8875654214040787</v>
      </c>
      <c r="AP89" s="8">
        <f t="shared" si="47"/>
        <v>9.4026349034470318</v>
      </c>
      <c r="AR89" s="8"/>
      <c r="AS89" s="8"/>
      <c r="AT89" s="8"/>
      <c r="AU89" s="8"/>
      <c r="AV89" s="8"/>
      <c r="AW89" s="8"/>
      <c r="AX89" s="8"/>
      <c r="AY89" s="8"/>
      <c r="AZ89" s="8"/>
      <c r="BA89" s="8"/>
      <c r="BB89" s="8"/>
      <c r="BC89" s="8"/>
      <c r="BD89" s="8"/>
      <c r="BE89" s="8"/>
      <c r="BF89" s="8"/>
      <c r="BG89" s="8"/>
      <c r="BH89" s="8"/>
      <c r="BI89" s="8"/>
      <c r="BJ89" s="8"/>
      <c r="BK89" s="8"/>
      <c r="BM89" s="8"/>
    </row>
    <row r="90" spans="13:65" x14ac:dyDescent="0.25">
      <c r="M90" s="5">
        <v>44986</v>
      </c>
      <c r="N90">
        <f>HAVERM!C525</f>
        <v>3.9790000000000001</v>
      </c>
      <c r="O90" s="3">
        <f>HAVERM!B525</f>
        <v>3.9</v>
      </c>
      <c r="Q90" s="5">
        <v>44986</v>
      </c>
      <c r="R90">
        <f>MIN(HAVERM!C524:C526)</f>
        <v>3.6869999999999998</v>
      </c>
      <c r="S90" s="3">
        <f t="shared" si="42"/>
        <v>0.31100000000000039</v>
      </c>
      <c r="T90" s="3">
        <f>HAVERM!B525</f>
        <v>3.9</v>
      </c>
      <c r="V90">
        <f>MAX(HAVERM!C524:C526)</f>
        <v>3.9980000000000002</v>
      </c>
      <c r="AB90" s="9">
        <v>44378</v>
      </c>
      <c r="AC90" s="8">
        <f>HAVERQ!P174</f>
        <v>1850</v>
      </c>
      <c r="AD90" s="8">
        <f>HAVERQ!O174</f>
        <v>1628</v>
      </c>
      <c r="AE90" s="8">
        <f>HAVERQ!N174</f>
        <v>1127</v>
      </c>
      <c r="AF90" s="8">
        <f>HAVERQ!M174</f>
        <v>271</v>
      </c>
      <c r="AG90" s="8">
        <f>HAVERQ!L174</f>
        <v>160</v>
      </c>
      <c r="AH90" s="8">
        <f>HAVERQ!E174-AC90-AD90-AE90-AF90-AG90</f>
        <v>522</v>
      </c>
      <c r="AJ90" s="9">
        <v>44378</v>
      </c>
      <c r="AK90" s="8">
        <f t="shared" si="43"/>
        <v>33.285354444044621</v>
      </c>
      <c r="AL90" s="8">
        <f t="shared" si="44"/>
        <v>29.291111910759266</v>
      </c>
      <c r="AM90" s="8">
        <f t="shared" si="45"/>
        <v>20.277078085642316</v>
      </c>
      <c r="AN90" s="8">
        <f t="shared" si="46"/>
        <v>4.8758546239654557</v>
      </c>
      <c r="AO90" s="8">
        <f t="shared" si="47"/>
        <v>2.878733357322778</v>
      </c>
      <c r="AP90" s="8">
        <f t="shared" si="47"/>
        <v>9.391867578265563</v>
      </c>
      <c r="AR90" s="8"/>
      <c r="AS90" s="8"/>
      <c r="AT90" s="8"/>
      <c r="AU90" s="8"/>
      <c r="AV90" s="8"/>
      <c r="AW90" s="8"/>
      <c r="AX90" s="8"/>
      <c r="AY90" s="8"/>
      <c r="AZ90" s="8"/>
      <c r="BA90" s="8"/>
      <c r="BB90" s="8"/>
      <c r="BC90" s="8"/>
      <c r="BD90" s="8"/>
      <c r="BE90" s="8"/>
      <c r="BF90" s="8"/>
      <c r="BG90" s="8"/>
      <c r="BH90" s="8"/>
      <c r="BI90" s="8"/>
      <c r="BJ90" s="8"/>
      <c r="BK90" s="8"/>
      <c r="BM90" s="8"/>
    </row>
    <row r="91" spans="13:65" x14ac:dyDescent="0.25">
      <c r="M91" s="5">
        <v>45017</v>
      </c>
      <c r="N91">
        <f>HAVERM!C526</f>
        <v>3.6869999999999998</v>
      </c>
      <c r="O91" s="3">
        <f>HAVERM!B526</f>
        <v>4</v>
      </c>
      <c r="Q91" s="5">
        <v>45017</v>
      </c>
      <c r="R91">
        <f>MIN(HAVERM!C525:C527)</f>
        <v>3.6869999999999998</v>
      </c>
      <c r="S91" s="3">
        <f t="shared" si="42"/>
        <v>0.63300000000000045</v>
      </c>
      <c r="T91" s="3">
        <f>HAVERM!B526</f>
        <v>4</v>
      </c>
      <c r="V91">
        <f>MAX(HAVERM!C525:C527)</f>
        <v>4.32</v>
      </c>
      <c r="AB91" s="9">
        <v>44470</v>
      </c>
      <c r="AC91" s="8">
        <f>HAVERQ!P175</f>
        <v>1862</v>
      </c>
      <c r="AD91" s="8">
        <f>HAVERQ!O175</f>
        <v>1630</v>
      </c>
      <c r="AE91" s="8">
        <f>HAVERQ!N175</f>
        <v>1132</v>
      </c>
      <c r="AF91" s="8">
        <f>HAVERQ!M175</f>
        <v>270</v>
      </c>
      <c r="AG91" s="8">
        <f>HAVERQ!L175</f>
        <v>159</v>
      </c>
      <c r="AH91" s="8">
        <f>HAVERQ!E175-AC91-AD91-AE91-AF91-AG91</f>
        <v>524</v>
      </c>
      <c r="AJ91" s="9">
        <v>44470</v>
      </c>
      <c r="AK91" s="8">
        <f t="shared" si="43"/>
        <v>33.387125694818003</v>
      </c>
      <c r="AL91" s="8">
        <f t="shared" si="44"/>
        <v>29.227183073336921</v>
      </c>
      <c r="AM91" s="8">
        <f t="shared" si="45"/>
        <v>20.297651066881837</v>
      </c>
      <c r="AN91" s="8">
        <f t="shared" si="46"/>
        <v>4.8413125336202265</v>
      </c>
      <c r="AO91" s="8">
        <f t="shared" si="47"/>
        <v>2.850995158687466</v>
      </c>
      <c r="AP91" s="8">
        <f t="shared" si="47"/>
        <v>9.3957324726555491</v>
      </c>
      <c r="AR91" s="8"/>
      <c r="AS91" s="8"/>
      <c r="AT91" s="8"/>
      <c r="AU91" s="8"/>
      <c r="AV91" s="8"/>
      <c r="AW91" s="8"/>
      <c r="AX91" s="8"/>
      <c r="AY91" s="8"/>
      <c r="AZ91" s="8"/>
      <c r="BA91" s="8"/>
      <c r="BB91" s="8"/>
      <c r="BC91" s="8"/>
      <c r="BD91" s="8"/>
      <c r="BE91" s="8"/>
      <c r="BF91" s="8"/>
      <c r="BG91" s="8"/>
      <c r="BH91" s="8"/>
      <c r="BI91" s="8"/>
      <c r="BJ91" s="8"/>
      <c r="BK91" s="8"/>
      <c r="BM91" s="8"/>
    </row>
    <row r="92" spans="13:65" x14ac:dyDescent="0.25">
      <c r="M92" s="5">
        <v>45047</v>
      </c>
      <c r="N92">
        <f>HAVERM!C527</f>
        <v>4.32</v>
      </c>
      <c r="O92" s="3">
        <f>HAVERM!B527</f>
        <v>4.2</v>
      </c>
      <c r="Q92" s="5">
        <v>45047</v>
      </c>
      <c r="R92">
        <f>MIN(HAVERM!C526:C528)</f>
        <v>3.6869999999999998</v>
      </c>
      <c r="S92" s="3">
        <f t="shared" si="42"/>
        <v>0.95400000000000018</v>
      </c>
      <c r="T92" s="3">
        <f>HAVERM!B527</f>
        <v>4.2</v>
      </c>
      <c r="V92">
        <f>MAX(HAVERM!C526:C528)</f>
        <v>4.641</v>
      </c>
      <c r="AB92" s="9">
        <v>44562</v>
      </c>
      <c r="AC92" s="8">
        <f>HAVERQ!P176</f>
        <v>1874</v>
      </c>
      <c r="AD92" s="8">
        <f>HAVERQ!O176</f>
        <v>1632</v>
      </c>
      <c r="AE92" s="8">
        <f>HAVERQ!N176</f>
        <v>1143</v>
      </c>
      <c r="AF92" s="8">
        <f>HAVERQ!M176</f>
        <v>272</v>
      </c>
      <c r="AG92" s="8">
        <f>HAVERQ!L176</f>
        <v>159</v>
      </c>
      <c r="AH92" s="8">
        <f>HAVERQ!E176-AC92-AD92-AE92-AF92-AG92</f>
        <v>516</v>
      </c>
      <c r="AJ92" s="9">
        <v>44562</v>
      </c>
      <c r="AK92" s="8">
        <f t="shared" si="43"/>
        <v>33.488205861329526</v>
      </c>
      <c r="AL92" s="8">
        <f t="shared" si="44"/>
        <v>29.163688348820589</v>
      </c>
      <c r="AM92" s="8">
        <f t="shared" si="45"/>
        <v>20.425303788420301</v>
      </c>
      <c r="AN92" s="8">
        <f t="shared" si="46"/>
        <v>4.8606147248034315</v>
      </c>
      <c r="AO92" s="8">
        <f t="shared" si="47"/>
        <v>2.8413152251608289</v>
      </c>
      <c r="AP92" s="8">
        <f t="shared" si="47"/>
        <v>9.2208720514653333</v>
      </c>
      <c r="AR92" s="8"/>
      <c r="AS92" s="8"/>
      <c r="AT92" s="8"/>
      <c r="AU92" s="8"/>
      <c r="AV92" s="8"/>
      <c r="AW92" s="8"/>
      <c r="AX92" s="8"/>
      <c r="AY92" s="8"/>
      <c r="AZ92" s="8"/>
      <c r="BA92" s="8"/>
      <c r="BB92" s="8"/>
      <c r="BC92" s="8"/>
      <c r="BD92" s="8"/>
      <c r="BE92" s="8"/>
      <c r="BF92" s="8"/>
      <c r="BG92" s="8"/>
      <c r="BH92" s="8"/>
      <c r="BI92" s="8"/>
      <c r="BJ92" s="8"/>
      <c r="BK92" s="8"/>
      <c r="BM92" s="8"/>
    </row>
    <row r="93" spans="13:65" x14ac:dyDescent="0.25">
      <c r="M93" s="5">
        <v>45078</v>
      </c>
      <c r="N93">
        <f>HAVERM!C528</f>
        <v>4.641</v>
      </c>
      <c r="O93" s="3">
        <f>HAVERM!B528</f>
        <v>4.3</v>
      </c>
      <c r="Q93" s="5">
        <v>45078</v>
      </c>
      <c r="R93">
        <f>MIN(HAVERM!C527:C529)</f>
        <v>4.0590000000000002</v>
      </c>
      <c r="S93" s="3">
        <f t="shared" si="42"/>
        <v>0.58199999999999985</v>
      </c>
      <c r="T93" s="3">
        <f>HAVERM!B528</f>
        <v>4.3</v>
      </c>
      <c r="V93">
        <f>MAX(HAVERM!C527:C529)</f>
        <v>4.641</v>
      </c>
      <c r="AB93" s="9">
        <v>44652</v>
      </c>
      <c r="AC93" s="8">
        <f>HAVERQ!P177</f>
        <v>1884</v>
      </c>
      <c r="AD93" s="8">
        <f>HAVERQ!O177</f>
        <v>1632</v>
      </c>
      <c r="AE93" s="8">
        <f>HAVERQ!N177</f>
        <v>1143</v>
      </c>
      <c r="AF93" s="8">
        <f>HAVERQ!M177</f>
        <v>272</v>
      </c>
      <c r="AG93" s="8">
        <f>HAVERQ!L177</f>
        <v>157</v>
      </c>
      <c r="AH93" s="8">
        <f>HAVERQ!E177-AC93-AD93-AE93-AF93-AG93</f>
        <v>521</v>
      </c>
      <c r="AJ93" s="9">
        <v>44652</v>
      </c>
      <c r="AK93" s="8">
        <f t="shared" si="43"/>
        <v>33.588875022285613</v>
      </c>
      <c r="AL93" s="8">
        <f t="shared" si="44"/>
        <v>29.096095560706008</v>
      </c>
      <c r="AM93" s="8">
        <f t="shared" si="45"/>
        <v>20.377963986450347</v>
      </c>
      <c r="AN93" s="8">
        <f t="shared" si="46"/>
        <v>4.849349260117668</v>
      </c>
      <c r="AO93" s="8">
        <f t="shared" si="47"/>
        <v>2.7990729185238012</v>
      </c>
      <c r="AP93" s="8">
        <f t="shared" si="47"/>
        <v>9.2886432519165627</v>
      </c>
      <c r="AR93" s="8"/>
      <c r="AS93" s="8"/>
      <c r="AT93" s="8"/>
      <c r="AU93" s="8"/>
      <c r="AV93" s="8"/>
      <c r="AW93" s="8"/>
      <c r="AX93" s="8"/>
      <c r="AY93" s="8"/>
      <c r="AZ93" s="8"/>
      <c r="BA93" s="8"/>
      <c r="BB93" s="8"/>
      <c r="BC93" s="8"/>
      <c r="BD93" s="8"/>
      <c r="BE93" s="8"/>
      <c r="BF93" s="8"/>
      <c r="BG93" s="8"/>
      <c r="BH93" s="8"/>
      <c r="BI93" s="8"/>
      <c r="BJ93" s="8"/>
      <c r="BK93" s="8"/>
      <c r="BM93" s="8"/>
    </row>
    <row r="94" spans="13:65" x14ac:dyDescent="0.25">
      <c r="M94" s="5">
        <v>45108</v>
      </c>
      <c r="N94">
        <f>HAVERM!C529</f>
        <v>4.0590000000000002</v>
      </c>
      <c r="O94" s="3">
        <f>HAVERM!B529</f>
        <v>4.3</v>
      </c>
      <c r="Q94" s="5">
        <v>45108</v>
      </c>
      <c r="R94">
        <f>MIN(HAVERM!C528:C530)</f>
        <v>4.0590000000000002</v>
      </c>
      <c r="S94" s="3">
        <f t="shared" si="42"/>
        <v>0.58199999999999985</v>
      </c>
      <c r="T94" s="3">
        <f>HAVERM!B529</f>
        <v>4.3</v>
      </c>
      <c r="V94">
        <f>MAX(HAVERM!C528:C530)</f>
        <v>4.641</v>
      </c>
      <c r="AB94" s="9">
        <v>44743</v>
      </c>
      <c r="AC94" s="8">
        <f>HAVERQ!P178</f>
        <v>1899</v>
      </c>
      <c r="AD94" s="8">
        <f>HAVERQ!O178</f>
        <v>1624</v>
      </c>
      <c r="AE94" s="8">
        <f>HAVERQ!N178</f>
        <v>1148</v>
      </c>
      <c r="AF94" s="8">
        <f>HAVERQ!M178</f>
        <v>274</v>
      </c>
      <c r="AG94" s="8">
        <f>HAVERQ!L178</f>
        <v>156</v>
      </c>
      <c r="AH94" s="8">
        <f>HAVERQ!E178-AC94-AD94-AE94-AF94-AG94</f>
        <v>524</v>
      </c>
      <c r="AJ94" s="9">
        <v>44743</v>
      </c>
      <c r="AK94" s="8">
        <f t="shared" si="43"/>
        <v>33.76</v>
      </c>
      <c r="AL94" s="8">
        <f t="shared" si="44"/>
        <v>28.871111111111109</v>
      </c>
      <c r="AM94" s="8">
        <f t="shared" si="45"/>
        <v>20.408888888888889</v>
      </c>
      <c r="AN94" s="8">
        <f t="shared" si="46"/>
        <v>4.8711111111111105</v>
      </c>
      <c r="AO94" s="8">
        <f t="shared" si="47"/>
        <v>2.7733333333333334</v>
      </c>
      <c r="AP94" s="8">
        <f t="shared" si="47"/>
        <v>9.3155555555555569</v>
      </c>
      <c r="AR94" s="8"/>
      <c r="AS94" s="8"/>
      <c r="AT94" s="8"/>
      <c r="AU94" s="8"/>
      <c r="AV94" s="8"/>
      <c r="AW94" s="8"/>
      <c r="AX94" s="8"/>
      <c r="AY94" s="8"/>
      <c r="AZ94" s="8"/>
      <c r="BA94" s="8"/>
      <c r="BB94" s="8"/>
      <c r="BC94" s="8"/>
      <c r="BD94" s="8"/>
      <c r="BE94" s="8"/>
      <c r="BF94" s="8"/>
      <c r="BG94" s="8"/>
      <c r="BH94" s="8"/>
      <c r="BI94" s="8"/>
      <c r="BJ94" s="8"/>
      <c r="BK94" s="8"/>
      <c r="BM94" s="8"/>
    </row>
    <row r="95" spans="13:65" x14ac:dyDescent="0.25">
      <c r="M95" s="5">
        <v>45139</v>
      </c>
      <c r="N95">
        <f>HAVERM!C530</f>
        <v>4.0999999999999996</v>
      </c>
      <c r="O95" s="3">
        <f>HAVERM!B530</f>
        <v>4.0999999999999996</v>
      </c>
      <c r="Q95" s="5">
        <v>45139</v>
      </c>
      <c r="R95">
        <f>MIN(HAVERM!C529:C531)</f>
        <v>4.0590000000000002</v>
      </c>
      <c r="S95" s="3">
        <f t="shared" si="42"/>
        <v>0.14299999999999979</v>
      </c>
      <c r="T95" s="3">
        <f>HAVERM!B530</f>
        <v>4.0999999999999996</v>
      </c>
      <c r="V95">
        <f>MAX(HAVERM!C529:C531)</f>
        <v>4.202</v>
      </c>
      <c r="AB95" s="9">
        <v>44835</v>
      </c>
      <c r="AC95" s="8">
        <f>HAVERQ!P179</f>
        <v>1916</v>
      </c>
      <c r="AD95" s="8">
        <f>HAVERQ!O179</f>
        <v>1628</v>
      </c>
      <c r="AE95" s="8">
        <f>HAVERQ!N179</f>
        <v>1153</v>
      </c>
      <c r="AF95" s="8">
        <f>HAVERQ!M179</f>
        <v>276</v>
      </c>
      <c r="AG95" s="8">
        <f>HAVERQ!L179</f>
        <v>154</v>
      </c>
      <c r="AH95" s="8">
        <f>HAVERQ!E179-AC95-AD95-AE95-AF95-AG95</f>
        <v>526</v>
      </c>
      <c r="AJ95" s="9">
        <v>44835</v>
      </c>
      <c r="AK95" s="8">
        <f t="shared" si="43"/>
        <v>33.89350787192641</v>
      </c>
      <c r="AL95" s="8">
        <f t="shared" si="44"/>
        <v>28.798867857774635</v>
      </c>
      <c r="AM95" s="8">
        <f t="shared" si="45"/>
        <v>20.396249778878474</v>
      </c>
      <c r="AN95" s="8">
        <f t="shared" si="46"/>
        <v>4.8823633468954544</v>
      </c>
      <c r="AO95" s="8">
        <f t="shared" si="47"/>
        <v>2.7242172297894922</v>
      </c>
      <c r="AP95" s="8">
        <f t="shared" si="47"/>
        <v>9.304793914735539</v>
      </c>
      <c r="AR95" s="8"/>
      <c r="AS95" s="8"/>
      <c r="AT95" s="8"/>
      <c r="AU95" s="8"/>
      <c r="AV95" s="8"/>
      <c r="AW95" s="8"/>
      <c r="AX95" s="8"/>
      <c r="AY95" s="8"/>
      <c r="AZ95" s="8"/>
      <c r="BA95" s="8"/>
      <c r="BB95" s="8"/>
      <c r="BC95" s="8"/>
      <c r="BD95" s="8"/>
      <c r="BE95" s="8"/>
      <c r="BF95" s="8"/>
      <c r="BG95" s="8"/>
      <c r="BH95" s="8"/>
      <c r="BI95" s="8"/>
      <c r="BJ95" s="8"/>
      <c r="BK95" s="8"/>
      <c r="BM95" s="8"/>
    </row>
    <row r="96" spans="13:65" x14ac:dyDescent="0.25">
      <c r="M96" s="5">
        <v>45170</v>
      </c>
      <c r="N96">
        <f>HAVERM!C531</f>
        <v>4.202</v>
      </c>
      <c r="O96" s="3">
        <f>HAVERM!B531</f>
        <v>4</v>
      </c>
      <c r="Q96" s="5">
        <v>45170</v>
      </c>
      <c r="R96">
        <f>MIN(HAVERM!C530:C532)</f>
        <v>3.7650000000000001</v>
      </c>
      <c r="S96" s="3">
        <f t="shared" si="42"/>
        <v>0.43699999999999983</v>
      </c>
      <c r="T96" s="3">
        <f>HAVERM!B531</f>
        <v>4</v>
      </c>
      <c r="V96">
        <f>MAX(HAVERM!C530:C532)</f>
        <v>4.202</v>
      </c>
      <c r="AB96" s="9">
        <v>44927</v>
      </c>
      <c r="AC96" s="8">
        <f>HAVERQ!P180</f>
        <v>1938</v>
      </c>
      <c r="AD96" s="8">
        <f>HAVERQ!O180</f>
        <v>1634</v>
      </c>
      <c r="AE96" s="8">
        <f>HAVERQ!N180</f>
        <v>1159</v>
      </c>
      <c r="AF96" s="8">
        <f>HAVERQ!M180</f>
        <v>280</v>
      </c>
      <c r="AG96" s="8">
        <f>HAVERQ!L180</f>
        <v>153</v>
      </c>
      <c r="AH96" s="8">
        <f>HAVERQ!E180-AC96-AD96-AE96-AF96-AG96</f>
        <v>525</v>
      </c>
      <c r="AJ96" s="9">
        <v>44927</v>
      </c>
      <c r="AK96" s="8">
        <f t="shared" si="43"/>
        <v>34.065740903497975</v>
      </c>
      <c r="AL96" s="8">
        <f t="shared" si="44"/>
        <v>28.722095271576727</v>
      </c>
      <c r="AM96" s="8">
        <f t="shared" si="45"/>
        <v>20.372648971699771</v>
      </c>
      <c r="AN96" s="8">
        <f t="shared" si="46"/>
        <v>4.9217788715064161</v>
      </c>
      <c r="AO96" s="8">
        <f t="shared" si="47"/>
        <v>2.6894005976445774</v>
      </c>
      <c r="AP96" s="8">
        <f t="shared" si="47"/>
        <v>9.2283353840745299</v>
      </c>
      <c r="AR96" s="8"/>
      <c r="AS96" s="8"/>
      <c r="AT96" s="8"/>
      <c r="AU96" s="8"/>
      <c r="AV96" s="8"/>
      <c r="AW96" s="8"/>
      <c r="AX96" s="8"/>
      <c r="AY96" s="8"/>
      <c r="AZ96" s="8"/>
      <c r="BA96" s="8"/>
      <c r="BB96" s="8"/>
      <c r="BC96" s="8"/>
      <c r="BD96" s="8"/>
      <c r="BE96" s="8"/>
      <c r="BF96" s="8"/>
      <c r="BG96" s="8"/>
      <c r="BH96" s="8"/>
      <c r="BI96" s="8"/>
      <c r="BJ96" s="8"/>
      <c r="BK96" s="8"/>
      <c r="BM96" s="8"/>
    </row>
    <row r="97" spans="13:65" x14ac:dyDescent="0.25">
      <c r="M97" s="5">
        <v>45200</v>
      </c>
      <c r="N97">
        <f>HAVERM!C532</f>
        <v>3.7650000000000001</v>
      </c>
      <c r="O97" s="3">
        <f>HAVERM!B532</f>
        <v>4</v>
      </c>
      <c r="Q97" s="5">
        <v>45200</v>
      </c>
      <c r="R97">
        <f>MIN(HAVERM!C531:C533)</f>
        <v>3.7650000000000001</v>
      </c>
      <c r="S97" s="3">
        <f t="shared" si="42"/>
        <v>0.43699999999999983</v>
      </c>
      <c r="T97" s="3">
        <f>HAVERM!B532</f>
        <v>4</v>
      </c>
      <c r="V97">
        <f>MAX(HAVERM!C531:C533)</f>
        <v>4.202</v>
      </c>
      <c r="AB97" s="9">
        <v>45017</v>
      </c>
      <c r="AC97" s="8">
        <f>HAVERQ!P181</f>
        <v>1963</v>
      </c>
      <c r="AD97" s="8">
        <f>HAVERQ!O181</f>
        <v>1637</v>
      </c>
      <c r="AE97" s="8">
        <f>HAVERQ!N181</f>
        <v>1175</v>
      </c>
      <c r="AF97" s="8">
        <f>HAVERQ!M181</f>
        <v>280</v>
      </c>
      <c r="AG97" s="8">
        <f>HAVERQ!L181</f>
        <v>151</v>
      </c>
      <c r="AH97" s="8">
        <f>HAVERQ!E181-AC97-AD97-AE97-AF97-AG97</f>
        <v>522</v>
      </c>
      <c r="AJ97" s="9">
        <v>45017</v>
      </c>
      <c r="AK97" s="8">
        <f t="shared" si="43"/>
        <v>34.270251396648042</v>
      </c>
      <c r="AL97" s="8">
        <f t="shared" si="44"/>
        <v>28.578910614525139</v>
      </c>
      <c r="AM97" s="8">
        <f t="shared" si="45"/>
        <v>20.51326815642458</v>
      </c>
      <c r="AN97" s="8">
        <f t="shared" si="46"/>
        <v>4.8882681564245809</v>
      </c>
      <c r="AO97" s="8">
        <f t="shared" si="47"/>
        <v>2.636173184357542</v>
      </c>
      <c r="AP97" s="8">
        <f t="shared" si="47"/>
        <v>9.1131284916201114</v>
      </c>
      <c r="AR97" s="8"/>
      <c r="AS97" s="8"/>
      <c r="AT97" s="8"/>
      <c r="AU97" s="8"/>
      <c r="AV97" s="8"/>
      <c r="AW97" s="8"/>
      <c r="AX97" s="8"/>
      <c r="AY97" s="8"/>
      <c r="AZ97" s="8"/>
      <c r="BA97" s="8"/>
      <c r="BB97" s="8"/>
      <c r="BC97" s="8"/>
      <c r="BD97" s="8"/>
      <c r="BE97" s="8"/>
      <c r="BF97" s="8"/>
      <c r="BG97" s="8"/>
      <c r="BH97" s="8"/>
      <c r="BI97" s="8"/>
      <c r="BJ97" s="8"/>
      <c r="BK97" s="8"/>
      <c r="BM97" s="8"/>
    </row>
    <row r="98" spans="13:65" x14ac:dyDescent="0.25">
      <c r="M98" s="5">
        <v>45231</v>
      </c>
      <c r="N98">
        <f>HAVERM!C533</f>
        <v>3.9449999999999998</v>
      </c>
      <c r="O98" s="3">
        <f>HAVERM!B533</f>
        <v>3.9</v>
      </c>
      <c r="Q98" s="5">
        <v>45231</v>
      </c>
      <c r="R98">
        <f>MIN(HAVERM!C532:C534)</f>
        <v>3.7650000000000001</v>
      </c>
      <c r="S98" s="3">
        <f t="shared" si="42"/>
        <v>0.17999999999999972</v>
      </c>
      <c r="T98" s="3">
        <f>HAVERM!B533</f>
        <v>3.9</v>
      </c>
      <c r="V98">
        <f>MAX(HAVERM!C532:C534)</f>
        <v>3.9449999999999998</v>
      </c>
      <c r="AB98" s="9">
        <v>45108</v>
      </c>
      <c r="AC98" s="8">
        <f>HAVERQ!P182</f>
        <v>1983</v>
      </c>
      <c r="AD98" s="8">
        <f>HAVERQ!O182</f>
        <v>1657</v>
      </c>
      <c r="AE98" s="8">
        <f>HAVERQ!N182</f>
        <v>1184</v>
      </c>
      <c r="AF98" s="8">
        <f>HAVERQ!M182</f>
        <v>281</v>
      </c>
      <c r="AG98" s="8">
        <f>HAVERQ!L182</f>
        <v>150</v>
      </c>
      <c r="AH98" s="8">
        <f>HAVERQ!E182-AC98-AD98-AE98-AF98-AG98</f>
        <v>522</v>
      </c>
      <c r="AJ98" s="9">
        <v>45108</v>
      </c>
      <c r="AK98" s="8">
        <f t="shared" si="43"/>
        <v>34.325774623507009</v>
      </c>
      <c r="AL98" s="8">
        <f t="shared" si="44"/>
        <v>28.68270728751947</v>
      </c>
      <c r="AM98" s="8">
        <f t="shared" si="45"/>
        <v>20.495066643586636</v>
      </c>
      <c r="AN98" s="8">
        <f t="shared" si="46"/>
        <v>4.8641163233512206</v>
      </c>
      <c r="AO98" s="8">
        <f t="shared" si="47"/>
        <v>2.5965033754543883</v>
      </c>
      <c r="AP98" s="8">
        <f t="shared" si="47"/>
        <v>9.0358317465812696</v>
      </c>
      <c r="AR98" s="8"/>
      <c r="AS98" s="8"/>
      <c r="AT98" s="8"/>
      <c r="AU98" s="8"/>
      <c r="AV98" s="8"/>
      <c r="AW98" s="8"/>
      <c r="AX98" s="8"/>
      <c r="AY98" s="8"/>
      <c r="AZ98" s="8"/>
      <c r="BA98" s="8"/>
      <c r="BB98" s="8"/>
      <c r="BC98" s="8"/>
      <c r="BD98" s="8"/>
      <c r="BE98" s="8"/>
      <c r="BF98" s="8"/>
      <c r="BG98" s="8"/>
      <c r="BH98" s="8"/>
      <c r="BI98" s="8"/>
      <c r="BJ98" s="8"/>
      <c r="BK98" s="8"/>
      <c r="BM98" s="8"/>
    </row>
    <row r="99" spans="13:65" x14ac:dyDescent="0.25">
      <c r="M99" s="5">
        <v>45261</v>
      </c>
      <c r="N99">
        <f>HAVERM!C534</f>
        <v>3.94</v>
      </c>
      <c r="O99" s="3">
        <f>HAVERM!B534</f>
        <v>4.0999999999999996</v>
      </c>
      <c r="Q99" s="5">
        <v>45261</v>
      </c>
      <c r="R99">
        <f>MIN(HAVERM!C533:C535)</f>
        <v>3.94</v>
      </c>
      <c r="S99" s="3">
        <f t="shared" si="42"/>
        <v>0.35999999999999988</v>
      </c>
      <c r="T99" s="3">
        <f>HAVERM!B534</f>
        <v>4.0999999999999996</v>
      </c>
      <c r="V99">
        <f>MAX(HAVERM!C533:C535)</f>
        <v>4.3</v>
      </c>
      <c r="AB99" s="9">
        <v>45200</v>
      </c>
      <c r="AC99" s="8">
        <f>HAVERQ!P183</f>
        <v>2004</v>
      </c>
      <c r="AD99" s="8">
        <f>HAVERQ!O183</f>
        <v>1656</v>
      </c>
      <c r="AE99" s="8">
        <f>HAVERQ!N183</f>
        <v>1196</v>
      </c>
      <c r="AF99" s="8">
        <f>HAVERQ!M183</f>
        <v>281</v>
      </c>
      <c r="AG99" s="8">
        <f>HAVERQ!L183</f>
        <v>149</v>
      </c>
      <c r="AH99" s="8">
        <f>HAVERQ!E183-AC99-AD99-AE99-AF99-AG99</f>
        <v>523</v>
      </c>
      <c r="AJ99" s="9">
        <v>45200</v>
      </c>
      <c r="AK99" s="8">
        <f t="shared" si="43"/>
        <v>34.498192459975904</v>
      </c>
      <c r="AL99" s="8">
        <f t="shared" si="44"/>
        <v>28.507488380099844</v>
      </c>
      <c r="AM99" s="8">
        <f t="shared" si="45"/>
        <v>20.58874160784989</v>
      </c>
      <c r="AN99" s="8">
        <f t="shared" si="46"/>
        <v>4.8373213978309524</v>
      </c>
      <c r="AO99" s="8">
        <f t="shared" si="47"/>
        <v>2.5649853675331382</v>
      </c>
      <c r="AP99" s="8">
        <f t="shared" si="47"/>
        <v>9.0032707867102761</v>
      </c>
      <c r="AR99" s="8"/>
      <c r="AS99" s="8"/>
      <c r="AT99" s="8"/>
      <c r="AU99" s="8"/>
      <c r="AV99" s="8"/>
      <c r="AW99" s="8"/>
      <c r="AX99" s="8"/>
      <c r="AY99" s="8"/>
      <c r="AZ99" s="8"/>
      <c r="BA99" s="8"/>
      <c r="BB99" s="8"/>
      <c r="BC99" s="8"/>
      <c r="BD99" s="8"/>
      <c r="BE99" s="8"/>
      <c r="BF99" s="8"/>
      <c r="BG99" s="8"/>
      <c r="BH99" s="8"/>
      <c r="BI99" s="8"/>
      <c r="BJ99" s="8"/>
      <c r="BK99" s="8"/>
      <c r="BM99" s="8"/>
    </row>
    <row r="100" spans="13:65" x14ac:dyDescent="0.25">
      <c r="M100" s="5">
        <v>45292</v>
      </c>
      <c r="N100">
        <f>HAVERM!C535</f>
        <v>4.3</v>
      </c>
      <c r="O100" s="3">
        <f>HAVERM!B535</f>
        <v>4.2</v>
      </c>
      <c r="Q100" s="5">
        <v>45292</v>
      </c>
      <c r="R100">
        <f>MIN(HAVERM!C534:C536)</f>
        <v>3.94</v>
      </c>
      <c r="S100" s="3">
        <f t="shared" ref="S100:S109" si="48">V100-R100</f>
        <v>0.38500000000000023</v>
      </c>
      <c r="T100" s="3">
        <f>HAVERM!B535</f>
        <v>4.2</v>
      </c>
      <c r="V100">
        <f>MAX(HAVERM!C534:C536)</f>
        <v>4.3250000000000002</v>
      </c>
      <c r="AB100" s="9">
        <v>45292</v>
      </c>
      <c r="AC100" s="8">
        <f>HAVERQ!P184</f>
        <v>2017</v>
      </c>
      <c r="AD100" s="8">
        <f>HAVERQ!O184</f>
        <v>1654</v>
      </c>
      <c r="AE100" s="8">
        <f>HAVERQ!N184</f>
        <v>1208</v>
      </c>
      <c r="AF100" s="8">
        <f>HAVERQ!M184</f>
        <v>282</v>
      </c>
      <c r="AG100" s="8">
        <f>HAVERQ!L184</f>
        <v>149</v>
      </c>
      <c r="AH100" s="8">
        <f>HAVERQ!E184-AC100-AD100-AE100-AF100-AG100</f>
        <v>525</v>
      </c>
      <c r="AJ100" s="9">
        <v>45292</v>
      </c>
      <c r="AK100" s="8">
        <f t="shared" si="43"/>
        <v>34.567266495287065</v>
      </c>
      <c r="AL100" s="8">
        <f t="shared" si="44"/>
        <v>28.346186803770351</v>
      </c>
      <c r="AM100" s="8">
        <f t="shared" si="45"/>
        <v>20.702656383890318</v>
      </c>
      <c r="AN100" s="8">
        <f t="shared" si="46"/>
        <v>4.8329048843187659</v>
      </c>
      <c r="AO100" s="8">
        <f t="shared" si="47"/>
        <v>2.5535561268209084</v>
      </c>
      <c r="AP100" s="8">
        <f t="shared" si="47"/>
        <v>8.9974293059125969</v>
      </c>
      <c r="AR100" s="8"/>
      <c r="AS100" s="8"/>
      <c r="AT100" s="8"/>
      <c r="AU100" s="8"/>
      <c r="AV100" s="8"/>
      <c r="AW100" s="8"/>
      <c r="AX100" s="8"/>
      <c r="AY100" s="8"/>
      <c r="AZ100" s="8"/>
      <c r="BA100" s="8"/>
      <c r="BB100" s="8"/>
      <c r="BC100" s="8"/>
      <c r="BD100" s="8"/>
      <c r="BE100" s="8"/>
      <c r="BF100" s="8"/>
      <c r="BG100" s="8"/>
      <c r="BH100" s="8"/>
      <c r="BI100" s="8"/>
      <c r="BJ100" s="8"/>
      <c r="BK100" s="8"/>
      <c r="BM100" s="8"/>
    </row>
    <row r="101" spans="13:65" x14ac:dyDescent="0.25">
      <c r="M101" s="5">
        <v>45323</v>
      </c>
      <c r="N101">
        <f>HAVERM!C536</f>
        <v>4.3250000000000002</v>
      </c>
      <c r="O101" s="3">
        <f>HAVERM!B536</f>
        <v>4.3</v>
      </c>
      <c r="Q101" s="5">
        <v>45323</v>
      </c>
      <c r="R101">
        <f>MIN(HAVERM!C535:C537)</f>
        <v>4.3</v>
      </c>
      <c r="S101" s="3">
        <f t="shared" si="48"/>
        <v>0.12699999999999978</v>
      </c>
      <c r="T101" s="3">
        <f>HAVERM!B536</f>
        <v>4.3</v>
      </c>
      <c r="V101">
        <f>MAX(HAVERM!C535:C537)</f>
        <v>4.4269999999999996</v>
      </c>
      <c r="AB101" s="9">
        <v>45383</v>
      </c>
      <c r="AC101" s="8">
        <f>HAVERQ!P185</f>
        <v>2028</v>
      </c>
      <c r="AD101" s="8">
        <f>HAVERQ!O185</f>
        <v>1654</v>
      </c>
      <c r="AE101" s="8">
        <f>HAVERQ!N185</f>
        <v>1216</v>
      </c>
      <c r="AF101" s="8">
        <f>HAVERQ!M185</f>
        <v>282</v>
      </c>
      <c r="AG101" s="8">
        <f>HAVERQ!L185</f>
        <v>147</v>
      </c>
      <c r="AH101" s="8">
        <f>HAVERQ!E185-AC101-AD101-AE101-AF101-AG101</f>
        <v>533</v>
      </c>
      <c r="AJ101" s="9">
        <v>45383</v>
      </c>
      <c r="AK101" s="8">
        <f t="shared" si="43"/>
        <v>34.607508532423211</v>
      </c>
      <c r="AL101" s="8">
        <f t="shared" si="44"/>
        <v>28.225255972696246</v>
      </c>
      <c r="AM101" s="8">
        <f t="shared" si="45"/>
        <v>20.750853242320819</v>
      </c>
      <c r="AN101" s="8">
        <f t="shared" si="46"/>
        <v>4.8122866894197953</v>
      </c>
      <c r="AO101" s="8">
        <f t="shared" si="47"/>
        <v>2.5085324232081914</v>
      </c>
      <c r="AP101" s="8">
        <f t="shared" si="47"/>
        <v>9.0955631399317411</v>
      </c>
      <c r="AR101" s="8"/>
      <c r="AS101" s="8"/>
      <c r="AT101" s="8"/>
      <c r="AU101" s="8"/>
      <c r="AV101" s="8"/>
      <c r="AW101" s="8"/>
      <c r="AX101" s="8"/>
      <c r="AY101" s="8"/>
      <c r="AZ101" s="8"/>
      <c r="BA101" s="8"/>
      <c r="BB101" s="8"/>
      <c r="BC101" s="8"/>
      <c r="BD101" s="8"/>
      <c r="BE101" s="8"/>
      <c r="BF101" s="8"/>
      <c r="BG101" s="8"/>
      <c r="BH101" s="8"/>
      <c r="BI101" s="8"/>
      <c r="BJ101" s="8"/>
      <c r="BK101" s="8"/>
      <c r="BM101" s="8"/>
    </row>
    <row r="102" spans="13:65" x14ac:dyDescent="0.25">
      <c r="M102" s="5">
        <v>45352</v>
      </c>
      <c r="N102">
        <f>HAVERM!C537</f>
        <v>4.4269999999999996</v>
      </c>
      <c r="O102" s="3">
        <f>HAVERM!B537</f>
        <v>4.4000000000000004</v>
      </c>
      <c r="Q102" s="5">
        <v>45352</v>
      </c>
      <c r="R102">
        <f>MIN(HAVERM!C536:C538)</f>
        <v>4.3250000000000002</v>
      </c>
      <c r="S102" s="3">
        <f t="shared" si="48"/>
        <v>0.10199999999999942</v>
      </c>
      <c r="T102" s="3">
        <f>HAVERM!B537</f>
        <v>4.4000000000000004</v>
      </c>
      <c r="V102">
        <f>MAX(HAVERM!C536:C538)</f>
        <v>4.4269999999999996</v>
      </c>
      <c r="AB102" s="9">
        <v>45474</v>
      </c>
      <c r="AC102" s="8">
        <f>HAVERQ!P186</f>
        <v>2040</v>
      </c>
      <c r="AD102" s="8">
        <f>HAVERQ!O186</f>
        <v>1658</v>
      </c>
      <c r="AE102" s="8">
        <f>HAVERQ!N186</f>
        <v>1220</v>
      </c>
      <c r="AF102" s="8">
        <f>HAVERQ!M186</f>
        <v>282</v>
      </c>
      <c r="AG102" s="8">
        <f>HAVERQ!L186</f>
        <v>147</v>
      </c>
      <c r="AH102" s="8">
        <f>HAVERQ!E186-AC102-AD102-AE102-AF102-AG102</f>
        <v>528</v>
      </c>
      <c r="AJ102" s="9">
        <v>45474</v>
      </c>
      <c r="AK102" s="8">
        <f t="shared" si="43"/>
        <v>34.723404255319153</v>
      </c>
      <c r="AL102" s="8">
        <f t="shared" si="44"/>
        <v>28.221276595744683</v>
      </c>
      <c r="AM102" s="8">
        <f t="shared" si="45"/>
        <v>20.76595744680851</v>
      </c>
      <c r="AN102" s="8">
        <f t="shared" si="46"/>
        <v>4.8</v>
      </c>
      <c r="AO102" s="8">
        <f t="shared" si="47"/>
        <v>2.5021276595744681</v>
      </c>
      <c r="AP102" s="8">
        <f t="shared" si="47"/>
        <v>8.9872340425531902</v>
      </c>
      <c r="AR102" s="8"/>
      <c r="AS102" s="8"/>
      <c r="AT102" s="8"/>
      <c r="AU102" s="8"/>
      <c r="AV102" s="8"/>
      <c r="AW102" s="8"/>
      <c r="AX102" s="8"/>
      <c r="AY102" s="8"/>
      <c r="AZ102" s="8"/>
      <c r="BA102" s="8"/>
      <c r="BB102" s="8"/>
      <c r="BC102" s="8"/>
      <c r="BD102" s="8"/>
      <c r="BE102" s="8"/>
      <c r="BF102" s="8"/>
      <c r="BG102" s="8"/>
      <c r="BH102" s="8"/>
      <c r="BI102" s="8"/>
      <c r="BJ102" s="8"/>
      <c r="BK102" s="8"/>
      <c r="BM102" s="8"/>
    </row>
    <row r="103" spans="13:65" x14ac:dyDescent="0.25">
      <c r="M103" s="5">
        <v>45383</v>
      </c>
      <c r="N103">
        <f>HAVERM!C538</f>
        <v>4.343</v>
      </c>
      <c r="O103" s="3">
        <f>HAVERM!B538</f>
        <v>4.4000000000000004</v>
      </c>
      <c r="Q103" s="5">
        <v>45383</v>
      </c>
      <c r="R103">
        <f>MIN(HAVERM!C537:C539)</f>
        <v>4.343</v>
      </c>
      <c r="S103" s="3">
        <f t="shared" si="48"/>
        <v>0.15500000000000025</v>
      </c>
      <c r="T103" s="3">
        <f>HAVERM!B538</f>
        <v>4.4000000000000004</v>
      </c>
      <c r="V103">
        <f>MAX(HAVERM!C537:C539)</f>
        <v>4.4980000000000002</v>
      </c>
      <c r="AB103" s="9">
        <v>45566</v>
      </c>
      <c r="AC103" s="8"/>
      <c r="AD103" s="8"/>
      <c r="AE103" s="8"/>
      <c r="AF103" s="8"/>
      <c r="AG103" s="8"/>
      <c r="AH103" s="8"/>
      <c r="AJ103" s="9">
        <v>45566</v>
      </c>
      <c r="AK103" s="8"/>
      <c r="AL103" s="8"/>
      <c r="AM103" s="8"/>
      <c r="AN103" s="8"/>
      <c r="AO103" s="8"/>
      <c r="AP103" s="8"/>
      <c r="AR103" s="8"/>
      <c r="AS103" s="8"/>
      <c r="AT103" s="8"/>
      <c r="AU103" s="8"/>
      <c r="AV103" s="8"/>
      <c r="AW103" s="8"/>
      <c r="AX103" s="8"/>
      <c r="AY103" s="8"/>
      <c r="AZ103" s="8"/>
      <c r="BA103" s="8"/>
      <c r="BB103" s="8"/>
      <c r="BC103" s="8"/>
      <c r="BD103" s="8"/>
      <c r="BE103" s="8"/>
      <c r="BF103" s="8"/>
      <c r="BG103" s="8"/>
      <c r="BH103" s="8"/>
      <c r="BI103" s="8"/>
      <c r="BJ103" s="8"/>
      <c r="BK103" s="8"/>
      <c r="BM103" s="8"/>
    </row>
    <row r="104" spans="13:65" x14ac:dyDescent="0.25">
      <c r="M104" s="5">
        <v>45413</v>
      </c>
      <c r="N104">
        <f>HAVERM!C539</f>
        <v>4.4980000000000002</v>
      </c>
      <c r="O104" s="3">
        <f>HAVERM!B539</f>
        <v>4.2</v>
      </c>
      <c r="Q104" s="5">
        <v>45413</v>
      </c>
      <c r="R104">
        <f>MIN(HAVERM!C538:C540)</f>
        <v>3.77</v>
      </c>
      <c r="S104" s="3">
        <f t="shared" si="48"/>
        <v>0.7280000000000002</v>
      </c>
      <c r="T104" s="3">
        <f>HAVERM!B539</f>
        <v>4.2</v>
      </c>
      <c r="V104">
        <f>MAX(HAVERM!C538:C540)</f>
        <v>4.4980000000000002</v>
      </c>
      <c r="AB104" s="9"/>
      <c r="AJ104" s="9"/>
    </row>
    <row r="105" spans="13:65" x14ac:dyDescent="0.25">
      <c r="M105" s="5">
        <v>45444</v>
      </c>
      <c r="N105">
        <f>HAVERM!C540</f>
        <v>3.77</v>
      </c>
      <c r="O105" s="3">
        <f>HAVERM!B540</f>
        <v>4.2</v>
      </c>
      <c r="Q105" s="5">
        <v>45444</v>
      </c>
      <c r="R105">
        <f>MIN(HAVERM!C539:C541)</f>
        <v>3.77</v>
      </c>
      <c r="S105" s="3">
        <f t="shared" si="48"/>
        <v>0.7280000000000002</v>
      </c>
      <c r="T105" s="3">
        <f>HAVERM!B540</f>
        <v>4.2</v>
      </c>
      <c r="V105">
        <f>MAX(HAVERM!C539:C541)</f>
        <v>4.4980000000000002</v>
      </c>
      <c r="AB105" s="9"/>
      <c r="AJ105" s="9"/>
    </row>
    <row r="106" spans="13:65" x14ac:dyDescent="0.25">
      <c r="M106" s="5">
        <v>45474</v>
      </c>
      <c r="N106">
        <f>HAVERM!C541</f>
        <v>4.3499999999999996</v>
      </c>
      <c r="O106" s="3">
        <f>HAVERM!B541</f>
        <v>4.0999999999999996</v>
      </c>
      <c r="Q106" s="5">
        <v>45474</v>
      </c>
      <c r="R106">
        <f>MIN(HAVERM!C540:C542)</f>
        <v>3.77</v>
      </c>
      <c r="S106" s="3">
        <f t="shared" si="48"/>
        <v>0.57999999999999963</v>
      </c>
      <c r="T106" s="3">
        <f>HAVERM!B541</f>
        <v>4.0999999999999996</v>
      </c>
      <c r="V106">
        <f>MAX(HAVERM!C540:C542)</f>
        <v>4.3499999999999996</v>
      </c>
    </row>
    <row r="107" spans="13:65" x14ac:dyDescent="0.25">
      <c r="M107" s="5">
        <v>45505</v>
      </c>
      <c r="N107">
        <f>HAVERM!C542</f>
        <v>4.1070000000000002</v>
      </c>
      <c r="O107" s="3">
        <f>HAVERM!B542</f>
        <v>4.3</v>
      </c>
      <c r="Q107" s="5">
        <v>45505</v>
      </c>
      <c r="R107">
        <f>MIN(HAVERM!C541:C543)</f>
        <v>4.1070000000000002</v>
      </c>
      <c r="S107" s="3">
        <f t="shared" si="48"/>
        <v>0.28500000000000014</v>
      </c>
      <c r="T107" s="3">
        <f>HAVERM!B542</f>
        <v>4.3</v>
      </c>
      <c r="V107">
        <f>MAX(HAVERM!C541:C543)</f>
        <v>4.3920000000000003</v>
      </c>
    </row>
    <row r="108" spans="13:65" x14ac:dyDescent="0.25">
      <c r="M108" s="5">
        <v>45536</v>
      </c>
      <c r="N108">
        <f>HAVERM!C543</f>
        <v>4.3920000000000003</v>
      </c>
      <c r="O108" s="3">
        <f>HAVERM!B543</f>
        <v>4.3</v>
      </c>
      <c r="Q108" s="5">
        <v>45536</v>
      </c>
      <c r="R108">
        <f>MIN(HAVERM!C542:C544)</f>
        <v>4.1070000000000002</v>
      </c>
      <c r="S108" s="3">
        <f t="shared" si="48"/>
        <v>0.28500000000000014</v>
      </c>
      <c r="T108" s="3">
        <f>HAVERM!B543</f>
        <v>4.3</v>
      </c>
      <c r="V108">
        <f>MAX(HAVERM!C542:C544)</f>
        <v>4.3920000000000003</v>
      </c>
    </row>
    <row r="109" spans="13:65" x14ac:dyDescent="0.25">
      <c r="M109" s="5">
        <v>45566</v>
      </c>
      <c r="N109">
        <f>HAVERM!C544</f>
        <v>4.3220000000000001</v>
      </c>
      <c r="O109" s="3"/>
      <c r="Q109" s="5">
        <v>45566</v>
      </c>
      <c r="R109">
        <f>MIN(HAVERM!C543:C545)</f>
        <v>4.3220000000000001</v>
      </c>
      <c r="S109" s="3">
        <f t="shared" si="48"/>
        <v>7.0000000000000284E-2</v>
      </c>
      <c r="T109" s="3"/>
      <c r="V109">
        <f>MAX(HAVERM!C543:C545)</f>
        <v>4.3920000000000003</v>
      </c>
    </row>
    <row r="110" spans="13:65" x14ac:dyDescent="0.25">
      <c r="M110" s="5">
        <v>45597</v>
      </c>
      <c r="O110" s="3"/>
      <c r="Q110" s="5">
        <v>45597</v>
      </c>
      <c r="S110" s="3"/>
      <c r="T110" s="3"/>
    </row>
    <row r="111" spans="13:65" x14ac:dyDescent="0.25">
      <c r="M111" s="5">
        <v>45627</v>
      </c>
      <c r="O111" s="3"/>
      <c r="Q111" s="5">
        <v>45627</v>
      </c>
      <c r="S111" s="3"/>
      <c r="T111" s="3"/>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CFA2-51A8-4207-B8E8-B36CEF328812}">
  <sheetPr>
    <tabColor rgb="FFFFF2CC"/>
  </sheetPr>
  <dimension ref="A1:P41"/>
  <sheetViews>
    <sheetView zoomScale="85" zoomScaleNormal="85" workbookViewId="0">
      <pane xSplit="1" ySplit="3" topLeftCell="B4" activePane="bottomRight" state="frozen"/>
      <selection pane="topRight" activeCell="B1" sqref="B1"/>
      <selection pane="bottomLeft" activeCell="A4" sqref="A4"/>
      <selection pane="bottomRight" activeCell="C21" sqref="C21"/>
    </sheetView>
  </sheetViews>
  <sheetFormatPr defaultRowHeight="15" x14ac:dyDescent="0.25"/>
  <cols>
    <col min="2" max="2" width="16.140625" bestFit="1" customWidth="1"/>
    <col min="3" max="3" width="18" bestFit="1" customWidth="1"/>
    <col min="4" max="4" width="14.28515625" bestFit="1" customWidth="1"/>
    <col min="5" max="5" width="18.42578125" bestFit="1" customWidth="1"/>
    <col min="6" max="6" width="6.7109375" bestFit="1" customWidth="1"/>
    <col min="7" max="7" width="16.7109375" bestFit="1" customWidth="1"/>
    <col min="8" max="8" width="11" customWidth="1"/>
    <col min="9" max="9" width="14.42578125" customWidth="1"/>
    <col min="10" max="10" width="10.5703125" bestFit="1" customWidth="1"/>
    <col min="12" max="12" width="11.85546875" customWidth="1"/>
    <col min="13" max="13" width="13.85546875" customWidth="1"/>
    <col min="14" max="14" width="11" customWidth="1"/>
    <col min="15" max="15" width="14.42578125" customWidth="1"/>
    <col min="16" max="16" width="10.5703125" bestFit="1" customWidth="1"/>
  </cols>
  <sheetData>
    <row r="1" spans="1:16" x14ac:dyDescent="0.25">
      <c r="A1" s="6" t="s">
        <v>1317</v>
      </c>
    </row>
    <row r="2" spans="1:16" x14ac:dyDescent="0.25">
      <c r="B2" s="37"/>
      <c r="C2" s="37"/>
      <c r="D2" s="37"/>
      <c r="E2" s="37"/>
      <c r="F2" s="37"/>
      <c r="G2" s="37"/>
      <c r="H2" s="37"/>
      <c r="I2" s="37"/>
      <c r="J2" s="37"/>
    </row>
    <row r="3" spans="1:16" ht="14.45" customHeight="1" x14ac:dyDescent="0.25">
      <c r="B3" t="s">
        <v>1318</v>
      </c>
      <c r="C3" t="s">
        <v>1319</v>
      </c>
      <c r="D3" t="s">
        <v>1320</v>
      </c>
      <c r="E3" t="s">
        <v>1321</v>
      </c>
      <c r="F3" t="s">
        <v>788</v>
      </c>
      <c r="G3" t="s">
        <v>1322</v>
      </c>
      <c r="H3" s="6"/>
      <c r="I3" s="6"/>
      <c r="J3" s="6"/>
      <c r="L3" s="38"/>
      <c r="M3" s="38"/>
      <c r="N3" s="38"/>
      <c r="O3" s="38"/>
      <c r="P3" s="38"/>
    </row>
    <row r="4" spans="1:16" x14ac:dyDescent="0.25">
      <c r="A4" s="5">
        <v>45597</v>
      </c>
      <c r="B4" s="17">
        <v>37.880000000000003</v>
      </c>
      <c r="C4" s="17">
        <v>53.68</v>
      </c>
      <c r="D4" s="17">
        <v>53.64</v>
      </c>
      <c r="E4" s="17">
        <v>58.72</v>
      </c>
      <c r="F4" s="17">
        <v>7.51</v>
      </c>
      <c r="G4" s="17">
        <v>2.67</v>
      </c>
      <c r="L4" s="5"/>
      <c r="M4" s="2"/>
      <c r="N4" s="2"/>
      <c r="O4" s="2"/>
      <c r="P4" s="2"/>
    </row>
    <row r="5" spans="1:16" x14ac:dyDescent="0.25">
      <c r="A5" s="5">
        <v>45627</v>
      </c>
      <c r="B5" s="8">
        <v>40.67</v>
      </c>
      <c r="C5" s="8">
        <v>52.76</v>
      </c>
      <c r="D5" s="8">
        <v>54.45</v>
      </c>
      <c r="E5" s="8">
        <v>63.5</v>
      </c>
      <c r="F5" s="17">
        <v>7.33</v>
      </c>
      <c r="G5" s="17">
        <v>3.75</v>
      </c>
      <c r="H5" s="2"/>
      <c r="I5" s="2"/>
      <c r="J5" s="2"/>
      <c r="L5" s="5"/>
      <c r="M5" s="2"/>
      <c r="N5" s="2"/>
      <c r="O5" s="2"/>
      <c r="P5" s="2"/>
    </row>
    <row r="6" spans="1:16" x14ac:dyDescent="0.25">
      <c r="F6" s="5"/>
      <c r="G6" s="2"/>
      <c r="H6" s="2"/>
      <c r="I6" s="2"/>
      <c r="J6" s="2"/>
      <c r="L6" s="5"/>
      <c r="M6" s="2"/>
      <c r="N6" s="2"/>
      <c r="O6" s="2"/>
      <c r="P6" s="2"/>
    </row>
    <row r="7" spans="1:16" x14ac:dyDescent="0.25">
      <c r="A7" s="5"/>
      <c r="B7" s="18"/>
      <c r="C7" s="18"/>
    </row>
    <row r="8" spans="1:16" x14ac:dyDescent="0.25">
      <c r="A8" s="5"/>
      <c r="B8" s="18"/>
      <c r="C8" s="18"/>
    </row>
    <row r="9" spans="1:16" x14ac:dyDescent="0.25">
      <c r="A9" s="5"/>
      <c r="B9" s="18"/>
      <c r="C9" s="18"/>
    </row>
    <row r="10" spans="1:16" x14ac:dyDescent="0.25">
      <c r="A10" s="5"/>
      <c r="B10" s="18"/>
      <c r="C10" s="18"/>
    </row>
    <row r="11" spans="1:16" x14ac:dyDescent="0.25">
      <c r="A11" s="5"/>
      <c r="B11" s="18"/>
      <c r="C11" s="18"/>
    </row>
    <row r="12" spans="1:16" x14ac:dyDescent="0.25">
      <c r="A12" s="5"/>
      <c r="B12" s="18"/>
      <c r="C12" s="18"/>
    </row>
    <row r="13" spans="1:16" x14ac:dyDescent="0.25">
      <c r="A13" s="5"/>
      <c r="B13" s="18"/>
      <c r="C13" s="18"/>
    </row>
    <row r="14" spans="1:16" x14ac:dyDescent="0.25">
      <c r="A14" s="5"/>
      <c r="B14" s="18"/>
      <c r="C14" s="18"/>
    </row>
    <row r="15" spans="1:16" x14ac:dyDescent="0.25">
      <c r="A15" s="5"/>
      <c r="B15" s="18"/>
      <c r="C15" s="18"/>
    </row>
    <row r="16" spans="1:16" x14ac:dyDescent="0.25">
      <c r="A16" s="5"/>
      <c r="B16" s="18"/>
      <c r="C16" s="18"/>
    </row>
    <row r="17" spans="1:3" x14ac:dyDescent="0.25">
      <c r="A17" s="5"/>
      <c r="B17" s="18"/>
    </row>
    <row r="18" spans="1:3" x14ac:dyDescent="0.25">
      <c r="A18" s="5"/>
      <c r="B18" s="18"/>
    </row>
    <row r="20" spans="1:3" ht="36" customHeight="1" x14ac:dyDescent="0.25">
      <c r="B20" s="19"/>
      <c r="C20" s="19"/>
    </row>
    <row r="21" spans="1:3" x14ac:dyDescent="0.25">
      <c r="A21" s="5"/>
      <c r="B21" s="20"/>
      <c r="C21" s="20"/>
    </row>
    <row r="22" spans="1:3" x14ac:dyDescent="0.25">
      <c r="A22" s="5"/>
      <c r="B22" s="20"/>
      <c r="C22" s="20"/>
    </row>
    <row r="23" spans="1:3" x14ac:dyDescent="0.25">
      <c r="A23" s="5"/>
      <c r="B23" s="20"/>
      <c r="C23" s="20"/>
    </row>
    <row r="24" spans="1:3" x14ac:dyDescent="0.25">
      <c r="A24" s="5"/>
      <c r="B24" s="18"/>
      <c r="C24" s="18"/>
    </row>
    <row r="25" spans="1:3" x14ac:dyDescent="0.25">
      <c r="A25" s="5"/>
      <c r="B25" s="18"/>
      <c r="C25" s="18"/>
    </row>
    <row r="26" spans="1:3" x14ac:dyDescent="0.25">
      <c r="A26" s="5"/>
      <c r="B26" s="18"/>
      <c r="C26" s="18"/>
    </row>
    <row r="27" spans="1:3" x14ac:dyDescent="0.25">
      <c r="A27" s="5"/>
      <c r="B27" s="18"/>
      <c r="C27" s="18"/>
    </row>
    <row r="28" spans="1:3" x14ac:dyDescent="0.25">
      <c r="A28" s="5"/>
      <c r="B28" s="18"/>
      <c r="C28" s="18"/>
    </row>
    <row r="29" spans="1:3" x14ac:dyDescent="0.25">
      <c r="A29" s="5"/>
      <c r="B29" s="18"/>
      <c r="C29" s="18"/>
    </row>
    <row r="30" spans="1:3" x14ac:dyDescent="0.25">
      <c r="A30" s="5"/>
      <c r="B30" s="18"/>
      <c r="C30" s="18"/>
    </row>
    <row r="32" spans="1:3" ht="6" customHeight="1" x14ac:dyDescent="0.25"/>
    <row r="33" spans="1:1" x14ac:dyDescent="0.25">
      <c r="A33" t="s">
        <v>1323</v>
      </c>
    </row>
    <row r="34" spans="1:1" ht="6" customHeight="1" x14ac:dyDescent="0.25"/>
    <row r="35" spans="1:1" x14ac:dyDescent="0.25">
      <c r="A35" s="6" t="s">
        <v>1324</v>
      </c>
    </row>
    <row r="36" spans="1:1" ht="6" customHeight="1" x14ac:dyDescent="0.25"/>
    <row r="37" spans="1:1" x14ac:dyDescent="0.25">
      <c r="A37" t="s">
        <v>1325</v>
      </c>
    </row>
    <row r="39" spans="1:1" x14ac:dyDescent="0.25">
      <c r="A39" t="s">
        <v>1326</v>
      </c>
    </row>
    <row r="41" spans="1:1" x14ac:dyDescent="0.25">
      <c r="A41" s="16" t="s">
        <v>1327</v>
      </c>
    </row>
  </sheetData>
  <mergeCells count="4">
    <mergeCell ref="B2:D2"/>
    <mergeCell ref="E2:G2"/>
    <mergeCell ref="H2:J2"/>
    <mergeCell ref="L3:P3"/>
  </mergeCells>
  <hyperlinks>
    <hyperlink ref="A41" location="Contents!A1" display="Return to Contents" xr:uid="{4923029A-7B25-4CB3-9FF9-987E9C0BC038}"/>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7EED-97ED-40AF-B6C6-DD68DCC80A49}">
  <dimension ref="A1:D561"/>
  <sheetViews>
    <sheetView workbookViewId="0">
      <pane xSplit="1" ySplit="6" topLeftCell="B538" activePane="bottomRight" state="frozen"/>
      <selection pane="topRight" activeCell="B1" sqref="B1"/>
      <selection pane="bottomLeft" activeCell="A7" sqref="A7"/>
      <selection pane="bottomRight" activeCell="D2" sqref="D2"/>
    </sheetView>
  </sheetViews>
  <sheetFormatPr defaultRowHeight="15" x14ac:dyDescent="0.25"/>
  <cols>
    <col min="2" max="7" width="15.7109375" customWidth="1"/>
  </cols>
  <sheetData>
    <row r="1" spans="1:4" x14ac:dyDescent="0.25">
      <c r="A1" s="1" t="s">
        <v>2</v>
      </c>
      <c r="B1" t="s">
        <v>0</v>
      </c>
      <c r="C1" t="s">
        <v>1</v>
      </c>
      <c r="D1" s="7" t="s">
        <v>1294</v>
      </c>
    </row>
    <row r="2" spans="1:4" s="4" customFormat="1" ht="75" x14ac:dyDescent="0.25">
      <c r="A2" s="4" t="s">
        <v>8</v>
      </c>
      <c r="B2" s="4" t="s">
        <v>13</v>
      </c>
      <c r="C2" s="4" t="s">
        <v>13</v>
      </c>
      <c r="D2" s="4" t="s">
        <v>1299</v>
      </c>
    </row>
    <row r="3" spans="1:4" x14ac:dyDescent="0.25">
      <c r="A3" t="s">
        <v>7</v>
      </c>
      <c r="B3" t="s">
        <v>12</v>
      </c>
      <c r="C3" t="s">
        <v>16</v>
      </c>
      <c r="D3" t="s">
        <v>1298</v>
      </c>
    </row>
    <row r="4" spans="1:4" x14ac:dyDescent="0.25">
      <c r="A4" t="s">
        <v>6</v>
      </c>
      <c r="B4" t="s">
        <v>11</v>
      </c>
      <c r="C4" t="s">
        <v>15</v>
      </c>
      <c r="D4" t="s">
        <v>1297</v>
      </c>
    </row>
    <row r="5" spans="1:4" x14ac:dyDescent="0.25">
      <c r="A5" t="s">
        <v>5</v>
      </c>
      <c r="B5" t="s">
        <v>10</v>
      </c>
      <c r="C5" t="s">
        <v>10</v>
      </c>
      <c r="D5" t="s">
        <v>1296</v>
      </c>
    </row>
    <row r="6" spans="1:4" x14ac:dyDescent="0.25">
      <c r="A6" t="s">
        <v>4</v>
      </c>
      <c r="B6" t="s">
        <v>9</v>
      </c>
      <c r="C6" t="s">
        <v>14</v>
      </c>
      <c r="D6" t="s">
        <v>1295</v>
      </c>
    </row>
    <row r="7" spans="1:4" x14ac:dyDescent="0.25">
      <c r="A7" t="s">
        <v>3</v>
      </c>
      <c r="B7" s="2">
        <v>5.7</v>
      </c>
      <c r="C7" s="3" t="e">
        <v>#N/A</v>
      </c>
      <c r="D7" s="10" t="e">
        <v>#N/A</v>
      </c>
    </row>
    <row r="8" spans="1:4" x14ac:dyDescent="0.25">
      <c r="A8" t="s">
        <v>17</v>
      </c>
      <c r="B8" s="2">
        <v>5.8</v>
      </c>
      <c r="C8" s="3" t="e">
        <v>#N/A</v>
      </c>
      <c r="D8" s="10" t="e">
        <v>#N/A</v>
      </c>
    </row>
    <row r="9" spans="1:4" x14ac:dyDescent="0.25">
      <c r="A9" t="s">
        <v>18</v>
      </c>
      <c r="B9" s="2">
        <v>6</v>
      </c>
      <c r="C9" s="3" t="e">
        <v>#N/A</v>
      </c>
      <c r="D9" s="10" t="e">
        <v>#N/A</v>
      </c>
    </row>
    <row r="10" spans="1:4" x14ac:dyDescent="0.25">
      <c r="A10" t="s">
        <v>19</v>
      </c>
      <c r="B10" s="2">
        <v>6.1</v>
      </c>
      <c r="C10" s="3" t="e">
        <v>#N/A</v>
      </c>
      <c r="D10" s="10" t="e">
        <v>#N/A</v>
      </c>
    </row>
    <row r="11" spans="1:4" x14ac:dyDescent="0.25">
      <c r="A11" t="s">
        <v>20</v>
      </c>
      <c r="B11" s="2">
        <v>6.3</v>
      </c>
      <c r="C11" s="3" t="e">
        <v>#N/A</v>
      </c>
      <c r="D11" s="10" t="e">
        <v>#N/A</v>
      </c>
    </row>
    <row r="12" spans="1:4" x14ac:dyDescent="0.25">
      <c r="A12" t="s">
        <v>21</v>
      </c>
      <c r="B12" s="2">
        <v>6.5</v>
      </c>
      <c r="C12" s="3" t="e">
        <v>#N/A</v>
      </c>
      <c r="D12" s="10" t="e">
        <v>#N/A</v>
      </c>
    </row>
    <row r="13" spans="1:4" x14ac:dyDescent="0.25">
      <c r="A13" t="s">
        <v>22</v>
      </c>
      <c r="B13" s="2">
        <v>6.8</v>
      </c>
      <c r="C13" s="3" t="e">
        <v>#N/A</v>
      </c>
      <c r="D13" s="10" t="e">
        <v>#N/A</v>
      </c>
    </row>
    <row r="14" spans="1:4" x14ac:dyDescent="0.25">
      <c r="A14" t="s">
        <v>23</v>
      </c>
      <c r="B14" s="2">
        <v>7.1</v>
      </c>
      <c r="C14" s="3" t="e">
        <v>#N/A</v>
      </c>
      <c r="D14" s="10" t="e">
        <v>#N/A</v>
      </c>
    </row>
    <row r="15" spans="1:4" x14ac:dyDescent="0.25">
      <c r="A15" t="s">
        <v>24</v>
      </c>
      <c r="B15" s="2">
        <v>7.4</v>
      </c>
      <c r="C15" s="3" t="e">
        <v>#N/A</v>
      </c>
      <c r="D15" s="10" t="e">
        <v>#N/A</v>
      </c>
    </row>
    <row r="16" spans="1:4" x14ac:dyDescent="0.25">
      <c r="A16" t="s">
        <v>25</v>
      </c>
      <c r="B16" s="2">
        <v>7.7</v>
      </c>
      <c r="C16" s="3" t="e">
        <v>#N/A</v>
      </c>
      <c r="D16" s="10" t="e">
        <v>#N/A</v>
      </c>
    </row>
    <row r="17" spans="1:4" x14ac:dyDescent="0.25">
      <c r="A17" t="s">
        <v>26</v>
      </c>
      <c r="B17" s="2">
        <v>8</v>
      </c>
      <c r="C17" s="3" t="e">
        <v>#N/A</v>
      </c>
      <c r="D17" s="10" t="e">
        <v>#N/A</v>
      </c>
    </row>
    <row r="18" spans="1:4" x14ac:dyDescent="0.25">
      <c r="A18" t="s">
        <v>27</v>
      </c>
      <c r="B18" s="2">
        <v>8.3000000000000007</v>
      </c>
      <c r="C18" s="3" t="e">
        <v>#N/A</v>
      </c>
      <c r="D18" s="10" t="e">
        <v>#N/A</v>
      </c>
    </row>
    <row r="19" spans="1:4" x14ac:dyDescent="0.25">
      <c r="A19" t="s">
        <v>28</v>
      </c>
      <c r="B19" s="2">
        <v>8.6</v>
      </c>
      <c r="C19" s="3" t="e">
        <v>#N/A</v>
      </c>
      <c r="D19" s="10" t="e">
        <v>#N/A</v>
      </c>
    </row>
    <row r="20" spans="1:4" x14ac:dyDescent="0.25">
      <c r="A20" t="s">
        <v>29</v>
      </c>
      <c r="B20" s="2">
        <v>8.9</v>
      </c>
      <c r="C20" s="3" t="e">
        <v>#N/A</v>
      </c>
      <c r="D20" s="10" t="e">
        <v>#N/A</v>
      </c>
    </row>
    <row r="21" spans="1:4" x14ac:dyDescent="0.25">
      <c r="A21" t="s">
        <v>30</v>
      </c>
      <c r="B21" s="2">
        <v>9.1</v>
      </c>
      <c r="C21" s="3" t="e">
        <v>#N/A</v>
      </c>
      <c r="D21" s="10" t="e">
        <v>#N/A</v>
      </c>
    </row>
    <row r="22" spans="1:4" x14ac:dyDescent="0.25">
      <c r="A22" t="s">
        <v>31</v>
      </c>
      <c r="B22" s="2">
        <v>9.4</v>
      </c>
      <c r="C22" s="3" t="e">
        <v>#N/A</v>
      </c>
      <c r="D22" s="10" t="e">
        <v>#N/A</v>
      </c>
    </row>
    <row r="23" spans="1:4" x14ac:dyDescent="0.25">
      <c r="A23" t="s">
        <v>32</v>
      </c>
      <c r="B23" s="2">
        <v>9.6</v>
      </c>
      <c r="C23" s="3" t="e">
        <v>#N/A</v>
      </c>
      <c r="D23" s="10" t="e">
        <v>#N/A</v>
      </c>
    </row>
    <row r="24" spans="1:4" x14ac:dyDescent="0.25">
      <c r="A24" t="s">
        <v>33</v>
      </c>
      <c r="B24" s="2">
        <v>9.6999999999999993</v>
      </c>
      <c r="C24" s="3" t="e">
        <v>#N/A</v>
      </c>
      <c r="D24" s="10" t="e">
        <v>#N/A</v>
      </c>
    </row>
    <row r="25" spans="1:4" x14ac:dyDescent="0.25">
      <c r="A25" t="s">
        <v>34</v>
      </c>
      <c r="B25" s="2">
        <v>9.8000000000000007</v>
      </c>
      <c r="C25" s="3" t="e">
        <v>#N/A</v>
      </c>
      <c r="D25" s="10" t="e">
        <v>#N/A</v>
      </c>
    </row>
    <row r="26" spans="1:4" x14ac:dyDescent="0.25">
      <c r="A26" t="s">
        <v>35</v>
      </c>
      <c r="B26" s="2">
        <v>9.9</v>
      </c>
      <c r="C26" s="3" t="e">
        <v>#N/A</v>
      </c>
      <c r="D26" s="10" t="e">
        <v>#N/A</v>
      </c>
    </row>
    <row r="27" spans="1:4" x14ac:dyDescent="0.25">
      <c r="A27" t="s">
        <v>36</v>
      </c>
      <c r="B27" s="2">
        <v>10</v>
      </c>
      <c r="C27" s="3" t="e">
        <v>#N/A</v>
      </c>
      <c r="D27" s="10" t="e">
        <v>#N/A</v>
      </c>
    </row>
    <row r="28" spans="1:4" x14ac:dyDescent="0.25">
      <c r="A28" t="s">
        <v>37</v>
      </c>
      <c r="B28" s="2">
        <v>10.1</v>
      </c>
      <c r="C28" s="3" t="e">
        <v>#N/A</v>
      </c>
      <c r="D28" s="10" t="e">
        <v>#N/A</v>
      </c>
    </row>
    <row r="29" spans="1:4" x14ac:dyDescent="0.25">
      <c r="A29" t="s">
        <v>38</v>
      </c>
      <c r="B29" s="2">
        <v>10.199999999999999</v>
      </c>
      <c r="C29" s="3" t="e">
        <v>#N/A</v>
      </c>
      <c r="D29" s="10" t="e">
        <v>#N/A</v>
      </c>
    </row>
    <row r="30" spans="1:4" x14ac:dyDescent="0.25">
      <c r="A30" t="s">
        <v>39</v>
      </c>
      <c r="B30" s="2">
        <v>10.3</v>
      </c>
      <c r="C30" s="3" t="e">
        <v>#N/A</v>
      </c>
      <c r="D30" s="10" t="e">
        <v>#N/A</v>
      </c>
    </row>
    <row r="31" spans="1:4" x14ac:dyDescent="0.25">
      <c r="A31" t="s">
        <v>40</v>
      </c>
      <c r="B31" s="2">
        <v>10.4</v>
      </c>
      <c r="C31" s="3" t="e">
        <v>#N/A</v>
      </c>
      <c r="D31" s="10" t="e">
        <v>#N/A</v>
      </c>
    </row>
    <row r="32" spans="1:4" x14ac:dyDescent="0.25">
      <c r="A32" t="s">
        <v>41</v>
      </c>
      <c r="B32" s="2">
        <v>10.4</v>
      </c>
      <c r="C32" s="3" t="e">
        <v>#N/A</v>
      </c>
      <c r="D32" s="10" t="e">
        <v>#N/A</v>
      </c>
    </row>
    <row r="33" spans="1:4" x14ac:dyDescent="0.25">
      <c r="A33" t="s">
        <v>42</v>
      </c>
      <c r="B33" s="2">
        <v>10.5</v>
      </c>
      <c r="C33" s="3" t="e">
        <v>#N/A</v>
      </c>
      <c r="D33" s="10" t="e">
        <v>#N/A</v>
      </c>
    </row>
    <row r="34" spans="1:4" x14ac:dyDescent="0.25">
      <c r="A34" t="s">
        <v>43</v>
      </c>
      <c r="B34" s="2">
        <v>10.5</v>
      </c>
      <c r="C34" s="3" t="e">
        <v>#N/A</v>
      </c>
      <c r="D34" s="10" t="e">
        <v>#N/A</v>
      </c>
    </row>
    <row r="35" spans="1:4" x14ac:dyDescent="0.25">
      <c r="A35" t="s">
        <v>44</v>
      </c>
      <c r="B35" s="2">
        <v>10.6</v>
      </c>
      <c r="C35" s="3" t="e">
        <v>#N/A</v>
      </c>
      <c r="D35" s="10" t="e">
        <v>#N/A</v>
      </c>
    </row>
    <row r="36" spans="1:4" x14ac:dyDescent="0.25">
      <c r="A36" t="s">
        <v>45</v>
      </c>
      <c r="B36" s="2">
        <v>10.6</v>
      </c>
      <c r="C36" s="3" t="e">
        <v>#N/A</v>
      </c>
      <c r="D36" s="10" t="e">
        <v>#N/A</v>
      </c>
    </row>
    <row r="37" spans="1:4" x14ac:dyDescent="0.25">
      <c r="A37" t="s">
        <v>46</v>
      </c>
      <c r="B37" s="2">
        <v>10.7</v>
      </c>
      <c r="C37" s="3" t="e">
        <v>#N/A</v>
      </c>
      <c r="D37" s="10" t="e">
        <v>#N/A</v>
      </c>
    </row>
    <row r="38" spans="1:4" x14ac:dyDescent="0.25">
      <c r="A38" t="s">
        <v>47</v>
      </c>
      <c r="B38" s="2">
        <v>10.8</v>
      </c>
      <c r="C38" s="3" t="e">
        <v>#N/A</v>
      </c>
      <c r="D38" s="10" t="e">
        <v>#N/A</v>
      </c>
    </row>
    <row r="39" spans="1:4" x14ac:dyDescent="0.25">
      <c r="A39" t="s">
        <v>48</v>
      </c>
      <c r="B39" s="2">
        <v>10.9</v>
      </c>
      <c r="C39" s="3" t="e">
        <v>#N/A</v>
      </c>
      <c r="D39" s="10" t="e">
        <v>#N/A</v>
      </c>
    </row>
    <row r="40" spans="1:4" x14ac:dyDescent="0.25">
      <c r="A40" t="s">
        <v>49</v>
      </c>
      <c r="B40" s="2">
        <v>11</v>
      </c>
      <c r="C40" s="3" t="e">
        <v>#N/A</v>
      </c>
      <c r="D40" s="10" t="e">
        <v>#N/A</v>
      </c>
    </row>
    <row r="41" spans="1:4" x14ac:dyDescent="0.25">
      <c r="A41" t="s">
        <v>50</v>
      </c>
      <c r="B41" s="2">
        <v>11.1</v>
      </c>
      <c r="C41" s="3" t="e">
        <v>#N/A</v>
      </c>
      <c r="D41" s="10" t="e">
        <v>#N/A</v>
      </c>
    </row>
    <row r="42" spans="1:4" x14ac:dyDescent="0.25">
      <c r="A42" t="s">
        <v>51</v>
      </c>
      <c r="B42" s="2">
        <v>11.2</v>
      </c>
      <c r="C42" s="3" t="e">
        <v>#N/A</v>
      </c>
      <c r="D42" s="10" t="e">
        <v>#N/A</v>
      </c>
    </row>
    <row r="43" spans="1:4" x14ac:dyDescent="0.25">
      <c r="A43" t="s">
        <v>52</v>
      </c>
      <c r="B43" s="2">
        <v>11.2</v>
      </c>
      <c r="C43" s="3" t="e">
        <v>#N/A</v>
      </c>
      <c r="D43" s="10" t="e">
        <v>#N/A</v>
      </c>
    </row>
    <row r="44" spans="1:4" x14ac:dyDescent="0.25">
      <c r="A44" t="s">
        <v>53</v>
      </c>
      <c r="B44" s="2">
        <v>11.3</v>
      </c>
      <c r="C44" s="3" t="e">
        <v>#N/A</v>
      </c>
      <c r="D44" s="10" t="e">
        <v>#N/A</v>
      </c>
    </row>
    <row r="45" spans="1:4" x14ac:dyDescent="0.25">
      <c r="A45" t="s">
        <v>54</v>
      </c>
      <c r="B45" s="2">
        <v>11.3</v>
      </c>
      <c r="C45" s="3" t="e">
        <v>#N/A</v>
      </c>
      <c r="D45" s="10" t="e">
        <v>#N/A</v>
      </c>
    </row>
    <row r="46" spans="1:4" x14ac:dyDescent="0.25">
      <c r="A46" t="s">
        <v>55</v>
      </c>
      <c r="B46" s="2">
        <v>11.3</v>
      </c>
      <c r="C46" s="3" t="e">
        <v>#N/A</v>
      </c>
      <c r="D46" s="10" t="e">
        <v>#N/A</v>
      </c>
    </row>
    <row r="47" spans="1:4" x14ac:dyDescent="0.25">
      <c r="A47" t="s">
        <v>56</v>
      </c>
      <c r="B47" s="2">
        <v>11.4</v>
      </c>
      <c r="C47" s="3" t="e">
        <v>#N/A</v>
      </c>
      <c r="D47" s="10" t="e">
        <v>#N/A</v>
      </c>
    </row>
    <row r="48" spans="1:4" x14ac:dyDescent="0.25">
      <c r="A48" t="s">
        <v>57</v>
      </c>
      <c r="B48" s="2">
        <v>11.5</v>
      </c>
      <c r="C48" s="3" t="e">
        <v>#N/A</v>
      </c>
      <c r="D48" s="10" t="e">
        <v>#N/A</v>
      </c>
    </row>
    <row r="49" spans="1:4" x14ac:dyDescent="0.25">
      <c r="A49" t="s">
        <v>58</v>
      </c>
      <c r="B49" s="2">
        <v>11.5</v>
      </c>
      <c r="C49" s="3" t="e">
        <v>#N/A</v>
      </c>
      <c r="D49" s="10" t="e">
        <v>#N/A</v>
      </c>
    </row>
    <row r="50" spans="1:4" x14ac:dyDescent="0.25">
      <c r="A50" t="s">
        <v>59</v>
      </c>
      <c r="B50" s="2">
        <v>11.5</v>
      </c>
      <c r="C50" s="3" t="e">
        <v>#N/A</v>
      </c>
      <c r="D50" s="10" t="e">
        <v>#N/A</v>
      </c>
    </row>
    <row r="51" spans="1:4" x14ac:dyDescent="0.25">
      <c r="A51" t="s">
        <v>60</v>
      </c>
      <c r="B51" s="2">
        <v>11.6</v>
      </c>
      <c r="C51" s="3" t="e">
        <v>#N/A</v>
      </c>
      <c r="D51" s="10" t="e">
        <v>#N/A</v>
      </c>
    </row>
    <row r="52" spans="1:4" x14ac:dyDescent="0.25">
      <c r="A52" t="s">
        <v>61</v>
      </c>
      <c r="B52" s="2">
        <v>11.6</v>
      </c>
      <c r="C52" s="3" t="e">
        <v>#N/A</v>
      </c>
      <c r="D52" s="10" t="e">
        <v>#N/A</v>
      </c>
    </row>
    <row r="53" spans="1:4" x14ac:dyDescent="0.25">
      <c r="A53" t="s">
        <v>62</v>
      </c>
      <c r="B53" s="2">
        <v>11.7</v>
      </c>
      <c r="C53" s="3" t="e">
        <v>#N/A</v>
      </c>
      <c r="D53" s="10" t="e">
        <v>#N/A</v>
      </c>
    </row>
    <row r="54" spans="1:4" x14ac:dyDescent="0.25">
      <c r="A54" t="s">
        <v>63</v>
      </c>
      <c r="B54" s="2">
        <v>11.7</v>
      </c>
      <c r="C54" s="3" t="e">
        <v>#N/A</v>
      </c>
      <c r="D54" s="10" t="e">
        <v>#N/A</v>
      </c>
    </row>
    <row r="55" spans="1:4" x14ac:dyDescent="0.25">
      <c r="A55" t="s">
        <v>64</v>
      </c>
      <c r="B55" s="2">
        <v>11.8</v>
      </c>
      <c r="C55" s="3" t="e">
        <v>#N/A</v>
      </c>
      <c r="D55" s="10" t="e">
        <v>#N/A</v>
      </c>
    </row>
    <row r="56" spans="1:4" x14ac:dyDescent="0.25">
      <c r="A56" t="s">
        <v>65</v>
      </c>
      <c r="B56" s="2">
        <v>11.8</v>
      </c>
      <c r="C56" s="3" t="e">
        <v>#N/A</v>
      </c>
      <c r="D56" s="10" t="e">
        <v>#N/A</v>
      </c>
    </row>
    <row r="57" spans="1:4" x14ac:dyDescent="0.25">
      <c r="A57" t="s">
        <v>66</v>
      </c>
      <c r="B57" s="2">
        <v>11.9</v>
      </c>
      <c r="C57" s="3" t="e">
        <v>#N/A</v>
      </c>
      <c r="D57" s="10" t="e">
        <v>#N/A</v>
      </c>
    </row>
    <row r="58" spans="1:4" x14ac:dyDescent="0.25">
      <c r="A58" t="s">
        <v>67</v>
      </c>
      <c r="B58" s="2">
        <v>11.9</v>
      </c>
      <c r="C58" s="3" t="e">
        <v>#N/A</v>
      </c>
      <c r="D58" s="10" t="e">
        <v>#N/A</v>
      </c>
    </row>
    <row r="59" spans="1:4" x14ac:dyDescent="0.25">
      <c r="A59" t="s">
        <v>68</v>
      </c>
      <c r="B59" s="2">
        <v>11.9</v>
      </c>
      <c r="C59" s="3" t="e">
        <v>#N/A</v>
      </c>
      <c r="D59" s="10" t="e">
        <v>#N/A</v>
      </c>
    </row>
    <row r="60" spans="1:4" x14ac:dyDescent="0.25">
      <c r="A60" t="s">
        <v>69</v>
      </c>
      <c r="B60" s="2">
        <v>11.8</v>
      </c>
      <c r="C60" s="3" t="e">
        <v>#N/A</v>
      </c>
      <c r="D60" s="10" t="e">
        <v>#N/A</v>
      </c>
    </row>
    <row r="61" spans="1:4" x14ac:dyDescent="0.25">
      <c r="A61" t="s">
        <v>70</v>
      </c>
      <c r="B61" s="2">
        <v>11.8</v>
      </c>
      <c r="C61" s="3" t="e">
        <v>#N/A</v>
      </c>
      <c r="D61" s="10" t="e">
        <v>#N/A</v>
      </c>
    </row>
    <row r="62" spans="1:4" x14ac:dyDescent="0.25">
      <c r="A62" t="s">
        <v>71</v>
      </c>
      <c r="B62" s="2">
        <v>11.7</v>
      </c>
      <c r="C62" s="3" t="e">
        <v>#N/A</v>
      </c>
      <c r="D62" s="10" t="e">
        <v>#N/A</v>
      </c>
    </row>
    <row r="63" spans="1:4" x14ac:dyDescent="0.25">
      <c r="A63" t="s">
        <v>72</v>
      </c>
      <c r="B63" s="2">
        <v>11.7</v>
      </c>
      <c r="C63" s="3" t="e">
        <v>#N/A</v>
      </c>
      <c r="D63" s="10" t="e">
        <v>#N/A</v>
      </c>
    </row>
    <row r="64" spans="1:4" x14ac:dyDescent="0.25">
      <c r="A64" t="s">
        <v>73</v>
      </c>
      <c r="B64" s="2">
        <v>11.7</v>
      </c>
      <c r="C64" s="3" t="e">
        <v>#N/A</v>
      </c>
      <c r="D64" s="10" t="e">
        <v>#N/A</v>
      </c>
    </row>
    <row r="65" spans="1:4" x14ac:dyDescent="0.25">
      <c r="A65" t="s">
        <v>74</v>
      </c>
      <c r="B65" s="2">
        <v>11.6</v>
      </c>
      <c r="C65" s="3" t="e">
        <v>#N/A</v>
      </c>
      <c r="D65" s="10" t="e">
        <v>#N/A</v>
      </c>
    </row>
    <row r="66" spans="1:4" x14ac:dyDescent="0.25">
      <c r="A66" t="s">
        <v>75</v>
      </c>
      <c r="B66" s="2">
        <v>11.6</v>
      </c>
      <c r="C66" s="3" t="e">
        <v>#N/A</v>
      </c>
      <c r="D66" s="10" t="e">
        <v>#N/A</v>
      </c>
    </row>
    <row r="67" spans="1:4" x14ac:dyDescent="0.25">
      <c r="A67" t="s">
        <v>76</v>
      </c>
      <c r="B67" s="2">
        <v>11.5</v>
      </c>
      <c r="C67" s="3" t="e">
        <v>#N/A</v>
      </c>
      <c r="D67" s="10" t="e">
        <v>#N/A</v>
      </c>
    </row>
    <row r="68" spans="1:4" x14ac:dyDescent="0.25">
      <c r="A68" t="s">
        <v>77</v>
      </c>
      <c r="B68" s="2">
        <v>11.5</v>
      </c>
      <c r="C68" s="3" t="e">
        <v>#N/A</v>
      </c>
      <c r="D68" s="10" t="e">
        <v>#N/A</v>
      </c>
    </row>
    <row r="69" spans="1:4" x14ac:dyDescent="0.25">
      <c r="A69" t="s">
        <v>78</v>
      </c>
      <c r="B69" s="2">
        <v>11.4</v>
      </c>
      <c r="C69" s="3" t="e">
        <v>#N/A</v>
      </c>
      <c r="D69" s="10" t="e">
        <v>#N/A</v>
      </c>
    </row>
    <row r="70" spans="1:4" x14ac:dyDescent="0.25">
      <c r="A70" t="s">
        <v>79</v>
      </c>
      <c r="B70" s="2">
        <v>11.4</v>
      </c>
      <c r="C70" s="3" t="e">
        <v>#N/A</v>
      </c>
      <c r="D70" s="10" t="e">
        <v>#N/A</v>
      </c>
    </row>
    <row r="71" spans="1:4" x14ac:dyDescent="0.25">
      <c r="A71" t="s">
        <v>80</v>
      </c>
      <c r="B71" s="2">
        <v>11.4</v>
      </c>
      <c r="C71" s="3" t="e">
        <v>#N/A</v>
      </c>
      <c r="D71" s="10" t="e">
        <v>#N/A</v>
      </c>
    </row>
    <row r="72" spans="1:4" x14ac:dyDescent="0.25">
      <c r="A72" t="s">
        <v>81</v>
      </c>
      <c r="B72" s="2">
        <v>11.3</v>
      </c>
      <c r="C72" s="3" t="e">
        <v>#N/A</v>
      </c>
      <c r="D72" s="10" t="e">
        <v>#N/A</v>
      </c>
    </row>
    <row r="73" spans="1:4" x14ac:dyDescent="0.25">
      <c r="A73" t="s">
        <v>82</v>
      </c>
      <c r="B73" s="2">
        <v>11.3</v>
      </c>
      <c r="C73" s="3" t="e">
        <v>#N/A</v>
      </c>
      <c r="D73" s="10" t="e">
        <v>#N/A</v>
      </c>
    </row>
    <row r="74" spans="1:4" x14ac:dyDescent="0.25">
      <c r="A74" t="s">
        <v>83</v>
      </c>
      <c r="B74" s="2">
        <v>11.3</v>
      </c>
      <c r="C74" s="3" t="e">
        <v>#N/A</v>
      </c>
      <c r="D74" s="10" t="e">
        <v>#N/A</v>
      </c>
    </row>
    <row r="75" spans="1:4" x14ac:dyDescent="0.25">
      <c r="A75" t="s">
        <v>84</v>
      </c>
      <c r="B75" s="2">
        <v>11.3</v>
      </c>
      <c r="C75" s="3" t="e">
        <v>#N/A</v>
      </c>
      <c r="D75" s="10" t="e">
        <v>#N/A</v>
      </c>
    </row>
    <row r="76" spans="1:4" x14ac:dyDescent="0.25">
      <c r="A76" t="s">
        <v>85</v>
      </c>
      <c r="B76" s="2">
        <v>11.3</v>
      </c>
      <c r="C76" s="3" t="e">
        <v>#N/A</v>
      </c>
      <c r="D76" s="10" t="e">
        <v>#N/A</v>
      </c>
    </row>
    <row r="77" spans="1:4" x14ac:dyDescent="0.25">
      <c r="A77" t="s">
        <v>86</v>
      </c>
      <c r="B77" s="2">
        <v>11.3</v>
      </c>
      <c r="C77" s="3" t="e">
        <v>#N/A</v>
      </c>
      <c r="D77" s="10" t="e">
        <v>#N/A</v>
      </c>
    </row>
    <row r="78" spans="1:4" x14ac:dyDescent="0.25">
      <c r="A78" t="s">
        <v>87</v>
      </c>
      <c r="B78" s="2">
        <v>11.3</v>
      </c>
      <c r="C78" s="3" t="e">
        <v>#N/A</v>
      </c>
      <c r="D78" s="10" t="e">
        <v>#N/A</v>
      </c>
    </row>
    <row r="79" spans="1:4" x14ac:dyDescent="0.25">
      <c r="A79" t="s">
        <v>88</v>
      </c>
      <c r="B79" s="2">
        <v>11.3</v>
      </c>
      <c r="C79" s="3" t="e">
        <v>#N/A</v>
      </c>
      <c r="D79" s="10" t="e">
        <v>#N/A</v>
      </c>
    </row>
    <row r="80" spans="1:4" x14ac:dyDescent="0.25">
      <c r="A80" t="s">
        <v>89</v>
      </c>
      <c r="B80" s="2">
        <v>11.3</v>
      </c>
      <c r="C80" s="3" t="e">
        <v>#N/A</v>
      </c>
      <c r="D80" s="10" t="e">
        <v>#N/A</v>
      </c>
    </row>
    <row r="81" spans="1:4" x14ac:dyDescent="0.25">
      <c r="A81" t="s">
        <v>90</v>
      </c>
      <c r="B81" s="2">
        <v>11.3</v>
      </c>
      <c r="C81" s="3" t="e">
        <v>#N/A</v>
      </c>
      <c r="D81" s="10" t="e">
        <v>#N/A</v>
      </c>
    </row>
    <row r="82" spans="1:4" x14ac:dyDescent="0.25">
      <c r="A82" t="s">
        <v>91</v>
      </c>
      <c r="B82" s="2">
        <v>11.3</v>
      </c>
      <c r="C82" s="3" t="e">
        <v>#N/A</v>
      </c>
      <c r="D82" s="10" t="e">
        <v>#N/A</v>
      </c>
    </row>
    <row r="83" spans="1:4" x14ac:dyDescent="0.25">
      <c r="A83" t="s">
        <v>92</v>
      </c>
      <c r="B83" s="2">
        <v>11.3</v>
      </c>
      <c r="C83" s="3" t="e">
        <v>#N/A</v>
      </c>
      <c r="D83" s="10" t="e">
        <v>#N/A</v>
      </c>
    </row>
    <row r="84" spans="1:4" x14ac:dyDescent="0.25">
      <c r="A84" t="s">
        <v>93</v>
      </c>
      <c r="B84" s="2">
        <v>11.4</v>
      </c>
      <c r="C84" s="3" t="e">
        <v>#N/A</v>
      </c>
      <c r="D84" s="10" t="e">
        <v>#N/A</v>
      </c>
    </row>
    <row r="85" spans="1:4" x14ac:dyDescent="0.25">
      <c r="A85" t="s">
        <v>94</v>
      </c>
      <c r="B85" s="2">
        <v>11.4</v>
      </c>
      <c r="C85" s="3" t="e">
        <v>#N/A</v>
      </c>
      <c r="D85" s="10" t="e">
        <v>#N/A</v>
      </c>
    </row>
    <row r="86" spans="1:4" x14ac:dyDescent="0.25">
      <c r="A86" t="s">
        <v>95</v>
      </c>
      <c r="B86" s="2">
        <v>11.4</v>
      </c>
      <c r="C86" s="3" t="e">
        <v>#N/A</v>
      </c>
      <c r="D86" s="10" t="e">
        <v>#N/A</v>
      </c>
    </row>
    <row r="87" spans="1:4" x14ac:dyDescent="0.25">
      <c r="A87" t="s">
        <v>96</v>
      </c>
      <c r="B87" s="2">
        <v>11.3</v>
      </c>
      <c r="C87" s="3" t="e">
        <v>#N/A</v>
      </c>
      <c r="D87" s="10" t="e">
        <v>#N/A</v>
      </c>
    </row>
    <row r="88" spans="1:4" x14ac:dyDescent="0.25">
      <c r="A88" t="s">
        <v>97</v>
      </c>
      <c r="B88" s="2">
        <v>11.3</v>
      </c>
      <c r="C88" s="3" t="e">
        <v>#N/A</v>
      </c>
      <c r="D88" s="10" t="e">
        <v>#N/A</v>
      </c>
    </row>
    <row r="89" spans="1:4" x14ac:dyDescent="0.25">
      <c r="A89" t="s">
        <v>98</v>
      </c>
      <c r="B89" s="2">
        <v>11.3</v>
      </c>
      <c r="C89" s="3" t="e">
        <v>#N/A</v>
      </c>
      <c r="D89" s="10" t="e">
        <v>#N/A</v>
      </c>
    </row>
    <row r="90" spans="1:4" x14ac:dyDescent="0.25">
      <c r="A90" t="s">
        <v>99</v>
      </c>
      <c r="B90" s="2">
        <v>11.2</v>
      </c>
      <c r="C90" s="3" t="e">
        <v>#N/A</v>
      </c>
      <c r="D90" s="10" t="e">
        <v>#N/A</v>
      </c>
    </row>
    <row r="91" spans="1:4" x14ac:dyDescent="0.25">
      <c r="A91" t="s">
        <v>100</v>
      </c>
      <c r="B91" s="2">
        <v>11.2</v>
      </c>
      <c r="C91" s="3" t="e">
        <v>#N/A</v>
      </c>
      <c r="D91" s="10" t="e">
        <v>#N/A</v>
      </c>
    </row>
    <row r="92" spans="1:4" x14ac:dyDescent="0.25">
      <c r="A92" t="s">
        <v>101</v>
      </c>
      <c r="B92" s="2">
        <v>11.1</v>
      </c>
      <c r="C92" s="3" t="e">
        <v>#N/A</v>
      </c>
      <c r="D92" s="10" t="e">
        <v>#N/A</v>
      </c>
    </row>
    <row r="93" spans="1:4" x14ac:dyDescent="0.25">
      <c r="A93" t="s">
        <v>102</v>
      </c>
      <c r="B93" s="2">
        <v>11</v>
      </c>
      <c r="C93" s="3" t="e">
        <v>#N/A</v>
      </c>
      <c r="D93" s="10" t="e">
        <v>#N/A</v>
      </c>
    </row>
    <row r="94" spans="1:4" x14ac:dyDescent="0.25">
      <c r="A94" t="s">
        <v>103</v>
      </c>
      <c r="B94" s="2">
        <v>10.9</v>
      </c>
      <c r="C94" s="3" t="e">
        <v>#N/A</v>
      </c>
      <c r="D94" s="10" t="e">
        <v>#N/A</v>
      </c>
    </row>
    <row r="95" spans="1:4" x14ac:dyDescent="0.25">
      <c r="A95" t="s">
        <v>104</v>
      </c>
      <c r="B95" s="2">
        <v>10.7</v>
      </c>
      <c r="C95" s="3" t="e">
        <v>#N/A</v>
      </c>
      <c r="D95" s="10" t="e">
        <v>#N/A</v>
      </c>
    </row>
    <row r="96" spans="1:4" x14ac:dyDescent="0.25">
      <c r="A96" t="s">
        <v>105</v>
      </c>
      <c r="B96" s="2">
        <v>10.6</v>
      </c>
      <c r="C96" s="3" t="e">
        <v>#N/A</v>
      </c>
      <c r="D96" s="10" t="e">
        <v>#N/A</v>
      </c>
    </row>
    <row r="97" spans="1:4" x14ac:dyDescent="0.25">
      <c r="A97" t="s">
        <v>106</v>
      </c>
      <c r="B97" s="2">
        <v>10.4</v>
      </c>
      <c r="C97" s="3" t="e">
        <v>#N/A</v>
      </c>
      <c r="D97" s="10" t="e">
        <v>#N/A</v>
      </c>
    </row>
    <row r="98" spans="1:4" x14ac:dyDescent="0.25">
      <c r="A98" t="s">
        <v>107</v>
      </c>
      <c r="B98" s="2">
        <v>10.199999999999999</v>
      </c>
      <c r="C98" s="3" t="e">
        <v>#N/A</v>
      </c>
      <c r="D98" s="10" t="e">
        <v>#N/A</v>
      </c>
    </row>
    <row r="99" spans="1:4" x14ac:dyDescent="0.25">
      <c r="A99" t="s">
        <v>108</v>
      </c>
      <c r="B99" s="2">
        <v>10</v>
      </c>
      <c r="C99" s="3" t="e">
        <v>#N/A</v>
      </c>
      <c r="D99" s="10" t="e">
        <v>#N/A</v>
      </c>
    </row>
    <row r="100" spans="1:4" x14ac:dyDescent="0.25">
      <c r="A100" t="s">
        <v>109</v>
      </c>
      <c r="B100" s="2">
        <v>9.9</v>
      </c>
      <c r="C100" s="3" t="e">
        <v>#N/A</v>
      </c>
      <c r="D100" s="10" t="e">
        <v>#N/A</v>
      </c>
    </row>
    <row r="101" spans="1:4" x14ac:dyDescent="0.25">
      <c r="A101" t="s">
        <v>110</v>
      </c>
      <c r="B101" s="2">
        <v>9.6999999999999993</v>
      </c>
      <c r="C101" s="3" t="e">
        <v>#N/A</v>
      </c>
      <c r="D101" s="10" t="e">
        <v>#N/A</v>
      </c>
    </row>
    <row r="102" spans="1:4" x14ac:dyDescent="0.25">
      <c r="A102" t="s">
        <v>111</v>
      </c>
      <c r="B102" s="2">
        <v>9.5</v>
      </c>
      <c r="C102" s="3" t="e">
        <v>#N/A</v>
      </c>
      <c r="D102" s="10" t="e">
        <v>#N/A</v>
      </c>
    </row>
    <row r="103" spans="1:4" x14ac:dyDescent="0.25">
      <c r="A103" t="s">
        <v>112</v>
      </c>
      <c r="B103" s="2">
        <v>9.4</v>
      </c>
      <c r="C103" s="3" t="e">
        <v>#N/A</v>
      </c>
      <c r="D103" s="10" t="e">
        <v>#N/A</v>
      </c>
    </row>
    <row r="104" spans="1:4" x14ac:dyDescent="0.25">
      <c r="A104" t="s">
        <v>113</v>
      </c>
      <c r="B104" s="2">
        <v>9.1999999999999993</v>
      </c>
      <c r="C104" s="3" t="e">
        <v>#N/A</v>
      </c>
      <c r="D104" s="10" t="e">
        <v>#N/A</v>
      </c>
    </row>
    <row r="105" spans="1:4" x14ac:dyDescent="0.25">
      <c r="A105" t="s">
        <v>114</v>
      </c>
      <c r="B105" s="2">
        <v>9</v>
      </c>
      <c r="C105" s="3" t="e">
        <v>#N/A</v>
      </c>
      <c r="D105" s="10" t="e">
        <v>#N/A</v>
      </c>
    </row>
    <row r="106" spans="1:4" x14ac:dyDescent="0.25">
      <c r="A106" t="s">
        <v>115</v>
      </c>
      <c r="B106" s="2">
        <v>8.9</v>
      </c>
      <c r="C106" s="3" t="e">
        <v>#N/A</v>
      </c>
      <c r="D106" s="10" t="e">
        <v>#N/A</v>
      </c>
    </row>
    <row r="107" spans="1:4" x14ac:dyDescent="0.25">
      <c r="A107" t="s">
        <v>116</v>
      </c>
      <c r="B107" s="2">
        <v>8.6999999999999993</v>
      </c>
      <c r="C107" s="3" t="e">
        <v>#N/A</v>
      </c>
      <c r="D107" s="10" t="e">
        <v>#N/A</v>
      </c>
    </row>
    <row r="108" spans="1:4" x14ac:dyDescent="0.25">
      <c r="A108" t="s">
        <v>117</v>
      </c>
      <c r="B108" s="2">
        <v>8.6</v>
      </c>
      <c r="C108" s="3" t="e">
        <v>#N/A</v>
      </c>
      <c r="D108" s="10" t="e">
        <v>#N/A</v>
      </c>
    </row>
    <row r="109" spans="1:4" x14ac:dyDescent="0.25">
      <c r="A109" t="s">
        <v>118</v>
      </c>
      <c r="B109" s="2">
        <v>8.5</v>
      </c>
      <c r="C109" s="3" t="e">
        <v>#N/A</v>
      </c>
      <c r="D109" s="10" t="e">
        <v>#N/A</v>
      </c>
    </row>
    <row r="110" spans="1:4" x14ac:dyDescent="0.25">
      <c r="A110" t="s">
        <v>119</v>
      </c>
      <c r="B110" s="2">
        <v>8.4</v>
      </c>
      <c r="C110" s="3" t="e">
        <v>#N/A</v>
      </c>
      <c r="D110" s="10" t="e">
        <v>#N/A</v>
      </c>
    </row>
    <row r="111" spans="1:4" x14ac:dyDescent="0.25">
      <c r="A111" t="s">
        <v>120</v>
      </c>
      <c r="B111" s="2">
        <v>8.3000000000000007</v>
      </c>
      <c r="C111" s="3" t="e">
        <v>#N/A</v>
      </c>
      <c r="D111" s="10" t="e">
        <v>#N/A</v>
      </c>
    </row>
    <row r="112" spans="1:4" x14ac:dyDescent="0.25">
      <c r="A112" t="s">
        <v>121</v>
      </c>
      <c r="B112" s="2">
        <v>8.1999999999999993</v>
      </c>
      <c r="C112" s="3" t="e">
        <v>#N/A</v>
      </c>
      <c r="D112" s="10" t="e">
        <v>#N/A</v>
      </c>
    </row>
    <row r="113" spans="1:4" x14ac:dyDescent="0.25">
      <c r="A113" t="s">
        <v>122</v>
      </c>
      <c r="B113" s="2">
        <v>8</v>
      </c>
      <c r="C113" s="3" t="e">
        <v>#N/A</v>
      </c>
      <c r="D113" s="10" t="e">
        <v>#N/A</v>
      </c>
    </row>
    <row r="114" spans="1:4" x14ac:dyDescent="0.25">
      <c r="A114" t="s">
        <v>123</v>
      </c>
      <c r="B114" s="2">
        <v>7.9</v>
      </c>
      <c r="C114" s="3" t="e">
        <v>#N/A</v>
      </c>
      <c r="D114" s="10" t="e">
        <v>#N/A</v>
      </c>
    </row>
    <row r="115" spans="1:4" x14ac:dyDescent="0.25">
      <c r="A115" t="s">
        <v>124</v>
      </c>
      <c r="B115" s="2">
        <v>7.7</v>
      </c>
      <c r="C115" s="3" t="e">
        <v>#N/A</v>
      </c>
      <c r="D115" s="10" t="e">
        <v>#N/A</v>
      </c>
    </row>
    <row r="116" spans="1:4" x14ac:dyDescent="0.25">
      <c r="A116" t="s">
        <v>125</v>
      </c>
      <c r="B116" s="2">
        <v>7.6</v>
      </c>
      <c r="C116" s="3" t="e">
        <v>#N/A</v>
      </c>
      <c r="D116" s="10" t="e">
        <v>#N/A</v>
      </c>
    </row>
    <row r="117" spans="1:4" x14ac:dyDescent="0.25">
      <c r="A117" t="s">
        <v>126</v>
      </c>
      <c r="B117" s="2">
        <v>7.4</v>
      </c>
      <c r="C117" s="3" t="e">
        <v>#N/A</v>
      </c>
      <c r="D117" s="10" t="e">
        <v>#N/A</v>
      </c>
    </row>
    <row r="118" spans="1:4" x14ac:dyDescent="0.25">
      <c r="A118" t="s">
        <v>127</v>
      </c>
      <c r="B118" s="2">
        <v>7.3</v>
      </c>
      <c r="C118" s="3" t="e">
        <v>#N/A</v>
      </c>
      <c r="D118" s="10" t="e">
        <v>#N/A</v>
      </c>
    </row>
    <row r="119" spans="1:4" x14ac:dyDescent="0.25">
      <c r="A119" t="s">
        <v>128</v>
      </c>
      <c r="B119" s="2">
        <v>7.2</v>
      </c>
      <c r="C119" s="3" t="e">
        <v>#N/A</v>
      </c>
      <c r="D119" s="10" t="e">
        <v>#N/A</v>
      </c>
    </row>
    <row r="120" spans="1:4" x14ac:dyDescent="0.25">
      <c r="A120" t="s">
        <v>129</v>
      </c>
      <c r="B120" s="2">
        <v>7.2</v>
      </c>
      <c r="C120" s="3" t="e">
        <v>#N/A</v>
      </c>
      <c r="D120" s="10" t="e">
        <v>#N/A</v>
      </c>
    </row>
    <row r="121" spans="1:4" x14ac:dyDescent="0.25">
      <c r="A121" t="s">
        <v>130</v>
      </c>
      <c r="B121" s="2">
        <v>7.1</v>
      </c>
      <c r="C121" s="3" t="e">
        <v>#N/A</v>
      </c>
      <c r="D121" s="10" t="e">
        <v>#N/A</v>
      </c>
    </row>
    <row r="122" spans="1:4" x14ac:dyDescent="0.25">
      <c r="A122" t="s">
        <v>131</v>
      </c>
      <c r="B122" s="2">
        <v>7.1</v>
      </c>
      <c r="C122" s="3" t="e">
        <v>#N/A</v>
      </c>
      <c r="D122" s="10" t="e">
        <v>#N/A</v>
      </c>
    </row>
    <row r="123" spans="1:4" x14ac:dyDescent="0.25">
      <c r="A123" t="s">
        <v>132</v>
      </c>
      <c r="B123" s="2">
        <v>7.1</v>
      </c>
      <c r="C123" s="3" t="e">
        <v>#N/A</v>
      </c>
      <c r="D123" s="10" t="e">
        <v>#N/A</v>
      </c>
    </row>
    <row r="124" spans="1:4" x14ac:dyDescent="0.25">
      <c r="A124" t="s">
        <v>133</v>
      </c>
      <c r="B124" s="2">
        <v>7</v>
      </c>
      <c r="C124" s="3" t="e">
        <v>#N/A</v>
      </c>
      <c r="D124" s="10" t="e">
        <v>#N/A</v>
      </c>
    </row>
    <row r="125" spans="1:4" x14ac:dyDescent="0.25">
      <c r="A125" t="s">
        <v>134</v>
      </c>
      <c r="B125" s="2">
        <v>7</v>
      </c>
      <c r="C125" s="3" t="e">
        <v>#N/A</v>
      </c>
      <c r="D125" s="10" t="e">
        <v>#N/A</v>
      </c>
    </row>
    <row r="126" spans="1:4" x14ac:dyDescent="0.25">
      <c r="A126" t="s">
        <v>135</v>
      </c>
      <c r="B126" s="2">
        <v>7</v>
      </c>
      <c r="C126" s="3" t="e">
        <v>#N/A</v>
      </c>
      <c r="D126" s="10" t="e">
        <v>#N/A</v>
      </c>
    </row>
    <row r="127" spans="1:4" x14ac:dyDescent="0.25">
      <c r="A127" t="s">
        <v>136</v>
      </c>
      <c r="B127" s="2">
        <v>6.9</v>
      </c>
      <c r="C127" s="3" t="e">
        <v>#N/A</v>
      </c>
      <c r="D127" s="10" t="e">
        <v>#N/A</v>
      </c>
    </row>
    <row r="128" spans="1:4" x14ac:dyDescent="0.25">
      <c r="A128" t="s">
        <v>137</v>
      </c>
      <c r="B128" s="2">
        <v>6.9</v>
      </c>
      <c r="C128" s="3" t="e">
        <v>#N/A</v>
      </c>
      <c r="D128" s="10" t="e">
        <v>#N/A</v>
      </c>
    </row>
    <row r="129" spans="1:4" x14ac:dyDescent="0.25">
      <c r="A129" t="s">
        <v>138</v>
      </c>
      <c r="B129" s="2">
        <v>6.9</v>
      </c>
      <c r="C129" s="3" t="e">
        <v>#N/A</v>
      </c>
      <c r="D129" s="10" t="e">
        <v>#N/A</v>
      </c>
    </row>
    <row r="130" spans="1:4" x14ac:dyDescent="0.25">
      <c r="A130" t="s">
        <v>139</v>
      </c>
      <c r="B130" s="2">
        <v>6.9</v>
      </c>
      <c r="C130" s="3" t="e">
        <v>#N/A</v>
      </c>
      <c r="D130" s="10" t="e">
        <v>#N/A</v>
      </c>
    </row>
    <row r="131" spans="1:4" x14ac:dyDescent="0.25">
      <c r="A131" t="s">
        <v>140</v>
      </c>
      <c r="B131" s="2">
        <v>6.9</v>
      </c>
      <c r="C131" s="3" t="e">
        <v>#N/A</v>
      </c>
      <c r="D131" s="10" t="e">
        <v>#N/A</v>
      </c>
    </row>
    <row r="132" spans="1:4" x14ac:dyDescent="0.25">
      <c r="A132" t="s">
        <v>141</v>
      </c>
      <c r="B132" s="2">
        <v>6.9</v>
      </c>
      <c r="C132" s="3" t="e">
        <v>#N/A</v>
      </c>
      <c r="D132" s="10" t="e">
        <v>#N/A</v>
      </c>
    </row>
    <row r="133" spans="1:4" x14ac:dyDescent="0.25">
      <c r="A133" t="s">
        <v>142</v>
      </c>
      <c r="B133" s="2">
        <v>7</v>
      </c>
      <c r="C133" s="3" t="e">
        <v>#N/A</v>
      </c>
      <c r="D133" s="10" t="e">
        <v>#N/A</v>
      </c>
    </row>
    <row r="134" spans="1:4" x14ac:dyDescent="0.25">
      <c r="A134" t="s">
        <v>143</v>
      </c>
      <c r="B134" s="2">
        <v>7.1</v>
      </c>
      <c r="C134" s="3" t="e">
        <v>#N/A</v>
      </c>
      <c r="D134" s="10" t="e">
        <v>#N/A</v>
      </c>
    </row>
    <row r="135" spans="1:4" x14ac:dyDescent="0.25">
      <c r="A135" t="s">
        <v>144</v>
      </c>
      <c r="B135" s="2">
        <v>7.2</v>
      </c>
      <c r="C135" s="3" t="e">
        <v>#N/A</v>
      </c>
      <c r="D135" s="10" t="e">
        <v>#N/A</v>
      </c>
    </row>
    <row r="136" spans="1:4" x14ac:dyDescent="0.25">
      <c r="A136" t="s">
        <v>145</v>
      </c>
      <c r="B136" s="2">
        <v>7.3</v>
      </c>
      <c r="C136" s="3" t="e">
        <v>#N/A</v>
      </c>
      <c r="D136" s="10" t="e">
        <v>#N/A</v>
      </c>
    </row>
    <row r="137" spans="1:4" x14ac:dyDescent="0.25">
      <c r="A137" t="s">
        <v>146</v>
      </c>
      <c r="B137" s="2">
        <v>7.5</v>
      </c>
      <c r="C137" s="3" t="e">
        <v>#N/A</v>
      </c>
      <c r="D137" s="10" t="e">
        <v>#N/A</v>
      </c>
    </row>
    <row r="138" spans="1:4" x14ac:dyDescent="0.25">
      <c r="A138" t="s">
        <v>147</v>
      </c>
      <c r="B138" s="2">
        <v>7.6</v>
      </c>
      <c r="C138" s="3" t="e">
        <v>#N/A</v>
      </c>
      <c r="D138" s="10" t="e">
        <v>#N/A</v>
      </c>
    </row>
    <row r="139" spans="1:4" x14ac:dyDescent="0.25">
      <c r="A139" t="s">
        <v>148</v>
      </c>
      <c r="B139" s="2">
        <v>7.8</v>
      </c>
      <c r="C139" s="3" t="e">
        <v>#N/A</v>
      </c>
      <c r="D139" s="10" t="e">
        <v>#N/A</v>
      </c>
    </row>
    <row r="140" spans="1:4" x14ac:dyDescent="0.25">
      <c r="A140" t="s">
        <v>149</v>
      </c>
      <c r="B140" s="2">
        <v>8</v>
      </c>
      <c r="C140" s="3" t="e">
        <v>#N/A</v>
      </c>
      <c r="D140" s="10" t="e">
        <v>#N/A</v>
      </c>
    </row>
    <row r="141" spans="1:4" x14ac:dyDescent="0.25">
      <c r="A141" t="s">
        <v>150</v>
      </c>
      <c r="B141" s="2">
        <v>8.1999999999999993</v>
      </c>
      <c r="C141" s="3" t="e">
        <v>#N/A</v>
      </c>
      <c r="D141" s="10" t="e">
        <v>#N/A</v>
      </c>
    </row>
    <row r="142" spans="1:4" x14ac:dyDescent="0.25">
      <c r="A142" t="s">
        <v>151</v>
      </c>
      <c r="B142" s="2">
        <v>8.5</v>
      </c>
      <c r="C142" s="3" t="e">
        <v>#N/A</v>
      </c>
      <c r="D142" s="10" t="e">
        <v>#N/A</v>
      </c>
    </row>
    <row r="143" spans="1:4" x14ac:dyDescent="0.25">
      <c r="A143" t="s">
        <v>152</v>
      </c>
      <c r="B143" s="2">
        <v>8.6999999999999993</v>
      </c>
      <c r="C143" s="3" t="e">
        <v>#N/A</v>
      </c>
      <c r="D143" s="10" t="e">
        <v>#N/A</v>
      </c>
    </row>
    <row r="144" spans="1:4" x14ac:dyDescent="0.25">
      <c r="A144" t="s">
        <v>153</v>
      </c>
      <c r="B144" s="2">
        <v>8.8000000000000007</v>
      </c>
      <c r="C144" s="3" t="e">
        <v>#N/A</v>
      </c>
      <c r="D144" s="10" t="e">
        <v>#N/A</v>
      </c>
    </row>
    <row r="145" spans="1:4" x14ac:dyDescent="0.25">
      <c r="A145" t="s">
        <v>154</v>
      </c>
      <c r="B145" s="2">
        <v>9</v>
      </c>
      <c r="C145" s="3" t="e">
        <v>#N/A</v>
      </c>
      <c r="D145" s="10" t="e">
        <v>#N/A</v>
      </c>
    </row>
    <row r="146" spans="1:4" x14ac:dyDescent="0.25">
      <c r="A146" t="s">
        <v>155</v>
      </c>
      <c r="B146" s="2">
        <v>9.1999999999999993</v>
      </c>
      <c r="C146" s="3" t="e">
        <v>#N/A</v>
      </c>
      <c r="D146" s="10" t="e">
        <v>#N/A</v>
      </c>
    </row>
    <row r="147" spans="1:4" x14ac:dyDescent="0.25">
      <c r="A147" t="s">
        <v>156</v>
      </c>
      <c r="B147" s="2">
        <v>9.3000000000000007</v>
      </c>
      <c r="C147" s="3" t="e">
        <v>#N/A</v>
      </c>
      <c r="D147" s="10" t="e">
        <v>#N/A</v>
      </c>
    </row>
    <row r="148" spans="1:4" x14ac:dyDescent="0.25">
      <c r="A148" t="s">
        <v>157</v>
      </c>
      <c r="B148" s="2">
        <v>9.4</v>
      </c>
      <c r="C148" s="3" t="e">
        <v>#N/A</v>
      </c>
      <c r="D148" s="10" t="e">
        <v>#N/A</v>
      </c>
    </row>
    <row r="149" spans="1:4" x14ac:dyDescent="0.25">
      <c r="A149" t="s">
        <v>158</v>
      </c>
      <c r="B149" s="2">
        <v>9.5</v>
      </c>
      <c r="C149" s="3" t="e">
        <v>#N/A</v>
      </c>
      <c r="D149" s="10" t="e">
        <v>#N/A</v>
      </c>
    </row>
    <row r="150" spans="1:4" x14ac:dyDescent="0.25">
      <c r="A150" t="s">
        <v>159</v>
      </c>
      <c r="B150" s="2">
        <v>9.5</v>
      </c>
      <c r="C150" s="3" t="e">
        <v>#N/A</v>
      </c>
      <c r="D150" s="10" t="e">
        <v>#N/A</v>
      </c>
    </row>
    <row r="151" spans="1:4" x14ac:dyDescent="0.25">
      <c r="A151" t="s">
        <v>160</v>
      </c>
      <c r="B151" s="2">
        <v>9.6</v>
      </c>
      <c r="C151" s="3" t="e">
        <v>#N/A</v>
      </c>
      <c r="D151" s="10" t="e">
        <v>#N/A</v>
      </c>
    </row>
    <row r="152" spans="1:4" x14ac:dyDescent="0.25">
      <c r="A152" t="s">
        <v>161</v>
      </c>
      <c r="B152" s="2">
        <v>9.6999999999999993</v>
      </c>
      <c r="C152" s="3" t="e">
        <v>#N/A</v>
      </c>
      <c r="D152" s="10" t="e">
        <v>#N/A</v>
      </c>
    </row>
    <row r="153" spans="1:4" x14ac:dyDescent="0.25">
      <c r="A153" t="s">
        <v>162</v>
      </c>
      <c r="B153" s="2">
        <v>9.8000000000000007</v>
      </c>
      <c r="C153" s="3" t="e">
        <v>#N/A</v>
      </c>
      <c r="D153" s="10" t="e">
        <v>#N/A</v>
      </c>
    </row>
    <row r="154" spans="1:4" x14ac:dyDescent="0.25">
      <c r="A154" t="s">
        <v>163</v>
      </c>
      <c r="B154" s="2">
        <v>9.8000000000000007</v>
      </c>
      <c r="C154" s="3" t="e">
        <v>#N/A</v>
      </c>
      <c r="D154" s="10" t="e">
        <v>#N/A</v>
      </c>
    </row>
    <row r="155" spans="1:4" x14ac:dyDescent="0.25">
      <c r="A155" t="s">
        <v>164</v>
      </c>
      <c r="B155" s="2">
        <v>9.8000000000000007</v>
      </c>
      <c r="C155" s="3" t="e">
        <v>#N/A</v>
      </c>
      <c r="D155" s="10" t="e">
        <v>#N/A</v>
      </c>
    </row>
    <row r="156" spans="1:4" x14ac:dyDescent="0.25">
      <c r="A156" t="s">
        <v>165</v>
      </c>
      <c r="B156" s="2">
        <v>9.9</v>
      </c>
      <c r="C156" s="3">
        <v>9.9770000000000003</v>
      </c>
      <c r="D156" s="10" t="e">
        <v>#N/A</v>
      </c>
    </row>
    <row r="157" spans="1:4" x14ac:dyDescent="0.25">
      <c r="A157" t="s">
        <v>166</v>
      </c>
      <c r="B157" s="2">
        <v>9.9</v>
      </c>
      <c r="C157" s="3">
        <v>9.8650000000000002</v>
      </c>
      <c r="D157" s="10" t="e">
        <v>#N/A</v>
      </c>
    </row>
    <row r="158" spans="1:4" x14ac:dyDescent="0.25">
      <c r="A158" t="s">
        <v>167</v>
      </c>
      <c r="B158" s="2">
        <v>9.9</v>
      </c>
      <c r="C158" s="3">
        <v>9.9469999999999992</v>
      </c>
      <c r="D158" s="10" t="e">
        <v>#N/A</v>
      </c>
    </row>
    <row r="159" spans="1:4" x14ac:dyDescent="0.25">
      <c r="A159" t="s">
        <v>168</v>
      </c>
      <c r="B159" s="2">
        <v>10.1</v>
      </c>
      <c r="C159" s="3">
        <v>10.026999999999999</v>
      </c>
      <c r="D159" s="10" t="e">
        <v>#N/A</v>
      </c>
    </row>
    <row r="160" spans="1:4" x14ac:dyDescent="0.25">
      <c r="A160" t="s">
        <v>169</v>
      </c>
      <c r="B160" s="2">
        <v>10.199999999999999</v>
      </c>
      <c r="C160" s="3">
        <v>10.227</v>
      </c>
      <c r="D160" s="10" t="e">
        <v>#N/A</v>
      </c>
    </row>
    <row r="161" spans="1:4" x14ac:dyDescent="0.25">
      <c r="A161" t="s">
        <v>170</v>
      </c>
      <c r="B161" s="2">
        <v>10.4</v>
      </c>
      <c r="C161" s="3">
        <v>10.439</v>
      </c>
      <c r="D161" s="10" t="e">
        <v>#N/A</v>
      </c>
    </row>
    <row r="162" spans="1:4" x14ac:dyDescent="0.25">
      <c r="A162" t="s">
        <v>171</v>
      </c>
      <c r="B162" s="2">
        <v>10.5</v>
      </c>
      <c r="C162" s="3">
        <v>10.489000000000001</v>
      </c>
      <c r="D162" s="10" t="e">
        <v>#N/A</v>
      </c>
    </row>
    <row r="163" spans="1:4" x14ac:dyDescent="0.25">
      <c r="A163" t="s">
        <v>172</v>
      </c>
      <c r="B163" s="2">
        <v>10.7</v>
      </c>
      <c r="C163" s="3">
        <v>10.696</v>
      </c>
      <c r="D163" s="10" t="e">
        <v>#N/A</v>
      </c>
    </row>
    <row r="164" spans="1:4" x14ac:dyDescent="0.25">
      <c r="A164" t="s">
        <v>173</v>
      </c>
      <c r="B164" s="2">
        <v>10.6</v>
      </c>
      <c r="C164" s="3">
        <v>10.837</v>
      </c>
      <c r="D164" s="10" t="e">
        <v>#N/A</v>
      </c>
    </row>
    <row r="165" spans="1:4" x14ac:dyDescent="0.25">
      <c r="A165" t="s">
        <v>174</v>
      </c>
      <c r="B165" s="2">
        <v>10.6</v>
      </c>
      <c r="C165" s="3">
        <v>10.363</v>
      </c>
      <c r="D165" s="10" t="e">
        <v>#N/A</v>
      </c>
    </row>
    <row r="166" spans="1:4" x14ac:dyDescent="0.25">
      <c r="A166" t="s">
        <v>175</v>
      </c>
      <c r="B166" s="2">
        <v>10.5</v>
      </c>
      <c r="C166" s="3">
        <v>10.519</v>
      </c>
      <c r="D166" s="10" t="e">
        <v>#N/A</v>
      </c>
    </row>
    <row r="167" spans="1:4" x14ac:dyDescent="0.25">
      <c r="A167" t="s">
        <v>176</v>
      </c>
      <c r="B167" s="2">
        <v>10.4</v>
      </c>
      <c r="C167" s="3">
        <v>10.457000000000001</v>
      </c>
      <c r="D167" s="10" t="e">
        <v>#N/A</v>
      </c>
    </row>
    <row r="168" spans="1:4" x14ac:dyDescent="0.25">
      <c r="A168" t="s">
        <v>177</v>
      </c>
      <c r="B168" s="2">
        <v>10.4</v>
      </c>
      <c r="C168" s="3">
        <v>10.221</v>
      </c>
      <c r="D168" s="10" t="e">
        <v>#N/A</v>
      </c>
    </row>
    <row r="169" spans="1:4" x14ac:dyDescent="0.25">
      <c r="A169" t="s">
        <v>178</v>
      </c>
      <c r="B169" s="2">
        <v>10.3</v>
      </c>
      <c r="C169" s="3">
        <v>10.414</v>
      </c>
      <c r="D169" s="10" t="e">
        <v>#N/A</v>
      </c>
    </row>
    <row r="170" spans="1:4" x14ac:dyDescent="0.25">
      <c r="A170" t="s">
        <v>179</v>
      </c>
      <c r="B170" s="2">
        <v>10.199999999999999</v>
      </c>
      <c r="C170" s="3">
        <v>10.276999999999999</v>
      </c>
      <c r="D170" s="10" t="e">
        <v>#N/A</v>
      </c>
    </row>
    <row r="171" spans="1:4" x14ac:dyDescent="0.25">
      <c r="A171" t="s">
        <v>180</v>
      </c>
      <c r="B171" s="2">
        <v>10.3</v>
      </c>
      <c r="C171" s="3">
        <v>10.093999999999999</v>
      </c>
      <c r="D171" s="10" t="e">
        <v>#N/A</v>
      </c>
    </row>
    <row r="172" spans="1:4" x14ac:dyDescent="0.25">
      <c r="A172" t="s">
        <v>181</v>
      </c>
      <c r="B172" s="2">
        <v>10.199999999999999</v>
      </c>
      <c r="C172" s="3">
        <v>10.356</v>
      </c>
      <c r="D172" s="10" t="e">
        <v>#N/A</v>
      </c>
    </row>
    <row r="173" spans="1:4" x14ac:dyDescent="0.25">
      <c r="A173" t="s">
        <v>182</v>
      </c>
      <c r="B173" s="2">
        <v>10.3</v>
      </c>
      <c r="C173" s="3">
        <v>10.220000000000001</v>
      </c>
      <c r="D173" s="10" t="e">
        <v>#N/A</v>
      </c>
    </row>
    <row r="174" spans="1:4" x14ac:dyDescent="0.25">
      <c r="A174" t="s">
        <v>183</v>
      </c>
      <c r="B174" s="2">
        <v>10.3</v>
      </c>
      <c r="C174" s="3">
        <v>10.227</v>
      </c>
      <c r="D174" s="10" t="e">
        <v>#N/A</v>
      </c>
    </row>
    <row r="175" spans="1:4" x14ac:dyDescent="0.25">
      <c r="A175" t="s">
        <v>184</v>
      </c>
      <c r="B175" s="2">
        <v>10.1</v>
      </c>
      <c r="C175" s="3">
        <v>10.28</v>
      </c>
      <c r="D175" s="10" t="e">
        <v>#N/A</v>
      </c>
    </row>
    <row r="176" spans="1:4" x14ac:dyDescent="0.25">
      <c r="A176" t="s">
        <v>185</v>
      </c>
      <c r="B176" s="2">
        <v>9.9</v>
      </c>
      <c r="C176" s="3">
        <v>9.734</v>
      </c>
      <c r="D176" s="10" t="e">
        <v>#N/A</v>
      </c>
    </row>
    <row r="177" spans="1:4" x14ac:dyDescent="0.25">
      <c r="A177" t="s">
        <v>186</v>
      </c>
      <c r="B177" s="2">
        <v>9.8000000000000007</v>
      </c>
      <c r="C177" s="3">
        <v>9.8689999999999998</v>
      </c>
      <c r="D177" s="10" t="e">
        <v>#N/A</v>
      </c>
    </row>
    <row r="178" spans="1:4" x14ac:dyDescent="0.25">
      <c r="A178" t="s">
        <v>187</v>
      </c>
      <c r="B178" s="2">
        <v>9.6999999999999993</v>
      </c>
      <c r="C178" s="3">
        <v>9.8119999999999994</v>
      </c>
      <c r="D178" s="10" t="e">
        <v>#N/A</v>
      </c>
    </row>
    <row r="179" spans="1:4" x14ac:dyDescent="0.25">
      <c r="A179" t="s">
        <v>188</v>
      </c>
      <c r="B179" s="2">
        <v>9.6999999999999993</v>
      </c>
      <c r="C179" s="3">
        <v>9.5500000000000007</v>
      </c>
      <c r="D179" s="10" t="e">
        <v>#N/A</v>
      </c>
    </row>
    <row r="180" spans="1:4" x14ac:dyDescent="0.25">
      <c r="A180" t="s">
        <v>189</v>
      </c>
      <c r="B180" s="2">
        <v>9.6</v>
      </c>
      <c r="C180" s="3">
        <v>9.8000000000000007</v>
      </c>
      <c r="D180" s="10" t="e">
        <v>#N/A</v>
      </c>
    </row>
    <row r="181" spans="1:4" x14ac:dyDescent="0.25">
      <c r="A181" t="s">
        <v>190</v>
      </c>
      <c r="B181" s="2">
        <v>9.5</v>
      </c>
      <c r="C181" s="3">
        <v>9.3819999999999997</v>
      </c>
      <c r="D181" s="10" t="e">
        <v>#N/A</v>
      </c>
    </row>
    <row r="182" spans="1:4" x14ac:dyDescent="0.25">
      <c r="A182" t="s">
        <v>191</v>
      </c>
      <c r="B182" s="2">
        <v>9.4</v>
      </c>
      <c r="C182" s="3">
        <v>9.4220000000000006</v>
      </c>
      <c r="D182" s="10" t="e">
        <v>#N/A</v>
      </c>
    </row>
    <row r="183" spans="1:4" x14ac:dyDescent="0.25">
      <c r="A183" t="s">
        <v>192</v>
      </c>
      <c r="B183" s="2">
        <v>9.3000000000000007</v>
      </c>
      <c r="C183" s="3">
        <v>9.3190000000000008</v>
      </c>
      <c r="D183" s="10" t="e">
        <v>#N/A</v>
      </c>
    </row>
    <row r="184" spans="1:4" x14ac:dyDescent="0.25">
      <c r="A184" t="s">
        <v>193</v>
      </c>
      <c r="B184" s="2">
        <v>9.1</v>
      </c>
      <c r="C184" s="3">
        <v>9.0009999999999994</v>
      </c>
      <c r="D184" s="10" t="e">
        <v>#N/A</v>
      </c>
    </row>
    <row r="185" spans="1:4" x14ac:dyDescent="0.25">
      <c r="A185" t="s">
        <v>194</v>
      </c>
      <c r="B185" s="2">
        <v>9</v>
      </c>
      <c r="C185" s="3">
        <v>8.9019999999999992</v>
      </c>
      <c r="D185" s="10" t="e">
        <v>#N/A</v>
      </c>
    </row>
    <row r="186" spans="1:4" x14ac:dyDescent="0.25">
      <c r="A186" t="s">
        <v>195</v>
      </c>
      <c r="B186" s="2">
        <v>8.9</v>
      </c>
      <c r="C186" s="3">
        <v>9.032</v>
      </c>
      <c r="D186" s="10" t="e">
        <v>#N/A</v>
      </c>
    </row>
    <row r="187" spans="1:4" x14ac:dyDescent="0.25">
      <c r="A187" t="s">
        <v>196</v>
      </c>
      <c r="B187" s="2">
        <v>8.9</v>
      </c>
      <c r="C187" s="3">
        <v>8.7119999999999997</v>
      </c>
      <c r="D187" s="10" t="e">
        <v>#N/A</v>
      </c>
    </row>
    <row r="188" spans="1:4" x14ac:dyDescent="0.25">
      <c r="A188" t="s">
        <v>197</v>
      </c>
      <c r="B188" s="2">
        <v>8.9</v>
      </c>
      <c r="C188" s="3">
        <v>8.8569999999999993</v>
      </c>
      <c r="D188" s="10" t="e">
        <v>#N/A</v>
      </c>
    </row>
    <row r="189" spans="1:4" x14ac:dyDescent="0.25">
      <c r="A189" t="s">
        <v>198</v>
      </c>
      <c r="B189" s="2">
        <v>8.8000000000000007</v>
      </c>
      <c r="C189" s="3">
        <v>9.0719999999999992</v>
      </c>
      <c r="D189" s="10" t="e">
        <v>#N/A</v>
      </c>
    </row>
    <row r="190" spans="1:4" x14ac:dyDescent="0.25">
      <c r="A190" t="s">
        <v>199</v>
      </c>
      <c r="B190" s="2">
        <v>8.8000000000000007</v>
      </c>
      <c r="C190" s="3">
        <v>8.5299999999999994</v>
      </c>
      <c r="D190" s="10" t="e">
        <v>#N/A</v>
      </c>
    </row>
    <row r="191" spans="1:4" x14ac:dyDescent="0.25">
      <c r="A191" t="s">
        <v>200</v>
      </c>
      <c r="B191" s="2">
        <v>8.6999999999999993</v>
      </c>
      <c r="C191" s="3">
        <v>8.6820000000000004</v>
      </c>
      <c r="D191" s="10" t="e">
        <v>#N/A</v>
      </c>
    </row>
    <row r="192" spans="1:4" x14ac:dyDescent="0.25">
      <c r="A192" t="s">
        <v>201</v>
      </c>
      <c r="B192" s="2">
        <v>8.6999999999999993</v>
      </c>
      <c r="C192" s="3">
        <v>8.8249999999999993</v>
      </c>
      <c r="D192" s="10" t="e">
        <v>#N/A</v>
      </c>
    </row>
    <row r="193" spans="1:4" x14ac:dyDescent="0.25">
      <c r="A193" t="s">
        <v>202</v>
      </c>
      <c r="B193" s="2">
        <v>8.6</v>
      </c>
      <c r="C193" s="3">
        <v>8.4640000000000004</v>
      </c>
      <c r="D193" s="10" t="e">
        <v>#N/A</v>
      </c>
    </row>
    <row r="194" spans="1:4" x14ac:dyDescent="0.25">
      <c r="A194" t="s">
        <v>203</v>
      </c>
      <c r="B194" s="2">
        <v>8.6</v>
      </c>
      <c r="C194" s="3">
        <v>8.5709999999999997</v>
      </c>
      <c r="D194" s="10" t="e">
        <v>#N/A</v>
      </c>
    </row>
    <row r="195" spans="1:4" x14ac:dyDescent="0.25">
      <c r="A195" t="s">
        <v>204</v>
      </c>
      <c r="B195" s="2">
        <v>8.6</v>
      </c>
      <c r="C195" s="3">
        <v>8.9510000000000005</v>
      </c>
      <c r="D195" s="10" t="e">
        <v>#N/A</v>
      </c>
    </row>
    <row r="196" spans="1:4" x14ac:dyDescent="0.25">
      <c r="A196" t="s">
        <v>205</v>
      </c>
      <c r="B196" s="2">
        <v>8.6</v>
      </c>
      <c r="C196" s="3">
        <v>8.2759999999999998</v>
      </c>
      <c r="D196" s="10" t="e">
        <v>#N/A</v>
      </c>
    </row>
    <row r="197" spans="1:4" x14ac:dyDescent="0.25">
      <c r="A197" t="s">
        <v>206</v>
      </c>
      <c r="B197" s="2">
        <v>8.3000000000000007</v>
      </c>
      <c r="C197" s="3">
        <v>8.4239999999999995</v>
      </c>
      <c r="D197" s="10" t="e">
        <v>#N/A</v>
      </c>
    </row>
    <row r="198" spans="1:4" x14ac:dyDescent="0.25">
      <c r="A198" t="s">
        <v>207</v>
      </c>
      <c r="B198" s="2">
        <v>8.4</v>
      </c>
      <c r="C198" s="3">
        <v>8.2490000000000006</v>
      </c>
      <c r="D198" s="10" t="e">
        <v>#N/A</v>
      </c>
    </row>
    <row r="199" spans="1:4" x14ac:dyDescent="0.25">
      <c r="A199" t="s">
        <v>208</v>
      </c>
      <c r="B199" s="2">
        <v>8.3000000000000007</v>
      </c>
      <c r="C199" s="3">
        <v>8.4339999999999993</v>
      </c>
      <c r="D199" s="10" t="e">
        <v>#N/A</v>
      </c>
    </row>
    <row r="200" spans="1:4" x14ac:dyDescent="0.25">
      <c r="A200" t="s">
        <v>209</v>
      </c>
      <c r="B200" s="2">
        <v>8.1999999999999993</v>
      </c>
      <c r="C200" s="3">
        <v>8.266</v>
      </c>
      <c r="D200" s="10" t="e">
        <v>#N/A</v>
      </c>
    </row>
    <row r="201" spans="1:4" x14ac:dyDescent="0.25">
      <c r="A201" t="s">
        <v>210</v>
      </c>
      <c r="B201" s="2">
        <v>8.3000000000000007</v>
      </c>
      <c r="C201" s="3">
        <v>8.0389999999999997</v>
      </c>
      <c r="D201" s="10" t="e">
        <v>#N/A</v>
      </c>
    </row>
    <row r="202" spans="1:4" x14ac:dyDescent="0.25">
      <c r="A202" t="s">
        <v>211</v>
      </c>
      <c r="B202" s="2">
        <v>8.3000000000000007</v>
      </c>
      <c r="C202" s="3">
        <v>8.5459999999999994</v>
      </c>
      <c r="D202" s="10" t="e">
        <v>#N/A</v>
      </c>
    </row>
    <row r="203" spans="1:4" x14ac:dyDescent="0.25">
      <c r="A203" t="s">
        <v>212</v>
      </c>
      <c r="B203" s="2">
        <v>8.3000000000000007</v>
      </c>
      <c r="C203" s="3">
        <v>8.25</v>
      </c>
      <c r="D203" s="10" t="e">
        <v>#N/A</v>
      </c>
    </row>
    <row r="204" spans="1:4" x14ac:dyDescent="0.25">
      <c r="A204" t="s">
        <v>213</v>
      </c>
      <c r="B204" s="2">
        <v>8.1999999999999993</v>
      </c>
      <c r="C204" s="3">
        <v>8.0109999999999992</v>
      </c>
      <c r="D204" s="10" t="e">
        <v>#N/A</v>
      </c>
    </row>
    <row r="205" spans="1:4" x14ac:dyDescent="0.25">
      <c r="A205" t="s">
        <v>214</v>
      </c>
      <c r="B205" s="2">
        <v>8.1</v>
      </c>
      <c r="C205" s="3">
        <v>8.2149999999999999</v>
      </c>
      <c r="D205" s="10" t="e">
        <v>#N/A</v>
      </c>
    </row>
    <row r="206" spans="1:4" x14ac:dyDescent="0.25">
      <c r="A206" t="s">
        <v>215</v>
      </c>
      <c r="B206" s="2">
        <v>8.1</v>
      </c>
      <c r="C206" s="3">
        <v>7.9560000000000004</v>
      </c>
      <c r="D206" s="10" t="e">
        <v>#N/A</v>
      </c>
    </row>
    <row r="207" spans="1:4" x14ac:dyDescent="0.25">
      <c r="A207" t="s">
        <v>216</v>
      </c>
      <c r="B207" s="2">
        <v>8.1</v>
      </c>
      <c r="C207" s="3">
        <v>8.06</v>
      </c>
      <c r="D207" s="10" t="e">
        <v>#N/A</v>
      </c>
    </row>
    <row r="208" spans="1:4" x14ac:dyDescent="0.25">
      <c r="A208" t="s">
        <v>217</v>
      </c>
      <c r="B208" s="2">
        <v>8</v>
      </c>
      <c r="C208" s="3">
        <v>8.0909999999999993</v>
      </c>
      <c r="D208" s="10" t="e">
        <v>#N/A</v>
      </c>
    </row>
    <row r="209" spans="1:4" x14ac:dyDescent="0.25">
      <c r="A209" t="s">
        <v>218</v>
      </c>
      <c r="B209" s="2">
        <v>7.8</v>
      </c>
      <c r="C209" s="3">
        <v>7.718</v>
      </c>
      <c r="D209" s="10" t="e">
        <v>#N/A</v>
      </c>
    </row>
    <row r="210" spans="1:4" x14ac:dyDescent="0.25">
      <c r="A210" t="s">
        <v>219</v>
      </c>
      <c r="B210" s="2">
        <v>7.7</v>
      </c>
      <c r="C210" s="3">
        <v>7.7560000000000002</v>
      </c>
      <c r="D210" s="10" t="e">
        <v>#N/A</v>
      </c>
    </row>
    <row r="211" spans="1:4" x14ac:dyDescent="0.25">
      <c r="A211" t="s">
        <v>220</v>
      </c>
      <c r="B211" s="2">
        <v>7.5</v>
      </c>
      <c r="C211" s="3">
        <v>7.4930000000000003</v>
      </c>
      <c r="D211" s="10" t="e">
        <v>#N/A</v>
      </c>
    </row>
    <row r="212" spans="1:4" x14ac:dyDescent="0.25">
      <c r="A212" t="s">
        <v>221</v>
      </c>
      <c r="B212" s="2">
        <v>7.3</v>
      </c>
      <c r="C212" s="3">
        <v>7.2290000000000001</v>
      </c>
      <c r="D212" s="10" t="e">
        <v>#N/A</v>
      </c>
    </row>
    <row r="213" spans="1:4" x14ac:dyDescent="0.25">
      <c r="A213" t="s">
        <v>222</v>
      </c>
      <c r="B213" s="2">
        <v>7.2</v>
      </c>
      <c r="C213" s="3">
        <v>7.2839999999999998</v>
      </c>
      <c r="D213" s="10" t="e">
        <v>#N/A</v>
      </c>
    </row>
    <row r="214" spans="1:4" x14ac:dyDescent="0.25">
      <c r="A214" t="s">
        <v>223</v>
      </c>
      <c r="B214" s="2">
        <v>7.2</v>
      </c>
      <c r="C214" s="3">
        <v>7.0659999999999998</v>
      </c>
      <c r="D214" s="10" t="e">
        <v>#N/A</v>
      </c>
    </row>
    <row r="215" spans="1:4" x14ac:dyDescent="0.25">
      <c r="A215" t="s">
        <v>224</v>
      </c>
      <c r="B215" s="2">
        <v>7.2</v>
      </c>
      <c r="C215" s="3">
        <v>7.2050000000000001</v>
      </c>
      <c r="D215" s="10" t="e">
        <v>#N/A</v>
      </c>
    </row>
    <row r="216" spans="1:4" x14ac:dyDescent="0.25">
      <c r="A216" t="s">
        <v>225</v>
      </c>
      <c r="B216" s="2">
        <v>7.3</v>
      </c>
      <c r="C216" s="3">
        <v>7.306</v>
      </c>
      <c r="D216" s="10" t="e">
        <v>#N/A</v>
      </c>
    </row>
    <row r="217" spans="1:4" x14ac:dyDescent="0.25">
      <c r="A217" t="s">
        <v>226</v>
      </c>
      <c r="B217" s="2">
        <v>7.1</v>
      </c>
      <c r="C217" s="3">
        <v>7.3239999999999998</v>
      </c>
      <c r="D217" s="10" t="e">
        <v>#N/A</v>
      </c>
    </row>
    <row r="218" spans="1:4" x14ac:dyDescent="0.25">
      <c r="A218" t="s">
        <v>227</v>
      </c>
      <c r="B218" s="2">
        <v>6.8</v>
      </c>
      <c r="C218" s="3">
        <v>6.6269999999999998</v>
      </c>
      <c r="D218" s="10" t="e">
        <v>#N/A</v>
      </c>
    </row>
    <row r="219" spans="1:4" x14ac:dyDescent="0.25">
      <c r="A219" t="s">
        <v>228</v>
      </c>
      <c r="B219" s="2">
        <v>6.7</v>
      </c>
      <c r="C219" s="3">
        <v>6.609</v>
      </c>
      <c r="D219" s="10" t="e">
        <v>#N/A</v>
      </c>
    </row>
    <row r="220" spans="1:4" x14ac:dyDescent="0.25">
      <c r="A220" t="s">
        <v>229</v>
      </c>
      <c r="B220" s="2">
        <v>6.6</v>
      </c>
      <c r="C220" s="3">
        <v>6.8140000000000001</v>
      </c>
      <c r="D220" s="10" t="e">
        <v>#N/A</v>
      </c>
    </row>
    <row r="221" spans="1:4" x14ac:dyDescent="0.25">
      <c r="A221" t="s">
        <v>230</v>
      </c>
      <c r="B221" s="2">
        <v>6.5</v>
      </c>
      <c r="C221" s="3">
        <v>6.4249999999999998</v>
      </c>
      <c r="D221" s="10" t="e">
        <v>#N/A</v>
      </c>
    </row>
    <row r="222" spans="1:4" x14ac:dyDescent="0.25">
      <c r="A222" t="s">
        <v>231</v>
      </c>
      <c r="B222" s="2">
        <v>6.4</v>
      </c>
      <c r="C222" s="3">
        <v>6.4189999999999996</v>
      </c>
      <c r="D222" s="10" t="e">
        <v>#N/A</v>
      </c>
    </row>
    <row r="223" spans="1:4" x14ac:dyDescent="0.25">
      <c r="A223" t="s">
        <v>232</v>
      </c>
      <c r="B223" s="2">
        <v>6.4</v>
      </c>
      <c r="C223" s="3">
        <v>6.3330000000000002</v>
      </c>
      <c r="D223" s="10" t="e">
        <v>#N/A</v>
      </c>
    </row>
    <row r="224" spans="1:4" x14ac:dyDescent="0.25">
      <c r="A224" t="s">
        <v>233</v>
      </c>
      <c r="B224" s="2">
        <v>6.4</v>
      </c>
      <c r="C224" s="3">
        <v>6.37</v>
      </c>
      <c r="D224" s="10" t="e">
        <v>#N/A</v>
      </c>
    </row>
    <row r="225" spans="1:4" x14ac:dyDescent="0.25">
      <c r="A225" t="s">
        <v>234</v>
      </c>
      <c r="B225" s="2">
        <v>6.3</v>
      </c>
      <c r="C225" s="3">
        <v>6.42</v>
      </c>
      <c r="D225" s="10" t="e">
        <v>#N/A</v>
      </c>
    </row>
    <row r="226" spans="1:4" x14ac:dyDescent="0.25">
      <c r="A226" t="s">
        <v>235</v>
      </c>
      <c r="B226" s="2">
        <v>6.3</v>
      </c>
      <c r="C226" s="3">
        <v>6.1230000000000002</v>
      </c>
      <c r="D226" s="10" t="e">
        <v>#N/A</v>
      </c>
    </row>
    <row r="227" spans="1:4" x14ac:dyDescent="0.25">
      <c r="A227" t="s">
        <v>236</v>
      </c>
      <c r="B227" s="2">
        <v>6.3</v>
      </c>
      <c r="C227" s="3">
        <v>6.2560000000000002</v>
      </c>
      <c r="D227" s="10" t="e">
        <v>#N/A</v>
      </c>
    </row>
    <row r="228" spans="1:4" x14ac:dyDescent="0.25">
      <c r="A228" t="s">
        <v>237</v>
      </c>
      <c r="B228" s="2">
        <v>6.3</v>
      </c>
      <c r="C228" s="3">
        <v>6.4980000000000002</v>
      </c>
      <c r="D228" s="10" t="e">
        <v>#N/A</v>
      </c>
    </row>
    <row r="229" spans="1:4" x14ac:dyDescent="0.25">
      <c r="A229" t="s">
        <v>238</v>
      </c>
      <c r="B229" s="2">
        <v>6.3</v>
      </c>
      <c r="C229" s="3">
        <v>6.13</v>
      </c>
      <c r="D229" s="10" t="e">
        <v>#N/A</v>
      </c>
    </row>
    <row r="230" spans="1:4" x14ac:dyDescent="0.25">
      <c r="A230" t="s">
        <v>239</v>
      </c>
      <c r="B230" s="2">
        <v>6.2</v>
      </c>
      <c r="C230" s="3">
        <v>6.306</v>
      </c>
      <c r="D230" s="10" t="e">
        <v>#N/A</v>
      </c>
    </row>
    <row r="231" spans="1:4" x14ac:dyDescent="0.25">
      <c r="A231" t="s">
        <v>240</v>
      </c>
      <c r="B231" s="2">
        <v>6.2</v>
      </c>
      <c r="C231" s="3">
        <v>6.306</v>
      </c>
      <c r="D231" s="10" t="e">
        <v>#N/A</v>
      </c>
    </row>
    <row r="232" spans="1:4" x14ac:dyDescent="0.25">
      <c r="A232" t="s">
        <v>241</v>
      </c>
      <c r="B232" s="2">
        <v>6.2</v>
      </c>
      <c r="C232" s="3">
        <v>6.0209999999999999</v>
      </c>
      <c r="D232" s="10" t="e">
        <v>#N/A</v>
      </c>
    </row>
    <row r="233" spans="1:4" x14ac:dyDescent="0.25">
      <c r="A233" t="s">
        <v>242</v>
      </c>
      <c r="B233" s="2">
        <v>6.1</v>
      </c>
      <c r="C233" s="3">
        <v>6.1509999999999998</v>
      </c>
      <c r="D233" s="10" t="e">
        <v>#N/A</v>
      </c>
    </row>
    <row r="234" spans="1:4" x14ac:dyDescent="0.25">
      <c r="A234" t="s">
        <v>243</v>
      </c>
      <c r="B234" s="2">
        <v>6.2</v>
      </c>
      <c r="C234" s="3">
        <v>6.27</v>
      </c>
      <c r="D234" s="10" t="e">
        <v>#N/A</v>
      </c>
    </row>
    <row r="235" spans="1:4" x14ac:dyDescent="0.25">
      <c r="A235" t="s">
        <v>244</v>
      </c>
      <c r="B235" s="2">
        <v>6.2</v>
      </c>
      <c r="C235" s="3">
        <v>6.2190000000000003</v>
      </c>
      <c r="D235" s="10" t="e">
        <v>#N/A</v>
      </c>
    </row>
    <row r="236" spans="1:4" x14ac:dyDescent="0.25">
      <c r="A236" t="s">
        <v>245</v>
      </c>
      <c r="B236" s="2">
        <v>6.2</v>
      </c>
      <c r="C236" s="3">
        <v>6.1980000000000004</v>
      </c>
      <c r="D236" s="10" t="e">
        <v>#N/A</v>
      </c>
    </row>
    <row r="237" spans="1:4" x14ac:dyDescent="0.25">
      <c r="A237" t="s">
        <v>246</v>
      </c>
      <c r="B237" s="2">
        <v>6.2</v>
      </c>
      <c r="C237" s="3">
        <v>6.1150000000000002</v>
      </c>
      <c r="D237" s="10" t="e">
        <v>#N/A</v>
      </c>
    </row>
    <row r="238" spans="1:4" x14ac:dyDescent="0.25">
      <c r="A238" t="s">
        <v>247</v>
      </c>
      <c r="B238" s="2">
        <v>6.1</v>
      </c>
      <c r="C238" s="3">
        <v>6.1390000000000002</v>
      </c>
      <c r="D238" s="10">
        <v>3.6</v>
      </c>
    </row>
    <row r="239" spans="1:4" x14ac:dyDescent="0.25">
      <c r="A239" t="s">
        <v>248</v>
      </c>
      <c r="B239" s="2">
        <v>6</v>
      </c>
      <c r="C239" s="3">
        <v>6.0789999999999997</v>
      </c>
      <c r="D239" s="10">
        <v>3.6</v>
      </c>
    </row>
    <row r="240" spans="1:4" x14ac:dyDescent="0.25">
      <c r="A240" t="s">
        <v>249</v>
      </c>
      <c r="B240" s="2">
        <v>6</v>
      </c>
      <c r="C240" s="3">
        <v>5.915</v>
      </c>
      <c r="D240" s="10">
        <v>3.6</v>
      </c>
    </row>
    <row r="241" spans="1:4" x14ac:dyDescent="0.25">
      <c r="A241" t="s">
        <v>250</v>
      </c>
      <c r="B241" s="2">
        <v>5.9</v>
      </c>
      <c r="C241" s="3">
        <v>5.9219999999999997</v>
      </c>
      <c r="D241" s="10">
        <v>3.6</v>
      </c>
    </row>
    <row r="242" spans="1:4" x14ac:dyDescent="0.25">
      <c r="A242" t="s">
        <v>251</v>
      </c>
      <c r="B242" s="2">
        <v>5.9</v>
      </c>
      <c r="C242" s="3">
        <v>5.8869999999999996</v>
      </c>
      <c r="D242" s="10">
        <v>3.6</v>
      </c>
    </row>
    <row r="243" spans="1:4" x14ac:dyDescent="0.25">
      <c r="A243" t="s">
        <v>252</v>
      </c>
      <c r="B243" s="2">
        <v>5.8</v>
      </c>
      <c r="C243" s="3">
        <v>5.8449999999999998</v>
      </c>
      <c r="D243" s="10">
        <v>3.6</v>
      </c>
    </row>
    <row r="244" spans="1:4" x14ac:dyDescent="0.25">
      <c r="A244" t="s">
        <v>253</v>
      </c>
      <c r="B244" s="2">
        <v>5.8</v>
      </c>
      <c r="C244" s="3">
        <v>5.7729999999999997</v>
      </c>
      <c r="D244" s="10">
        <v>3.6</v>
      </c>
    </row>
    <row r="245" spans="1:4" x14ac:dyDescent="0.25">
      <c r="A245" t="s">
        <v>254</v>
      </c>
      <c r="B245" s="2">
        <v>5.8</v>
      </c>
      <c r="C245" s="3">
        <v>5.9370000000000003</v>
      </c>
      <c r="D245" s="10">
        <v>3.6</v>
      </c>
    </row>
    <row r="246" spans="1:4" x14ac:dyDescent="0.25">
      <c r="A246" t="s">
        <v>255</v>
      </c>
      <c r="B246" s="2">
        <v>5.9</v>
      </c>
      <c r="C246" s="3">
        <v>5.6959999999999997</v>
      </c>
      <c r="D246" s="10">
        <v>3.6</v>
      </c>
    </row>
    <row r="247" spans="1:4" x14ac:dyDescent="0.25">
      <c r="A247" t="s">
        <v>256</v>
      </c>
      <c r="B247" s="2">
        <v>5.8</v>
      </c>
      <c r="C247" s="3">
        <v>5.96</v>
      </c>
      <c r="D247" s="10">
        <v>3.6</v>
      </c>
    </row>
    <row r="248" spans="1:4" x14ac:dyDescent="0.25">
      <c r="A248" t="s">
        <v>257</v>
      </c>
      <c r="B248" s="2">
        <v>5.8</v>
      </c>
      <c r="C248" s="3">
        <v>5.7949999999999999</v>
      </c>
      <c r="D248" s="10">
        <v>3.6</v>
      </c>
    </row>
    <row r="249" spans="1:4" x14ac:dyDescent="0.25">
      <c r="A249" t="s">
        <v>258</v>
      </c>
      <c r="B249" s="2">
        <v>5.7</v>
      </c>
      <c r="C249" s="3">
        <v>5.6109999999999998</v>
      </c>
      <c r="D249" s="10">
        <v>3.6</v>
      </c>
    </row>
    <row r="250" spans="1:4" x14ac:dyDescent="0.25">
      <c r="A250" t="s">
        <v>259</v>
      </c>
      <c r="B250" s="2">
        <v>5.6</v>
      </c>
      <c r="C250" s="3">
        <v>5.673</v>
      </c>
      <c r="D250" s="10">
        <v>3.6</v>
      </c>
    </row>
    <row r="251" spans="1:4" x14ac:dyDescent="0.25">
      <c r="A251" t="s">
        <v>260</v>
      </c>
      <c r="B251" s="2">
        <v>5.5</v>
      </c>
      <c r="C251" s="3">
        <v>5.6520000000000001</v>
      </c>
      <c r="D251" s="10">
        <v>3.6</v>
      </c>
    </row>
    <row r="252" spans="1:4" x14ac:dyDescent="0.25">
      <c r="A252" t="s">
        <v>261</v>
      </c>
      <c r="B252" s="2">
        <v>5.3</v>
      </c>
      <c r="C252" s="3">
        <v>5.1630000000000003</v>
      </c>
      <c r="D252" s="10">
        <v>3.6</v>
      </c>
    </row>
    <row r="253" spans="1:4" x14ac:dyDescent="0.25">
      <c r="A253" t="s">
        <v>262</v>
      </c>
      <c r="B253" s="2">
        <v>5.3</v>
      </c>
      <c r="C253" s="3">
        <v>5.1829999999999998</v>
      </c>
      <c r="D253" s="10">
        <v>3.6</v>
      </c>
    </row>
    <row r="254" spans="1:4" x14ac:dyDescent="0.25">
      <c r="A254" t="s">
        <v>263</v>
      </c>
      <c r="B254" s="2">
        <v>5.3</v>
      </c>
      <c r="C254" s="3">
        <v>5.4390000000000001</v>
      </c>
      <c r="D254" s="10">
        <v>3.6</v>
      </c>
    </row>
    <row r="255" spans="1:4" x14ac:dyDescent="0.25">
      <c r="A255" t="s">
        <v>264</v>
      </c>
      <c r="B255" s="2">
        <v>5.4</v>
      </c>
      <c r="C255" s="3">
        <v>5.32</v>
      </c>
      <c r="D255" s="10">
        <v>3.6</v>
      </c>
    </row>
    <row r="256" spans="1:4" x14ac:dyDescent="0.25">
      <c r="A256" t="s">
        <v>265</v>
      </c>
      <c r="B256" s="2">
        <v>5.3</v>
      </c>
      <c r="C256" s="3">
        <v>5.4329999999999998</v>
      </c>
      <c r="D256" s="10">
        <v>3.7</v>
      </c>
    </row>
    <row r="257" spans="1:4" x14ac:dyDescent="0.25">
      <c r="A257" t="s">
        <v>266</v>
      </c>
      <c r="B257" s="2">
        <v>5.2</v>
      </c>
      <c r="C257" s="3">
        <v>5.1589999999999998</v>
      </c>
      <c r="D257" s="10">
        <v>3.7</v>
      </c>
    </row>
    <row r="258" spans="1:4" x14ac:dyDescent="0.25">
      <c r="A258" t="s">
        <v>267</v>
      </c>
      <c r="B258" s="2">
        <v>5.2</v>
      </c>
      <c r="C258" s="3">
        <v>5.08</v>
      </c>
      <c r="D258" s="10">
        <v>3.7</v>
      </c>
    </row>
    <row r="259" spans="1:4" x14ac:dyDescent="0.25">
      <c r="A259" t="s">
        <v>268</v>
      </c>
      <c r="B259" s="2">
        <v>5.2</v>
      </c>
      <c r="C259" s="3">
        <v>5.25</v>
      </c>
      <c r="D259" s="10">
        <v>3.7</v>
      </c>
    </row>
    <row r="260" spans="1:4" x14ac:dyDescent="0.25">
      <c r="A260" t="s">
        <v>269</v>
      </c>
      <c r="B260" s="2">
        <v>5.0999999999999996</v>
      </c>
      <c r="C260" s="3">
        <v>5.29</v>
      </c>
      <c r="D260" s="10">
        <v>3.7</v>
      </c>
    </row>
    <row r="261" spans="1:4" x14ac:dyDescent="0.25">
      <c r="A261" t="s">
        <v>270</v>
      </c>
      <c r="B261" s="2">
        <v>5</v>
      </c>
      <c r="C261" s="3">
        <v>4.72</v>
      </c>
      <c r="D261" s="10">
        <v>3.7</v>
      </c>
    </row>
    <row r="262" spans="1:4" x14ac:dyDescent="0.25">
      <c r="A262" t="s">
        <v>271</v>
      </c>
      <c r="B262" s="2">
        <v>4.9000000000000004</v>
      </c>
      <c r="C262" s="3">
        <v>5.0229999999999997</v>
      </c>
      <c r="D262" s="10">
        <v>3.7</v>
      </c>
    </row>
    <row r="263" spans="1:4" x14ac:dyDescent="0.25">
      <c r="A263" t="s">
        <v>272</v>
      </c>
      <c r="B263" s="2">
        <v>5</v>
      </c>
      <c r="C263" s="3">
        <v>4.9939999999999998</v>
      </c>
      <c r="D263" s="10">
        <v>3.7</v>
      </c>
    </row>
    <row r="264" spans="1:4" x14ac:dyDescent="0.25">
      <c r="A264" t="s">
        <v>273</v>
      </c>
      <c r="B264" s="2">
        <v>5</v>
      </c>
      <c r="C264" s="3">
        <v>5.0670000000000002</v>
      </c>
      <c r="D264" s="10">
        <v>3.7</v>
      </c>
    </row>
    <row r="265" spans="1:4" x14ac:dyDescent="0.25">
      <c r="A265" t="s">
        <v>274</v>
      </c>
      <c r="B265" s="2">
        <v>5.0999999999999996</v>
      </c>
      <c r="C265" s="3">
        <v>5.0830000000000002</v>
      </c>
      <c r="D265" s="10">
        <v>3.7</v>
      </c>
    </row>
    <row r="266" spans="1:4" x14ac:dyDescent="0.25">
      <c r="A266" t="s">
        <v>275</v>
      </c>
      <c r="B266" s="2">
        <v>5.0999999999999996</v>
      </c>
      <c r="C266" s="3">
        <v>5.0880000000000001</v>
      </c>
      <c r="D266" s="10">
        <v>3.7</v>
      </c>
    </row>
    <row r="267" spans="1:4" x14ac:dyDescent="0.25">
      <c r="A267" t="s">
        <v>276</v>
      </c>
      <c r="B267" s="2">
        <v>5.0999999999999996</v>
      </c>
      <c r="C267" s="3">
        <v>5.0940000000000003</v>
      </c>
      <c r="D267" s="10">
        <v>3.7</v>
      </c>
    </row>
    <row r="268" spans="1:4" x14ac:dyDescent="0.25">
      <c r="A268" t="s">
        <v>277</v>
      </c>
      <c r="B268" s="2">
        <v>5.0999999999999996</v>
      </c>
      <c r="C268" s="3">
        <v>5.0999999999999996</v>
      </c>
      <c r="D268" s="10">
        <v>4.0999999999999996</v>
      </c>
    </row>
    <row r="269" spans="1:4" x14ac:dyDescent="0.25">
      <c r="A269" t="s">
        <v>278</v>
      </c>
      <c r="B269" s="2">
        <v>5.2</v>
      </c>
      <c r="C269" s="3">
        <v>5.1280000000000001</v>
      </c>
      <c r="D269" s="10">
        <v>4.0999999999999996</v>
      </c>
    </row>
    <row r="270" spans="1:4" x14ac:dyDescent="0.25">
      <c r="A270" t="s">
        <v>279</v>
      </c>
      <c r="B270" s="2">
        <v>5.2</v>
      </c>
      <c r="C270" s="3">
        <v>5.3019999999999996</v>
      </c>
      <c r="D270" s="10">
        <v>4.0999999999999996</v>
      </c>
    </row>
    <row r="271" spans="1:4" x14ac:dyDescent="0.25">
      <c r="A271" t="s">
        <v>280</v>
      </c>
      <c r="B271" s="2">
        <v>5.0999999999999996</v>
      </c>
      <c r="C271" s="3">
        <v>5.141</v>
      </c>
      <c r="D271" s="10">
        <v>4.0999999999999996</v>
      </c>
    </row>
    <row r="272" spans="1:4" x14ac:dyDescent="0.25">
      <c r="A272" t="s">
        <v>281</v>
      </c>
      <c r="B272" s="2">
        <v>5.2</v>
      </c>
      <c r="C272" s="3">
        <v>4.9989999999999997</v>
      </c>
      <c r="D272" s="10">
        <v>4.0999999999999996</v>
      </c>
    </row>
    <row r="273" spans="1:4" x14ac:dyDescent="0.25">
      <c r="A273" t="s">
        <v>282</v>
      </c>
      <c r="B273" s="2">
        <v>5.2</v>
      </c>
      <c r="C273" s="3">
        <v>5.3470000000000004</v>
      </c>
      <c r="D273" s="10">
        <v>4.0999999999999996</v>
      </c>
    </row>
    <row r="274" spans="1:4" x14ac:dyDescent="0.25">
      <c r="A274" t="s">
        <v>283</v>
      </c>
      <c r="B274" s="2">
        <v>5.2</v>
      </c>
      <c r="C274" s="3">
        <v>5.22</v>
      </c>
      <c r="D274" s="10">
        <v>4.0999999999999996</v>
      </c>
    </row>
    <row r="275" spans="1:4" x14ac:dyDescent="0.25">
      <c r="A275" t="s">
        <v>284</v>
      </c>
      <c r="B275" s="2">
        <v>5.2</v>
      </c>
      <c r="C275" s="3">
        <v>5.1539999999999999</v>
      </c>
      <c r="D275" s="10">
        <v>4.0999999999999996</v>
      </c>
    </row>
    <row r="276" spans="1:4" x14ac:dyDescent="0.25">
      <c r="A276" t="s">
        <v>285</v>
      </c>
      <c r="B276" s="2">
        <v>5.2</v>
      </c>
      <c r="C276" s="3">
        <v>5.0839999999999996</v>
      </c>
      <c r="D276" s="10">
        <v>4.0999999999999996</v>
      </c>
    </row>
    <row r="277" spans="1:4" x14ac:dyDescent="0.25">
      <c r="A277" t="s">
        <v>286</v>
      </c>
      <c r="B277" s="2">
        <v>5.2</v>
      </c>
      <c r="C277" s="3">
        <v>5.3440000000000003</v>
      </c>
      <c r="D277" s="10">
        <v>4.0999999999999996</v>
      </c>
    </row>
    <row r="278" spans="1:4" x14ac:dyDescent="0.25">
      <c r="A278" t="s">
        <v>287</v>
      </c>
      <c r="B278" s="2">
        <v>5.3</v>
      </c>
      <c r="C278" s="3">
        <v>5.2279999999999998</v>
      </c>
      <c r="D278" s="10">
        <v>4.0999999999999996</v>
      </c>
    </row>
    <row r="279" spans="1:4" x14ac:dyDescent="0.25">
      <c r="A279" t="s">
        <v>288</v>
      </c>
      <c r="B279" s="2">
        <v>5.2</v>
      </c>
      <c r="C279" s="3">
        <v>5.3360000000000003</v>
      </c>
      <c r="D279" s="10">
        <v>4.0999999999999996</v>
      </c>
    </row>
    <row r="280" spans="1:4" x14ac:dyDescent="0.25">
      <c r="A280" t="s">
        <v>289</v>
      </c>
      <c r="B280" s="2">
        <v>5.2</v>
      </c>
      <c r="C280" s="3">
        <v>5.1379999999999999</v>
      </c>
      <c r="D280" s="10">
        <v>4.2</v>
      </c>
    </row>
    <row r="281" spans="1:4" x14ac:dyDescent="0.25">
      <c r="A281" t="s">
        <v>290</v>
      </c>
      <c r="B281" s="2">
        <v>5.0999999999999996</v>
      </c>
      <c r="C281" s="3">
        <v>5.0519999999999996</v>
      </c>
      <c r="D281" s="10">
        <v>4.2</v>
      </c>
    </row>
    <row r="282" spans="1:4" x14ac:dyDescent="0.25">
      <c r="A282" t="s">
        <v>291</v>
      </c>
      <c r="B282" s="2">
        <v>5</v>
      </c>
      <c r="C282" s="3">
        <v>5.1449999999999996</v>
      </c>
      <c r="D282" s="10">
        <v>4.2</v>
      </c>
    </row>
    <row r="283" spans="1:4" x14ac:dyDescent="0.25">
      <c r="A283" t="s">
        <v>292</v>
      </c>
      <c r="B283" s="2">
        <v>5.0999999999999996</v>
      </c>
      <c r="C283" s="3">
        <v>4.843</v>
      </c>
      <c r="D283" s="10">
        <v>4.2</v>
      </c>
    </row>
    <row r="284" spans="1:4" x14ac:dyDescent="0.25">
      <c r="A284" t="s">
        <v>293</v>
      </c>
      <c r="B284" s="2">
        <v>5.2</v>
      </c>
      <c r="C284" s="3">
        <v>5.391</v>
      </c>
      <c r="D284" s="10">
        <v>4.2</v>
      </c>
    </row>
    <row r="285" spans="1:4" x14ac:dyDescent="0.25">
      <c r="A285" t="s">
        <v>294</v>
      </c>
      <c r="B285" s="2">
        <v>5.0999999999999996</v>
      </c>
      <c r="C285" s="3">
        <v>5.2510000000000003</v>
      </c>
      <c r="D285" s="10">
        <v>4.2</v>
      </c>
    </row>
    <row r="286" spans="1:4" x14ac:dyDescent="0.25">
      <c r="A286" t="s">
        <v>295</v>
      </c>
      <c r="B286" s="2">
        <v>5</v>
      </c>
      <c r="C286" s="3">
        <v>4.7169999999999996</v>
      </c>
      <c r="D286" s="10">
        <v>4.2</v>
      </c>
    </row>
    <row r="287" spans="1:4" x14ac:dyDescent="0.25">
      <c r="A287" t="s">
        <v>296</v>
      </c>
      <c r="B287" s="2">
        <v>4.9000000000000004</v>
      </c>
      <c r="C287" s="3">
        <v>5.0469999999999997</v>
      </c>
      <c r="D287" s="10">
        <v>4.2</v>
      </c>
    </row>
    <row r="288" spans="1:4" x14ac:dyDescent="0.25">
      <c r="A288" t="s">
        <v>297</v>
      </c>
      <c r="B288" s="2">
        <v>5.0999999999999996</v>
      </c>
      <c r="C288" s="3">
        <v>5.0350000000000001</v>
      </c>
      <c r="D288" s="10">
        <v>4.2</v>
      </c>
    </row>
    <row r="289" spans="1:4" x14ac:dyDescent="0.25">
      <c r="A289" t="s">
        <v>298</v>
      </c>
      <c r="B289" s="2">
        <v>5.0999999999999996</v>
      </c>
      <c r="C289" s="3">
        <v>5.1260000000000003</v>
      </c>
      <c r="D289" s="10">
        <v>4.2</v>
      </c>
    </row>
    <row r="290" spans="1:4" x14ac:dyDescent="0.25">
      <c r="A290" t="s">
        <v>299</v>
      </c>
      <c r="B290" s="2">
        <v>5</v>
      </c>
      <c r="C290" s="3">
        <v>5.0170000000000003</v>
      </c>
      <c r="D290" s="10">
        <v>4.2</v>
      </c>
    </row>
    <row r="291" spans="1:4" x14ac:dyDescent="0.25">
      <c r="A291" t="s">
        <v>300</v>
      </c>
      <c r="B291" s="2">
        <v>5</v>
      </c>
      <c r="C291" s="3">
        <v>4.9790000000000001</v>
      </c>
      <c r="D291" s="10">
        <v>4.2</v>
      </c>
    </row>
    <row r="292" spans="1:4" x14ac:dyDescent="0.25">
      <c r="A292" t="s">
        <v>301</v>
      </c>
      <c r="B292" s="2">
        <v>4.9000000000000004</v>
      </c>
      <c r="C292" s="3">
        <v>4.8760000000000003</v>
      </c>
      <c r="D292" s="10">
        <v>4.5</v>
      </c>
    </row>
    <row r="293" spans="1:4" x14ac:dyDescent="0.25">
      <c r="A293" t="s">
        <v>302</v>
      </c>
      <c r="B293" s="2">
        <v>4.9000000000000004</v>
      </c>
      <c r="C293" s="3">
        <v>4.8780000000000001</v>
      </c>
      <c r="D293" s="10">
        <v>4.5</v>
      </c>
    </row>
    <row r="294" spans="1:4" x14ac:dyDescent="0.25">
      <c r="A294" t="s">
        <v>303</v>
      </c>
      <c r="B294" s="2">
        <v>4.8</v>
      </c>
      <c r="C294" s="3">
        <v>4.9130000000000003</v>
      </c>
      <c r="D294" s="10">
        <v>4.5</v>
      </c>
    </row>
    <row r="295" spans="1:4" x14ac:dyDescent="0.25">
      <c r="A295" t="s">
        <v>304</v>
      </c>
      <c r="B295" s="2">
        <v>4.8</v>
      </c>
      <c r="C295" s="3">
        <v>4.7229999999999999</v>
      </c>
      <c r="D295" s="10">
        <v>4.5</v>
      </c>
    </row>
    <row r="296" spans="1:4" x14ac:dyDescent="0.25">
      <c r="A296" t="s">
        <v>305</v>
      </c>
      <c r="B296" s="2">
        <v>4.8</v>
      </c>
      <c r="C296" s="3">
        <v>4.7859999999999996</v>
      </c>
      <c r="D296" s="10">
        <v>4.5</v>
      </c>
    </row>
    <row r="297" spans="1:4" x14ac:dyDescent="0.25">
      <c r="A297" t="s">
        <v>306</v>
      </c>
      <c r="B297" s="2">
        <v>4.8</v>
      </c>
      <c r="C297" s="3">
        <v>4.8650000000000002</v>
      </c>
      <c r="D297" s="10">
        <v>4.5</v>
      </c>
    </row>
    <row r="298" spans="1:4" x14ac:dyDescent="0.25">
      <c r="A298" t="s">
        <v>307</v>
      </c>
      <c r="B298" s="2">
        <v>4.8</v>
      </c>
      <c r="C298" s="3">
        <v>4.7939999999999996</v>
      </c>
      <c r="D298" s="10">
        <v>4.5</v>
      </c>
    </row>
    <row r="299" spans="1:4" x14ac:dyDescent="0.25">
      <c r="A299" t="s">
        <v>308</v>
      </c>
      <c r="B299" s="2">
        <v>4.8</v>
      </c>
      <c r="C299" s="3">
        <v>4.7370000000000001</v>
      </c>
      <c r="D299" s="10">
        <v>4.5</v>
      </c>
    </row>
    <row r="300" spans="1:4" x14ac:dyDescent="0.25">
      <c r="A300" t="s">
        <v>309</v>
      </c>
      <c r="B300" s="2">
        <v>4.8</v>
      </c>
      <c r="C300" s="3">
        <v>4.8650000000000002</v>
      </c>
      <c r="D300" s="10">
        <v>4.5</v>
      </c>
    </row>
    <row r="301" spans="1:4" x14ac:dyDescent="0.25">
      <c r="A301" t="s">
        <v>310</v>
      </c>
      <c r="B301" s="2">
        <v>4.7</v>
      </c>
      <c r="C301" s="3">
        <v>4.6970000000000001</v>
      </c>
      <c r="D301" s="10">
        <v>4.5</v>
      </c>
    </row>
    <row r="302" spans="1:4" x14ac:dyDescent="0.25">
      <c r="A302" t="s">
        <v>311</v>
      </c>
      <c r="B302" s="2">
        <v>4.7</v>
      </c>
      <c r="C302" s="3">
        <v>4.5449999999999999</v>
      </c>
      <c r="D302" s="10">
        <v>4.5</v>
      </c>
    </row>
    <row r="303" spans="1:4" x14ac:dyDescent="0.25">
      <c r="A303" t="s">
        <v>312</v>
      </c>
      <c r="B303" s="2">
        <v>4.7</v>
      </c>
      <c r="C303" s="3">
        <v>4.7850000000000001</v>
      </c>
      <c r="D303" s="10">
        <v>4.5</v>
      </c>
    </row>
    <row r="304" spans="1:4" x14ac:dyDescent="0.25">
      <c r="A304" t="s">
        <v>313</v>
      </c>
      <c r="B304" s="2">
        <v>4.7</v>
      </c>
      <c r="C304" s="3">
        <v>4.681</v>
      </c>
      <c r="D304" s="10">
        <v>4.8499999999999996</v>
      </c>
    </row>
    <row r="305" spans="1:4" x14ac:dyDescent="0.25">
      <c r="A305" t="s">
        <v>314</v>
      </c>
      <c r="B305" s="2">
        <v>4.7</v>
      </c>
      <c r="C305" s="3">
        <v>4.59</v>
      </c>
      <c r="D305" s="10">
        <v>4.8499999999999996</v>
      </c>
    </row>
    <row r="306" spans="1:4" x14ac:dyDescent="0.25">
      <c r="A306" t="s">
        <v>315</v>
      </c>
      <c r="B306" s="2">
        <v>4.7</v>
      </c>
      <c r="C306" s="3">
        <v>4.8929999999999998</v>
      </c>
      <c r="D306" s="10">
        <v>4.8499999999999996</v>
      </c>
    </row>
    <row r="307" spans="1:4" x14ac:dyDescent="0.25">
      <c r="A307" t="s">
        <v>316</v>
      </c>
      <c r="B307" s="2">
        <v>4.8</v>
      </c>
      <c r="C307" s="3">
        <v>4.718</v>
      </c>
      <c r="D307" s="10">
        <v>4.8499999999999996</v>
      </c>
    </row>
    <row r="308" spans="1:4" x14ac:dyDescent="0.25">
      <c r="A308" t="s">
        <v>317</v>
      </c>
      <c r="B308" s="2">
        <v>4.7</v>
      </c>
      <c r="C308" s="3">
        <v>4.7389999999999999</v>
      </c>
      <c r="D308" s="10">
        <v>4.8499999999999996</v>
      </c>
    </row>
    <row r="309" spans="1:4" x14ac:dyDescent="0.25">
      <c r="A309" t="s">
        <v>318</v>
      </c>
      <c r="B309" s="2">
        <v>4.7</v>
      </c>
      <c r="C309" s="3">
        <v>4.593</v>
      </c>
      <c r="D309" s="10">
        <v>4.8499999999999996</v>
      </c>
    </row>
    <row r="310" spans="1:4" x14ac:dyDescent="0.25">
      <c r="A310" t="s">
        <v>319</v>
      </c>
      <c r="B310" s="2">
        <v>4.8</v>
      </c>
      <c r="C310" s="3">
        <v>4.798</v>
      </c>
      <c r="D310" s="10">
        <v>4.8499999999999996</v>
      </c>
    </row>
    <row r="311" spans="1:4" x14ac:dyDescent="0.25">
      <c r="A311" t="s">
        <v>320</v>
      </c>
      <c r="B311" s="2">
        <v>4.8</v>
      </c>
      <c r="C311" s="3">
        <v>4.8600000000000003</v>
      </c>
      <c r="D311" s="10">
        <v>4.8499999999999996</v>
      </c>
    </row>
    <row r="312" spans="1:4" x14ac:dyDescent="0.25">
      <c r="A312" t="s">
        <v>321</v>
      </c>
      <c r="B312" s="2">
        <v>4.7</v>
      </c>
      <c r="C312" s="3">
        <v>4.5869999999999997</v>
      </c>
      <c r="D312" s="10">
        <v>4.8499999999999996</v>
      </c>
    </row>
    <row r="313" spans="1:4" x14ac:dyDescent="0.25">
      <c r="A313" t="s">
        <v>322</v>
      </c>
      <c r="B313" s="2">
        <v>4.7</v>
      </c>
      <c r="C313" s="3">
        <v>4.6760000000000002</v>
      </c>
      <c r="D313" s="10">
        <v>4.8499999999999996</v>
      </c>
    </row>
    <row r="314" spans="1:4" x14ac:dyDescent="0.25">
      <c r="A314" t="s">
        <v>323</v>
      </c>
      <c r="B314" s="2">
        <v>4.7</v>
      </c>
      <c r="C314" s="3">
        <v>4.7830000000000004</v>
      </c>
      <c r="D314" s="10">
        <v>4.8499999999999996</v>
      </c>
    </row>
    <row r="315" spans="1:4" x14ac:dyDescent="0.25">
      <c r="A315" t="s">
        <v>324</v>
      </c>
      <c r="B315" s="2">
        <v>4.9000000000000004</v>
      </c>
      <c r="C315" s="3">
        <v>4.7220000000000004</v>
      </c>
      <c r="D315" s="10">
        <v>4.8499999999999996</v>
      </c>
    </row>
    <row r="316" spans="1:4" x14ac:dyDescent="0.25">
      <c r="A316" t="s">
        <v>325</v>
      </c>
      <c r="B316" s="2">
        <v>5.0999999999999996</v>
      </c>
      <c r="C316" s="3">
        <v>5.3120000000000003</v>
      </c>
      <c r="D316" s="10">
        <v>5.05</v>
      </c>
    </row>
    <row r="317" spans="1:4" x14ac:dyDescent="0.25">
      <c r="A317" t="s">
        <v>326</v>
      </c>
      <c r="B317" s="2">
        <v>5.0999999999999996</v>
      </c>
      <c r="C317" s="3">
        <v>5.1219999999999999</v>
      </c>
      <c r="D317" s="10">
        <v>5.05</v>
      </c>
    </row>
    <row r="318" spans="1:4" x14ac:dyDescent="0.25">
      <c r="A318" t="s">
        <v>327</v>
      </c>
      <c r="B318" s="2">
        <v>5.0999999999999996</v>
      </c>
      <c r="C318" s="3">
        <v>4.9939999999999998</v>
      </c>
      <c r="D318" s="10">
        <v>5.05</v>
      </c>
    </row>
    <row r="319" spans="1:4" x14ac:dyDescent="0.25">
      <c r="A319" t="s">
        <v>328</v>
      </c>
      <c r="B319" s="2">
        <v>5.2</v>
      </c>
      <c r="C319" s="3">
        <v>5.1660000000000004</v>
      </c>
      <c r="D319" s="10">
        <v>5.05</v>
      </c>
    </row>
    <row r="320" spans="1:4" x14ac:dyDescent="0.25">
      <c r="A320" t="s">
        <v>329</v>
      </c>
      <c r="B320" s="2">
        <v>5.2</v>
      </c>
      <c r="C320" s="3">
        <v>5.37</v>
      </c>
      <c r="D320" s="10">
        <v>5.05</v>
      </c>
    </row>
    <row r="321" spans="1:4" x14ac:dyDescent="0.25">
      <c r="A321" t="s">
        <v>330</v>
      </c>
      <c r="B321" s="2">
        <v>5.3</v>
      </c>
      <c r="C321" s="3">
        <v>5.1580000000000004</v>
      </c>
      <c r="D321" s="10">
        <v>5.05</v>
      </c>
    </row>
    <row r="322" spans="1:4" x14ac:dyDescent="0.25">
      <c r="A322" t="s">
        <v>331</v>
      </c>
      <c r="B322" s="2">
        <v>5.4</v>
      </c>
      <c r="C322" s="3">
        <v>5.4349999999999996</v>
      </c>
      <c r="D322" s="10">
        <v>5.05</v>
      </c>
    </row>
    <row r="323" spans="1:4" x14ac:dyDescent="0.25">
      <c r="A323" t="s">
        <v>332</v>
      </c>
      <c r="B323" s="2">
        <v>5.5</v>
      </c>
      <c r="C323" s="3">
        <v>5.6509999999999998</v>
      </c>
      <c r="D323" s="10">
        <v>5.05</v>
      </c>
    </row>
    <row r="324" spans="1:4" x14ac:dyDescent="0.25">
      <c r="A324" t="s">
        <v>333</v>
      </c>
      <c r="B324" s="2">
        <v>5.5</v>
      </c>
      <c r="C324" s="3">
        <v>5.3239999999999998</v>
      </c>
      <c r="D324" s="10">
        <v>5.05</v>
      </c>
    </row>
    <row r="325" spans="1:4" x14ac:dyDescent="0.25">
      <c r="A325" t="s">
        <v>334</v>
      </c>
      <c r="B325" s="2">
        <v>5.5</v>
      </c>
      <c r="C325" s="3">
        <v>5.5490000000000004</v>
      </c>
      <c r="D325" s="10">
        <v>5.05</v>
      </c>
    </row>
    <row r="326" spans="1:4" x14ac:dyDescent="0.25">
      <c r="A326" t="s">
        <v>335</v>
      </c>
      <c r="B326" s="2">
        <v>5.5</v>
      </c>
      <c r="C326" s="3">
        <v>5.5350000000000001</v>
      </c>
      <c r="D326" s="10">
        <v>5.05</v>
      </c>
    </row>
    <row r="327" spans="1:4" x14ac:dyDescent="0.25">
      <c r="A327" t="s">
        <v>336</v>
      </c>
      <c r="B327" s="2">
        <v>5.5</v>
      </c>
      <c r="C327" s="3">
        <v>5.359</v>
      </c>
      <c r="D327" s="10">
        <v>5.05</v>
      </c>
    </row>
    <row r="328" spans="1:4" x14ac:dyDescent="0.25">
      <c r="A328" t="s">
        <v>337</v>
      </c>
      <c r="B328" s="2">
        <v>5.4</v>
      </c>
      <c r="C328" s="3">
        <v>5.53</v>
      </c>
      <c r="D328" s="10">
        <v>5.35</v>
      </c>
    </row>
    <row r="329" spans="1:4" x14ac:dyDescent="0.25">
      <c r="A329" t="s">
        <v>338</v>
      </c>
      <c r="B329" s="2">
        <v>5.5</v>
      </c>
      <c r="C329" s="3">
        <v>5.3890000000000002</v>
      </c>
      <c r="D329" s="10">
        <v>5.35</v>
      </c>
    </row>
    <row r="330" spans="1:4" x14ac:dyDescent="0.25">
      <c r="A330" t="s">
        <v>339</v>
      </c>
      <c r="B330" s="2">
        <v>5.5</v>
      </c>
      <c r="C330" s="3">
        <v>5.5730000000000004</v>
      </c>
      <c r="D330" s="10">
        <v>5.35</v>
      </c>
    </row>
    <row r="331" spans="1:4" x14ac:dyDescent="0.25">
      <c r="A331" t="s">
        <v>340</v>
      </c>
      <c r="B331" s="2">
        <v>5.5</v>
      </c>
      <c r="C331" s="3">
        <v>5.5549999999999997</v>
      </c>
      <c r="D331" s="10">
        <v>5.35</v>
      </c>
    </row>
    <row r="332" spans="1:4" x14ac:dyDescent="0.25">
      <c r="A332" t="s">
        <v>341</v>
      </c>
      <c r="B332" s="2">
        <v>5.5</v>
      </c>
      <c r="C332" s="3">
        <v>5.4880000000000004</v>
      </c>
      <c r="D332" s="10">
        <v>5.35</v>
      </c>
    </row>
    <row r="333" spans="1:4" x14ac:dyDescent="0.25">
      <c r="A333" t="s">
        <v>342</v>
      </c>
      <c r="B333" s="2">
        <v>5.5</v>
      </c>
      <c r="C333" s="3">
        <v>5.4880000000000004</v>
      </c>
      <c r="D333" s="10">
        <v>5.35</v>
      </c>
    </row>
    <row r="334" spans="1:4" x14ac:dyDescent="0.25">
      <c r="A334" t="s">
        <v>343</v>
      </c>
      <c r="B334" s="2">
        <v>5.4</v>
      </c>
      <c r="C334" s="3">
        <v>5.4210000000000003</v>
      </c>
      <c r="D334" s="10">
        <v>5.35</v>
      </c>
    </row>
    <row r="335" spans="1:4" x14ac:dyDescent="0.25">
      <c r="A335" t="s">
        <v>344</v>
      </c>
      <c r="B335" s="2">
        <v>5.4</v>
      </c>
      <c r="C335" s="3">
        <v>5.2919999999999998</v>
      </c>
      <c r="D335" s="10">
        <v>5.35</v>
      </c>
    </row>
    <row r="336" spans="1:4" x14ac:dyDescent="0.25">
      <c r="A336" t="s">
        <v>345</v>
      </c>
      <c r="B336" s="2">
        <v>5.3</v>
      </c>
      <c r="C336" s="3">
        <v>5.3250000000000002</v>
      </c>
      <c r="D336" s="10">
        <v>5.35</v>
      </c>
    </row>
    <row r="337" spans="1:4" x14ac:dyDescent="0.25">
      <c r="A337" t="s">
        <v>346</v>
      </c>
      <c r="B337" s="2">
        <v>5.3</v>
      </c>
      <c r="C337" s="3">
        <v>5.2809999999999997</v>
      </c>
      <c r="D337" s="10">
        <v>5.35</v>
      </c>
    </row>
    <row r="338" spans="1:4" x14ac:dyDescent="0.25">
      <c r="A338" t="s">
        <v>347</v>
      </c>
      <c r="B338" s="2">
        <v>5.3</v>
      </c>
      <c r="C338" s="3">
        <v>5.3319999999999999</v>
      </c>
      <c r="D338" s="10">
        <v>5.35</v>
      </c>
    </row>
    <row r="339" spans="1:4" x14ac:dyDescent="0.25">
      <c r="A339" t="s">
        <v>348</v>
      </c>
      <c r="B339" s="2">
        <v>5.2</v>
      </c>
      <c r="C339" s="3">
        <v>5.306</v>
      </c>
      <c r="D339" s="10">
        <v>5.35</v>
      </c>
    </row>
    <row r="340" spans="1:4" x14ac:dyDescent="0.25">
      <c r="A340" t="s">
        <v>349</v>
      </c>
      <c r="B340" s="2">
        <v>5.2</v>
      </c>
      <c r="C340" s="3">
        <v>5.0620000000000003</v>
      </c>
      <c r="D340" s="10">
        <v>5.52</v>
      </c>
    </row>
    <row r="341" spans="1:4" x14ac:dyDescent="0.25">
      <c r="A341" t="s">
        <v>350</v>
      </c>
      <c r="B341" s="2">
        <v>5.2</v>
      </c>
      <c r="C341" s="3">
        <v>5.3769999999999998</v>
      </c>
      <c r="D341" s="10">
        <v>5.52</v>
      </c>
    </row>
    <row r="342" spans="1:4" x14ac:dyDescent="0.25">
      <c r="A342" t="s">
        <v>351</v>
      </c>
      <c r="B342" s="2">
        <v>5.2</v>
      </c>
      <c r="C342" s="3">
        <v>5.0229999999999997</v>
      </c>
      <c r="D342" s="10">
        <v>5.52</v>
      </c>
    </row>
    <row r="343" spans="1:4" x14ac:dyDescent="0.25">
      <c r="A343" t="s">
        <v>352</v>
      </c>
      <c r="B343" s="2">
        <v>5.2</v>
      </c>
      <c r="C343" s="3">
        <v>5.1189999999999998</v>
      </c>
      <c r="D343" s="10">
        <v>5.52</v>
      </c>
    </row>
    <row r="344" spans="1:4" x14ac:dyDescent="0.25">
      <c r="A344" t="s">
        <v>353</v>
      </c>
      <c r="B344" s="2">
        <v>5.2</v>
      </c>
      <c r="C344" s="3">
        <v>5.4189999999999996</v>
      </c>
      <c r="D344" s="10">
        <v>5.52</v>
      </c>
    </row>
    <row r="345" spans="1:4" x14ac:dyDescent="0.25">
      <c r="A345" t="s">
        <v>354</v>
      </c>
      <c r="B345" s="2">
        <v>5.3</v>
      </c>
      <c r="C345" s="3">
        <v>5.0010000000000003</v>
      </c>
      <c r="D345" s="10">
        <v>5.52</v>
      </c>
    </row>
    <row r="346" spans="1:4" x14ac:dyDescent="0.25">
      <c r="A346" t="s">
        <v>355</v>
      </c>
      <c r="B346" s="2">
        <v>5.2</v>
      </c>
      <c r="C346" s="3">
        <v>5.516</v>
      </c>
      <c r="D346" s="10">
        <v>5.52</v>
      </c>
    </row>
    <row r="347" spans="1:4" x14ac:dyDescent="0.25">
      <c r="A347" t="s">
        <v>356</v>
      </c>
      <c r="B347" s="2">
        <v>5.4</v>
      </c>
      <c r="C347" s="3">
        <v>5.0259999999999998</v>
      </c>
      <c r="D347" s="10">
        <v>5.52</v>
      </c>
    </row>
    <row r="348" spans="1:4" x14ac:dyDescent="0.25">
      <c r="A348" t="s">
        <v>357</v>
      </c>
      <c r="B348" s="2">
        <v>5.5</v>
      </c>
      <c r="C348" s="3">
        <v>5.5</v>
      </c>
      <c r="D348" s="10">
        <v>5.52</v>
      </c>
    </row>
    <row r="349" spans="1:4" x14ac:dyDescent="0.25">
      <c r="A349" t="s">
        <v>358</v>
      </c>
      <c r="B349" s="2">
        <v>5.7</v>
      </c>
      <c r="C349" s="3">
        <v>5.9420000000000002</v>
      </c>
      <c r="D349" s="10">
        <v>5.52</v>
      </c>
    </row>
    <row r="350" spans="1:4" x14ac:dyDescent="0.25">
      <c r="A350" t="s">
        <v>359</v>
      </c>
      <c r="B350" s="2">
        <v>5.9</v>
      </c>
      <c r="C350" s="3">
        <v>5.6760000000000002</v>
      </c>
      <c r="D350" s="10">
        <v>5.52</v>
      </c>
    </row>
    <row r="351" spans="1:4" x14ac:dyDescent="0.25">
      <c r="A351" t="s">
        <v>360</v>
      </c>
      <c r="B351" s="2">
        <v>6</v>
      </c>
      <c r="C351" s="3">
        <v>5.9429999999999996</v>
      </c>
      <c r="D351" s="10">
        <v>5.52</v>
      </c>
    </row>
    <row r="352" spans="1:4" x14ac:dyDescent="0.25">
      <c r="A352" t="s">
        <v>361</v>
      </c>
      <c r="B352" s="2">
        <v>6.2</v>
      </c>
      <c r="C352" s="3">
        <v>6.3040000000000003</v>
      </c>
      <c r="D352" s="10">
        <v>5.73</v>
      </c>
    </row>
    <row r="353" spans="1:4" x14ac:dyDescent="0.25">
      <c r="A353" t="s">
        <v>362</v>
      </c>
      <c r="B353" s="2">
        <v>6.4</v>
      </c>
      <c r="C353" s="3">
        <v>6.2190000000000003</v>
      </c>
      <c r="D353" s="10">
        <v>5.73</v>
      </c>
    </row>
    <row r="354" spans="1:4" x14ac:dyDescent="0.25">
      <c r="A354" t="s">
        <v>363</v>
      </c>
      <c r="B354" s="2">
        <v>6.5</v>
      </c>
      <c r="C354" s="3">
        <v>6.5380000000000003</v>
      </c>
      <c r="D354" s="10">
        <v>5.73</v>
      </c>
    </row>
    <row r="355" spans="1:4" x14ac:dyDescent="0.25">
      <c r="A355" t="s">
        <v>364</v>
      </c>
      <c r="B355" s="2">
        <v>6.7</v>
      </c>
      <c r="C355" s="3">
        <v>6.7960000000000003</v>
      </c>
      <c r="D355" s="10">
        <v>5.73</v>
      </c>
    </row>
    <row r="356" spans="1:4" x14ac:dyDescent="0.25">
      <c r="A356" t="s">
        <v>365</v>
      </c>
      <c r="B356" s="2">
        <v>7.1</v>
      </c>
      <c r="C356" s="3">
        <v>6.8760000000000003</v>
      </c>
      <c r="D356" s="10">
        <v>5.73</v>
      </c>
    </row>
    <row r="357" spans="1:4" x14ac:dyDescent="0.25">
      <c r="A357" t="s">
        <v>366</v>
      </c>
      <c r="B357" s="2">
        <v>7.3</v>
      </c>
      <c r="C357" s="3">
        <v>7.5490000000000004</v>
      </c>
      <c r="D357" s="10">
        <v>5.73</v>
      </c>
    </row>
    <row r="358" spans="1:4" x14ac:dyDescent="0.25">
      <c r="A358" t="s">
        <v>367</v>
      </c>
      <c r="B358" s="2">
        <v>7.6</v>
      </c>
      <c r="C358" s="3">
        <v>7.4089999999999998</v>
      </c>
      <c r="D358" s="10">
        <v>5.73</v>
      </c>
    </row>
    <row r="359" spans="1:4" x14ac:dyDescent="0.25">
      <c r="A359" t="s">
        <v>368</v>
      </c>
      <c r="B359" s="2">
        <v>7.8</v>
      </c>
      <c r="C359" s="3">
        <v>7.798</v>
      </c>
      <c r="D359" s="10">
        <v>5.73</v>
      </c>
    </row>
    <row r="360" spans="1:4" x14ac:dyDescent="0.25">
      <c r="A360" t="s">
        <v>369</v>
      </c>
      <c r="B360" s="2">
        <v>7.9</v>
      </c>
      <c r="C360" s="3">
        <v>8.0879999999999992</v>
      </c>
      <c r="D360" s="10">
        <v>5.73</v>
      </c>
    </row>
    <row r="361" spans="1:4" x14ac:dyDescent="0.25">
      <c r="A361" t="s">
        <v>370</v>
      </c>
      <c r="B361" s="2">
        <v>7.9</v>
      </c>
      <c r="C361" s="3">
        <v>7.7279999999999998</v>
      </c>
      <c r="D361" s="10">
        <v>5.73</v>
      </c>
    </row>
    <row r="362" spans="1:4" x14ac:dyDescent="0.25">
      <c r="A362" t="s">
        <v>371</v>
      </c>
      <c r="B362" s="2">
        <v>7.8</v>
      </c>
      <c r="C362" s="3">
        <v>7.79</v>
      </c>
      <c r="D362" s="10">
        <v>5.73</v>
      </c>
    </row>
    <row r="363" spans="1:4" x14ac:dyDescent="0.25">
      <c r="A363" t="s">
        <v>372</v>
      </c>
      <c r="B363" s="2">
        <v>7.9</v>
      </c>
      <c r="C363" s="3">
        <v>8.0169999999999995</v>
      </c>
      <c r="D363" s="10">
        <v>5.73</v>
      </c>
    </row>
    <row r="364" spans="1:4" x14ac:dyDescent="0.25">
      <c r="A364" t="s">
        <v>373</v>
      </c>
      <c r="B364" s="2">
        <v>7.8</v>
      </c>
      <c r="C364" s="3">
        <v>7.806</v>
      </c>
      <c r="D364" s="10">
        <v>5.8</v>
      </c>
    </row>
    <row r="365" spans="1:4" x14ac:dyDescent="0.25">
      <c r="A365" t="s">
        <v>374</v>
      </c>
      <c r="B365" s="2">
        <v>7.8</v>
      </c>
      <c r="C365" s="3">
        <v>7.5270000000000001</v>
      </c>
      <c r="D365" s="10">
        <v>5.8</v>
      </c>
    </row>
    <row r="366" spans="1:4" x14ac:dyDescent="0.25">
      <c r="A366" t="s">
        <v>375</v>
      </c>
      <c r="B366" s="2">
        <v>7.7</v>
      </c>
      <c r="C366" s="3">
        <v>7.9660000000000002</v>
      </c>
      <c r="D366" s="10">
        <v>5.8</v>
      </c>
    </row>
    <row r="367" spans="1:4" x14ac:dyDescent="0.25">
      <c r="A367" t="s">
        <v>376</v>
      </c>
      <c r="B367" s="2">
        <v>7.9</v>
      </c>
      <c r="C367" s="3">
        <v>7.702</v>
      </c>
      <c r="D367" s="10">
        <v>5.8</v>
      </c>
    </row>
    <row r="368" spans="1:4" x14ac:dyDescent="0.25">
      <c r="A368" t="s">
        <v>377</v>
      </c>
      <c r="B368" s="2">
        <v>8</v>
      </c>
      <c r="C368" s="3">
        <v>8.1059999999999999</v>
      </c>
      <c r="D368" s="10">
        <v>5.8</v>
      </c>
    </row>
    <row r="369" spans="1:4" x14ac:dyDescent="0.25">
      <c r="A369" t="s">
        <v>378</v>
      </c>
      <c r="B369" s="2">
        <v>8</v>
      </c>
      <c r="C369" s="3">
        <v>8.1929999999999996</v>
      </c>
      <c r="D369" s="10">
        <v>5.8</v>
      </c>
    </row>
    <row r="370" spans="1:4" x14ac:dyDescent="0.25">
      <c r="A370" t="s">
        <v>379</v>
      </c>
      <c r="B370" s="2">
        <v>7.9</v>
      </c>
      <c r="C370" s="3">
        <v>7.5640000000000001</v>
      </c>
      <c r="D370" s="10">
        <v>5.8</v>
      </c>
    </row>
    <row r="371" spans="1:4" x14ac:dyDescent="0.25">
      <c r="A371" t="s">
        <v>380</v>
      </c>
      <c r="B371" s="2">
        <v>7.9</v>
      </c>
      <c r="C371" s="3">
        <v>8.0329999999999995</v>
      </c>
      <c r="D371" s="10">
        <v>5.8</v>
      </c>
    </row>
    <row r="372" spans="1:4" x14ac:dyDescent="0.25">
      <c r="A372" t="s">
        <v>381</v>
      </c>
      <c r="B372" s="2">
        <v>7.8</v>
      </c>
      <c r="C372" s="3">
        <v>7.93</v>
      </c>
      <c r="D372" s="10">
        <v>5.8</v>
      </c>
    </row>
    <row r="373" spans="1:4" x14ac:dyDescent="0.25">
      <c r="A373" t="s">
        <v>382</v>
      </c>
      <c r="B373" s="2">
        <v>7.8</v>
      </c>
      <c r="C373" s="3">
        <v>7.5069999999999997</v>
      </c>
      <c r="D373" s="10">
        <v>5.8</v>
      </c>
    </row>
    <row r="374" spans="1:4" x14ac:dyDescent="0.25">
      <c r="A374" t="s">
        <v>383</v>
      </c>
      <c r="B374" s="2">
        <v>7.8</v>
      </c>
      <c r="C374" s="3">
        <v>7.9279999999999999</v>
      </c>
      <c r="D374" s="10">
        <v>5.8</v>
      </c>
    </row>
    <row r="375" spans="1:4" x14ac:dyDescent="0.25">
      <c r="A375" t="s">
        <v>384</v>
      </c>
      <c r="B375" s="2">
        <v>7.9</v>
      </c>
      <c r="C375" s="3">
        <v>7.8109999999999999</v>
      </c>
      <c r="D375" s="10">
        <v>5.8</v>
      </c>
    </row>
    <row r="376" spans="1:4" x14ac:dyDescent="0.25">
      <c r="A376" t="s">
        <v>385</v>
      </c>
      <c r="B376" s="2">
        <v>7.9</v>
      </c>
      <c r="C376" s="3">
        <v>7.9580000000000002</v>
      </c>
      <c r="D376" s="10">
        <v>5.93</v>
      </c>
    </row>
    <row r="377" spans="1:4" x14ac:dyDescent="0.25">
      <c r="A377" t="s">
        <v>386</v>
      </c>
      <c r="B377" s="2">
        <v>7.9</v>
      </c>
      <c r="C377" s="3">
        <v>7.851</v>
      </c>
      <c r="D377" s="10">
        <v>5.93</v>
      </c>
    </row>
    <row r="378" spans="1:4" x14ac:dyDescent="0.25">
      <c r="A378" t="s">
        <v>387</v>
      </c>
      <c r="B378" s="2">
        <v>7.9</v>
      </c>
      <c r="C378" s="3">
        <v>7.774</v>
      </c>
      <c r="D378" s="10">
        <v>5.93</v>
      </c>
    </row>
    <row r="379" spans="1:4" x14ac:dyDescent="0.25">
      <c r="A379" t="s">
        <v>388</v>
      </c>
      <c r="B379" s="2">
        <v>7.8</v>
      </c>
      <c r="C379" s="3">
        <v>8.1039999999999992</v>
      </c>
      <c r="D379" s="10">
        <v>5.93</v>
      </c>
    </row>
    <row r="380" spans="1:4" x14ac:dyDescent="0.25">
      <c r="A380" t="s">
        <v>389</v>
      </c>
      <c r="B380" s="2">
        <v>7.8</v>
      </c>
      <c r="C380" s="3">
        <v>7.5229999999999997</v>
      </c>
      <c r="D380" s="10">
        <v>5.93</v>
      </c>
    </row>
    <row r="381" spans="1:4" x14ac:dyDescent="0.25">
      <c r="A381" t="s">
        <v>390</v>
      </c>
      <c r="B381" s="2">
        <v>7.7</v>
      </c>
      <c r="C381" s="3">
        <v>7.7050000000000001</v>
      </c>
      <c r="D381" s="10">
        <v>5.93</v>
      </c>
    </row>
    <row r="382" spans="1:4" x14ac:dyDescent="0.25">
      <c r="A382" t="s">
        <v>391</v>
      </c>
      <c r="B382" s="2">
        <v>7.8</v>
      </c>
      <c r="C382" s="3">
        <v>7.9260000000000002</v>
      </c>
      <c r="D382" s="10">
        <v>5.93</v>
      </c>
    </row>
    <row r="383" spans="1:4" x14ac:dyDescent="0.25">
      <c r="A383" t="s">
        <v>392</v>
      </c>
      <c r="B383" s="2">
        <v>7.9</v>
      </c>
      <c r="C383" s="3">
        <v>7.8239999999999998</v>
      </c>
      <c r="D383" s="10">
        <v>5.93</v>
      </c>
    </row>
    <row r="384" spans="1:4" x14ac:dyDescent="0.25">
      <c r="A384" t="s">
        <v>393</v>
      </c>
      <c r="B384" s="2">
        <v>8</v>
      </c>
      <c r="C384" s="3">
        <v>8.077</v>
      </c>
      <c r="D384" s="10">
        <v>5.93</v>
      </c>
    </row>
    <row r="385" spans="1:4" x14ac:dyDescent="0.25">
      <c r="A385" t="s">
        <v>394</v>
      </c>
      <c r="B385" s="2">
        <v>8.1999999999999993</v>
      </c>
      <c r="C385" s="3">
        <v>8.1430000000000007</v>
      </c>
      <c r="D385" s="10">
        <v>5.93</v>
      </c>
    </row>
    <row r="386" spans="1:4" x14ac:dyDescent="0.25">
      <c r="A386" t="s">
        <v>395</v>
      </c>
      <c r="B386" s="2">
        <v>8.3000000000000007</v>
      </c>
      <c r="C386" s="3">
        <v>8.3070000000000004</v>
      </c>
      <c r="D386" s="10">
        <v>5.93</v>
      </c>
    </row>
    <row r="387" spans="1:4" x14ac:dyDescent="0.25">
      <c r="A387" t="s">
        <v>396</v>
      </c>
      <c r="B387" s="2">
        <v>8.4</v>
      </c>
      <c r="C387" s="3">
        <v>8.5519999999999996</v>
      </c>
      <c r="D387" s="10">
        <v>5.93</v>
      </c>
    </row>
    <row r="388" spans="1:4" x14ac:dyDescent="0.25">
      <c r="A388" t="s">
        <v>397</v>
      </c>
      <c r="B388" s="2">
        <v>8.5</v>
      </c>
      <c r="C388" s="3">
        <v>8.2460000000000004</v>
      </c>
      <c r="D388" s="10">
        <v>6.08</v>
      </c>
    </row>
    <row r="389" spans="1:4" x14ac:dyDescent="0.25">
      <c r="A389" t="s">
        <v>398</v>
      </c>
      <c r="B389" s="2">
        <v>8.4</v>
      </c>
      <c r="C389" s="3">
        <v>8.5830000000000002</v>
      </c>
      <c r="D389" s="10">
        <v>6.08</v>
      </c>
    </row>
    <row r="390" spans="1:4" x14ac:dyDescent="0.25">
      <c r="A390" t="s">
        <v>399</v>
      </c>
      <c r="B390" s="2">
        <v>8.3000000000000007</v>
      </c>
      <c r="C390" s="3">
        <v>8.35</v>
      </c>
      <c r="D390" s="10">
        <v>6.08</v>
      </c>
    </row>
    <row r="391" spans="1:4" x14ac:dyDescent="0.25">
      <c r="A391" t="s">
        <v>400</v>
      </c>
      <c r="B391" s="2">
        <v>8.3000000000000007</v>
      </c>
      <c r="C391" s="3">
        <v>8.0960000000000001</v>
      </c>
      <c r="D391" s="10">
        <v>6.08</v>
      </c>
    </row>
    <row r="392" spans="1:4" x14ac:dyDescent="0.25">
      <c r="A392" t="s">
        <v>401</v>
      </c>
      <c r="B392" s="2">
        <v>8.1999999999999993</v>
      </c>
      <c r="C392" s="3">
        <v>8.4009999999999998</v>
      </c>
      <c r="D392" s="10">
        <v>6.08</v>
      </c>
    </row>
    <row r="393" spans="1:4" x14ac:dyDescent="0.25">
      <c r="A393" t="s">
        <v>402</v>
      </c>
      <c r="B393" s="2">
        <v>8.1999999999999993</v>
      </c>
      <c r="C393" s="3">
        <v>8.1199999999999992</v>
      </c>
      <c r="D393" s="10">
        <v>6.08</v>
      </c>
    </row>
    <row r="394" spans="1:4" x14ac:dyDescent="0.25">
      <c r="A394" t="s">
        <v>403</v>
      </c>
      <c r="B394" s="2">
        <v>8.1</v>
      </c>
      <c r="C394" s="3">
        <v>7.9649999999999999</v>
      </c>
      <c r="D394" s="10">
        <v>6.08</v>
      </c>
    </row>
    <row r="395" spans="1:4" x14ac:dyDescent="0.25">
      <c r="A395" t="s">
        <v>404</v>
      </c>
      <c r="B395" s="2">
        <v>8</v>
      </c>
      <c r="C395" s="3">
        <v>8.1370000000000005</v>
      </c>
      <c r="D395" s="10">
        <v>6.08</v>
      </c>
    </row>
    <row r="396" spans="1:4" x14ac:dyDescent="0.25">
      <c r="A396" t="s">
        <v>405</v>
      </c>
      <c r="B396" s="2">
        <v>8</v>
      </c>
      <c r="C396" s="3">
        <v>7.8490000000000002</v>
      </c>
      <c r="D396" s="10">
        <v>6.08</v>
      </c>
    </row>
    <row r="397" spans="1:4" x14ac:dyDescent="0.25">
      <c r="A397" t="s">
        <v>406</v>
      </c>
      <c r="B397" s="2">
        <v>7.9</v>
      </c>
      <c r="C397" s="3">
        <v>8.0879999999999992</v>
      </c>
      <c r="D397" s="10">
        <v>6.08</v>
      </c>
    </row>
    <row r="398" spans="1:4" x14ac:dyDescent="0.25">
      <c r="A398" t="s">
        <v>407</v>
      </c>
      <c r="B398" s="2">
        <v>7.8</v>
      </c>
      <c r="C398" s="3">
        <v>7.7089999999999996</v>
      </c>
      <c r="D398" s="10">
        <v>6.08</v>
      </c>
    </row>
    <row r="399" spans="1:4" x14ac:dyDescent="0.25">
      <c r="A399" t="s">
        <v>408</v>
      </c>
      <c r="B399" s="2">
        <v>7.8</v>
      </c>
      <c r="C399" s="3">
        <v>7.7480000000000002</v>
      </c>
      <c r="D399" s="10">
        <v>6.08</v>
      </c>
    </row>
    <row r="400" spans="1:4" x14ac:dyDescent="0.25">
      <c r="A400" t="s">
        <v>409</v>
      </c>
      <c r="B400" s="2">
        <v>7.8</v>
      </c>
      <c r="C400" s="3">
        <v>8.0649999999999995</v>
      </c>
      <c r="D400" s="10">
        <v>6.19</v>
      </c>
    </row>
    <row r="401" spans="1:4" x14ac:dyDescent="0.25">
      <c r="A401" t="s">
        <v>410</v>
      </c>
      <c r="B401" s="2">
        <v>7.8</v>
      </c>
      <c r="C401" s="3">
        <v>7.6230000000000002</v>
      </c>
      <c r="D401" s="10">
        <v>6.19</v>
      </c>
    </row>
    <row r="402" spans="1:4" x14ac:dyDescent="0.25">
      <c r="A402" t="s">
        <v>411</v>
      </c>
      <c r="B402" s="2">
        <v>7.8</v>
      </c>
      <c r="C402" s="3">
        <v>7.7140000000000004</v>
      </c>
      <c r="D402" s="10">
        <v>6.19</v>
      </c>
    </row>
    <row r="403" spans="1:4" x14ac:dyDescent="0.25">
      <c r="A403" t="s">
        <v>412</v>
      </c>
      <c r="B403" s="2">
        <v>8</v>
      </c>
      <c r="C403" s="3">
        <v>8.1050000000000004</v>
      </c>
      <c r="D403" s="10">
        <v>6.19</v>
      </c>
    </row>
    <row r="404" spans="1:4" x14ac:dyDescent="0.25">
      <c r="A404" t="s">
        <v>413</v>
      </c>
      <c r="B404" s="2">
        <v>7.8</v>
      </c>
      <c r="C404" s="3">
        <v>8.0820000000000007</v>
      </c>
      <c r="D404" s="10">
        <v>6.19</v>
      </c>
    </row>
    <row r="405" spans="1:4" x14ac:dyDescent="0.25">
      <c r="A405" t="s">
        <v>414</v>
      </c>
      <c r="B405" s="2">
        <v>7.8</v>
      </c>
      <c r="C405" s="3">
        <v>7.3010000000000002</v>
      </c>
      <c r="D405" s="10">
        <v>6.19</v>
      </c>
    </row>
    <row r="406" spans="1:4" x14ac:dyDescent="0.25">
      <c r="A406" t="s">
        <v>415</v>
      </c>
      <c r="B406" s="2">
        <v>7.7</v>
      </c>
      <c r="C406" s="3">
        <v>7.9649999999999999</v>
      </c>
      <c r="D406" s="10">
        <v>6.19</v>
      </c>
    </row>
    <row r="407" spans="1:4" x14ac:dyDescent="0.25">
      <c r="A407" t="s">
        <v>416</v>
      </c>
      <c r="B407" s="2">
        <v>7.7</v>
      </c>
      <c r="C407" s="3">
        <v>7.9880000000000004</v>
      </c>
      <c r="D407" s="10">
        <v>6.19</v>
      </c>
    </row>
    <row r="408" spans="1:4" x14ac:dyDescent="0.25">
      <c r="A408" t="s">
        <v>417</v>
      </c>
      <c r="B408" s="2">
        <v>7.7</v>
      </c>
      <c r="C408" s="3">
        <v>7.2450000000000001</v>
      </c>
      <c r="D408" s="10">
        <v>6.19</v>
      </c>
    </row>
    <row r="409" spans="1:4" x14ac:dyDescent="0.25">
      <c r="A409" t="s">
        <v>418</v>
      </c>
      <c r="B409" s="2">
        <v>7.7</v>
      </c>
      <c r="C409" s="3">
        <v>7.7460000000000004</v>
      </c>
      <c r="D409" s="10">
        <v>6.19</v>
      </c>
    </row>
    <row r="410" spans="1:4" x14ac:dyDescent="0.25">
      <c r="A410" t="s">
        <v>419</v>
      </c>
      <c r="B410" s="2">
        <v>7.6</v>
      </c>
      <c r="C410" s="3">
        <v>8.0909999999999993</v>
      </c>
      <c r="D410" s="10">
        <v>6.19</v>
      </c>
    </row>
    <row r="411" spans="1:4" x14ac:dyDescent="0.25">
      <c r="A411" t="s">
        <v>420</v>
      </c>
      <c r="B411" s="2">
        <v>7.4</v>
      </c>
      <c r="C411" s="3">
        <v>6.9729999999999999</v>
      </c>
      <c r="D411" s="10">
        <v>6.19</v>
      </c>
    </row>
    <row r="412" spans="1:4" x14ac:dyDescent="0.25">
      <c r="A412" t="s">
        <v>421</v>
      </c>
      <c r="B412" s="2">
        <v>7.2</v>
      </c>
      <c r="C412" s="3">
        <v>7.0060000000000002</v>
      </c>
      <c r="D412" s="10">
        <v>6.31</v>
      </c>
    </row>
    <row r="413" spans="1:4" x14ac:dyDescent="0.25">
      <c r="A413" t="s">
        <v>422</v>
      </c>
      <c r="B413" s="2">
        <v>7.2</v>
      </c>
      <c r="C413" s="3">
        <v>7.524</v>
      </c>
      <c r="D413" s="10">
        <v>6.31</v>
      </c>
    </row>
    <row r="414" spans="1:4" x14ac:dyDescent="0.25">
      <c r="A414" t="s">
        <v>423</v>
      </c>
      <c r="B414" s="2">
        <v>7.1</v>
      </c>
      <c r="C414" s="3">
        <v>7.0880000000000001</v>
      </c>
      <c r="D414" s="10">
        <v>6.31</v>
      </c>
    </row>
    <row r="415" spans="1:4" x14ac:dyDescent="0.25">
      <c r="A415" t="s">
        <v>424</v>
      </c>
      <c r="B415" s="2">
        <v>6.9</v>
      </c>
      <c r="C415" s="3">
        <v>6.8280000000000003</v>
      </c>
      <c r="D415" s="10">
        <v>6.31</v>
      </c>
    </row>
    <row r="416" spans="1:4" x14ac:dyDescent="0.25">
      <c r="A416" t="s">
        <v>425</v>
      </c>
      <c r="B416" s="2">
        <v>6.7</v>
      </c>
      <c r="C416" s="3">
        <v>6.7370000000000001</v>
      </c>
      <c r="D416" s="10">
        <v>6.31</v>
      </c>
    </row>
    <row r="417" spans="1:4" x14ac:dyDescent="0.25">
      <c r="A417" t="s">
        <v>426</v>
      </c>
      <c r="B417" s="2">
        <v>6.6</v>
      </c>
      <c r="C417" s="3">
        <v>6.6539999999999999</v>
      </c>
      <c r="D417" s="10">
        <v>6.31</v>
      </c>
    </row>
    <row r="418" spans="1:4" x14ac:dyDescent="0.25">
      <c r="A418" t="s">
        <v>427</v>
      </c>
      <c r="B418" s="2">
        <v>6.4</v>
      </c>
      <c r="C418" s="3">
        <v>6.3310000000000004</v>
      </c>
      <c r="D418" s="10">
        <v>6.31</v>
      </c>
    </row>
    <row r="419" spans="1:4" x14ac:dyDescent="0.25">
      <c r="A419" t="s">
        <v>428</v>
      </c>
      <c r="B419" s="2">
        <v>6.3</v>
      </c>
      <c r="C419" s="3">
        <v>6.2779999999999996</v>
      </c>
      <c r="D419" s="10">
        <v>6.31</v>
      </c>
    </row>
    <row r="420" spans="1:4" x14ac:dyDescent="0.25">
      <c r="A420" t="s">
        <v>429</v>
      </c>
      <c r="B420" s="2">
        <v>6.1</v>
      </c>
      <c r="C420" s="3">
        <v>6.2149999999999999</v>
      </c>
      <c r="D420" s="10">
        <v>6.31</v>
      </c>
    </row>
    <row r="421" spans="1:4" x14ac:dyDescent="0.25">
      <c r="A421" t="s">
        <v>430</v>
      </c>
      <c r="B421" s="2">
        <v>6</v>
      </c>
      <c r="C421" s="3">
        <v>5.9059999999999997</v>
      </c>
      <c r="D421" s="10">
        <v>6.31</v>
      </c>
    </row>
    <row r="422" spans="1:4" x14ac:dyDescent="0.25">
      <c r="A422" t="s">
        <v>431</v>
      </c>
      <c r="B422" s="2">
        <v>6</v>
      </c>
      <c r="C422" s="3">
        <v>5.907</v>
      </c>
      <c r="D422" s="10">
        <v>6.31</v>
      </c>
    </row>
    <row r="423" spans="1:4" x14ac:dyDescent="0.25">
      <c r="A423" t="s">
        <v>432</v>
      </c>
      <c r="B423" s="2">
        <v>5.9</v>
      </c>
      <c r="C423" s="3">
        <v>6.0890000000000004</v>
      </c>
      <c r="D423" s="10">
        <v>6.31</v>
      </c>
    </row>
    <row r="424" spans="1:4" x14ac:dyDescent="0.25">
      <c r="A424" t="s">
        <v>433</v>
      </c>
      <c r="B424" s="2">
        <v>5.9</v>
      </c>
      <c r="C424" s="3">
        <v>5.8490000000000002</v>
      </c>
      <c r="D424" s="10">
        <v>6.5</v>
      </c>
    </row>
    <row r="425" spans="1:4" x14ac:dyDescent="0.25">
      <c r="A425" t="s">
        <v>434</v>
      </c>
      <c r="B425" s="2">
        <v>5.7</v>
      </c>
      <c r="C425" s="3">
        <v>5.6360000000000001</v>
      </c>
      <c r="D425" s="10">
        <v>6.5</v>
      </c>
    </row>
    <row r="426" spans="1:4" x14ac:dyDescent="0.25">
      <c r="A426" t="s">
        <v>435</v>
      </c>
      <c r="B426" s="2">
        <v>5.6</v>
      </c>
      <c r="C426" s="3">
        <v>5.5739999999999998</v>
      </c>
      <c r="D426" s="10">
        <v>6.5</v>
      </c>
    </row>
    <row r="427" spans="1:4" x14ac:dyDescent="0.25">
      <c r="A427" t="s">
        <v>436</v>
      </c>
      <c r="B427" s="2">
        <v>5.6</v>
      </c>
      <c r="C427" s="3">
        <v>5.7350000000000003</v>
      </c>
      <c r="D427" s="10">
        <v>6.5</v>
      </c>
    </row>
    <row r="428" spans="1:4" x14ac:dyDescent="0.25">
      <c r="A428" t="s">
        <v>437</v>
      </c>
      <c r="B428" s="2">
        <v>5.5</v>
      </c>
      <c r="C428" s="3">
        <v>5.3970000000000002</v>
      </c>
      <c r="D428" s="10">
        <v>6.5</v>
      </c>
    </row>
    <row r="429" spans="1:4" x14ac:dyDescent="0.25">
      <c r="A429" t="s">
        <v>438</v>
      </c>
      <c r="B429" s="2">
        <v>5.5</v>
      </c>
      <c r="C429" s="3">
        <v>5.4409999999999998</v>
      </c>
      <c r="D429" s="10">
        <v>6.5</v>
      </c>
    </row>
    <row r="430" spans="1:4" x14ac:dyDescent="0.25">
      <c r="A430" t="s">
        <v>439</v>
      </c>
      <c r="B430" s="2">
        <v>5.6</v>
      </c>
      <c r="C430" s="3">
        <v>5.6539999999999999</v>
      </c>
      <c r="D430" s="10">
        <v>6.5</v>
      </c>
    </row>
    <row r="431" spans="1:4" x14ac:dyDescent="0.25">
      <c r="A431" t="s">
        <v>440</v>
      </c>
      <c r="B431" s="2">
        <v>5.6</v>
      </c>
      <c r="C431" s="3">
        <v>5.71</v>
      </c>
      <c r="D431" s="10">
        <v>6.5</v>
      </c>
    </row>
    <row r="432" spans="1:4" x14ac:dyDescent="0.25">
      <c r="A432" t="s">
        <v>441</v>
      </c>
      <c r="B432" s="2">
        <v>5.5</v>
      </c>
      <c r="C432" s="3">
        <v>5.4279999999999999</v>
      </c>
      <c r="D432" s="10">
        <v>6.5</v>
      </c>
    </row>
    <row r="433" spans="1:4" x14ac:dyDescent="0.25">
      <c r="A433" t="s">
        <v>442</v>
      </c>
      <c r="B433" s="2">
        <v>5.4</v>
      </c>
      <c r="C433" s="3">
        <v>5.3949999999999996</v>
      </c>
      <c r="D433" s="10">
        <v>6.5</v>
      </c>
    </row>
    <row r="434" spans="1:4" x14ac:dyDescent="0.25">
      <c r="A434" t="s">
        <v>443</v>
      </c>
      <c r="B434" s="2">
        <v>5.3</v>
      </c>
      <c r="C434" s="3">
        <v>5.31</v>
      </c>
      <c r="D434" s="10">
        <v>6.5</v>
      </c>
    </row>
    <row r="435" spans="1:4" x14ac:dyDescent="0.25">
      <c r="A435" t="s">
        <v>444</v>
      </c>
      <c r="B435" s="2">
        <v>5.2</v>
      </c>
      <c r="C435" s="3">
        <v>5.23</v>
      </c>
      <c r="D435" s="10">
        <v>6.5</v>
      </c>
    </row>
    <row r="436" spans="1:4" x14ac:dyDescent="0.25">
      <c r="A436" t="s">
        <v>445</v>
      </c>
      <c r="B436" s="2">
        <v>5.0999999999999996</v>
      </c>
      <c r="C436" s="3">
        <v>4.9630000000000001</v>
      </c>
      <c r="D436" s="10">
        <v>6.7</v>
      </c>
    </row>
    <row r="437" spans="1:4" x14ac:dyDescent="0.25">
      <c r="A437" t="s">
        <v>446</v>
      </c>
      <c r="B437" s="2">
        <v>5.0999999999999996</v>
      </c>
      <c r="C437" s="3">
        <v>5.0090000000000003</v>
      </c>
      <c r="D437" s="10">
        <v>6.7</v>
      </c>
    </row>
    <row r="438" spans="1:4" x14ac:dyDescent="0.25">
      <c r="A438" t="s">
        <v>447</v>
      </c>
      <c r="B438" s="2">
        <v>5.0999999999999996</v>
      </c>
      <c r="C438" s="3">
        <v>5.2530000000000001</v>
      </c>
      <c r="D438" s="10">
        <v>6.7</v>
      </c>
    </row>
    <row r="439" spans="1:4" x14ac:dyDescent="0.25">
      <c r="A439" t="s">
        <v>448</v>
      </c>
      <c r="B439" s="2">
        <v>5.0999999999999996</v>
      </c>
      <c r="C439" s="3">
        <v>4.9260000000000002</v>
      </c>
      <c r="D439" s="10">
        <v>6.7</v>
      </c>
    </row>
    <row r="440" spans="1:4" x14ac:dyDescent="0.25">
      <c r="A440" t="s">
        <v>449</v>
      </c>
      <c r="B440" s="2">
        <v>5.0999999999999996</v>
      </c>
      <c r="C440" s="3">
        <v>5.1159999999999997</v>
      </c>
      <c r="D440" s="10">
        <v>6.7</v>
      </c>
    </row>
    <row r="441" spans="1:4" x14ac:dyDescent="0.25">
      <c r="A441" t="s">
        <v>450</v>
      </c>
      <c r="B441" s="2">
        <v>5</v>
      </c>
      <c r="C441" s="3">
        <v>5.1660000000000004</v>
      </c>
      <c r="D441" s="10">
        <v>6.7</v>
      </c>
    </row>
    <row r="442" spans="1:4" x14ac:dyDescent="0.25">
      <c r="A442" t="s">
        <v>451</v>
      </c>
      <c r="B442" s="2">
        <v>4.9000000000000004</v>
      </c>
      <c r="C442" s="3">
        <v>4.7279999999999998</v>
      </c>
      <c r="D442" s="10">
        <v>7.2</v>
      </c>
    </row>
    <row r="443" spans="1:4" x14ac:dyDescent="0.25">
      <c r="A443" t="s">
        <v>452</v>
      </c>
      <c r="B443" s="2">
        <v>4.9000000000000004</v>
      </c>
      <c r="C443" s="3">
        <v>4.8810000000000002</v>
      </c>
      <c r="D443" s="10">
        <v>7.2</v>
      </c>
    </row>
    <row r="444" spans="1:4" x14ac:dyDescent="0.25">
      <c r="A444" t="s">
        <v>453</v>
      </c>
      <c r="B444" s="2">
        <v>4.9000000000000004</v>
      </c>
      <c r="C444" s="3">
        <v>5.1449999999999996</v>
      </c>
      <c r="D444" s="10">
        <v>7.2</v>
      </c>
    </row>
    <row r="445" spans="1:4" x14ac:dyDescent="0.25">
      <c r="A445" t="s">
        <v>454</v>
      </c>
      <c r="B445" s="2">
        <v>5</v>
      </c>
      <c r="C445" s="3">
        <v>4.657</v>
      </c>
      <c r="D445" s="10">
        <v>7.2</v>
      </c>
    </row>
    <row r="446" spans="1:4" x14ac:dyDescent="0.25">
      <c r="A446" t="s">
        <v>455</v>
      </c>
      <c r="B446" s="2">
        <v>4.8</v>
      </c>
      <c r="C446" s="3">
        <v>5.1059999999999999</v>
      </c>
      <c r="D446" s="10">
        <v>7.2</v>
      </c>
    </row>
    <row r="447" spans="1:4" x14ac:dyDescent="0.25">
      <c r="A447" t="s">
        <v>456</v>
      </c>
      <c r="B447" s="2">
        <v>4.8</v>
      </c>
      <c r="C447" s="3">
        <v>4.7359999999999998</v>
      </c>
      <c r="D447" s="10">
        <v>7.2</v>
      </c>
    </row>
    <row r="448" spans="1:4" x14ac:dyDescent="0.25">
      <c r="A448" t="s">
        <v>457</v>
      </c>
      <c r="B448" s="2">
        <v>4.8</v>
      </c>
      <c r="C448" s="3">
        <v>4.6589999999999998</v>
      </c>
      <c r="D448" s="10">
        <v>7.2</v>
      </c>
    </row>
    <row r="449" spans="1:4" x14ac:dyDescent="0.25">
      <c r="A449" t="s">
        <v>458</v>
      </c>
      <c r="B449" s="2">
        <v>4.7</v>
      </c>
      <c r="C449" s="3">
        <v>4.952</v>
      </c>
      <c r="D449" s="10">
        <v>7.2</v>
      </c>
    </row>
    <row r="450" spans="1:4" x14ac:dyDescent="0.25">
      <c r="A450" t="s">
        <v>459</v>
      </c>
      <c r="B450" s="2">
        <v>4.7</v>
      </c>
      <c r="C450" s="3">
        <v>4.5940000000000003</v>
      </c>
      <c r="D450" s="10">
        <v>7.2</v>
      </c>
    </row>
    <row r="451" spans="1:4" x14ac:dyDescent="0.25">
      <c r="A451" t="s">
        <v>460</v>
      </c>
      <c r="B451" s="2">
        <v>4.5999999999999996</v>
      </c>
      <c r="C451" s="3">
        <v>4.593</v>
      </c>
      <c r="D451" s="10">
        <v>7.2</v>
      </c>
    </row>
    <row r="452" spans="1:4" x14ac:dyDescent="0.25">
      <c r="A452" t="s">
        <v>461</v>
      </c>
      <c r="B452" s="2">
        <v>4.5999999999999996</v>
      </c>
      <c r="C452" s="3">
        <v>4.7089999999999996</v>
      </c>
      <c r="D452" s="10">
        <v>7.2</v>
      </c>
    </row>
    <row r="453" spans="1:4" x14ac:dyDescent="0.25">
      <c r="A453" t="s">
        <v>462</v>
      </c>
      <c r="B453" s="2">
        <v>4.5</v>
      </c>
      <c r="C453" s="3">
        <v>4.3710000000000004</v>
      </c>
      <c r="D453" s="10">
        <v>7.2</v>
      </c>
    </row>
    <row r="454" spans="1:4" x14ac:dyDescent="0.25">
      <c r="A454" t="s">
        <v>463</v>
      </c>
      <c r="B454" s="2">
        <v>4.4000000000000004</v>
      </c>
      <c r="C454" s="3">
        <v>4.5599999999999996</v>
      </c>
      <c r="D454" s="10">
        <v>7.5</v>
      </c>
    </row>
    <row r="455" spans="1:4" x14ac:dyDescent="0.25">
      <c r="A455" t="s">
        <v>464</v>
      </c>
      <c r="B455" s="2">
        <v>4.4000000000000004</v>
      </c>
      <c r="C455" s="3">
        <v>4.391</v>
      </c>
      <c r="D455" s="10">
        <v>7.5</v>
      </c>
    </row>
    <row r="456" spans="1:4" x14ac:dyDescent="0.25">
      <c r="A456" t="s">
        <v>465</v>
      </c>
      <c r="B456" s="2">
        <v>4.3</v>
      </c>
      <c r="C456" s="3">
        <v>4.3109999999999999</v>
      </c>
      <c r="D456" s="10">
        <v>7.5</v>
      </c>
    </row>
    <row r="457" spans="1:4" x14ac:dyDescent="0.25">
      <c r="A457" t="s">
        <v>466</v>
      </c>
      <c r="B457" s="2">
        <v>4.3</v>
      </c>
      <c r="C457" s="3">
        <v>4.3310000000000004</v>
      </c>
      <c r="D457" s="10">
        <v>7.5</v>
      </c>
    </row>
    <row r="458" spans="1:4" x14ac:dyDescent="0.25">
      <c r="A458" t="s">
        <v>467</v>
      </c>
      <c r="B458" s="2">
        <v>4.3</v>
      </c>
      <c r="C458" s="3">
        <v>4.3310000000000004</v>
      </c>
      <c r="D458" s="10">
        <v>7.5</v>
      </c>
    </row>
    <row r="459" spans="1:4" x14ac:dyDescent="0.25">
      <c r="A459" t="s">
        <v>468</v>
      </c>
      <c r="B459" s="2">
        <v>4.2</v>
      </c>
      <c r="C459" s="3">
        <v>4.133</v>
      </c>
      <c r="D459" s="10">
        <v>7.5</v>
      </c>
    </row>
    <row r="460" spans="1:4" x14ac:dyDescent="0.25">
      <c r="A460" t="s">
        <v>469</v>
      </c>
      <c r="B460" s="2">
        <v>4.3</v>
      </c>
      <c r="C460" s="3">
        <v>4.2880000000000003</v>
      </c>
      <c r="D460" s="10">
        <v>7.5</v>
      </c>
    </row>
    <row r="461" spans="1:4" x14ac:dyDescent="0.25">
      <c r="A461" t="s">
        <v>470</v>
      </c>
      <c r="B461" s="2">
        <v>4.4000000000000004</v>
      </c>
      <c r="C461" s="3">
        <v>4.38</v>
      </c>
      <c r="D461" s="10">
        <v>7.5</v>
      </c>
    </row>
    <row r="462" spans="1:4" x14ac:dyDescent="0.25">
      <c r="A462" t="s">
        <v>471</v>
      </c>
      <c r="B462" s="2">
        <v>4.3</v>
      </c>
      <c r="C462" s="3">
        <v>4.3940000000000001</v>
      </c>
      <c r="D462" s="10">
        <v>7.5</v>
      </c>
    </row>
    <row r="463" spans="1:4" x14ac:dyDescent="0.25">
      <c r="A463" t="s">
        <v>472</v>
      </c>
      <c r="B463" s="2">
        <v>4.2</v>
      </c>
      <c r="C463" s="3">
        <v>4.173</v>
      </c>
      <c r="D463" s="10">
        <v>7.5</v>
      </c>
    </row>
    <row r="464" spans="1:4" x14ac:dyDescent="0.25">
      <c r="A464" t="s">
        <v>473</v>
      </c>
      <c r="B464" s="2">
        <v>4.2</v>
      </c>
      <c r="C464" s="3">
        <v>4.0579999999999998</v>
      </c>
      <c r="D464" s="10">
        <v>7.5</v>
      </c>
    </row>
    <row r="465" spans="1:4" x14ac:dyDescent="0.25">
      <c r="A465" t="s">
        <v>474</v>
      </c>
      <c r="B465" s="2">
        <v>4.2</v>
      </c>
      <c r="C465" s="3">
        <v>4.3840000000000003</v>
      </c>
      <c r="D465" s="10">
        <v>7.5</v>
      </c>
    </row>
    <row r="466" spans="1:4" x14ac:dyDescent="0.25">
      <c r="A466" t="s">
        <v>475</v>
      </c>
      <c r="B466" s="2">
        <v>4.2</v>
      </c>
      <c r="C466" s="3">
        <v>4.1589999999999998</v>
      </c>
      <c r="D466" s="10">
        <v>7.83</v>
      </c>
    </row>
    <row r="467" spans="1:4" x14ac:dyDescent="0.25">
      <c r="A467" t="s">
        <v>476</v>
      </c>
      <c r="B467" s="2">
        <v>4</v>
      </c>
      <c r="C467" s="3">
        <v>3.9380000000000002</v>
      </c>
      <c r="D467" s="10">
        <v>7.83</v>
      </c>
    </row>
    <row r="468" spans="1:4" x14ac:dyDescent="0.25">
      <c r="A468" t="s">
        <v>477</v>
      </c>
      <c r="B468" s="2">
        <v>4</v>
      </c>
      <c r="C468" s="3">
        <v>4.0359999999999996</v>
      </c>
      <c r="D468" s="10">
        <v>7.83</v>
      </c>
    </row>
    <row r="469" spans="1:4" x14ac:dyDescent="0.25">
      <c r="A469" t="s">
        <v>478</v>
      </c>
      <c r="B469" s="2">
        <v>4</v>
      </c>
      <c r="C469" s="3">
        <v>4.133</v>
      </c>
      <c r="D469" s="10">
        <v>7.83</v>
      </c>
    </row>
    <row r="470" spans="1:4" x14ac:dyDescent="0.25">
      <c r="A470" t="s">
        <v>479</v>
      </c>
      <c r="B470" s="2">
        <v>4.0999999999999996</v>
      </c>
      <c r="C470" s="3">
        <v>3.9260000000000002</v>
      </c>
      <c r="D470" s="10">
        <v>7.83</v>
      </c>
    </row>
    <row r="471" spans="1:4" x14ac:dyDescent="0.25">
      <c r="A471" t="s">
        <v>480</v>
      </c>
      <c r="B471" s="2">
        <v>4.0999999999999996</v>
      </c>
      <c r="C471" s="3">
        <v>4.1849999999999996</v>
      </c>
      <c r="D471" s="10">
        <v>7.83</v>
      </c>
    </row>
    <row r="472" spans="1:4" x14ac:dyDescent="0.25">
      <c r="A472" t="s">
        <v>481</v>
      </c>
      <c r="B472" s="2">
        <v>4</v>
      </c>
      <c r="C472" s="3">
        <v>4.101</v>
      </c>
      <c r="D472" s="10">
        <v>7.83</v>
      </c>
    </row>
    <row r="473" spans="1:4" x14ac:dyDescent="0.25">
      <c r="A473" t="s">
        <v>482</v>
      </c>
      <c r="B473" s="2">
        <v>4</v>
      </c>
      <c r="C473" s="3">
        <v>3.8290000000000002</v>
      </c>
      <c r="D473" s="10">
        <v>7.83</v>
      </c>
    </row>
    <row r="474" spans="1:4" x14ac:dyDescent="0.25">
      <c r="A474" t="s">
        <v>483</v>
      </c>
      <c r="B474" s="2">
        <v>3.9</v>
      </c>
      <c r="C474" s="3">
        <v>4.1429999999999998</v>
      </c>
      <c r="D474" s="10">
        <v>7.83</v>
      </c>
    </row>
    <row r="475" spans="1:4" x14ac:dyDescent="0.25">
      <c r="A475" t="s">
        <v>484</v>
      </c>
      <c r="B475" s="2">
        <v>4</v>
      </c>
      <c r="C475" s="3">
        <v>3.8639999999999999</v>
      </c>
      <c r="D475" s="10">
        <v>7.83</v>
      </c>
    </row>
    <row r="476" spans="1:4" x14ac:dyDescent="0.25">
      <c r="A476" t="s">
        <v>485</v>
      </c>
      <c r="B476" s="2">
        <v>3.8</v>
      </c>
      <c r="C476" s="3">
        <v>3.8220000000000001</v>
      </c>
      <c r="D476" s="10">
        <v>7.83</v>
      </c>
    </row>
    <row r="477" spans="1:4" x14ac:dyDescent="0.25">
      <c r="A477" t="s">
        <v>486</v>
      </c>
      <c r="B477" s="2">
        <v>3.8</v>
      </c>
      <c r="C477" s="3">
        <v>3.8140000000000001</v>
      </c>
      <c r="D477" s="10">
        <v>7.83</v>
      </c>
    </row>
    <row r="478" spans="1:4" x14ac:dyDescent="0.25">
      <c r="A478" t="s">
        <v>487</v>
      </c>
      <c r="B478" s="2">
        <v>3.8</v>
      </c>
      <c r="C478" s="3">
        <v>3.8889999999999998</v>
      </c>
      <c r="D478" s="10">
        <v>8.2100000000000009</v>
      </c>
    </row>
    <row r="479" spans="1:4" x14ac:dyDescent="0.25">
      <c r="A479" t="s">
        <v>488</v>
      </c>
      <c r="B479" s="2">
        <v>3.9</v>
      </c>
      <c r="C479" s="3">
        <v>3.6880000000000002</v>
      </c>
      <c r="D479" s="10">
        <v>8.2100000000000009</v>
      </c>
    </row>
    <row r="480" spans="1:4" x14ac:dyDescent="0.25">
      <c r="A480" t="s">
        <v>489</v>
      </c>
      <c r="B480" s="2">
        <v>3.9</v>
      </c>
      <c r="C480" s="3">
        <v>4.0830000000000002</v>
      </c>
      <c r="D480" s="10">
        <v>8.2100000000000009</v>
      </c>
    </row>
    <row r="481" spans="1:4" x14ac:dyDescent="0.25">
      <c r="A481" t="s">
        <v>490</v>
      </c>
      <c r="B481" s="2">
        <v>3.9</v>
      </c>
      <c r="C481" s="3">
        <v>3.782</v>
      </c>
      <c r="D481" s="10">
        <v>8.2100000000000009</v>
      </c>
    </row>
    <row r="482" spans="1:4" x14ac:dyDescent="0.25">
      <c r="A482" t="s">
        <v>491</v>
      </c>
      <c r="B482" s="2">
        <v>3.9</v>
      </c>
      <c r="C482" s="3">
        <v>3.7749999999999999</v>
      </c>
      <c r="D482" s="10">
        <v>8.2100000000000009</v>
      </c>
    </row>
    <row r="483" spans="1:4" x14ac:dyDescent="0.25">
      <c r="A483" t="s">
        <v>492</v>
      </c>
      <c r="B483" s="2">
        <v>3.8</v>
      </c>
      <c r="C483" s="3">
        <v>4.0759999999999996</v>
      </c>
      <c r="D483" s="10">
        <v>8.2100000000000009</v>
      </c>
    </row>
    <row r="484" spans="1:4" x14ac:dyDescent="0.25">
      <c r="A484" t="s">
        <v>493</v>
      </c>
      <c r="B484" s="2">
        <v>3.8</v>
      </c>
      <c r="C484" s="3">
        <v>3.5489999999999999</v>
      </c>
      <c r="D484" s="10">
        <v>8.2100000000000009</v>
      </c>
    </row>
    <row r="485" spans="1:4" x14ac:dyDescent="0.25">
      <c r="A485" t="s">
        <v>494</v>
      </c>
      <c r="B485" s="2">
        <v>3.7</v>
      </c>
      <c r="C485" s="3">
        <v>3.8690000000000002</v>
      </c>
      <c r="D485" s="10">
        <v>8.2100000000000009</v>
      </c>
    </row>
    <row r="486" spans="1:4" x14ac:dyDescent="0.25">
      <c r="A486" t="s">
        <v>495</v>
      </c>
      <c r="B486" s="2">
        <v>3.9</v>
      </c>
      <c r="C486" s="3">
        <v>3.8039999999999998</v>
      </c>
      <c r="D486" s="10">
        <v>8.2100000000000009</v>
      </c>
    </row>
    <row r="487" spans="1:4" x14ac:dyDescent="0.25">
      <c r="A487" t="s">
        <v>496</v>
      </c>
      <c r="B487" s="2">
        <v>3.9</v>
      </c>
      <c r="C487" s="3">
        <v>3.9950000000000001</v>
      </c>
      <c r="D487" s="10">
        <v>8.2100000000000009</v>
      </c>
    </row>
    <row r="488" spans="1:4" x14ac:dyDescent="0.25">
      <c r="A488" t="s">
        <v>497</v>
      </c>
      <c r="B488" s="2">
        <v>4.0999999999999996</v>
      </c>
      <c r="C488" s="3">
        <v>4.0549999999999997</v>
      </c>
      <c r="D488" s="10">
        <v>8.2100000000000009</v>
      </c>
    </row>
    <row r="489" spans="1:4" x14ac:dyDescent="0.25">
      <c r="A489" t="s">
        <v>498</v>
      </c>
      <c r="B489" s="2">
        <v>4.0999999999999996</v>
      </c>
      <c r="C489" s="3">
        <v>4.2530000000000001</v>
      </c>
      <c r="D489" s="10">
        <v>8.2100000000000009</v>
      </c>
    </row>
    <row r="490" spans="1:4" x14ac:dyDescent="0.25">
      <c r="A490" t="s">
        <v>499</v>
      </c>
      <c r="B490" s="2">
        <v>4.0999999999999996</v>
      </c>
      <c r="C490" s="3">
        <v>3.9670000000000001</v>
      </c>
      <c r="D490" s="10">
        <v>8.7200000000000006</v>
      </c>
    </row>
    <row r="491" spans="1:4" x14ac:dyDescent="0.25">
      <c r="A491" t="s">
        <v>500</v>
      </c>
      <c r="B491" s="2">
        <v>4.0999999999999996</v>
      </c>
      <c r="C491" s="3">
        <v>4.1589999999999998</v>
      </c>
      <c r="D491" s="10">
        <v>8.7200000000000006</v>
      </c>
    </row>
    <row r="492" spans="1:4" x14ac:dyDescent="0.25">
      <c r="A492" t="s">
        <v>501</v>
      </c>
      <c r="B492" s="2">
        <v>4.4000000000000004</v>
      </c>
      <c r="C492" s="3">
        <v>4.1150000000000002</v>
      </c>
      <c r="D492" s="10">
        <v>8.7200000000000006</v>
      </c>
    </row>
    <row r="493" spans="1:4" x14ac:dyDescent="0.25">
      <c r="A493" t="s">
        <v>502</v>
      </c>
      <c r="B493" s="2">
        <v>4.5999999999999996</v>
      </c>
      <c r="C493" s="3">
        <v>4.8090000000000002</v>
      </c>
      <c r="D493" s="10">
        <v>8.7200000000000006</v>
      </c>
    </row>
    <row r="494" spans="1:4" x14ac:dyDescent="0.25">
      <c r="A494" t="s">
        <v>503</v>
      </c>
      <c r="B494" s="2">
        <v>5</v>
      </c>
      <c r="C494" s="3">
        <v>4.9640000000000004</v>
      </c>
      <c r="D494" s="10">
        <v>8.7200000000000006</v>
      </c>
    </row>
    <row r="495" spans="1:4" x14ac:dyDescent="0.25">
      <c r="A495" t="s">
        <v>504</v>
      </c>
      <c r="B495" s="2">
        <v>5.2</v>
      </c>
      <c r="C495" s="3">
        <v>5.1349999999999998</v>
      </c>
      <c r="D495" s="10">
        <v>8.7200000000000006</v>
      </c>
    </row>
    <row r="496" spans="1:4" x14ac:dyDescent="0.25">
      <c r="A496" t="s">
        <v>505</v>
      </c>
      <c r="B496" s="2">
        <v>5.2</v>
      </c>
      <c r="C496" s="3">
        <v>5.3769999999999998</v>
      </c>
      <c r="D496" s="10">
        <v>8.7200000000000006</v>
      </c>
    </row>
    <row r="497" spans="1:4" x14ac:dyDescent="0.25">
      <c r="A497" t="s">
        <v>506</v>
      </c>
      <c r="B497" s="2">
        <v>5.3</v>
      </c>
      <c r="C497" s="3">
        <v>5.173</v>
      </c>
      <c r="D497" s="10">
        <v>8.7200000000000006</v>
      </c>
    </row>
    <row r="498" spans="1:4" x14ac:dyDescent="0.25">
      <c r="A498" t="s">
        <v>507</v>
      </c>
      <c r="B498" s="2">
        <v>5.2</v>
      </c>
      <c r="C498" s="3">
        <v>5.2610000000000001</v>
      </c>
      <c r="D498" s="10">
        <v>8.7200000000000006</v>
      </c>
    </row>
    <row r="499" spans="1:4" x14ac:dyDescent="0.25">
      <c r="A499" t="s">
        <v>508</v>
      </c>
      <c r="B499" s="2">
        <v>5</v>
      </c>
      <c r="C499" s="3">
        <v>5.0519999999999996</v>
      </c>
      <c r="D499" s="10">
        <v>8.7200000000000006</v>
      </c>
    </row>
    <row r="500" spans="1:4" x14ac:dyDescent="0.25">
      <c r="A500" t="s">
        <v>509</v>
      </c>
      <c r="B500" s="2">
        <v>4.9000000000000004</v>
      </c>
      <c r="C500" s="3">
        <v>4.8360000000000003</v>
      </c>
      <c r="D500" s="10">
        <v>8.7200000000000006</v>
      </c>
    </row>
    <row r="501" spans="1:4" x14ac:dyDescent="0.25">
      <c r="A501" t="s">
        <v>510</v>
      </c>
      <c r="B501" s="2">
        <v>4.8</v>
      </c>
      <c r="C501" s="3">
        <v>4.8440000000000003</v>
      </c>
      <c r="D501" s="10">
        <v>8.7200000000000006</v>
      </c>
    </row>
    <row r="502" spans="1:4" x14ac:dyDescent="0.25">
      <c r="A502" t="s">
        <v>511</v>
      </c>
      <c r="B502" s="2">
        <v>4.8</v>
      </c>
      <c r="C502" s="3">
        <v>4.782</v>
      </c>
      <c r="D502" s="10">
        <v>8.91</v>
      </c>
    </row>
    <row r="503" spans="1:4" x14ac:dyDescent="0.25">
      <c r="A503" t="s">
        <v>512</v>
      </c>
      <c r="B503" s="2">
        <v>4.7</v>
      </c>
      <c r="C503" s="3">
        <v>4.7590000000000003</v>
      </c>
      <c r="D503" s="10">
        <v>8.91</v>
      </c>
    </row>
    <row r="504" spans="1:4" x14ac:dyDescent="0.25">
      <c r="A504" t="s">
        <v>513</v>
      </c>
      <c r="B504" s="2">
        <v>4.5999999999999996</v>
      </c>
      <c r="C504" s="3">
        <v>4.4660000000000002</v>
      </c>
      <c r="D504" s="10">
        <v>8.91</v>
      </c>
    </row>
    <row r="505" spans="1:4" x14ac:dyDescent="0.25">
      <c r="A505" t="s">
        <v>514</v>
      </c>
      <c r="B505" s="2">
        <v>4.5</v>
      </c>
      <c r="C505" s="3">
        <v>4.4889999999999999</v>
      </c>
      <c r="D505" s="10">
        <v>8.91</v>
      </c>
    </row>
    <row r="506" spans="1:4" x14ac:dyDescent="0.25">
      <c r="A506" t="s">
        <v>515</v>
      </c>
      <c r="B506" s="2">
        <v>4.4000000000000004</v>
      </c>
      <c r="C506" s="3">
        <v>4.601</v>
      </c>
      <c r="D506" s="10">
        <v>8.91</v>
      </c>
    </row>
    <row r="507" spans="1:4" x14ac:dyDescent="0.25">
      <c r="A507" t="s">
        <v>516</v>
      </c>
      <c r="B507" s="2">
        <v>4.3</v>
      </c>
      <c r="C507" s="3">
        <v>4.069</v>
      </c>
      <c r="D507" s="10">
        <v>8.91</v>
      </c>
    </row>
    <row r="508" spans="1:4" x14ac:dyDescent="0.25">
      <c r="A508" t="s">
        <v>517</v>
      </c>
      <c r="B508" s="2">
        <v>4.2</v>
      </c>
      <c r="C508" s="3">
        <v>4.25</v>
      </c>
      <c r="D508" s="10">
        <v>8.91</v>
      </c>
    </row>
    <row r="509" spans="1:4" x14ac:dyDescent="0.25">
      <c r="A509" t="s">
        <v>518</v>
      </c>
      <c r="B509" s="2">
        <v>4.2</v>
      </c>
      <c r="C509" s="3">
        <v>4.3710000000000004</v>
      </c>
      <c r="D509" s="10">
        <v>8.91</v>
      </c>
    </row>
    <row r="510" spans="1:4" x14ac:dyDescent="0.25">
      <c r="A510" t="s">
        <v>519</v>
      </c>
      <c r="B510" s="2">
        <v>4.0999999999999996</v>
      </c>
      <c r="C510" s="3">
        <v>3.931</v>
      </c>
      <c r="D510" s="10">
        <v>8.91</v>
      </c>
    </row>
    <row r="511" spans="1:4" x14ac:dyDescent="0.25">
      <c r="A511" t="s">
        <v>520</v>
      </c>
      <c r="B511" s="2">
        <v>3.9</v>
      </c>
      <c r="C511" s="3">
        <v>3.9740000000000002</v>
      </c>
      <c r="D511" s="10">
        <v>8.91</v>
      </c>
    </row>
    <row r="512" spans="1:4" x14ac:dyDescent="0.25">
      <c r="A512" t="s">
        <v>521</v>
      </c>
      <c r="B512" s="2">
        <v>3.8</v>
      </c>
      <c r="C512" s="3">
        <v>3.8839999999999999</v>
      </c>
      <c r="D512" s="10">
        <v>8.91</v>
      </c>
    </row>
    <row r="513" spans="1:4" x14ac:dyDescent="0.25">
      <c r="A513" t="s">
        <v>522</v>
      </c>
      <c r="B513" s="2">
        <v>3.8</v>
      </c>
      <c r="C513" s="3">
        <v>3.4830000000000001</v>
      </c>
      <c r="D513" s="10">
        <v>8.91</v>
      </c>
    </row>
    <row r="514" spans="1:4" x14ac:dyDescent="0.25">
      <c r="A514" t="s">
        <v>523</v>
      </c>
      <c r="B514" s="2">
        <v>3.7</v>
      </c>
      <c r="C514" s="3">
        <v>4.08</v>
      </c>
      <c r="D514" s="10">
        <v>9.5</v>
      </c>
    </row>
    <row r="515" spans="1:4" x14ac:dyDescent="0.25">
      <c r="A515" t="s">
        <v>524</v>
      </c>
      <c r="B515" s="2">
        <v>3.8</v>
      </c>
      <c r="C515" s="3">
        <v>3.6560000000000001</v>
      </c>
      <c r="D515" s="10">
        <v>9.5</v>
      </c>
    </row>
    <row r="516" spans="1:4" x14ac:dyDescent="0.25">
      <c r="A516" t="s">
        <v>525</v>
      </c>
      <c r="B516" s="2">
        <v>3.6</v>
      </c>
      <c r="C516" s="3">
        <v>3.56</v>
      </c>
      <c r="D516" s="10">
        <v>9.5</v>
      </c>
    </row>
    <row r="517" spans="1:4" x14ac:dyDescent="0.25">
      <c r="A517" t="s">
        <v>526</v>
      </c>
      <c r="B517" s="2">
        <v>3.6</v>
      </c>
      <c r="C517" s="3">
        <v>3.6669999999999998</v>
      </c>
      <c r="D517" s="10">
        <v>9.5</v>
      </c>
    </row>
    <row r="518" spans="1:4" x14ac:dyDescent="0.25">
      <c r="A518" t="s">
        <v>527</v>
      </c>
      <c r="B518" s="2">
        <v>3.7</v>
      </c>
      <c r="C518" s="3">
        <v>3.5750000000000002</v>
      </c>
      <c r="D518" s="10">
        <v>9.5</v>
      </c>
    </row>
    <row r="519" spans="1:4" x14ac:dyDescent="0.25">
      <c r="A519" t="s">
        <v>528</v>
      </c>
      <c r="B519" s="2">
        <v>3.8</v>
      </c>
      <c r="C519" s="3">
        <v>3.9239999999999999</v>
      </c>
      <c r="D519" s="10">
        <v>9.5</v>
      </c>
    </row>
    <row r="520" spans="1:4" x14ac:dyDescent="0.25">
      <c r="A520" t="s">
        <v>529</v>
      </c>
      <c r="B520" s="2">
        <v>3.9</v>
      </c>
      <c r="C520" s="3">
        <v>4.0620000000000003</v>
      </c>
      <c r="D520" s="10">
        <v>9.5</v>
      </c>
    </row>
    <row r="521" spans="1:4" x14ac:dyDescent="0.25">
      <c r="A521" t="s">
        <v>530</v>
      </c>
      <c r="B521" s="2">
        <v>3.9</v>
      </c>
      <c r="C521" s="3">
        <v>3.706</v>
      </c>
      <c r="D521" s="10">
        <v>9.5</v>
      </c>
    </row>
    <row r="522" spans="1:4" x14ac:dyDescent="0.25">
      <c r="A522" t="s">
        <v>531</v>
      </c>
      <c r="B522" s="2">
        <v>3.9</v>
      </c>
      <c r="C522" s="3">
        <v>3.9689999999999999</v>
      </c>
      <c r="D522" s="10">
        <v>9.5</v>
      </c>
    </row>
    <row r="523" spans="1:4" x14ac:dyDescent="0.25">
      <c r="A523" t="s">
        <v>532</v>
      </c>
      <c r="B523" s="2">
        <v>4</v>
      </c>
      <c r="C523" s="3">
        <v>3.9620000000000002</v>
      </c>
      <c r="D523" s="10">
        <v>9.5</v>
      </c>
    </row>
    <row r="524" spans="1:4" x14ac:dyDescent="0.25">
      <c r="A524" t="s">
        <v>533</v>
      </c>
      <c r="B524" s="2">
        <v>4</v>
      </c>
      <c r="C524" s="3">
        <v>3.9980000000000002</v>
      </c>
      <c r="D524" s="10">
        <v>9.5</v>
      </c>
    </row>
    <row r="525" spans="1:4" x14ac:dyDescent="0.25">
      <c r="A525" t="s">
        <v>534</v>
      </c>
      <c r="B525" s="2">
        <v>3.9</v>
      </c>
      <c r="C525" s="3">
        <v>3.9790000000000001</v>
      </c>
      <c r="D525" s="10">
        <v>9.5</v>
      </c>
    </row>
    <row r="526" spans="1:4" x14ac:dyDescent="0.25">
      <c r="A526" t="s">
        <v>535</v>
      </c>
      <c r="B526" s="2">
        <v>4</v>
      </c>
      <c r="C526" s="3">
        <v>3.6869999999999998</v>
      </c>
      <c r="D526" s="10">
        <v>10.42</v>
      </c>
    </row>
    <row r="527" spans="1:4" x14ac:dyDescent="0.25">
      <c r="A527" t="s">
        <v>536</v>
      </c>
      <c r="B527" s="2">
        <v>4.2</v>
      </c>
      <c r="C527" s="3">
        <v>4.32</v>
      </c>
      <c r="D527" s="10">
        <v>10.42</v>
      </c>
    </row>
    <row r="528" spans="1:4" x14ac:dyDescent="0.25">
      <c r="A528" t="s">
        <v>537</v>
      </c>
      <c r="B528" s="2">
        <v>4.3</v>
      </c>
      <c r="C528" s="3">
        <v>4.641</v>
      </c>
      <c r="D528" s="10">
        <v>10.42</v>
      </c>
    </row>
    <row r="529" spans="1:4" x14ac:dyDescent="0.25">
      <c r="A529" t="s">
        <v>538</v>
      </c>
      <c r="B529" s="2">
        <v>4.3</v>
      </c>
      <c r="C529" s="3">
        <v>4.0590000000000002</v>
      </c>
      <c r="D529" s="10">
        <v>10.42</v>
      </c>
    </row>
    <row r="530" spans="1:4" x14ac:dyDescent="0.25">
      <c r="A530" t="s">
        <v>539</v>
      </c>
      <c r="B530" s="2">
        <v>4.0999999999999996</v>
      </c>
      <c r="C530" s="3">
        <v>4.0999999999999996</v>
      </c>
      <c r="D530" s="10">
        <v>10.42</v>
      </c>
    </row>
    <row r="531" spans="1:4" x14ac:dyDescent="0.25">
      <c r="A531" t="s">
        <v>540</v>
      </c>
      <c r="B531" s="2">
        <v>4</v>
      </c>
      <c r="C531" s="3">
        <v>4.202</v>
      </c>
      <c r="D531" s="10">
        <v>10.42</v>
      </c>
    </row>
    <row r="532" spans="1:4" x14ac:dyDescent="0.25">
      <c r="A532" t="s">
        <v>541</v>
      </c>
      <c r="B532" s="2">
        <v>4</v>
      </c>
      <c r="C532" s="3">
        <v>3.7650000000000001</v>
      </c>
      <c r="D532" s="10">
        <v>10.42</v>
      </c>
    </row>
    <row r="533" spans="1:4" x14ac:dyDescent="0.25">
      <c r="A533" t="s">
        <v>542</v>
      </c>
      <c r="B533" s="2">
        <v>3.9</v>
      </c>
      <c r="C533" s="3">
        <v>3.9449999999999998</v>
      </c>
      <c r="D533" s="10">
        <v>10.42</v>
      </c>
    </row>
    <row r="534" spans="1:4" x14ac:dyDescent="0.25">
      <c r="A534" t="s">
        <v>543</v>
      </c>
      <c r="B534" s="2">
        <v>4.0999999999999996</v>
      </c>
      <c r="C534" s="3">
        <v>3.94</v>
      </c>
      <c r="D534" s="10">
        <v>10.42</v>
      </c>
    </row>
    <row r="535" spans="1:4" x14ac:dyDescent="0.25">
      <c r="A535" t="s">
        <v>544</v>
      </c>
      <c r="B535" s="2">
        <v>4.2</v>
      </c>
      <c r="C535" s="3">
        <v>4.3</v>
      </c>
      <c r="D535" s="10">
        <v>10.42</v>
      </c>
    </row>
    <row r="536" spans="1:4" x14ac:dyDescent="0.25">
      <c r="A536" t="s">
        <v>545</v>
      </c>
      <c r="B536" s="2">
        <v>4.3</v>
      </c>
      <c r="C536" s="3">
        <v>4.3250000000000002</v>
      </c>
      <c r="D536" s="10">
        <v>10.42</v>
      </c>
    </row>
    <row r="537" spans="1:4" x14ac:dyDescent="0.25">
      <c r="A537" t="s">
        <v>546</v>
      </c>
      <c r="B537" s="2">
        <v>4.4000000000000004</v>
      </c>
      <c r="C537" s="3">
        <v>4.4269999999999996</v>
      </c>
      <c r="D537" s="10">
        <v>10.42</v>
      </c>
    </row>
    <row r="538" spans="1:4" x14ac:dyDescent="0.25">
      <c r="A538" t="s">
        <v>547</v>
      </c>
      <c r="B538" s="2">
        <v>4.4000000000000004</v>
      </c>
      <c r="C538" s="3">
        <v>4.343</v>
      </c>
      <c r="D538" s="10">
        <v>11.44</v>
      </c>
    </row>
    <row r="539" spans="1:4" x14ac:dyDescent="0.25">
      <c r="A539" t="s">
        <v>548</v>
      </c>
      <c r="B539" s="2">
        <v>4.2</v>
      </c>
      <c r="C539" s="3">
        <v>4.4980000000000002</v>
      </c>
      <c r="D539" s="10">
        <v>11.44</v>
      </c>
    </row>
    <row r="540" spans="1:4" x14ac:dyDescent="0.25">
      <c r="A540" t="s">
        <v>549</v>
      </c>
      <c r="B540" s="2">
        <v>4.2</v>
      </c>
      <c r="C540" s="3">
        <v>3.77</v>
      </c>
      <c r="D540" s="10">
        <v>11.44</v>
      </c>
    </row>
    <row r="541" spans="1:4" x14ac:dyDescent="0.25">
      <c r="A541" t="s">
        <v>550</v>
      </c>
      <c r="B541" s="2">
        <v>4.0999999999999996</v>
      </c>
      <c r="C541" s="3">
        <v>4.3499999999999996</v>
      </c>
      <c r="D541" s="10">
        <v>11.44</v>
      </c>
    </row>
    <row r="542" spans="1:4" x14ac:dyDescent="0.25">
      <c r="A542" t="s">
        <v>551</v>
      </c>
      <c r="B542" s="2">
        <v>4.3</v>
      </c>
      <c r="C542" s="3">
        <v>4.1070000000000002</v>
      </c>
      <c r="D542" s="10">
        <v>11.44</v>
      </c>
    </row>
    <row r="543" spans="1:4" x14ac:dyDescent="0.25">
      <c r="A543" t="s">
        <v>552</v>
      </c>
      <c r="B543" s="2">
        <v>4.3</v>
      </c>
      <c r="C543" s="3">
        <v>4.3920000000000003</v>
      </c>
      <c r="D543" s="10">
        <v>11.44</v>
      </c>
    </row>
    <row r="544" spans="1:4" x14ac:dyDescent="0.25">
      <c r="A544" t="s">
        <v>553</v>
      </c>
      <c r="C544" s="3">
        <v>4.3220000000000001</v>
      </c>
      <c r="D544" s="10">
        <v>11.44</v>
      </c>
    </row>
    <row r="545" spans="1:4" x14ac:dyDescent="0.25">
      <c r="A545" t="s">
        <v>1300</v>
      </c>
      <c r="D545" s="10">
        <v>11.44</v>
      </c>
    </row>
    <row r="546" spans="1:4" x14ac:dyDescent="0.25">
      <c r="A546" t="s">
        <v>1301</v>
      </c>
      <c r="D546" s="10">
        <v>11.44</v>
      </c>
    </row>
    <row r="547" spans="1:4" x14ac:dyDescent="0.25">
      <c r="A547" t="s">
        <v>1302</v>
      </c>
      <c r="D547" s="10">
        <v>11.44</v>
      </c>
    </row>
    <row r="548" spans="1:4" x14ac:dyDescent="0.25">
      <c r="A548" t="s">
        <v>1303</v>
      </c>
      <c r="D548" s="10">
        <v>11.44</v>
      </c>
    </row>
    <row r="549" spans="1:4" x14ac:dyDescent="0.25">
      <c r="A549" t="s">
        <v>1304</v>
      </c>
      <c r="D549" s="10">
        <v>11.44</v>
      </c>
    </row>
    <row r="550" spans="1:4" x14ac:dyDescent="0.25">
      <c r="A550" t="s">
        <v>1305</v>
      </c>
      <c r="D550" s="10">
        <v>12.21</v>
      </c>
    </row>
    <row r="551" spans="1:4" x14ac:dyDescent="0.25">
      <c r="A551" t="s">
        <v>1306</v>
      </c>
      <c r="D551" s="10">
        <v>12.21</v>
      </c>
    </row>
    <row r="552" spans="1:4" x14ac:dyDescent="0.25">
      <c r="A552" t="s">
        <v>1307</v>
      </c>
      <c r="D552" s="10">
        <v>12.21</v>
      </c>
    </row>
    <row r="553" spans="1:4" x14ac:dyDescent="0.25">
      <c r="A553" t="s">
        <v>1308</v>
      </c>
      <c r="D553" s="10">
        <v>12.21</v>
      </c>
    </row>
    <row r="554" spans="1:4" x14ac:dyDescent="0.25">
      <c r="A554" t="s">
        <v>1309</v>
      </c>
      <c r="D554" s="10">
        <v>12.21</v>
      </c>
    </row>
    <row r="555" spans="1:4" x14ac:dyDescent="0.25">
      <c r="A555" t="s">
        <v>1310</v>
      </c>
      <c r="D555" s="10">
        <v>12.21</v>
      </c>
    </row>
    <row r="556" spans="1:4" x14ac:dyDescent="0.25">
      <c r="A556" t="s">
        <v>1311</v>
      </c>
      <c r="D556" s="10">
        <v>12.21</v>
      </c>
    </row>
    <row r="557" spans="1:4" x14ac:dyDescent="0.25">
      <c r="A557" t="s">
        <v>1312</v>
      </c>
      <c r="D557" s="10">
        <v>12.21</v>
      </c>
    </row>
    <row r="558" spans="1:4" x14ac:dyDescent="0.25">
      <c r="A558" t="s">
        <v>1313</v>
      </c>
      <c r="D558" s="10">
        <v>12.21</v>
      </c>
    </row>
    <row r="559" spans="1:4" x14ac:dyDescent="0.25">
      <c r="A559" t="s">
        <v>1314</v>
      </c>
      <c r="D559" s="10">
        <v>12.21</v>
      </c>
    </row>
    <row r="560" spans="1:4" x14ac:dyDescent="0.25">
      <c r="A560" t="s">
        <v>1315</v>
      </c>
      <c r="D560" s="10">
        <v>12.21</v>
      </c>
    </row>
    <row r="561" spans="1:4" x14ac:dyDescent="0.25">
      <c r="A561" t="s">
        <v>1316</v>
      </c>
      <c r="D561" s="10">
        <v>12.21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0AF0-4B61-46EA-879B-333619947148}">
  <dimension ref="A1:BG187"/>
  <sheetViews>
    <sheetView workbookViewId="0">
      <pane xSplit="1" ySplit="7" topLeftCell="AX127" activePane="bottomRight" state="frozen"/>
      <selection pane="topRight" activeCell="B1" sqref="B1"/>
      <selection pane="bottomLeft" activeCell="A7" sqref="A7"/>
      <selection pane="bottomRight" activeCell="BG179" sqref="BG179"/>
    </sheetView>
  </sheetViews>
  <sheetFormatPr defaultRowHeight="15" x14ac:dyDescent="0.25"/>
  <cols>
    <col min="2" max="59" width="15.85546875" customWidth="1"/>
  </cols>
  <sheetData>
    <row r="1" spans="1:59" x14ac:dyDescent="0.25">
      <c r="V1" s="8">
        <f>AVERAGE(V$180:V$183)</f>
        <v>2596.75</v>
      </c>
      <c r="AN1" s="8">
        <f>AVERAGE(AN$180:AN$183)</f>
        <v>30807.75</v>
      </c>
      <c r="AT1" s="10">
        <f>V1/(V1+AN1)</f>
        <v>7.7736532503105873E-2</v>
      </c>
      <c r="AU1" s="10">
        <f>1-AT1</f>
        <v>0.92226346749689414</v>
      </c>
    </row>
    <row r="2" spans="1:59" x14ac:dyDescent="0.25">
      <c r="A2" s="1" t="s">
        <v>566</v>
      </c>
      <c r="B2" s="7" t="s">
        <v>561</v>
      </c>
      <c r="C2" s="7" t="s">
        <v>562</v>
      </c>
      <c r="D2" s="7" t="s">
        <v>563</v>
      </c>
      <c r="E2" s="7" t="s">
        <v>564</v>
      </c>
      <c r="F2" s="7" t="s">
        <v>755</v>
      </c>
      <c r="G2" s="7" t="s">
        <v>757</v>
      </c>
      <c r="H2" s="7" t="s">
        <v>758</v>
      </c>
      <c r="I2" s="7" t="s">
        <v>759</v>
      </c>
      <c r="J2" s="7" t="s">
        <v>565</v>
      </c>
      <c r="K2" t="s">
        <v>766</v>
      </c>
      <c r="L2" t="s">
        <v>767</v>
      </c>
      <c r="M2" t="s">
        <v>768</v>
      </c>
      <c r="N2" t="s">
        <v>769</v>
      </c>
      <c r="O2" t="s">
        <v>770</v>
      </c>
      <c r="P2" t="s">
        <v>771</v>
      </c>
      <c r="Q2" t="s">
        <v>772</v>
      </c>
      <c r="R2" t="s">
        <v>773</v>
      </c>
      <c r="S2" t="s">
        <v>792</v>
      </c>
      <c r="T2" t="s">
        <v>793</v>
      </c>
      <c r="U2" t="s">
        <v>794</v>
      </c>
      <c r="V2" t="s">
        <v>795</v>
      </c>
      <c r="W2" t="s">
        <v>796</v>
      </c>
      <c r="X2" t="s">
        <v>797</v>
      </c>
      <c r="Y2" t="s">
        <v>798</v>
      </c>
      <c r="Z2" t="s">
        <v>800</v>
      </c>
      <c r="AA2" t="s">
        <v>801</v>
      </c>
      <c r="AB2" t="s">
        <v>802</v>
      </c>
      <c r="AC2" t="s">
        <v>803</v>
      </c>
      <c r="AD2" t="s">
        <v>804</v>
      </c>
      <c r="AE2" t="s">
        <v>805</v>
      </c>
      <c r="AF2" t="s">
        <v>806</v>
      </c>
      <c r="AG2" t="s">
        <v>807</v>
      </c>
      <c r="AH2" t="s">
        <v>808</v>
      </c>
      <c r="AI2" t="s">
        <v>809</v>
      </c>
      <c r="AJ2" t="s">
        <v>810</v>
      </c>
      <c r="AK2" t="s">
        <v>811</v>
      </c>
      <c r="AL2" t="s">
        <v>833</v>
      </c>
      <c r="AM2" t="s">
        <v>834</v>
      </c>
      <c r="AN2" t="s">
        <v>799</v>
      </c>
      <c r="AO2" t="s">
        <v>1329</v>
      </c>
      <c r="AP2" t="s">
        <v>1331</v>
      </c>
      <c r="AQ2" s="7" t="s">
        <v>1400</v>
      </c>
      <c r="AR2" t="s">
        <v>1330</v>
      </c>
      <c r="AS2" t="s">
        <v>1332</v>
      </c>
      <c r="AT2" t="s">
        <v>1333</v>
      </c>
      <c r="AU2" t="s">
        <v>1334</v>
      </c>
      <c r="AV2" t="s">
        <v>1401</v>
      </c>
      <c r="AW2" s="7" t="s">
        <v>1404</v>
      </c>
      <c r="AX2" s="7" t="s">
        <v>1407</v>
      </c>
      <c r="AY2" s="7" t="s">
        <v>1415</v>
      </c>
      <c r="AZ2" s="7" t="s">
        <v>1417</v>
      </c>
      <c r="BA2" s="7" t="s">
        <v>1422</v>
      </c>
      <c r="BB2" s="7" t="s">
        <v>1428</v>
      </c>
      <c r="BC2" s="7" t="s">
        <v>1430</v>
      </c>
      <c r="BD2" s="7" t="s">
        <v>1434</v>
      </c>
      <c r="BE2" s="7" t="s">
        <v>1440</v>
      </c>
      <c r="BF2" s="7" t="s">
        <v>1439</v>
      </c>
      <c r="BG2" s="7" t="s">
        <v>1331</v>
      </c>
    </row>
    <row r="3" spans="1:59" s="4" customFormat="1" ht="105" x14ac:dyDescent="0.25">
      <c r="A3" s="4" t="s">
        <v>8</v>
      </c>
      <c r="B3" s="4" t="s">
        <v>571</v>
      </c>
      <c r="C3" s="4" t="s">
        <v>573</v>
      </c>
      <c r="D3" s="4" t="s">
        <v>574</v>
      </c>
      <c r="E3" s="4" t="s">
        <v>575</v>
      </c>
      <c r="F3" s="4" t="s">
        <v>756</v>
      </c>
      <c r="G3" s="4" t="s">
        <v>760</v>
      </c>
      <c r="H3" s="4" t="s">
        <v>761</v>
      </c>
      <c r="I3" s="4" t="s">
        <v>762</v>
      </c>
      <c r="J3" s="4" t="s">
        <v>576</v>
      </c>
      <c r="K3" s="4" t="s">
        <v>774</v>
      </c>
      <c r="L3" s="4" t="s">
        <v>775</v>
      </c>
      <c r="M3" s="4" t="s">
        <v>776</v>
      </c>
      <c r="N3" s="4" t="s">
        <v>777</v>
      </c>
      <c r="O3" s="4" t="s">
        <v>778</v>
      </c>
      <c r="P3" s="4" t="s">
        <v>779</v>
      </c>
      <c r="Q3" s="4" t="s">
        <v>780</v>
      </c>
      <c r="R3" s="4" t="s">
        <v>781</v>
      </c>
      <c r="S3" s="4" t="s">
        <v>813</v>
      </c>
      <c r="T3" s="4" t="s">
        <v>814</v>
      </c>
      <c r="U3" s="4" t="s">
        <v>815</v>
      </c>
      <c r="V3" s="4" t="s">
        <v>816</v>
      </c>
      <c r="W3" s="4" t="s">
        <v>817</v>
      </c>
      <c r="X3" s="4" t="s">
        <v>818</v>
      </c>
      <c r="Y3" s="4" t="s">
        <v>819</v>
      </c>
      <c r="Z3" s="4" t="s">
        <v>821</v>
      </c>
      <c r="AA3" s="4" t="s">
        <v>822</v>
      </c>
      <c r="AB3" s="4" t="s">
        <v>823</v>
      </c>
      <c r="AC3" s="4" t="s">
        <v>824</v>
      </c>
      <c r="AD3" s="4" t="s">
        <v>825</v>
      </c>
      <c r="AE3" s="4" t="s">
        <v>826</v>
      </c>
      <c r="AF3" s="4" t="s">
        <v>827</v>
      </c>
      <c r="AG3" s="4" t="s">
        <v>828</v>
      </c>
      <c r="AH3" s="4" t="s">
        <v>829</v>
      </c>
      <c r="AI3" s="4" t="s">
        <v>830</v>
      </c>
      <c r="AJ3" s="4" t="s">
        <v>831</v>
      </c>
      <c r="AK3" s="4" t="s">
        <v>832</v>
      </c>
      <c r="AL3" s="4" t="s">
        <v>835</v>
      </c>
      <c r="AM3" s="4" t="s">
        <v>836</v>
      </c>
      <c r="AN3" s="4" t="s">
        <v>820</v>
      </c>
      <c r="AO3" s="4" t="s">
        <v>1338</v>
      </c>
      <c r="AP3" s="4" t="s">
        <v>1341</v>
      </c>
      <c r="AQ3" s="4" t="s">
        <v>13</v>
      </c>
      <c r="AR3" s="4" t="s">
        <v>1343</v>
      </c>
      <c r="AS3" s="4" t="s">
        <v>1347</v>
      </c>
      <c r="AT3" s="4" t="s">
        <v>1352</v>
      </c>
      <c r="AU3" s="4" t="s">
        <v>1353</v>
      </c>
      <c r="AV3" s="4" t="s">
        <v>1403</v>
      </c>
      <c r="AW3" s="4" t="s">
        <v>1405</v>
      </c>
      <c r="AX3" s="4" t="s">
        <v>1406</v>
      </c>
      <c r="AY3" s="4" t="s">
        <v>1416</v>
      </c>
      <c r="AZ3" s="4" t="s">
        <v>1418</v>
      </c>
      <c r="BA3" s="4" t="s">
        <v>1426</v>
      </c>
      <c r="BB3" s="4" t="s">
        <v>1427</v>
      </c>
      <c r="BC3" s="4" t="s">
        <v>1433</v>
      </c>
      <c r="BD3" s="4" t="s">
        <v>1435</v>
      </c>
      <c r="BE3" s="4" t="s">
        <v>1437</v>
      </c>
      <c r="BF3" s="4" t="s">
        <v>1438</v>
      </c>
      <c r="BG3" s="4" t="s">
        <v>1341</v>
      </c>
    </row>
    <row r="4" spans="1:59" x14ac:dyDescent="0.25">
      <c r="A4" t="s">
        <v>7</v>
      </c>
      <c r="B4" t="s">
        <v>570</v>
      </c>
      <c r="C4" t="s">
        <v>572</v>
      </c>
      <c r="D4" t="s">
        <v>572</v>
      </c>
      <c r="E4" t="s">
        <v>572</v>
      </c>
      <c r="F4" t="s">
        <v>572</v>
      </c>
      <c r="G4" t="s">
        <v>572</v>
      </c>
      <c r="H4" t="s">
        <v>572</v>
      </c>
      <c r="I4" t="s">
        <v>572</v>
      </c>
      <c r="J4" t="s">
        <v>572</v>
      </c>
      <c r="K4" t="s">
        <v>572</v>
      </c>
      <c r="L4" t="s">
        <v>572</v>
      </c>
      <c r="M4" t="s">
        <v>572</v>
      </c>
      <c r="N4" t="s">
        <v>572</v>
      </c>
      <c r="O4" t="s">
        <v>572</v>
      </c>
      <c r="P4" t="s">
        <v>572</v>
      </c>
      <c r="Q4" t="s">
        <v>572</v>
      </c>
      <c r="R4" t="s">
        <v>572</v>
      </c>
      <c r="S4" t="s">
        <v>812</v>
      </c>
      <c r="T4" t="s">
        <v>791</v>
      </c>
      <c r="U4" t="s">
        <v>791</v>
      </c>
      <c r="V4" t="s">
        <v>791</v>
      </c>
      <c r="W4" t="s">
        <v>791</v>
      </c>
      <c r="X4" t="s">
        <v>791</v>
      </c>
      <c r="Y4" t="s">
        <v>791</v>
      </c>
      <c r="Z4" t="s">
        <v>791</v>
      </c>
      <c r="AA4" t="s">
        <v>791</v>
      </c>
      <c r="AB4" t="s">
        <v>791</v>
      </c>
      <c r="AC4" t="s">
        <v>791</v>
      </c>
      <c r="AD4" t="s">
        <v>791</v>
      </c>
      <c r="AE4" t="s">
        <v>791</v>
      </c>
      <c r="AF4" t="s">
        <v>791</v>
      </c>
      <c r="AG4" t="s">
        <v>791</v>
      </c>
      <c r="AH4" t="s">
        <v>791</v>
      </c>
      <c r="AI4" t="s">
        <v>791</v>
      </c>
      <c r="AJ4" t="s">
        <v>791</v>
      </c>
      <c r="AK4" t="s">
        <v>791</v>
      </c>
      <c r="AL4" t="s">
        <v>791</v>
      </c>
      <c r="AM4" t="s">
        <v>791</v>
      </c>
      <c r="AN4" t="s">
        <v>791</v>
      </c>
      <c r="AO4" t="s">
        <v>1337</v>
      </c>
      <c r="AP4" t="s">
        <v>1340</v>
      </c>
      <c r="AQ4" t="s">
        <v>1340</v>
      </c>
      <c r="AR4" t="s">
        <v>1342</v>
      </c>
      <c r="AS4" t="s">
        <v>1346</v>
      </c>
      <c r="AT4" t="s">
        <v>1351</v>
      </c>
      <c r="AU4" t="s">
        <v>1351</v>
      </c>
      <c r="AV4" t="s">
        <v>1402</v>
      </c>
      <c r="AW4" t="s">
        <v>1340</v>
      </c>
      <c r="AX4" t="s">
        <v>1340</v>
      </c>
      <c r="AY4" t="s">
        <v>1340</v>
      </c>
      <c r="AZ4" t="s">
        <v>1402</v>
      </c>
      <c r="BA4" t="s">
        <v>1425</v>
      </c>
      <c r="BB4" t="s">
        <v>1340</v>
      </c>
      <c r="BC4" t="s">
        <v>1432</v>
      </c>
      <c r="BD4" t="s">
        <v>1402</v>
      </c>
      <c r="BE4" t="s">
        <v>1402</v>
      </c>
      <c r="BF4" t="s">
        <v>1402</v>
      </c>
      <c r="BG4" t="s">
        <v>1340</v>
      </c>
    </row>
    <row r="5" spans="1:59" x14ac:dyDescent="0.25">
      <c r="A5" t="s">
        <v>6</v>
      </c>
      <c r="B5" t="s">
        <v>569</v>
      </c>
      <c r="C5" t="s">
        <v>569</v>
      </c>
      <c r="D5" t="s">
        <v>569</v>
      </c>
      <c r="E5" t="s">
        <v>569</v>
      </c>
      <c r="F5" t="s">
        <v>569</v>
      </c>
      <c r="G5" t="s">
        <v>569</v>
      </c>
      <c r="H5" t="s">
        <v>569</v>
      </c>
      <c r="I5" t="s">
        <v>569</v>
      </c>
      <c r="J5" t="s">
        <v>569</v>
      </c>
      <c r="K5" t="s">
        <v>569</v>
      </c>
      <c r="L5" t="s">
        <v>569</v>
      </c>
      <c r="M5" t="s">
        <v>569</v>
      </c>
      <c r="N5" t="s">
        <v>569</v>
      </c>
      <c r="O5" t="s">
        <v>569</v>
      </c>
      <c r="P5" t="s">
        <v>569</v>
      </c>
      <c r="Q5" t="s">
        <v>569</v>
      </c>
      <c r="R5" t="s">
        <v>569</v>
      </c>
      <c r="S5" t="s">
        <v>569</v>
      </c>
      <c r="T5" t="s">
        <v>569</v>
      </c>
      <c r="U5" t="s">
        <v>569</v>
      </c>
      <c r="V5" t="s">
        <v>569</v>
      </c>
      <c r="W5" t="s">
        <v>569</v>
      </c>
      <c r="X5" t="s">
        <v>569</v>
      </c>
      <c r="Y5" t="s">
        <v>569</v>
      </c>
      <c r="Z5" t="s">
        <v>569</v>
      </c>
      <c r="AA5" t="s">
        <v>569</v>
      </c>
      <c r="AB5" t="s">
        <v>569</v>
      </c>
      <c r="AC5" t="s">
        <v>569</v>
      </c>
      <c r="AD5" t="s">
        <v>569</v>
      </c>
      <c r="AE5" t="s">
        <v>569</v>
      </c>
      <c r="AF5" t="s">
        <v>569</v>
      </c>
      <c r="AG5" t="s">
        <v>569</v>
      </c>
      <c r="AH5" t="s">
        <v>569</v>
      </c>
      <c r="AI5" t="s">
        <v>569</v>
      </c>
      <c r="AJ5" t="s">
        <v>569</v>
      </c>
      <c r="AK5" t="s">
        <v>569</v>
      </c>
      <c r="AL5" t="s">
        <v>569</v>
      </c>
      <c r="AM5" t="s">
        <v>569</v>
      </c>
      <c r="AN5" t="s">
        <v>569</v>
      </c>
      <c r="AO5" t="s">
        <v>1336</v>
      </c>
      <c r="AP5" t="s">
        <v>569</v>
      </c>
      <c r="AQ5" t="s">
        <v>569</v>
      </c>
      <c r="AR5" t="s">
        <v>569</v>
      </c>
      <c r="AS5" t="s">
        <v>1336</v>
      </c>
      <c r="AT5" t="s">
        <v>1350</v>
      </c>
      <c r="AU5" t="s">
        <v>1350</v>
      </c>
      <c r="AV5" t="s">
        <v>569</v>
      </c>
      <c r="AW5" t="s">
        <v>569</v>
      </c>
      <c r="AX5" t="s">
        <v>569</v>
      </c>
      <c r="AY5" t="s">
        <v>569</v>
      </c>
      <c r="AZ5" t="s">
        <v>569</v>
      </c>
      <c r="BA5" t="s">
        <v>1424</v>
      </c>
      <c r="BB5" t="s">
        <v>569</v>
      </c>
      <c r="BC5" t="s">
        <v>1336</v>
      </c>
      <c r="BD5" t="s">
        <v>569</v>
      </c>
      <c r="BE5" t="s">
        <v>569</v>
      </c>
      <c r="BF5" t="s">
        <v>569</v>
      </c>
      <c r="BG5" t="s">
        <v>569</v>
      </c>
    </row>
    <row r="6" spans="1:59" x14ac:dyDescent="0.25">
      <c r="A6" t="s">
        <v>5</v>
      </c>
      <c r="B6" t="s">
        <v>10</v>
      </c>
      <c r="C6" t="s">
        <v>10</v>
      </c>
      <c r="D6" t="s">
        <v>10</v>
      </c>
      <c r="E6" t="s">
        <v>10</v>
      </c>
      <c r="F6" t="s">
        <v>10</v>
      </c>
      <c r="G6" t="s">
        <v>10</v>
      </c>
      <c r="H6" t="s">
        <v>10</v>
      </c>
      <c r="I6" t="s">
        <v>10</v>
      </c>
      <c r="J6" t="s">
        <v>10</v>
      </c>
      <c r="K6" t="s">
        <v>10</v>
      </c>
      <c r="L6" t="s">
        <v>10</v>
      </c>
      <c r="M6" t="s">
        <v>10</v>
      </c>
      <c r="N6" t="s">
        <v>10</v>
      </c>
      <c r="O6" t="s">
        <v>10</v>
      </c>
      <c r="P6" t="s">
        <v>10</v>
      </c>
      <c r="Q6" t="s">
        <v>10</v>
      </c>
      <c r="R6" t="s">
        <v>10</v>
      </c>
      <c r="S6" t="s">
        <v>10</v>
      </c>
      <c r="T6" t="s">
        <v>10</v>
      </c>
      <c r="U6" t="s">
        <v>10</v>
      </c>
      <c r="V6" t="s">
        <v>10</v>
      </c>
      <c r="W6" t="s">
        <v>10</v>
      </c>
      <c r="X6" t="s">
        <v>10</v>
      </c>
      <c r="Y6" t="s">
        <v>10</v>
      </c>
      <c r="Z6" t="s">
        <v>10</v>
      </c>
      <c r="AA6" t="s">
        <v>10</v>
      </c>
      <c r="AB6" t="s">
        <v>10</v>
      </c>
      <c r="AC6" t="s">
        <v>10</v>
      </c>
      <c r="AD6" t="s">
        <v>10</v>
      </c>
      <c r="AE6" t="s">
        <v>10</v>
      </c>
      <c r="AF6" t="s">
        <v>10</v>
      </c>
      <c r="AG6" t="s">
        <v>10</v>
      </c>
      <c r="AH6" t="s">
        <v>10</v>
      </c>
      <c r="AI6" t="s">
        <v>10</v>
      </c>
      <c r="AJ6" t="s">
        <v>10</v>
      </c>
      <c r="AK6" t="s">
        <v>10</v>
      </c>
      <c r="AL6" t="s">
        <v>10</v>
      </c>
      <c r="AM6" t="s">
        <v>10</v>
      </c>
      <c r="AN6" t="s">
        <v>10</v>
      </c>
      <c r="AO6" t="s">
        <v>10</v>
      </c>
      <c r="AP6" t="s">
        <v>10</v>
      </c>
      <c r="AQ6" t="s">
        <v>10</v>
      </c>
      <c r="AR6" t="s">
        <v>10</v>
      </c>
      <c r="AS6" t="s">
        <v>1345</v>
      </c>
      <c r="AT6" t="s">
        <v>1349</v>
      </c>
      <c r="AU6" t="s">
        <v>1349</v>
      </c>
      <c r="AV6" t="s">
        <v>10</v>
      </c>
      <c r="AW6" t="s">
        <v>10</v>
      </c>
      <c r="AX6" t="s">
        <v>10</v>
      </c>
      <c r="AY6" t="s">
        <v>10</v>
      </c>
      <c r="AZ6" t="s">
        <v>10</v>
      </c>
      <c r="BA6" t="s">
        <v>10</v>
      </c>
      <c r="BB6" t="s">
        <v>10</v>
      </c>
      <c r="BC6" t="s">
        <v>10</v>
      </c>
      <c r="BD6" t="s">
        <v>10</v>
      </c>
      <c r="BE6" t="s">
        <v>10</v>
      </c>
      <c r="BF6" t="s">
        <v>10</v>
      </c>
      <c r="BG6" t="s">
        <v>10</v>
      </c>
    </row>
    <row r="7" spans="1:59" x14ac:dyDescent="0.25">
      <c r="A7" t="s">
        <v>4</v>
      </c>
      <c r="B7" t="s">
        <v>568</v>
      </c>
      <c r="C7" t="s">
        <v>568</v>
      </c>
      <c r="D7" t="s">
        <v>568</v>
      </c>
      <c r="E7" t="s">
        <v>568</v>
      </c>
      <c r="F7" t="s">
        <v>568</v>
      </c>
      <c r="G7" t="s">
        <v>568</v>
      </c>
      <c r="H7" t="s">
        <v>568</v>
      </c>
      <c r="I7" t="s">
        <v>568</v>
      </c>
      <c r="J7" t="s">
        <v>568</v>
      </c>
      <c r="K7" t="s">
        <v>568</v>
      </c>
      <c r="L7" t="s">
        <v>568</v>
      </c>
      <c r="M7" t="s">
        <v>14</v>
      </c>
      <c r="N7" t="s">
        <v>568</v>
      </c>
      <c r="O7" t="s">
        <v>568</v>
      </c>
      <c r="P7" t="s">
        <v>568</v>
      </c>
      <c r="Q7" t="s">
        <v>568</v>
      </c>
      <c r="R7" t="s">
        <v>568</v>
      </c>
      <c r="S7" t="s">
        <v>568</v>
      </c>
      <c r="T7" t="s">
        <v>568</v>
      </c>
      <c r="U7" t="s">
        <v>568</v>
      </c>
      <c r="V7" t="s">
        <v>568</v>
      </c>
      <c r="W7" t="s">
        <v>568</v>
      </c>
      <c r="X7" t="s">
        <v>568</v>
      </c>
      <c r="Y7" t="s">
        <v>568</v>
      </c>
      <c r="Z7" t="s">
        <v>568</v>
      </c>
      <c r="AA7" t="s">
        <v>568</v>
      </c>
      <c r="AB7" t="s">
        <v>568</v>
      </c>
      <c r="AC7" t="s">
        <v>568</v>
      </c>
      <c r="AD7" t="s">
        <v>568</v>
      </c>
      <c r="AE7" t="s">
        <v>568</v>
      </c>
      <c r="AF7" t="s">
        <v>568</v>
      </c>
      <c r="AG7" t="s">
        <v>568</v>
      </c>
      <c r="AH7" t="s">
        <v>568</v>
      </c>
      <c r="AI7" t="s">
        <v>568</v>
      </c>
      <c r="AJ7" t="s">
        <v>568</v>
      </c>
      <c r="AK7" t="s">
        <v>568</v>
      </c>
      <c r="AL7" t="s">
        <v>568</v>
      </c>
      <c r="AM7" t="s">
        <v>568</v>
      </c>
      <c r="AN7" t="s">
        <v>568</v>
      </c>
      <c r="AO7" t="s">
        <v>1335</v>
      </c>
      <c r="AP7" t="s">
        <v>1339</v>
      </c>
      <c r="AQ7" t="s">
        <v>568</v>
      </c>
      <c r="AR7" t="s">
        <v>568</v>
      </c>
      <c r="AS7" t="s">
        <v>1344</v>
      </c>
      <c r="AT7" t="s">
        <v>1348</v>
      </c>
      <c r="AU7" t="s">
        <v>1348</v>
      </c>
      <c r="AV7" t="s">
        <v>568</v>
      </c>
      <c r="AW7" t="s">
        <v>568</v>
      </c>
      <c r="AX7" t="s">
        <v>568</v>
      </c>
      <c r="AY7" t="s">
        <v>568</v>
      </c>
      <c r="AZ7" t="s">
        <v>568</v>
      </c>
      <c r="BA7" t="s">
        <v>1423</v>
      </c>
      <c r="BB7" t="s">
        <v>568</v>
      </c>
      <c r="BC7" t="s">
        <v>1431</v>
      </c>
      <c r="BD7" t="s">
        <v>568</v>
      </c>
      <c r="BE7" t="s">
        <v>568</v>
      </c>
      <c r="BF7" t="s">
        <v>568</v>
      </c>
      <c r="BG7" t="s">
        <v>1339</v>
      </c>
    </row>
    <row r="8" spans="1:59" x14ac:dyDescent="0.25">
      <c r="A8" t="s">
        <v>567</v>
      </c>
      <c r="B8" s="8" t="e">
        <v>#N/A</v>
      </c>
      <c r="C8" s="8" t="e">
        <v>#N/A</v>
      </c>
      <c r="D8" s="8" t="e">
        <v>#N/A</v>
      </c>
      <c r="E8" s="8" t="e">
        <v>#N/A</v>
      </c>
      <c r="F8" s="8" t="e">
        <v>#N/A</v>
      </c>
      <c r="G8" s="2" t="e">
        <v>#N/A</v>
      </c>
      <c r="H8" s="2" t="e">
        <v>#N/A</v>
      </c>
      <c r="I8" s="2" t="e">
        <v>#N/A</v>
      </c>
      <c r="J8" s="2" t="e">
        <v>#N/A</v>
      </c>
      <c r="K8" s="8" t="e">
        <v>#N/A</v>
      </c>
      <c r="L8" s="8" t="e">
        <v>#N/A</v>
      </c>
      <c r="M8" s="8" t="e">
        <v>#N/A</v>
      </c>
      <c r="N8" s="8" t="e">
        <v>#N/A</v>
      </c>
      <c r="O8" s="8" t="e">
        <v>#N/A</v>
      </c>
      <c r="P8" s="8" t="e">
        <v>#N/A</v>
      </c>
      <c r="Q8" s="8" t="e">
        <v>#N/A</v>
      </c>
      <c r="R8" s="8" t="e">
        <v>#N/A</v>
      </c>
      <c r="S8" s="8">
        <v>27465</v>
      </c>
      <c r="T8" s="8">
        <v>509</v>
      </c>
      <c r="U8" s="8">
        <v>373</v>
      </c>
      <c r="V8" s="8">
        <v>6541</v>
      </c>
      <c r="W8" s="8">
        <v>259</v>
      </c>
      <c r="X8" s="8">
        <v>156</v>
      </c>
      <c r="Y8" s="8">
        <v>1962</v>
      </c>
      <c r="Z8" s="8">
        <v>4153</v>
      </c>
      <c r="AA8" s="8">
        <v>1408</v>
      </c>
      <c r="AB8" s="8">
        <v>1257</v>
      </c>
      <c r="AC8" s="8">
        <v>791</v>
      </c>
      <c r="AD8" s="8">
        <v>853</v>
      </c>
      <c r="AE8" s="8">
        <v>176</v>
      </c>
      <c r="AF8" s="8">
        <v>1023</v>
      </c>
      <c r="AG8" s="8">
        <v>1120</v>
      </c>
      <c r="AH8" s="8">
        <v>1992</v>
      </c>
      <c r="AI8" s="8">
        <v>1747</v>
      </c>
      <c r="AJ8" s="8">
        <v>2025</v>
      </c>
      <c r="AK8" s="8">
        <v>510</v>
      </c>
      <c r="AL8" s="8">
        <v>610</v>
      </c>
      <c r="AM8" s="8">
        <v>0</v>
      </c>
      <c r="AN8" s="8">
        <v>17664</v>
      </c>
      <c r="AO8" s="8" t="e">
        <v>#N/A</v>
      </c>
      <c r="AP8" s="8">
        <v>1558</v>
      </c>
      <c r="AQ8" s="2">
        <v>5.8</v>
      </c>
      <c r="AR8" s="2" t="e">
        <v>#N/A</v>
      </c>
      <c r="AS8" s="2" t="e">
        <v>#N/A</v>
      </c>
      <c r="AT8" s="8" t="e">
        <v>#N/A</v>
      </c>
      <c r="AU8" s="8" t="e">
        <v>#N/A</v>
      </c>
      <c r="AV8" s="8" t="e">
        <v>#N/A</v>
      </c>
      <c r="AW8" s="8">
        <v>42610</v>
      </c>
      <c r="AX8" s="2">
        <v>62.9</v>
      </c>
      <c r="AY8" s="2">
        <v>71.5</v>
      </c>
      <c r="AZ8" s="2" t="e">
        <v>#N/A</v>
      </c>
      <c r="BA8" s="8" t="e">
        <v>#N/A</v>
      </c>
      <c r="BB8" s="8">
        <v>25250</v>
      </c>
      <c r="BC8" s="8" t="e">
        <v>#N/A</v>
      </c>
      <c r="BD8" s="8" t="e">
        <v>#N/A</v>
      </c>
      <c r="BE8" s="8" t="e">
        <v>#N/A</v>
      </c>
      <c r="BF8" s="8" t="e">
        <v>#N/A</v>
      </c>
      <c r="BG8" s="8">
        <v>1558</v>
      </c>
    </row>
    <row r="9" spans="1:59" x14ac:dyDescent="0.25">
      <c r="A9" t="s">
        <v>577</v>
      </c>
      <c r="B9" s="8" t="e">
        <v>#N/A</v>
      </c>
      <c r="C9" s="8" t="e">
        <v>#N/A</v>
      </c>
      <c r="D9" s="8" t="e">
        <v>#N/A</v>
      </c>
      <c r="E9" s="8" t="e">
        <v>#N/A</v>
      </c>
      <c r="F9" s="8" t="e">
        <v>#N/A</v>
      </c>
      <c r="G9" s="2" t="e">
        <v>#N/A</v>
      </c>
      <c r="H9" s="2" t="e">
        <v>#N/A</v>
      </c>
      <c r="I9" s="2" t="e">
        <v>#N/A</v>
      </c>
      <c r="J9" s="2" t="e">
        <v>#N/A</v>
      </c>
      <c r="K9" s="8" t="e">
        <v>#N/A</v>
      </c>
      <c r="L9" s="8" t="e">
        <v>#N/A</v>
      </c>
      <c r="M9" s="8" t="e">
        <v>#N/A</v>
      </c>
      <c r="N9" s="8" t="e">
        <v>#N/A</v>
      </c>
      <c r="O9" s="8" t="e">
        <v>#N/A</v>
      </c>
      <c r="P9" s="8" t="e">
        <v>#N/A</v>
      </c>
      <c r="Q9" s="8" t="e">
        <v>#N/A</v>
      </c>
      <c r="R9" s="8" t="e">
        <v>#N/A</v>
      </c>
      <c r="S9" s="8">
        <v>27369</v>
      </c>
      <c r="T9" s="8">
        <v>510</v>
      </c>
      <c r="U9" s="8">
        <v>368</v>
      </c>
      <c r="V9" s="8">
        <v>6423</v>
      </c>
      <c r="W9" s="8">
        <v>260</v>
      </c>
      <c r="X9" s="8">
        <v>155</v>
      </c>
      <c r="Y9" s="8">
        <v>1962</v>
      </c>
      <c r="Z9" s="8">
        <v>4151</v>
      </c>
      <c r="AA9" s="8">
        <v>1406</v>
      </c>
      <c r="AB9" s="8">
        <v>1265</v>
      </c>
      <c r="AC9" s="8">
        <v>787</v>
      </c>
      <c r="AD9" s="8">
        <v>860</v>
      </c>
      <c r="AE9" s="8">
        <v>177</v>
      </c>
      <c r="AF9" s="8">
        <v>1031</v>
      </c>
      <c r="AG9" s="8">
        <v>1126</v>
      </c>
      <c r="AH9" s="8">
        <v>1983</v>
      </c>
      <c r="AI9" s="8">
        <v>1740</v>
      </c>
      <c r="AJ9" s="8">
        <v>2044</v>
      </c>
      <c r="AK9" s="8">
        <v>510</v>
      </c>
      <c r="AL9" s="8">
        <v>611</v>
      </c>
      <c r="AM9" s="8">
        <v>0</v>
      </c>
      <c r="AN9" s="8">
        <v>17691</v>
      </c>
      <c r="AO9" s="8" t="e">
        <v>#N/A</v>
      </c>
      <c r="AP9" s="8">
        <v>1700</v>
      </c>
      <c r="AQ9" s="2">
        <v>6.3</v>
      </c>
      <c r="AR9" s="2" t="e">
        <v>#N/A</v>
      </c>
      <c r="AS9" s="2" t="e">
        <v>#N/A</v>
      </c>
      <c r="AT9" s="8" t="e">
        <v>#N/A</v>
      </c>
      <c r="AU9" s="8" t="e">
        <v>#N/A</v>
      </c>
      <c r="AV9" s="8" t="e">
        <v>#N/A</v>
      </c>
      <c r="AW9" s="8">
        <v>42699</v>
      </c>
      <c r="AX9" s="2">
        <v>63</v>
      </c>
      <c r="AY9" s="2">
        <v>71.2</v>
      </c>
      <c r="AZ9" s="2" t="e">
        <v>#N/A</v>
      </c>
      <c r="BA9" s="8" t="e">
        <v>#N/A</v>
      </c>
      <c r="BB9" s="8">
        <v>25190</v>
      </c>
      <c r="BC9" s="8" t="e">
        <v>#N/A</v>
      </c>
      <c r="BD9" s="8" t="e">
        <v>#N/A</v>
      </c>
      <c r="BE9" s="8" t="e">
        <v>#N/A</v>
      </c>
      <c r="BF9" s="8" t="e">
        <v>#N/A</v>
      </c>
      <c r="BG9" s="8">
        <v>1700</v>
      </c>
    </row>
    <row r="10" spans="1:59" x14ac:dyDescent="0.25">
      <c r="A10" t="s">
        <v>578</v>
      </c>
      <c r="B10" s="8" t="e">
        <v>#N/A</v>
      </c>
      <c r="C10" s="8" t="e">
        <v>#N/A</v>
      </c>
      <c r="D10" s="8" t="e">
        <v>#N/A</v>
      </c>
      <c r="E10" s="8" t="e">
        <v>#N/A</v>
      </c>
      <c r="F10" s="8" t="e">
        <v>#N/A</v>
      </c>
      <c r="G10" s="2" t="e">
        <v>#N/A</v>
      </c>
      <c r="H10" s="2" t="e">
        <v>#N/A</v>
      </c>
      <c r="I10" s="2" t="e">
        <v>#N/A</v>
      </c>
      <c r="J10" s="2" t="e">
        <v>#N/A</v>
      </c>
      <c r="K10" s="8" t="e">
        <v>#N/A</v>
      </c>
      <c r="L10" s="8" t="e">
        <v>#N/A</v>
      </c>
      <c r="M10" s="8" t="e">
        <v>#N/A</v>
      </c>
      <c r="N10" s="8" t="e">
        <v>#N/A</v>
      </c>
      <c r="O10" s="8" t="e">
        <v>#N/A</v>
      </c>
      <c r="P10" s="8" t="e">
        <v>#N/A</v>
      </c>
      <c r="Q10" s="8" t="e">
        <v>#N/A</v>
      </c>
      <c r="R10" s="8" t="e">
        <v>#N/A</v>
      </c>
      <c r="S10" s="8">
        <v>27108</v>
      </c>
      <c r="T10" s="8">
        <v>513</v>
      </c>
      <c r="U10" s="8">
        <v>365</v>
      </c>
      <c r="V10" s="8">
        <v>6228</v>
      </c>
      <c r="W10" s="8">
        <v>262</v>
      </c>
      <c r="X10" s="8">
        <v>155</v>
      </c>
      <c r="Y10" s="8">
        <v>1951</v>
      </c>
      <c r="Z10" s="8">
        <v>4096</v>
      </c>
      <c r="AA10" s="8">
        <v>1398</v>
      </c>
      <c r="AB10" s="8">
        <v>1258</v>
      </c>
      <c r="AC10" s="8">
        <v>777</v>
      </c>
      <c r="AD10" s="8">
        <v>874</v>
      </c>
      <c r="AE10" s="8">
        <v>177</v>
      </c>
      <c r="AF10" s="8">
        <v>1029</v>
      </c>
      <c r="AG10" s="8">
        <v>1122</v>
      </c>
      <c r="AH10" s="8">
        <v>1984</v>
      </c>
      <c r="AI10" s="8">
        <v>1740</v>
      </c>
      <c r="AJ10" s="8">
        <v>2058</v>
      </c>
      <c r="AK10" s="8">
        <v>510</v>
      </c>
      <c r="AL10" s="8">
        <v>611</v>
      </c>
      <c r="AM10" s="8">
        <v>0</v>
      </c>
      <c r="AN10" s="8">
        <v>17634</v>
      </c>
      <c r="AO10" s="8" t="e">
        <v>#N/A</v>
      </c>
      <c r="AP10" s="8">
        <v>1905</v>
      </c>
      <c r="AQ10" s="2">
        <v>7.1</v>
      </c>
      <c r="AR10" s="2" t="e">
        <v>#N/A</v>
      </c>
      <c r="AS10" s="2" t="e">
        <v>#N/A</v>
      </c>
      <c r="AT10" s="8" t="e">
        <v>#N/A</v>
      </c>
      <c r="AU10" s="8" t="e">
        <v>#N/A</v>
      </c>
      <c r="AV10" s="8" t="e">
        <v>#N/A</v>
      </c>
      <c r="AW10" s="8">
        <v>42784</v>
      </c>
      <c r="AX10" s="2">
        <v>63</v>
      </c>
      <c r="AY10" s="2">
        <v>70.7</v>
      </c>
      <c r="AZ10" s="2" t="e">
        <v>#N/A</v>
      </c>
      <c r="BA10" s="8" t="e">
        <v>#N/A</v>
      </c>
      <c r="BB10" s="8">
        <v>25050</v>
      </c>
      <c r="BC10" s="8" t="e">
        <v>#N/A</v>
      </c>
      <c r="BD10" s="8" t="e">
        <v>#N/A</v>
      </c>
      <c r="BE10" s="8" t="e">
        <v>#N/A</v>
      </c>
      <c r="BF10" s="8" t="e">
        <v>#N/A</v>
      </c>
      <c r="BG10" s="8">
        <v>1905</v>
      </c>
    </row>
    <row r="11" spans="1:59" x14ac:dyDescent="0.25">
      <c r="A11" t="s">
        <v>579</v>
      </c>
      <c r="B11" s="8" t="e">
        <v>#N/A</v>
      </c>
      <c r="C11" s="8" t="e">
        <v>#N/A</v>
      </c>
      <c r="D11" s="8" t="e">
        <v>#N/A</v>
      </c>
      <c r="E11" s="8" t="e">
        <v>#N/A</v>
      </c>
      <c r="F11" s="8" t="e">
        <v>#N/A</v>
      </c>
      <c r="G11" s="2" t="e">
        <v>#N/A</v>
      </c>
      <c r="H11" s="2" t="e">
        <v>#N/A</v>
      </c>
      <c r="I11" s="2" t="e">
        <v>#N/A</v>
      </c>
      <c r="J11" s="2" t="e">
        <v>#N/A</v>
      </c>
      <c r="K11" s="8" t="e">
        <v>#N/A</v>
      </c>
      <c r="L11" s="8" t="e">
        <v>#N/A</v>
      </c>
      <c r="M11" s="8" t="e">
        <v>#N/A</v>
      </c>
      <c r="N11" s="8" t="e">
        <v>#N/A</v>
      </c>
      <c r="O11" s="8" t="e">
        <v>#N/A</v>
      </c>
      <c r="P11" s="8" t="e">
        <v>#N/A</v>
      </c>
      <c r="Q11" s="8" t="e">
        <v>#N/A</v>
      </c>
      <c r="R11" s="8" t="e">
        <v>#N/A</v>
      </c>
      <c r="S11" s="8">
        <v>26813</v>
      </c>
      <c r="T11" s="8">
        <v>503</v>
      </c>
      <c r="U11" s="8">
        <v>359</v>
      </c>
      <c r="V11" s="8">
        <v>6045</v>
      </c>
      <c r="W11" s="8">
        <v>261</v>
      </c>
      <c r="X11" s="8">
        <v>154</v>
      </c>
      <c r="Y11" s="8">
        <v>1921</v>
      </c>
      <c r="Z11" s="8">
        <v>4055</v>
      </c>
      <c r="AA11" s="8">
        <v>1384</v>
      </c>
      <c r="AB11" s="8">
        <v>1261</v>
      </c>
      <c r="AC11" s="8">
        <v>767</v>
      </c>
      <c r="AD11" s="8">
        <v>876</v>
      </c>
      <c r="AE11" s="8">
        <v>177</v>
      </c>
      <c r="AF11" s="8">
        <v>1027</v>
      </c>
      <c r="AG11" s="8">
        <v>1114</v>
      </c>
      <c r="AH11" s="8">
        <v>1979</v>
      </c>
      <c r="AI11" s="8">
        <v>1723</v>
      </c>
      <c r="AJ11" s="8">
        <v>2077</v>
      </c>
      <c r="AK11" s="8">
        <v>514</v>
      </c>
      <c r="AL11" s="8">
        <v>615</v>
      </c>
      <c r="AM11" s="8">
        <v>0</v>
      </c>
      <c r="AN11" s="8">
        <v>17570</v>
      </c>
      <c r="AO11" s="8" t="e">
        <v>#N/A</v>
      </c>
      <c r="AP11" s="8">
        <v>2169</v>
      </c>
      <c r="AQ11" s="2">
        <v>8</v>
      </c>
      <c r="AR11" s="2" t="e">
        <v>#N/A</v>
      </c>
      <c r="AS11" s="2" t="e">
        <v>#N/A</v>
      </c>
      <c r="AT11" s="8" t="e">
        <v>#N/A</v>
      </c>
      <c r="AU11" s="8" t="e">
        <v>#N/A</v>
      </c>
      <c r="AV11" s="8" t="e">
        <v>#N/A</v>
      </c>
      <c r="AW11" s="8">
        <v>42862</v>
      </c>
      <c r="AX11" s="2">
        <v>63.1</v>
      </c>
      <c r="AY11" s="2">
        <v>69.900000000000006</v>
      </c>
      <c r="AZ11" s="2" t="e">
        <v>#N/A</v>
      </c>
      <c r="BA11" s="8" t="e">
        <v>#N/A</v>
      </c>
      <c r="BB11" s="8">
        <v>24855</v>
      </c>
      <c r="BC11" s="8" t="e">
        <v>#N/A</v>
      </c>
      <c r="BD11" s="8" t="e">
        <v>#N/A</v>
      </c>
      <c r="BE11" s="8" t="e">
        <v>#N/A</v>
      </c>
      <c r="BF11" s="8" t="e">
        <v>#N/A</v>
      </c>
      <c r="BG11" s="8">
        <v>2169</v>
      </c>
    </row>
    <row r="12" spans="1:59" x14ac:dyDescent="0.25">
      <c r="A12" t="s">
        <v>580</v>
      </c>
      <c r="B12" s="8" t="e">
        <v>#N/A</v>
      </c>
      <c r="C12" s="8" t="e">
        <v>#N/A</v>
      </c>
      <c r="D12" s="8" t="e">
        <v>#N/A</v>
      </c>
      <c r="E12" s="8" t="e">
        <v>#N/A</v>
      </c>
      <c r="F12" s="8" t="e">
        <v>#N/A</v>
      </c>
      <c r="G12" s="2" t="e">
        <v>#N/A</v>
      </c>
      <c r="H12" s="2" t="e">
        <v>#N/A</v>
      </c>
      <c r="I12" s="2" t="e">
        <v>#N/A</v>
      </c>
      <c r="J12" s="2" t="e">
        <v>#N/A</v>
      </c>
      <c r="K12" s="8" t="e">
        <v>#N/A</v>
      </c>
      <c r="L12" s="8" t="e">
        <v>#N/A</v>
      </c>
      <c r="M12" s="8" t="e">
        <v>#N/A</v>
      </c>
      <c r="N12" s="8" t="e">
        <v>#N/A</v>
      </c>
      <c r="O12" s="8" t="e">
        <v>#N/A</v>
      </c>
      <c r="P12" s="8" t="e">
        <v>#N/A</v>
      </c>
      <c r="Q12" s="8" t="e">
        <v>#N/A</v>
      </c>
      <c r="R12" s="8" t="e">
        <v>#N/A</v>
      </c>
      <c r="S12" s="8">
        <v>26551</v>
      </c>
      <c r="T12" s="8">
        <v>503</v>
      </c>
      <c r="U12" s="8">
        <v>349</v>
      </c>
      <c r="V12" s="8">
        <v>5901</v>
      </c>
      <c r="W12" s="8">
        <v>259</v>
      </c>
      <c r="X12" s="8">
        <v>152</v>
      </c>
      <c r="Y12" s="8">
        <v>1893</v>
      </c>
      <c r="Z12" s="8">
        <v>4038</v>
      </c>
      <c r="AA12" s="8">
        <v>1369</v>
      </c>
      <c r="AB12" s="8">
        <v>1250</v>
      </c>
      <c r="AC12" s="8">
        <v>757</v>
      </c>
      <c r="AD12" s="8">
        <v>879</v>
      </c>
      <c r="AE12" s="8">
        <v>177</v>
      </c>
      <c r="AF12" s="8">
        <v>1024</v>
      </c>
      <c r="AG12" s="8">
        <v>1107</v>
      </c>
      <c r="AH12" s="8">
        <v>1968</v>
      </c>
      <c r="AI12" s="8">
        <v>1712</v>
      </c>
      <c r="AJ12" s="8">
        <v>2090</v>
      </c>
      <c r="AK12" s="8">
        <v>511</v>
      </c>
      <c r="AL12" s="8">
        <v>613</v>
      </c>
      <c r="AM12" s="8">
        <v>0</v>
      </c>
      <c r="AN12" s="8">
        <v>17494</v>
      </c>
      <c r="AO12" s="8" t="e">
        <v>#N/A</v>
      </c>
      <c r="AP12" s="8">
        <v>2403</v>
      </c>
      <c r="AQ12" s="2">
        <v>8.9</v>
      </c>
      <c r="AR12" s="2" t="e">
        <v>#N/A</v>
      </c>
      <c r="AS12" s="2" t="e">
        <v>#N/A</v>
      </c>
      <c r="AT12" s="8" t="e">
        <v>#N/A</v>
      </c>
      <c r="AU12" s="8" t="e">
        <v>#N/A</v>
      </c>
      <c r="AV12" s="8" t="e">
        <v>#N/A</v>
      </c>
      <c r="AW12" s="8">
        <v>42940</v>
      </c>
      <c r="AX12" s="2">
        <v>63</v>
      </c>
      <c r="AY12" s="2">
        <v>69.3</v>
      </c>
      <c r="AZ12" s="2" t="e">
        <v>#N/A</v>
      </c>
      <c r="BA12" s="8" t="e">
        <v>#N/A</v>
      </c>
      <c r="BB12" s="8">
        <v>24661</v>
      </c>
      <c r="BC12" s="8" t="e">
        <v>#N/A</v>
      </c>
      <c r="BD12" s="8" t="e">
        <v>#N/A</v>
      </c>
      <c r="BE12" s="8" t="e">
        <v>#N/A</v>
      </c>
      <c r="BF12" s="8" t="e">
        <v>#N/A</v>
      </c>
      <c r="BG12" s="8">
        <v>2403</v>
      </c>
    </row>
    <row r="13" spans="1:59" x14ac:dyDescent="0.25">
      <c r="A13" t="s">
        <v>581</v>
      </c>
      <c r="B13" s="8" t="e">
        <v>#N/A</v>
      </c>
      <c r="C13" s="8" t="e">
        <v>#N/A</v>
      </c>
      <c r="D13" s="8" t="e">
        <v>#N/A</v>
      </c>
      <c r="E13" s="8" t="e">
        <v>#N/A</v>
      </c>
      <c r="F13" s="8" t="e">
        <v>#N/A</v>
      </c>
      <c r="G13" s="2" t="e">
        <v>#N/A</v>
      </c>
      <c r="H13" s="2" t="e">
        <v>#N/A</v>
      </c>
      <c r="I13" s="2" t="e">
        <v>#N/A</v>
      </c>
      <c r="J13" s="2" t="e">
        <v>#N/A</v>
      </c>
      <c r="K13" s="8" t="e">
        <v>#N/A</v>
      </c>
      <c r="L13" s="8" t="e">
        <v>#N/A</v>
      </c>
      <c r="M13" s="8" t="e">
        <v>#N/A</v>
      </c>
      <c r="N13" s="8" t="e">
        <v>#N/A</v>
      </c>
      <c r="O13" s="8" t="e">
        <v>#N/A</v>
      </c>
      <c r="P13" s="8" t="e">
        <v>#N/A</v>
      </c>
      <c r="Q13" s="8" t="e">
        <v>#N/A</v>
      </c>
      <c r="R13" s="8" t="e">
        <v>#N/A</v>
      </c>
      <c r="S13" s="8">
        <v>26348</v>
      </c>
      <c r="T13" s="8">
        <v>492</v>
      </c>
      <c r="U13" s="8">
        <v>347</v>
      </c>
      <c r="V13" s="8">
        <v>5789</v>
      </c>
      <c r="W13" s="8">
        <v>257</v>
      </c>
      <c r="X13" s="8">
        <v>150</v>
      </c>
      <c r="Y13" s="8">
        <v>1863</v>
      </c>
      <c r="Z13" s="8">
        <v>4035</v>
      </c>
      <c r="AA13" s="8">
        <v>1359</v>
      </c>
      <c r="AB13" s="8">
        <v>1234</v>
      </c>
      <c r="AC13" s="8">
        <v>751</v>
      </c>
      <c r="AD13" s="8">
        <v>878</v>
      </c>
      <c r="AE13" s="8">
        <v>177</v>
      </c>
      <c r="AF13" s="8">
        <v>1025</v>
      </c>
      <c r="AG13" s="8">
        <v>1101</v>
      </c>
      <c r="AH13" s="8">
        <v>1958</v>
      </c>
      <c r="AI13" s="8">
        <v>1715</v>
      </c>
      <c r="AJ13" s="8">
        <v>2098</v>
      </c>
      <c r="AK13" s="8">
        <v>508</v>
      </c>
      <c r="AL13" s="8">
        <v>611</v>
      </c>
      <c r="AM13" s="8">
        <v>0</v>
      </c>
      <c r="AN13" s="8">
        <v>17450</v>
      </c>
      <c r="AO13" s="8" t="e">
        <v>#N/A</v>
      </c>
      <c r="AP13" s="8">
        <v>2588</v>
      </c>
      <c r="AQ13" s="2">
        <v>9.6</v>
      </c>
      <c r="AR13" s="2" t="e">
        <v>#N/A</v>
      </c>
      <c r="AS13" s="2" t="e">
        <v>#N/A</v>
      </c>
      <c r="AT13" s="8" t="e">
        <v>#N/A</v>
      </c>
      <c r="AU13" s="8" t="e">
        <v>#N/A</v>
      </c>
      <c r="AV13" s="8" t="e">
        <v>#N/A</v>
      </c>
      <c r="AW13" s="8">
        <v>43017</v>
      </c>
      <c r="AX13" s="2">
        <v>63</v>
      </c>
      <c r="AY13" s="2">
        <v>68.7</v>
      </c>
      <c r="AZ13" s="2" t="e">
        <v>#N/A</v>
      </c>
      <c r="BA13" s="8" t="e">
        <v>#N/A</v>
      </c>
      <c r="BB13" s="8">
        <v>24495</v>
      </c>
      <c r="BC13" s="8" t="e">
        <v>#N/A</v>
      </c>
      <c r="BD13" s="8" t="e">
        <v>#N/A</v>
      </c>
      <c r="BE13" s="8" t="e">
        <v>#N/A</v>
      </c>
      <c r="BF13" s="8" t="e">
        <v>#N/A</v>
      </c>
      <c r="BG13" s="8">
        <v>2588</v>
      </c>
    </row>
    <row r="14" spans="1:59" x14ac:dyDescent="0.25">
      <c r="A14" t="s">
        <v>582</v>
      </c>
      <c r="B14" s="8" t="e">
        <v>#N/A</v>
      </c>
      <c r="C14" s="8" t="e">
        <v>#N/A</v>
      </c>
      <c r="D14" s="8" t="e">
        <v>#N/A</v>
      </c>
      <c r="E14" s="8" t="e">
        <v>#N/A</v>
      </c>
      <c r="F14" s="8" t="e">
        <v>#N/A</v>
      </c>
      <c r="G14" s="2" t="e">
        <v>#N/A</v>
      </c>
      <c r="H14" s="2" t="e">
        <v>#N/A</v>
      </c>
      <c r="I14" s="2" t="e">
        <v>#N/A</v>
      </c>
      <c r="J14" s="2" t="e">
        <v>#N/A</v>
      </c>
      <c r="K14" s="8" t="e">
        <v>#N/A</v>
      </c>
      <c r="L14" s="8" t="e">
        <v>#N/A</v>
      </c>
      <c r="M14" s="8" t="e">
        <v>#N/A</v>
      </c>
      <c r="N14" s="8" t="e">
        <v>#N/A</v>
      </c>
      <c r="O14" s="8" t="e">
        <v>#N/A</v>
      </c>
      <c r="P14" s="8" t="e">
        <v>#N/A</v>
      </c>
      <c r="Q14" s="8" t="e">
        <v>#N/A</v>
      </c>
      <c r="R14" s="8" t="e">
        <v>#N/A</v>
      </c>
      <c r="S14" s="8">
        <v>26240</v>
      </c>
      <c r="T14" s="8">
        <v>485</v>
      </c>
      <c r="U14" s="8">
        <v>343</v>
      </c>
      <c r="V14" s="8">
        <v>5714</v>
      </c>
      <c r="W14" s="8">
        <v>257</v>
      </c>
      <c r="X14" s="8">
        <v>149</v>
      </c>
      <c r="Y14" s="8">
        <v>1829</v>
      </c>
      <c r="Z14" s="8">
        <v>4040</v>
      </c>
      <c r="AA14" s="8">
        <v>1352</v>
      </c>
      <c r="AB14" s="8">
        <v>1244</v>
      </c>
      <c r="AC14" s="8">
        <v>745</v>
      </c>
      <c r="AD14" s="8">
        <v>874</v>
      </c>
      <c r="AE14" s="8">
        <v>178</v>
      </c>
      <c r="AF14" s="8">
        <v>1033</v>
      </c>
      <c r="AG14" s="8">
        <v>1106</v>
      </c>
      <c r="AH14" s="8">
        <v>1947</v>
      </c>
      <c r="AI14" s="8">
        <v>1715</v>
      </c>
      <c r="AJ14" s="8">
        <v>2111</v>
      </c>
      <c r="AK14" s="8">
        <v>508</v>
      </c>
      <c r="AL14" s="8">
        <v>610</v>
      </c>
      <c r="AM14" s="8">
        <v>0</v>
      </c>
      <c r="AN14" s="8">
        <v>17463</v>
      </c>
      <c r="AO14" s="8" t="e">
        <v>#N/A</v>
      </c>
      <c r="AP14" s="8">
        <v>2684</v>
      </c>
      <c r="AQ14" s="2">
        <v>9.9</v>
      </c>
      <c r="AR14" s="2" t="e">
        <v>#N/A</v>
      </c>
      <c r="AS14" s="2" t="e">
        <v>#N/A</v>
      </c>
      <c r="AT14" s="8" t="e">
        <v>#N/A</v>
      </c>
      <c r="AU14" s="8" t="e">
        <v>#N/A</v>
      </c>
      <c r="AV14" s="8" t="e">
        <v>#N/A</v>
      </c>
      <c r="AW14" s="8">
        <v>43084</v>
      </c>
      <c r="AX14" s="2">
        <v>62.8</v>
      </c>
      <c r="AY14" s="2">
        <v>68.2</v>
      </c>
      <c r="AZ14" s="2" t="e">
        <v>#N/A</v>
      </c>
      <c r="BA14" s="8" t="e">
        <v>#N/A</v>
      </c>
      <c r="BB14" s="8">
        <v>24355</v>
      </c>
      <c r="BC14" s="8" t="e">
        <v>#N/A</v>
      </c>
      <c r="BD14" s="8" t="e">
        <v>#N/A</v>
      </c>
      <c r="BE14" s="8" t="e">
        <v>#N/A</v>
      </c>
      <c r="BF14" s="8" t="e">
        <v>#N/A</v>
      </c>
      <c r="BG14" s="8">
        <v>2684</v>
      </c>
    </row>
    <row r="15" spans="1:59" x14ac:dyDescent="0.25">
      <c r="A15" t="s">
        <v>583</v>
      </c>
      <c r="B15" s="8" t="e">
        <v>#N/A</v>
      </c>
      <c r="C15" s="8" t="e">
        <v>#N/A</v>
      </c>
      <c r="D15" s="8" t="e">
        <v>#N/A</v>
      </c>
      <c r="E15" s="8" t="e">
        <v>#N/A</v>
      </c>
      <c r="F15" s="8" t="e">
        <v>#N/A</v>
      </c>
      <c r="G15" s="2" t="e">
        <v>#N/A</v>
      </c>
      <c r="H15" s="2" t="e">
        <v>#N/A</v>
      </c>
      <c r="I15" s="2" t="e">
        <v>#N/A</v>
      </c>
      <c r="J15" s="2" t="e">
        <v>#N/A</v>
      </c>
      <c r="K15" s="8" t="e">
        <v>#N/A</v>
      </c>
      <c r="L15" s="8" t="e">
        <v>#N/A</v>
      </c>
      <c r="M15" s="8" t="e">
        <v>#N/A</v>
      </c>
      <c r="N15" s="8" t="e">
        <v>#N/A</v>
      </c>
      <c r="O15" s="8" t="e">
        <v>#N/A</v>
      </c>
      <c r="P15" s="8" t="e">
        <v>#N/A</v>
      </c>
      <c r="Q15" s="8" t="e">
        <v>#N/A</v>
      </c>
      <c r="R15" s="8" t="e">
        <v>#N/A</v>
      </c>
      <c r="S15" s="8">
        <v>26046</v>
      </c>
      <c r="T15" s="8">
        <v>484</v>
      </c>
      <c r="U15" s="8">
        <v>338</v>
      </c>
      <c r="V15" s="8">
        <v>5628</v>
      </c>
      <c r="W15" s="8">
        <v>254</v>
      </c>
      <c r="X15" s="8">
        <v>148</v>
      </c>
      <c r="Y15" s="8">
        <v>1801</v>
      </c>
      <c r="Z15" s="8">
        <v>3993</v>
      </c>
      <c r="AA15" s="8">
        <v>1339</v>
      </c>
      <c r="AB15" s="8">
        <v>1260</v>
      </c>
      <c r="AC15" s="8">
        <v>742</v>
      </c>
      <c r="AD15" s="8">
        <v>875</v>
      </c>
      <c r="AE15" s="8">
        <v>178</v>
      </c>
      <c r="AF15" s="8">
        <v>1031</v>
      </c>
      <c r="AG15" s="8">
        <v>1106</v>
      </c>
      <c r="AH15" s="8">
        <v>1938</v>
      </c>
      <c r="AI15" s="8">
        <v>1708</v>
      </c>
      <c r="AJ15" s="8">
        <v>2103</v>
      </c>
      <c r="AK15" s="8">
        <v>510</v>
      </c>
      <c r="AL15" s="8">
        <v>612</v>
      </c>
      <c r="AM15" s="8">
        <v>0</v>
      </c>
      <c r="AN15" s="8">
        <v>17394</v>
      </c>
      <c r="AO15" s="8" t="e">
        <v>#N/A</v>
      </c>
      <c r="AP15" s="8">
        <v>2761</v>
      </c>
      <c r="AQ15" s="2">
        <v>10.199999999999999</v>
      </c>
      <c r="AR15" s="2" t="e">
        <v>#N/A</v>
      </c>
      <c r="AS15" s="2" t="e">
        <v>#N/A</v>
      </c>
      <c r="AT15" s="8" t="e">
        <v>#N/A</v>
      </c>
      <c r="AU15" s="8" t="e">
        <v>#N/A</v>
      </c>
      <c r="AV15" s="8" t="e">
        <v>#N/A</v>
      </c>
      <c r="AW15" s="8">
        <v>43130</v>
      </c>
      <c r="AX15" s="2">
        <v>62.5</v>
      </c>
      <c r="AY15" s="2">
        <v>67.7</v>
      </c>
      <c r="AZ15" s="2" t="e">
        <v>#N/A</v>
      </c>
      <c r="BA15" s="8" t="e">
        <v>#N/A</v>
      </c>
      <c r="BB15" s="8">
        <v>24209</v>
      </c>
      <c r="BC15" s="8" t="e">
        <v>#N/A</v>
      </c>
      <c r="BD15" s="8" t="e">
        <v>#N/A</v>
      </c>
      <c r="BE15" s="8" t="e">
        <v>#N/A</v>
      </c>
      <c r="BF15" s="8" t="e">
        <v>#N/A</v>
      </c>
      <c r="BG15" s="8">
        <v>2761</v>
      </c>
    </row>
    <row r="16" spans="1:59" x14ac:dyDescent="0.25">
      <c r="A16" t="s">
        <v>584</v>
      </c>
      <c r="B16" s="8" t="e">
        <v>#N/A</v>
      </c>
      <c r="C16" s="8" t="e">
        <v>#N/A</v>
      </c>
      <c r="D16" s="8" t="e">
        <v>#N/A</v>
      </c>
      <c r="E16" s="8" t="e">
        <v>#N/A</v>
      </c>
      <c r="F16" s="8" t="e">
        <v>#N/A</v>
      </c>
      <c r="G16" s="2" t="e">
        <v>#N/A</v>
      </c>
      <c r="H16" s="2" t="e">
        <v>#N/A</v>
      </c>
      <c r="I16" s="2" t="e">
        <v>#N/A</v>
      </c>
      <c r="J16" s="2" t="e">
        <v>#N/A</v>
      </c>
      <c r="K16" s="8" t="e">
        <v>#N/A</v>
      </c>
      <c r="L16" s="8" t="e">
        <v>#N/A</v>
      </c>
      <c r="M16" s="8" t="e">
        <v>#N/A</v>
      </c>
      <c r="N16" s="8" t="e">
        <v>#N/A</v>
      </c>
      <c r="O16" s="8" t="e">
        <v>#N/A</v>
      </c>
      <c r="P16" s="8" t="e">
        <v>#N/A</v>
      </c>
      <c r="Q16" s="8" t="e">
        <v>#N/A</v>
      </c>
      <c r="R16" s="8" t="e">
        <v>#N/A</v>
      </c>
      <c r="S16" s="8">
        <v>25997</v>
      </c>
      <c r="T16" s="8">
        <v>484</v>
      </c>
      <c r="U16" s="8">
        <v>334</v>
      </c>
      <c r="V16" s="8">
        <v>5570</v>
      </c>
      <c r="W16" s="8">
        <v>250</v>
      </c>
      <c r="X16" s="8">
        <v>148</v>
      </c>
      <c r="Y16" s="8">
        <v>1800</v>
      </c>
      <c r="Z16" s="8">
        <v>3989</v>
      </c>
      <c r="AA16" s="8">
        <v>1333</v>
      </c>
      <c r="AB16" s="8">
        <v>1271</v>
      </c>
      <c r="AC16" s="8">
        <v>740</v>
      </c>
      <c r="AD16" s="8">
        <v>874</v>
      </c>
      <c r="AE16" s="8">
        <v>179</v>
      </c>
      <c r="AF16" s="8">
        <v>1034</v>
      </c>
      <c r="AG16" s="8">
        <v>1111</v>
      </c>
      <c r="AH16" s="8">
        <v>1921</v>
      </c>
      <c r="AI16" s="8">
        <v>1707</v>
      </c>
      <c r="AJ16" s="8">
        <v>2122</v>
      </c>
      <c r="AK16" s="8">
        <v>514</v>
      </c>
      <c r="AL16" s="8">
        <v>616</v>
      </c>
      <c r="AM16" s="8">
        <v>0</v>
      </c>
      <c r="AN16" s="8">
        <v>17411</v>
      </c>
      <c r="AO16" s="8" t="e">
        <v>#N/A</v>
      </c>
      <c r="AP16" s="8">
        <v>2803</v>
      </c>
      <c r="AQ16" s="2">
        <v>10.4</v>
      </c>
      <c r="AR16" s="2" t="e">
        <v>#N/A</v>
      </c>
      <c r="AS16" s="2" t="e">
        <v>#N/A</v>
      </c>
      <c r="AT16" s="8" t="e">
        <v>#N/A</v>
      </c>
      <c r="AU16" s="8" t="e">
        <v>#N/A</v>
      </c>
      <c r="AV16" s="8" t="e">
        <v>#N/A</v>
      </c>
      <c r="AW16" s="8">
        <v>43176</v>
      </c>
      <c r="AX16" s="2">
        <v>62.4</v>
      </c>
      <c r="AY16" s="2">
        <v>67.400000000000006</v>
      </c>
      <c r="AZ16" s="2" t="e">
        <v>#N/A</v>
      </c>
      <c r="BA16" s="8" t="e">
        <v>#N/A</v>
      </c>
      <c r="BB16" s="8">
        <v>24120</v>
      </c>
      <c r="BC16" s="8" t="e">
        <v>#N/A</v>
      </c>
      <c r="BD16" s="8" t="e">
        <v>#N/A</v>
      </c>
      <c r="BE16" s="8" t="e">
        <v>#N/A</v>
      </c>
      <c r="BF16" s="8" t="e">
        <v>#N/A</v>
      </c>
      <c r="BG16" s="8">
        <v>2803</v>
      </c>
    </row>
    <row r="17" spans="1:59" x14ac:dyDescent="0.25">
      <c r="A17" t="s">
        <v>585</v>
      </c>
      <c r="B17" s="8" t="e">
        <v>#N/A</v>
      </c>
      <c r="C17" s="8" t="e">
        <v>#N/A</v>
      </c>
      <c r="D17" s="8" t="e">
        <v>#N/A</v>
      </c>
      <c r="E17" s="8" t="e">
        <v>#N/A</v>
      </c>
      <c r="F17" s="8" t="e">
        <v>#N/A</v>
      </c>
      <c r="G17" s="2" t="e">
        <v>#N/A</v>
      </c>
      <c r="H17" s="2" t="e">
        <v>#N/A</v>
      </c>
      <c r="I17" s="2" t="e">
        <v>#N/A</v>
      </c>
      <c r="J17" s="2" t="e">
        <v>#N/A</v>
      </c>
      <c r="K17" s="8" t="e">
        <v>#N/A</v>
      </c>
      <c r="L17" s="8" t="e">
        <v>#N/A</v>
      </c>
      <c r="M17" s="8" t="e">
        <v>#N/A</v>
      </c>
      <c r="N17" s="8" t="e">
        <v>#N/A</v>
      </c>
      <c r="O17" s="8" t="e">
        <v>#N/A</v>
      </c>
      <c r="P17" s="8" t="e">
        <v>#N/A</v>
      </c>
      <c r="Q17" s="8" t="e">
        <v>#N/A</v>
      </c>
      <c r="R17" s="8" t="e">
        <v>#N/A</v>
      </c>
      <c r="S17" s="8">
        <v>25900</v>
      </c>
      <c r="T17" s="8">
        <v>488</v>
      </c>
      <c r="U17" s="8">
        <v>329</v>
      </c>
      <c r="V17" s="8">
        <v>5472</v>
      </c>
      <c r="W17" s="8">
        <v>248</v>
      </c>
      <c r="X17" s="8">
        <v>146</v>
      </c>
      <c r="Y17" s="8">
        <v>1809</v>
      </c>
      <c r="Z17" s="8">
        <v>3975</v>
      </c>
      <c r="AA17" s="8">
        <v>1325</v>
      </c>
      <c r="AB17" s="8">
        <v>1268</v>
      </c>
      <c r="AC17" s="8">
        <v>739</v>
      </c>
      <c r="AD17" s="8">
        <v>873</v>
      </c>
      <c r="AE17" s="8">
        <v>181</v>
      </c>
      <c r="AF17" s="8">
        <v>1048</v>
      </c>
      <c r="AG17" s="8">
        <v>1119</v>
      </c>
      <c r="AH17" s="8">
        <v>1916</v>
      </c>
      <c r="AI17" s="8">
        <v>1706</v>
      </c>
      <c r="AJ17" s="8">
        <v>2129</v>
      </c>
      <c r="AK17" s="8">
        <v>514</v>
      </c>
      <c r="AL17" s="8">
        <v>617</v>
      </c>
      <c r="AM17" s="8">
        <v>0</v>
      </c>
      <c r="AN17" s="8">
        <v>17409</v>
      </c>
      <c r="AO17" s="8" t="e">
        <v>#N/A</v>
      </c>
      <c r="AP17" s="8">
        <v>2841</v>
      </c>
      <c r="AQ17" s="2">
        <v>10.6</v>
      </c>
      <c r="AR17" s="2" t="e">
        <v>#N/A</v>
      </c>
      <c r="AS17" s="2" t="e">
        <v>#N/A</v>
      </c>
      <c r="AT17" s="8" t="e">
        <v>#N/A</v>
      </c>
      <c r="AU17" s="8" t="e">
        <v>#N/A</v>
      </c>
      <c r="AV17" s="8" t="e">
        <v>#N/A</v>
      </c>
      <c r="AW17" s="8">
        <v>43222</v>
      </c>
      <c r="AX17" s="2">
        <v>62.2</v>
      </c>
      <c r="AY17" s="2">
        <v>67.099999999999994</v>
      </c>
      <c r="AZ17" s="2" t="e">
        <v>#N/A</v>
      </c>
      <c r="BA17" s="8" t="e">
        <v>#N/A</v>
      </c>
      <c r="BB17" s="8">
        <v>24027</v>
      </c>
      <c r="BC17" s="8" t="e">
        <v>#N/A</v>
      </c>
      <c r="BD17" s="8" t="e">
        <v>#N/A</v>
      </c>
      <c r="BE17" s="8" t="e">
        <v>#N/A</v>
      </c>
      <c r="BF17" s="8" t="e">
        <v>#N/A</v>
      </c>
      <c r="BG17" s="8">
        <v>2841</v>
      </c>
    </row>
    <row r="18" spans="1:59" x14ac:dyDescent="0.25">
      <c r="A18" t="s">
        <v>586</v>
      </c>
      <c r="B18" s="8" t="e">
        <v>#N/A</v>
      </c>
      <c r="C18" s="8" t="e">
        <v>#N/A</v>
      </c>
      <c r="D18" s="8" t="e">
        <v>#N/A</v>
      </c>
      <c r="E18" s="8" t="e">
        <v>#N/A</v>
      </c>
      <c r="F18" s="8" t="e">
        <v>#N/A</v>
      </c>
      <c r="G18" s="2" t="e">
        <v>#N/A</v>
      </c>
      <c r="H18" s="2" t="e">
        <v>#N/A</v>
      </c>
      <c r="I18" s="2" t="e">
        <v>#N/A</v>
      </c>
      <c r="J18" s="2" t="e">
        <v>#N/A</v>
      </c>
      <c r="K18" s="8" t="e">
        <v>#N/A</v>
      </c>
      <c r="L18" s="8" t="e">
        <v>#N/A</v>
      </c>
      <c r="M18" s="8" t="e">
        <v>#N/A</v>
      </c>
      <c r="N18" s="8" t="e">
        <v>#N/A</v>
      </c>
      <c r="O18" s="8" t="e">
        <v>#N/A</v>
      </c>
      <c r="P18" s="8" t="e">
        <v>#N/A</v>
      </c>
      <c r="Q18" s="8" t="e">
        <v>#N/A</v>
      </c>
      <c r="R18" s="8" t="e">
        <v>#N/A</v>
      </c>
      <c r="S18" s="8">
        <v>25779</v>
      </c>
      <c r="T18" s="8">
        <v>485</v>
      </c>
      <c r="U18" s="8">
        <v>325</v>
      </c>
      <c r="V18" s="8">
        <v>5381</v>
      </c>
      <c r="W18" s="8">
        <v>246</v>
      </c>
      <c r="X18" s="8">
        <v>145</v>
      </c>
      <c r="Y18" s="8">
        <v>1803</v>
      </c>
      <c r="Z18" s="8">
        <v>3952</v>
      </c>
      <c r="AA18" s="8">
        <v>1312</v>
      </c>
      <c r="AB18" s="8">
        <v>1256</v>
      </c>
      <c r="AC18" s="8">
        <v>730</v>
      </c>
      <c r="AD18" s="8">
        <v>884</v>
      </c>
      <c r="AE18" s="8">
        <v>181</v>
      </c>
      <c r="AF18" s="8">
        <v>1049</v>
      </c>
      <c r="AG18" s="8">
        <v>1116</v>
      </c>
      <c r="AH18" s="8">
        <v>1910</v>
      </c>
      <c r="AI18" s="8">
        <v>1710</v>
      </c>
      <c r="AJ18" s="8">
        <v>2168</v>
      </c>
      <c r="AK18" s="8">
        <v>513</v>
      </c>
      <c r="AL18" s="8">
        <v>614</v>
      </c>
      <c r="AM18" s="8">
        <v>0</v>
      </c>
      <c r="AN18" s="8">
        <v>17394</v>
      </c>
      <c r="AO18" s="8" t="e">
        <v>#N/A</v>
      </c>
      <c r="AP18" s="8">
        <v>2897</v>
      </c>
      <c r="AQ18" s="2">
        <v>10.8</v>
      </c>
      <c r="AR18" s="2" t="e">
        <v>#N/A</v>
      </c>
      <c r="AS18" s="2" t="e">
        <v>#N/A</v>
      </c>
      <c r="AT18" s="8" t="e">
        <v>#N/A</v>
      </c>
      <c r="AU18" s="8" t="e">
        <v>#N/A</v>
      </c>
      <c r="AV18" s="8" t="e">
        <v>#N/A</v>
      </c>
      <c r="AW18" s="8">
        <v>43274</v>
      </c>
      <c r="AX18" s="2">
        <v>61.9</v>
      </c>
      <c r="AY18" s="2">
        <v>66.599999999999994</v>
      </c>
      <c r="AZ18" s="2" t="e">
        <v>#N/A</v>
      </c>
      <c r="BA18" s="8" t="e">
        <v>#N/A</v>
      </c>
      <c r="BB18" s="8">
        <v>23901</v>
      </c>
      <c r="BC18" s="8" t="e">
        <v>#N/A</v>
      </c>
      <c r="BD18" s="8" t="e">
        <v>#N/A</v>
      </c>
      <c r="BE18" s="8" t="e">
        <v>#N/A</v>
      </c>
      <c r="BF18" s="8" t="e">
        <v>#N/A</v>
      </c>
      <c r="BG18" s="8">
        <v>2897</v>
      </c>
    </row>
    <row r="19" spans="1:59" x14ac:dyDescent="0.25">
      <c r="A19" t="s">
        <v>587</v>
      </c>
      <c r="B19" s="8" t="e">
        <v>#N/A</v>
      </c>
      <c r="C19" s="8" t="e">
        <v>#N/A</v>
      </c>
      <c r="D19" s="8" t="e">
        <v>#N/A</v>
      </c>
      <c r="E19" s="8" t="e">
        <v>#N/A</v>
      </c>
      <c r="F19" s="8" t="e">
        <v>#N/A</v>
      </c>
      <c r="G19" s="2" t="e">
        <v>#N/A</v>
      </c>
      <c r="H19" s="2" t="e">
        <v>#N/A</v>
      </c>
      <c r="I19" s="2" t="e">
        <v>#N/A</v>
      </c>
      <c r="J19" s="2" t="e">
        <v>#N/A</v>
      </c>
      <c r="K19" s="8" t="e">
        <v>#N/A</v>
      </c>
      <c r="L19" s="8" t="e">
        <v>#N/A</v>
      </c>
      <c r="M19" s="8" t="e">
        <v>#N/A</v>
      </c>
      <c r="N19" s="8" t="e">
        <v>#N/A</v>
      </c>
      <c r="O19" s="8" t="e">
        <v>#N/A</v>
      </c>
      <c r="P19" s="8" t="e">
        <v>#N/A</v>
      </c>
      <c r="Q19" s="8" t="e">
        <v>#N/A</v>
      </c>
      <c r="R19" s="8" t="e">
        <v>#N/A</v>
      </c>
      <c r="S19" s="8">
        <v>25588</v>
      </c>
      <c r="T19" s="8">
        <v>493</v>
      </c>
      <c r="U19" s="8">
        <v>320</v>
      </c>
      <c r="V19" s="8">
        <v>5287</v>
      </c>
      <c r="W19" s="8">
        <v>243</v>
      </c>
      <c r="X19" s="8">
        <v>144</v>
      </c>
      <c r="Y19" s="8">
        <v>1800</v>
      </c>
      <c r="Z19" s="8">
        <v>3914</v>
      </c>
      <c r="AA19" s="8">
        <v>1307</v>
      </c>
      <c r="AB19" s="8">
        <v>1231</v>
      </c>
      <c r="AC19" s="8">
        <v>729</v>
      </c>
      <c r="AD19" s="8">
        <v>888</v>
      </c>
      <c r="AE19" s="8">
        <v>181</v>
      </c>
      <c r="AF19" s="8">
        <v>1049</v>
      </c>
      <c r="AG19" s="8">
        <v>1122</v>
      </c>
      <c r="AH19" s="8">
        <v>1907</v>
      </c>
      <c r="AI19" s="8">
        <v>1706</v>
      </c>
      <c r="AJ19" s="8">
        <v>2136</v>
      </c>
      <c r="AK19" s="8">
        <v>515</v>
      </c>
      <c r="AL19" s="8">
        <v>617</v>
      </c>
      <c r="AM19" s="8">
        <v>0</v>
      </c>
      <c r="AN19" s="8">
        <v>17301</v>
      </c>
      <c r="AO19" s="8" t="e">
        <v>#N/A</v>
      </c>
      <c r="AP19" s="8">
        <v>2960</v>
      </c>
      <c r="AQ19" s="2">
        <v>11.1</v>
      </c>
      <c r="AR19" s="2" t="e">
        <v>#N/A</v>
      </c>
      <c r="AS19" s="2" t="e">
        <v>#N/A</v>
      </c>
      <c r="AT19" s="8" t="e">
        <v>#N/A</v>
      </c>
      <c r="AU19" s="8" t="e">
        <v>#N/A</v>
      </c>
      <c r="AV19" s="8" t="e">
        <v>#N/A</v>
      </c>
      <c r="AW19" s="8">
        <v>43337</v>
      </c>
      <c r="AX19" s="2">
        <v>61.6</v>
      </c>
      <c r="AY19" s="2">
        <v>66.099999999999994</v>
      </c>
      <c r="AZ19" s="2" t="e">
        <v>#N/A</v>
      </c>
      <c r="BA19" s="8" t="e">
        <v>#N/A</v>
      </c>
      <c r="BB19" s="8">
        <v>23755</v>
      </c>
      <c r="BC19" s="8" t="e">
        <v>#N/A</v>
      </c>
      <c r="BD19" s="8" t="e">
        <v>#N/A</v>
      </c>
      <c r="BE19" s="8" t="e">
        <v>#N/A</v>
      </c>
      <c r="BF19" s="8" t="e">
        <v>#N/A</v>
      </c>
      <c r="BG19" s="8">
        <v>2960</v>
      </c>
    </row>
    <row r="20" spans="1:59" x14ac:dyDescent="0.25">
      <c r="A20" t="s">
        <v>588</v>
      </c>
      <c r="B20" s="8" t="e">
        <v>#N/A</v>
      </c>
      <c r="C20" s="8" t="e">
        <v>#N/A</v>
      </c>
      <c r="D20" s="8" t="e">
        <v>#N/A</v>
      </c>
      <c r="E20" s="8" t="e">
        <v>#N/A</v>
      </c>
      <c r="F20" s="8" t="e">
        <v>#N/A</v>
      </c>
      <c r="G20" s="2" t="e">
        <v>#N/A</v>
      </c>
      <c r="H20" s="2" t="e">
        <v>#N/A</v>
      </c>
      <c r="I20" s="2" t="e">
        <v>#N/A</v>
      </c>
      <c r="J20" s="2" t="e">
        <v>#N/A</v>
      </c>
      <c r="K20" s="8" t="e">
        <v>#N/A</v>
      </c>
      <c r="L20" s="8" t="e">
        <v>#N/A</v>
      </c>
      <c r="M20" s="8" t="e">
        <v>#N/A</v>
      </c>
      <c r="N20" s="8" t="e">
        <v>#N/A</v>
      </c>
      <c r="O20" s="8" t="e">
        <v>#N/A</v>
      </c>
      <c r="P20" s="8" t="e">
        <v>#N/A</v>
      </c>
      <c r="Q20" s="8" t="e">
        <v>#N/A</v>
      </c>
      <c r="R20" s="8" t="e">
        <v>#N/A</v>
      </c>
      <c r="S20" s="8">
        <v>25528</v>
      </c>
      <c r="T20" s="8">
        <v>485</v>
      </c>
      <c r="U20" s="8">
        <v>315</v>
      </c>
      <c r="V20" s="8">
        <v>5226</v>
      </c>
      <c r="W20" s="8">
        <v>240</v>
      </c>
      <c r="X20" s="8">
        <v>143</v>
      </c>
      <c r="Y20" s="8">
        <v>1797</v>
      </c>
      <c r="Z20" s="8">
        <v>3923</v>
      </c>
      <c r="AA20" s="8">
        <v>1301</v>
      </c>
      <c r="AB20" s="8">
        <v>1228</v>
      </c>
      <c r="AC20" s="8">
        <v>729</v>
      </c>
      <c r="AD20" s="8">
        <v>890</v>
      </c>
      <c r="AE20" s="8">
        <v>183</v>
      </c>
      <c r="AF20" s="8">
        <v>1059</v>
      </c>
      <c r="AG20" s="8">
        <v>1134</v>
      </c>
      <c r="AH20" s="8">
        <v>1908</v>
      </c>
      <c r="AI20" s="8">
        <v>1707</v>
      </c>
      <c r="AJ20" s="8">
        <v>2125</v>
      </c>
      <c r="AK20" s="8">
        <v>516</v>
      </c>
      <c r="AL20" s="8">
        <v>620</v>
      </c>
      <c r="AM20" s="8">
        <v>0</v>
      </c>
      <c r="AN20" s="8">
        <v>17323</v>
      </c>
      <c r="AO20" s="8" t="e">
        <v>#N/A</v>
      </c>
      <c r="AP20" s="8">
        <v>2998</v>
      </c>
      <c r="AQ20" s="2">
        <v>11.3</v>
      </c>
      <c r="AR20" s="2" t="e">
        <v>#N/A</v>
      </c>
      <c r="AS20" s="2" t="e">
        <v>#N/A</v>
      </c>
      <c r="AT20" s="8" t="e">
        <v>#N/A</v>
      </c>
      <c r="AU20" s="8" t="e">
        <v>#N/A</v>
      </c>
      <c r="AV20" s="8" t="e">
        <v>#N/A</v>
      </c>
      <c r="AW20" s="8">
        <v>43399</v>
      </c>
      <c r="AX20" s="2">
        <v>61.4</v>
      </c>
      <c r="AY20" s="2">
        <v>65.7</v>
      </c>
      <c r="AZ20" s="2" t="e">
        <v>#N/A</v>
      </c>
      <c r="BA20" s="8" t="e">
        <v>#N/A</v>
      </c>
      <c r="BB20" s="8">
        <v>23651</v>
      </c>
      <c r="BC20" s="8" t="e">
        <v>#N/A</v>
      </c>
      <c r="BD20" s="8" t="e">
        <v>#N/A</v>
      </c>
      <c r="BE20" s="8" t="e">
        <v>#N/A</v>
      </c>
      <c r="BF20" s="8" t="e">
        <v>#N/A</v>
      </c>
      <c r="BG20" s="8">
        <v>2998</v>
      </c>
    </row>
    <row r="21" spans="1:59" x14ac:dyDescent="0.25">
      <c r="A21" t="s">
        <v>589</v>
      </c>
      <c r="B21" s="8" t="e">
        <v>#N/A</v>
      </c>
      <c r="C21" s="8" t="e">
        <v>#N/A</v>
      </c>
      <c r="D21" s="8" t="e">
        <v>#N/A</v>
      </c>
      <c r="E21" s="8" t="e">
        <v>#N/A</v>
      </c>
      <c r="F21" s="8" t="e">
        <v>#N/A</v>
      </c>
      <c r="G21" s="2" t="e">
        <v>#N/A</v>
      </c>
      <c r="H21" s="2" t="e">
        <v>#N/A</v>
      </c>
      <c r="I21" s="2" t="e">
        <v>#N/A</v>
      </c>
      <c r="J21" s="2" t="e">
        <v>#N/A</v>
      </c>
      <c r="K21" s="8" t="e">
        <v>#N/A</v>
      </c>
      <c r="L21" s="8" t="e">
        <v>#N/A</v>
      </c>
      <c r="M21" s="8" t="e">
        <v>#N/A</v>
      </c>
      <c r="N21" s="8" t="e">
        <v>#N/A</v>
      </c>
      <c r="O21" s="8" t="e">
        <v>#N/A</v>
      </c>
      <c r="P21" s="8" t="e">
        <v>#N/A</v>
      </c>
      <c r="Q21" s="8" t="e">
        <v>#N/A</v>
      </c>
      <c r="R21" s="8" t="e">
        <v>#N/A</v>
      </c>
      <c r="S21" s="8">
        <v>25593</v>
      </c>
      <c r="T21" s="8">
        <v>484</v>
      </c>
      <c r="U21" s="8">
        <v>307</v>
      </c>
      <c r="V21" s="8">
        <v>5175</v>
      </c>
      <c r="W21" s="8">
        <v>238</v>
      </c>
      <c r="X21" s="8">
        <v>142</v>
      </c>
      <c r="Y21" s="8">
        <v>1799</v>
      </c>
      <c r="Z21" s="8">
        <v>3958</v>
      </c>
      <c r="AA21" s="8">
        <v>1296</v>
      </c>
      <c r="AB21" s="8">
        <v>1254</v>
      </c>
      <c r="AC21" s="8">
        <v>728</v>
      </c>
      <c r="AD21" s="8">
        <v>899</v>
      </c>
      <c r="AE21" s="8">
        <v>187</v>
      </c>
      <c r="AF21" s="8">
        <v>1078</v>
      </c>
      <c r="AG21" s="8">
        <v>1149</v>
      </c>
      <c r="AH21" s="8">
        <v>1911</v>
      </c>
      <c r="AI21" s="8">
        <v>1714</v>
      </c>
      <c r="AJ21" s="8">
        <v>2154</v>
      </c>
      <c r="AK21" s="8">
        <v>509</v>
      </c>
      <c r="AL21" s="8">
        <v>612</v>
      </c>
      <c r="AM21" s="8">
        <v>0</v>
      </c>
      <c r="AN21" s="8">
        <v>17448</v>
      </c>
      <c r="AO21" s="8" t="e">
        <v>#N/A</v>
      </c>
      <c r="AP21" s="8">
        <v>3049</v>
      </c>
      <c r="AQ21" s="2">
        <v>11.4</v>
      </c>
      <c r="AR21" s="2" t="e">
        <v>#N/A</v>
      </c>
      <c r="AS21" s="2" t="e">
        <v>#N/A</v>
      </c>
      <c r="AT21" s="8" t="e">
        <v>#N/A</v>
      </c>
      <c r="AU21" s="8" t="e">
        <v>#N/A</v>
      </c>
      <c r="AV21" s="8" t="e">
        <v>#N/A</v>
      </c>
      <c r="AW21" s="8">
        <v>43462</v>
      </c>
      <c r="AX21" s="2">
        <v>61.4</v>
      </c>
      <c r="AY21" s="2">
        <v>65.599999999999994</v>
      </c>
      <c r="AZ21" s="2" t="e">
        <v>#N/A</v>
      </c>
      <c r="BA21" s="8" t="e">
        <v>#N/A</v>
      </c>
      <c r="BB21" s="8">
        <v>23647</v>
      </c>
      <c r="BC21" s="8" t="e">
        <v>#N/A</v>
      </c>
      <c r="BD21" s="8" t="e">
        <v>#N/A</v>
      </c>
      <c r="BE21" s="8" t="e">
        <v>#N/A</v>
      </c>
      <c r="BF21" s="8" t="e">
        <v>#N/A</v>
      </c>
      <c r="BG21" s="8">
        <v>3049</v>
      </c>
    </row>
    <row r="22" spans="1:59" x14ac:dyDescent="0.25">
      <c r="A22" t="s">
        <v>590</v>
      </c>
      <c r="B22" s="8" t="e">
        <v>#N/A</v>
      </c>
      <c r="C22" s="8" t="e">
        <v>#N/A</v>
      </c>
      <c r="D22" s="8" t="e">
        <v>#N/A</v>
      </c>
      <c r="E22" s="8" t="e">
        <v>#N/A</v>
      </c>
      <c r="F22" s="8" t="e">
        <v>#N/A</v>
      </c>
      <c r="G22" s="2" t="e">
        <v>#N/A</v>
      </c>
      <c r="H22" s="2" t="e">
        <v>#N/A</v>
      </c>
      <c r="I22" s="2" t="e">
        <v>#N/A</v>
      </c>
      <c r="J22" s="2" t="e">
        <v>#N/A</v>
      </c>
      <c r="K22" s="8" t="e">
        <v>#N/A</v>
      </c>
      <c r="L22" s="8" t="e">
        <v>#N/A</v>
      </c>
      <c r="M22" s="8" t="e">
        <v>#N/A</v>
      </c>
      <c r="N22" s="8" t="e">
        <v>#N/A</v>
      </c>
      <c r="O22" s="8" t="e">
        <v>#N/A</v>
      </c>
      <c r="P22" s="8" t="e">
        <v>#N/A</v>
      </c>
      <c r="Q22" s="8" t="e">
        <v>#N/A</v>
      </c>
      <c r="R22" s="8" t="e">
        <v>#N/A</v>
      </c>
      <c r="S22" s="8">
        <v>25869</v>
      </c>
      <c r="T22" s="8">
        <v>491</v>
      </c>
      <c r="U22" s="8">
        <v>301</v>
      </c>
      <c r="V22" s="8">
        <v>5155</v>
      </c>
      <c r="W22" s="8">
        <v>237</v>
      </c>
      <c r="X22" s="8">
        <v>144</v>
      </c>
      <c r="Y22" s="8">
        <v>1834</v>
      </c>
      <c r="Z22" s="8">
        <v>3999</v>
      </c>
      <c r="AA22" s="8">
        <v>1298</v>
      </c>
      <c r="AB22" s="8">
        <v>1290</v>
      </c>
      <c r="AC22" s="8">
        <v>733</v>
      </c>
      <c r="AD22" s="8">
        <v>915</v>
      </c>
      <c r="AE22" s="8">
        <v>191</v>
      </c>
      <c r="AF22" s="8">
        <v>1102</v>
      </c>
      <c r="AG22" s="8">
        <v>1170</v>
      </c>
      <c r="AH22" s="8">
        <v>1916</v>
      </c>
      <c r="AI22" s="8">
        <v>1727</v>
      </c>
      <c r="AJ22" s="8">
        <v>2197</v>
      </c>
      <c r="AK22" s="8">
        <v>531</v>
      </c>
      <c r="AL22" s="8">
        <v>639</v>
      </c>
      <c r="AM22" s="8">
        <v>0</v>
      </c>
      <c r="AN22" s="8">
        <v>17708</v>
      </c>
      <c r="AO22" s="8" t="e">
        <v>#N/A</v>
      </c>
      <c r="AP22" s="8">
        <v>3109</v>
      </c>
      <c r="AQ22" s="2">
        <v>11.5</v>
      </c>
      <c r="AR22" s="2" t="e">
        <v>#N/A</v>
      </c>
      <c r="AS22" s="2" t="e">
        <v>#N/A</v>
      </c>
      <c r="AT22" s="8" t="e">
        <v>#N/A</v>
      </c>
      <c r="AU22" s="8" t="e">
        <v>#N/A</v>
      </c>
      <c r="AV22" s="8" t="e">
        <v>#N/A</v>
      </c>
      <c r="AW22" s="8">
        <v>43527</v>
      </c>
      <c r="AX22" s="2">
        <v>61.8</v>
      </c>
      <c r="AY22" s="2">
        <v>65.900000000000006</v>
      </c>
      <c r="AZ22" s="2" t="e">
        <v>#N/A</v>
      </c>
      <c r="BA22" s="8" t="e">
        <v>#N/A</v>
      </c>
      <c r="BB22" s="8">
        <v>23809</v>
      </c>
      <c r="BC22" s="8" t="e">
        <v>#N/A</v>
      </c>
      <c r="BD22" s="8" t="e">
        <v>#N/A</v>
      </c>
      <c r="BE22" s="8" t="e">
        <v>#N/A</v>
      </c>
      <c r="BF22" s="8" t="e">
        <v>#N/A</v>
      </c>
      <c r="BG22" s="8">
        <v>3109</v>
      </c>
    </row>
    <row r="23" spans="1:59" x14ac:dyDescent="0.25">
      <c r="A23" t="s">
        <v>591</v>
      </c>
      <c r="B23" s="8" t="e">
        <v>#N/A</v>
      </c>
      <c r="C23" s="8" t="e">
        <v>#N/A</v>
      </c>
      <c r="D23" s="8" t="e">
        <v>#N/A</v>
      </c>
      <c r="E23" s="8" t="e">
        <v>#N/A</v>
      </c>
      <c r="F23" s="8" t="e">
        <v>#N/A</v>
      </c>
      <c r="G23" s="2" t="e">
        <v>#N/A</v>
      </c>
      <c r="H23" s="2" t="e">
        <v>#N/A</v>
      </c>
      <c r="I23" s="2" t="e">
        <v>#N/A</v>
      </c>
      <c r="J23" s="2" t="e">
        <v>#N/A</v>
      </c>
      <c r="K23" s="8" t="e">
        <v>#N/A</v>
      </c>
      <c r="L23" s="8" t="e">
        <v>#N/A</v>
      </c>
      <c r="M23" s="8" t="e">
        <v>#N/A</v>
      </c>
      <c r="N23" s="8" t="e">
        <v>#N/A</v>
      </c>
      <c r="O23" s="8" t="e">
        <v>#N/A</v>
      </c>
      <c r="P23" s="8" t="e">
        <v>#N/A</v>
      </c>
      <c r="Q23" s="8" t="e">
        <v>#N/A</v>
      </c>
      <c r="R23" s="8" t="e">
        <v>#N/A</v>
      </c>
      <c r="S23" s="8">
        <v>26044</v>
      </c>
      <c r="T23" s="8">
        <v>495</v>
      </c>
      <c r="U23" s="8">
        <v>295</v>
      </c>
      <c r="V23" s="8">
        <v>5138</v>
      </c>
      <c r="W23" s="8">
        <v>235</v>
      </c>
      <c r="X23" s="8">
        <v>144</v>
      </c>
      <c r="Y23" s="8">
        <v>1859</v>
      </c>
      <c r="Z23" s="8">
        <v>4053</v>
      </c>
      <c r="AA23" s="8">
        <v>1304</v>
      </c>
      <c r="AB23" s="8">
        <v>1291</v>
      </c>
      <c r="AC23" s="8">
        <v>740</v>
      </c>
      <c r="AD23" s="8">
        <v>920</v>
      </c>
      <c r="AE23" s="8">
        <v>194</v>
      </c>
      <c r="AF23" s="8">
        <v>1117</v>
      </c>
      <c r="AG23" s="8">
        <v>1186</v>
      </c>
      <c r="AH23" s="8">
        <v>1915</v>
      </c>
      <c r="AI23" s="8">
        <v>1745</v>
      </c>
      <c r="AJ23" s="8">
        <v>2219</v>
      </c>
      <c r="AK23" s="8">
        <v>540</v>
      </c>
      <c r="AL23" s="8">
        <v>653</v>
      </c>
      <c r="AM23" s="8">
        <v>0</v>
      </c>
      <c r="AN23" s="8">
        <v>17877</v>
      </c>
      <c r="AO23" s="8" t="e">
        <v>#N/A</v>
      </c>
      <c r="AP23" s="8">
        <v>3167</v>
      </c>
      <c r="AQ23" s="2">
        <v>11.7</v>
      </c>
      <c r="AR23" s="2" t="e">
        <v>#N/A</v>
      </c>
      <c r="AS23" s="2" t="e">
        <v>#N/A</v>
      </c>
      <c r="AT23" s="8" t="e">
        <v>#N/A</v>
      </c>
      <c r="AU23" s="8" t="e">
        <v>#N/A</v>
      </c>
      <c r="AV23" s="8" t="e">
        <v>#N/A</v>
      </c>
      <c r="AW23" s="8">
        <v>43595</v>
      </c>
      <c r="AX23" s="2">
        <v>62.3</v>
      </c>
      <c r="AY23" s="2">
        <v>66.3</v>
      </c>
      <c r="AZ23" s="2" t="e">
        <v>#N/A</v>
      </c>
      <c r="BA23" s="8" t="e">
        <v>#N/A</v>
      </c>
      <c r="BB23" s="8">
        <v>23994</v>
      </c>
      <c r="BC23" s="8" t="e">
        <v>#N/A</v>
      </c>
      <c r="BD23" s="8" t="e">
        <v>#N/A</v>
      </c>
      <c r="BE23" s="8" t="e">
        <v>#N/A</v>
      </c>
      <c r="BF23" s="8" t="e">
        <v>#N/A</v>
      </c>
      <c r="BG23" s="8">
        <v>3167</v>
      </c>
    </row>
    <row r="24" spans="1:59" x14ac:dyDescent="0.25">
      <c r="A24" t="s">
        <v>592</v>
      </c>
      <c r="B24" s="8" t="e">
        <v>#N/A</v>
      </c>
      <c r="C24" s="8" t="e">
        <v>#N/A</v>
      </c>
      <c r="D24" s="8" t="e">
        <v>#N/A</v>
      </c>
      <c r="E24" s="8" t="e">
        <v>#N/A</v>
      </c>
      <c r="F24" s="8" t="e">
        <v>#N/A</v>
      </c>
      <c r="G24" s="2" t="e">
        <v>#N/A</v>
      </c>
      <c r="H24" s="2" t="e">
        <v>#N/A</v>
      </c>
      <c r="I24" s="2" t="e">
        <v>#N/A</v>
      </c>
      <c r="J24" s="2" t="e">
        <v>#N/A</v>
      </c>
      <c r="K24" s="8" t="e">
        <v>#N/A</v>
      </c>
      <c r="L24" s="8" t="e">
        <v>#N/A</v>
      </c>
      <c r="M24" s="8" t="e">
        <v>#N/A</v>
      </c>
      <c r="N24" s="8" t="e">
        <v>#N/A</v>
      </c>
      <c r="O24" s="8" t="e">
        <v>#N/A</v>
      </c>
      <c r="P24" s="8" t="e">
        <v>#N/A</v>
      </c>
      <c r="Q24" s="8" t="e">
        <v>#N/A</v>
      </c>
      <c r="R24" s="8" t="e">
        <v>#N/A</v>
      </c>
      <c r="S24" s="8">
        <v>26180</v>
      </c>
      <c r="T24" s="8">
        <v>500</v>
      </c>
      <c r="U24" s="8">
        <v>289</v>
      </c>
      <c r="V24" s="8">
        <v>5125</v>
      </c>
      <c r="W24" s="8">
        <v>232</v>
      </c>
      <c r="X24" s="8">
        <v>144</v>
      </c>
      <c r="Y24" s="8">
        <v>1875</v>
      </c>
      <c r="Z24" s="8">
        <v>4088</v>
      </c>
      <c r="AA24" s="8">
        <v>1308</v>
      </c>
      <c r="AB24" s="8">
        <v>1307</v>
      </c>
      <c r="AC24" s="8">
        <v>746</v>
      </c>
      <c r="AD24" s="8">
        <v>930</v>
      </c>
      <c r="AE24" s="8">
        <v>197</v>
      </c>
      <c r="AF24" s="8">
        <v>1135</v>
      </c>
      <c r="AG24" s="8">
        <v>1202</v>
      </c>
      <c r="AH24" s="8">
        <v>1913</v>
      </c>
      <c r="AI24" s="8">
        <v>1750</v>
      </c>
      <c r="AJ24" s="8">
        <v>2231</v>
      </c>
      <c r="AK24" s="8">
        <v>547</v>
      </c>
      <c r="AL24" s="8">
        <v>663</v>
      </c>
      <c r="AM24" s="8">
        <v>0</v>
      </c>
      <c r="AN24" s="8">
        <v>18016</v>
      </c>
      <c r="AO24" s="8" t="e">
        <v>#N/A</v>
      </c>
      <c r="AP24" s="8">
        <v>3243</v>
      </c>
      <c r="AQ24" s="2">
        <v>11.8</v>
      </c>
      <c r="AR24" s="2" t="e">
        <v>#N/A</v>
      </c>
      <c r="AS24" s="2" t="e">
        <v>#N/A</v>
      </c>
      <c r="AT24" s="8" t="e">
        <v>#N/A</v>
      </c>
      <c r="AU24" s="8" t="e">
        <v>#N/A</v>
      </c>
      <c r="AV24" s="8" t="e">
        <v>#N/A</v>
      </c>
      <c r="AW24" s="8">
        <v>43664</v>
      </c>
      <c r="AX24" s="2">
        <v>62.7</v>
      </c>
      <c r="AY24" s="2">
        <v>66.5</v>
      </c>
      <c r="AZ24" s="2" t="e">
        <v>#N/A</v>
      </c>
      <c r="BA24" s="8" t="e">
        <v>#N/A</v>
      </c>
      <c r="BB24" s="8">
        <v>24125</v>
      </c>
      <c r="BC24" s="8" t="e">
        <v>#N/A</v>
      </c>
      <c r="BD24" s="8" t="e">
        <v>#N/A</v>
      </c>
      <c r="BE24" s="8" t="e">
        <v>#N/A</v>
      </c>
      <c r="BF24" s="8" t="e">
        <v>#N/A</v>
      </c>
      <c r="BG24" s="8">
        <v>3243</v>
      </c>
    </row>
    <row r="25" spans="1:59" x14ac:dyDescent="0.25">
      <c r="A25" t="s">
        <v>593</v>
      </c>
      <c r="B25" s="8" t="e">
        <v>#N/A</v>
      </c>
      <c r="C25" s="8" t="e">
        <v>#N/A</v>
      </c>
      <c r="D25" s="8" t="e">
        <v>#N/A</v>
      </c>
      <c r="E25" s="8" t="e">
        <v>#N/A</v>
      </c>
      <c r="F25" s="8" t="e">
        <v>#N/A</v>
      </c>
      <c r="G25" s="2" t="e">
        <v>#N/A</v>
      </c>
      <c r="H25" s="2" t="e">
        <v>#N/A</v>
      </c>
      <c r="I25" s="2" t="e">
        <v>#N/A</v>
      </c>
      <c r="J25" s="2" t="e">
        <v>#N/A</v>
      </c>
      <c r="K25" s="8" t="e">
        <v>#N/A</v>
      </c>
      <c r="L25" s="8" t="e">
        <v>#N/A</v>
      </c>
      <c r="M25" s="8" t="e">
        <v>#N/A</v>
      </c>
      <c r="N25" s="8" t="e">
        <v>#N/A</v>
      </c>
      <c r="O25" s="8" t="e">
        <v>#N/A</v>
      </c>
      <c r="P25" s="8" t="e">
        <v>#N/A</v>
      </c>
      <c r="Q25" s="8" t="e">
        <v>#N/A</v>
      </c>
      <c r="R25" s="8" t="e">
        <v>#N/A</v>
      </c>
      <c r="S25" s="8">
        <v>26296</v>
      </c>
      <c r="T25" s="8">
        <v>498</v>
      </c>
      <c r="U25" s="8">
        <v>285</v>
      </c>
      <c r="V25" s="8">
        <v>5121</v>
      </c>
      <c r="W25" s="8">
        <v>231</v>
      </c>
      <c r="X25" s="8">
        <v>144</v>
      </c>
      <c r="Y25" s="8">
        <v>1886</v>
      </c>
      <c r="Z25" s="8">
        <v>4117</v>
      </c>
      <c r="AA25" s="8">
        <v>1310</v>
      </c>
      <c r="AB25" s="8">
        <v>1328</v>
      </c>
      <c r="AC25" s="8">
        <v>750</v>
      </c>
      <c r="AD25" s="8">
        <v>933</v>
      </c>
      <c r="AE25" s="8">
        <v>201</v>
      </c>
      <c r="AF25" s="8">
        <v>1154</v>
      </c>
      <c r="AG25" s="8">
        <v>1216</v>
      </c>
      <c r="AH25" s="8">
        <v>1908</v>
      </c>
      <c r="AI25" s="8">
        <v>1757</v>
      </c>
      <c r="AJ25" s="8">
        <v>2242</v>
      </c>
      <c r="AK25" s="8">
        <v>547</v>
      </c>
      <c r="AL25" s="8">
        <v>667</v>
      </c>
      <c r="AM25" s="8">
        <v>0</v>
      </c>
      <c r="AN25" s="8">
        <v>18131</v>
      </c>
      <c r="AO25" s="8" t="e">
        <v>#N/A</v>
      </c>
      <c r="AP25" s="8">
        <v>3265</v>
      </c>
      <c r="AQ25" s="2">
        <v>11.9</v>
      </c>
      <c r="AR25" s="2" t="e">
        <v>#N/A</v>
      </c>
      <c r="AS25" s="2" t="e">
        <v>#N/A</v>
      </c>
      <c r="AT25" s="8" t="e">
        <v>#N/A</v>
      </c>
      <c r="AU25" s="8" t="e">
        <v>#N/A</v>
      </c>
      <c r="AV25" s="8" t="e">
        <v>#N/A</v>
      </c>
      <c r="AW25" s="8">
        <v>43732</v>
      </c>
      <c r="AX25" s="2">
        <v>62.9</v>
      </c>
      <c r="AY25" s="2">
        <v>66.7</v>
      </c>
      <c r="AZ25" s="2" t="e">
        <v>#N/A</v>
      </c>
      <c r="BA25" s="8" t="e">
        <v>#N/A</v>
      </c>
      <c r="BB25" s="8">
        <v>24245</v>
      </c>
      <c r="BC25" s="8" t="e">
        <v>#N/A</v>
      </c>
      <c r="BD25" s="8" t="e">
        <v>#N/A</v>
      </c>
      <c r="BE25" s="8" t="e">
        <v>#N/A</v>
      </c>
      <c r="BF25" s="8" t="e">
        <v>#N/A</v>
      </c>
      <c r="BG25" s="8">
        <v>3265</v>
      </c>
    </row>
    <row r="26" spans="1:59" x14ac:dyDescent="0.25">
      <c r="A26" t="s">
        <v>594</v>
      </c>
      <c r="B26" s="8" t="e">
        <v>#N/A</v>
      </c>
      <c r="C26" s="8" t="e">
        <v>#N/A</v>
      </c>
      <c r="D26" s="8" t="e">
        <v>#N/A</v>
      </c>
      <c r="E26" s="8" t="e">
        <v>#N/A</v>
      </c>
      <c r="F26" s="8" t="e">
        <v>#N/A</v>
      </c>
      <c r="G26" s="2" t="e">
        <v>#N/A</v>
      </c>
      <c r="H26" s="2" t="e">
        <v>#N/A</v>
      </c>
      <c r="I26" s="2" t="e">
        <v>#N/A</v>
      </c>
      <c r="J26" s="2" t="e">
        <v>#N/A</v>
      </c>
      <c r="K26" s="8" t="e">
        <v>#N/A</v>
      </c>
      <c r="L26" s="8" t="e">
        <v>#N/A</v>
      </c>
      <c r="M26" s="8" t="e">
        <v>#N/A</v>
      </c>
      <c r="N26" s="8" t="e">
        <v>#N/A</v>
      </c>
      <c r="O26" s="8" t="e">
        <v>#N/A</v>
      </c>
      <c r="P26" s="8" t="e">
        <v>#N/A</v>
      </c>
      <c r="Q26" s="8" t="e">
        <v>#N/A</v>
      </c>
      <c r="R26" s="8" t="e">
        <v>#N/A</v>
      </c>
      <c r="S26" s="8">
        <v>26406</v>
      </c>
      <c r="T26" s="8">
        <v>499</v>
      </c>
      <c r="U26" s="8">
        <v>283</v>
      </c>
      <c r="V26" s="8">
        <v>5109</v>
      </c>
      <c r="W26" s="8">
        <v>230</v>
      </c>
      <c r="X26" s="8">
        <v>143</v>
      </c>
      <c r="Y26" s="8">
        <v>1898</v>
      </c>
      <c r="Z26" s="8">
        <v>4136</v>
      </c>
      <c r="AA26" s="8">
        <v>1311</v>
      </c>
      <c r="AB26" s="8">
        <v>1341</v>
      </c>
      <c r="AC26" s="8">
        <v>752</v>
      </c>
      <c r="AD26" s="8">
        <v>946</v>
      </c>
      <c r="AE26" s="8">
        <v>205</v>
      </c>
      <c r="AF26" s="8">
        <v>1177</v>
      </c>
      <c r="AG26" s="8">
        <v>1236</v>
      </c>
      <c r="AH26" s="8">
        <v>1911</v>
      </c>
      <c r="AI26" s="8">
        <v>1763</v>
      </c>
      <c r="AJ26" s="8">
        <v>2243</v>
      </c>
      <c r="AK26" s="8">
        <v>550</v>
      </c>
      <c r="AL26" s="8">
        <v>672</v>
      </c>
      <c r="AM26" s="8">
        <v>0</v>
      </c>
      <c r="AN26" s="8">
        <v>18244</v>
      </c>
      <c r="AO26" s="8" t="e">
        <v>#N/A</v>
      </c>
      <c r="AP26" s="8">
        <v>3238</v>
      </c>
      <c r="AQ26" s="2">
        <v>11.7</v>
      </c>
      <c r="AR26" s="2" t="e">
        <v>#N/A</v>
      </c>
      <c r="AS26" s="2" t="e">
        <v>#N/A</v>
      </c>
      <c r="AT26" s="8" t="e">
        <v>#N/A</v>
      </c>
      <c r="AU26" s="8" t="e">
        <v>#N/A</v>
      </c>
      <c r="AV26" s="8" t="e">
        <v>#N/A</v>
      </c>
      <c r="AW26" s="8">
        <v>43801</v>
      </c>
      <c r="AX26" s="2">
        <v>63</v>
      </c>
      <c r="AY26" s="2">
        <v>66.8</v>
      </c>
      <c r="AZ26" s="2" t="e">
        <v>#N/A</v>
      </c>
      <c r="BA26" s="8" t="e">
        <v>#N/A</v>
      </c>
      <c r="BB26" s="8">
        <v>24335</v>
      </c>
      <c r="BC26" s="8" t="e">
        <v>#N/A</v>
      </c>
      <c r="BD26" s="8" t="e">
        <v>#N/A</v>
      </c>
      <c r="BE26" s="8" t="e">
        <v>#N/A</v>
      </c>
      <c r="BF26" s="8" t="e">
        <v>#N/A</v>
      </c>
      <c r="BG26" s="8">
        <v>3238</v>
      </c>
    </row>
    <row r="27" spans="1:59" x14ac:dyDescent="0.25">
      <c r="A27" t="s">
        <v>595</v>
      </c>
      <c r="B27" s="8" t="e">
        <v>#N/A</v>
      </c>
      <c r="C27" s="8" t="e">
        <v>#N/A</v>
      </c>
      <c r="D27" s="8" t="e">
        <v>#N/A</v>
      </c>
      <c r="E27" s="8" t="e">
        <v>#N/A</v>
      </c>
      <c r="F27" s="8" t="e">
        <v>#N/A</v>
      </c>
      <c r="G27" s="2" t="e">
        <v>#N/A</v>
      </c>
      <c r="H27" s="2" t="e">
        <v>#N/A</v>
      </c>
      <c r="I27" s="2" t="e">
        <v>#N/A</v>
      </c>
      <c r="J27" s="2" t="e">
        <v>#N/A</v>
      </c>
      <c r="K27" s="8" t="e">
        <v>#N/A</v>
      </c>
      <c r="L27" s="8" t="e">
        <v>#N/A</v>
      </c>
      <c r="M27" s="8" t="e">
        <v>#N/A</v>
      </c>
      <c r="N27" s="8" t="e">
        <v>#N/A</v>
      </c>
      <c r="O27" s="8" t="e">
        <v>#N/A</v>
      </c>
      <c r="P27" s="8" t="e">
        <v>#N/A</v>
      </c>
      <c r="Q27" s="8" t="e">
        <v>#N/A</v>
      </c>
      <c r="R27" s="8" t="e">
        <v>#N/A</v>
      </c>
      <c r="S27" s="8">
        <v>26508</v>
      </c>
      <c r="T27" s="8">
        <v>501</v>
      </c>
      <c r="U27" s="8">
        <v>281</v>
      </c>
      <c r="V27" s="8">
        <v>5106</v>
      </c>
      <c r="W27" s="8">
        <v>228</v>
      </c>
      <c r="X27" s="8">
        <v>142</v>
      </c>
      <c r="Y27" s="8">
        <v>1905</v>
      </c>
      <c r="Z27" s="8">
        <v>4158</v>
      </c>
      <c r="AA27" s="8">
        <v>1307</v>
      </c>
      <c r="AB27" s="8">
        <v>1354</v>
      </c>
      <c r="AC27" s="8">
        <v>757</v>
      </c>
      <c r="AD27" s="8">
        <v>951</v>
      </c>
      <c r="AE27" s="8">
        <v>206</v>
      </c>
      <c r="AF27" s="8">
        <v>1185</v>
      </c>
      <c r="AG27" s="8">
        <v>1249</v>
      </c>
      <c r="AH27" s="8">
        <v>1881</v>
      </c>
      <c r="AI27" s="8">
        <v>1769</v>
      </c>
      <c r="AJ27" s="8">
        <v>2289</v>
      </c>
      <c r="AK27" s="8">
        <v>558</v>
      </c>
      <c r="AL27" s="8">
        <v>679</v>
      </c>
      <c r="AM27" s="8">
        <v>0</v>
      </c>
      <c r="AN27" s="8">
        <v>18345</v>
      </c>
      <c r="AO27" s="8" t="e">
        <v>#N/A</v>
      </c>
      <c r="AP27" s="8">
        <v>3217</v>
      </c>
      <c r="AQ27" s="2">
        <v>11.6</v>
      </c>
      <c r="AR27" s="2" t="e">
        <v>#N/A</v>
      </c>
      <c r="AS27" s="2" t="e">
        <v>#N/A</v>
      </c>
      <c r="AT27" s="8" t="e">
        <v>#N/A</v>
      </c>
      <c r="AU27" s="8" t="e">
        <v>#N/A</v>
      </c>
      <c r="AV27" s="8" t="e">
        <v>#N/A</v>
      </c>
      <c r="AW27" s="8">
        <v>43869</v>
      </c>
      <c r="AX27" s="2">
        <v>63</v>
      </c>
      <c r="AY27" s="2">
        <v>67.099999999999994</v>
      </c>
      <c r="AZ27" s="2" t="e">
        <v>#N/A</v>
      </c>
      <c r="BA27" s="8" t="e">
        <v>#N/A</v>
      </c>
      <c r="BB27" s="8">
        <v>24435</v>
      </c>
      <c r="BC27" s="8" t="e">
        <v>#N/A</v>
      </c>
      <c r="BD27" s="8" t="e">
        <v>#N/A</v>
      </c>
      <c r="BE27" s="8" t="e">
        <v>#N/A</v>
      </c>
      <c r="BF27" s="8" t="e">
        <v>#N/A</v>
      </c>
      <c r="BG27" s="8">
        <v>3217</v>
      </c>
    </row>
    <row r="28" spans="1:59" x14ac:dyDescent="0.25">
      <c r="A28" t="s">
        <v>596</v>
      </c>
      <c r="B28" s="8" t="e">
        <v>#N/A</v>
      </c>
      <c r="C28" s="8" t="e">
        <v>#N/A</v>
      </c>
      <c r="D28" s="8" t="e">
        <v>#N/A</v>
      </c>
      <c r="E28" s="8" t="e">
        <v>#N/A</v>
      </c>
      <c r="F28" s="8" t="e">
        <v>#N/A</v>
      </c>
      <c r="G28" s="2" t="e">
        <v>#N/A</v>
      </c>
      <c r="H28" s="2" t="e">
        <v>#N/A</v>
      </c>
      <c r="I28" s="2" t="e">
        <v>#N/A</v>
      </c>
      <c r="J28" s="2" t="e">
        <v>#N/A</v>
      </c>
      <c r="K28" s="8" t="e">
        <v>#N/A</v>
      </c>
      <c r="L28" s="8" t="e">
        <v>#N/A</v>
      </c>
      <c r="M28" s="8" t="e">
        <v>#N/A</v>
      </c>
      <c r="N28" s="8" t="e">
        <v>#N/A</v>
      </c>
      <c r="O28" s="8" t="e">
        <v>#N/A</v>
      </c>
      <c r="P28" s="8" t="e">
        <v>#N/A</v>
      </c>
      <c r="Q28" s="8" t="e">
        <v>#N/A</v>
      </c>
      <c r="R28" s="8" t="e">
        <v>#N/A</v>
      </c>
      <c r="S28" s="8">
        <v>26566</v>
      </c>
      <c r="T28" s="8">
        <v>503</v>
      </c>
      <c r="U28" s="8">
        <v>279</v>
      </c>
      <c r="V28" s="8">
        <v>5096</v>
      </c>
      <c r="W28" s="8">
        <v>226</v>
      </c>
      <c r="X28" s="8">
        <v>142</v>
      </c>
      <c r="Y28" s="8">
        <v>1907</v>
      </c>
      <c r="Z28" s="8">
        <v>4152</v>
      </c>
      <c r="AA28" s="8">
        <v>1305</v>
      </c>
      <c r="AB28" s="8">
        <v>1360</v>
      </c>
      <c r="AC28" s="8">
        <v>759</v>
      </c>
      <c r="AD28" s="8">
        <v>953</v>
      </c>
      <c r="AE28" s="8">
        <v>207</v>
      </c>
      <c r="AF28" s="8">
        <v>1192</v>
      </c>
      <c r="AG28" s="8">
        <v>1252</v>
      </c>
      <c r="AH28" s="8">
        <v>1882</v>
      </c>
      <c r="AI28" s="8">
        <v>1779</v>
      </c>
      <c r="AJ28" s="8">
        <v>2322</v>
      </c>
      <c r="AK28" s="8">
        <v>563</v>
      </c>
      <c r="AL28" s="8">
        <v>686</v>
      </c>
      <c r="AM28" s="8">
        <v>0</v>
      </c>
      <c r="AN28" s="8">
        <v>18413</v>
      </c>
      <c r="AO28" s="8" t="e">
        <v>#N/A</v>
      </c>
      <c r="AP28" s="8">
        <v>3180</v>
      </c>
      <c r="AQ28" s="2">
        <v>11.5</v>
      </c>
      <c r="AR28" s="2" t="e">
        <v>#N/A</v>
      </c>
      <c r="AS28" s="2" t="e">
        <v>#N/A</v>
      </c>
      <c r="AT28" s="8" t="e">
        <v>#N/A</v>
      </c>
      <c r="AU28" s="8" t="e">
        <v>#N/A</v>
      </c>
      <c r="AV28" s="8" t="e">
        <v>#N/A</v>
      </c>
      <c r="AW28" s="8">
        <v>43937</v>
      </c>
      <c r="AX28" s="2">
        <v>63</v>
      </c>
      <c r="AY28" s="2">
        <v>67.3</v>
      </c>
      <c r="AZ28" s="2" t="e">
        <v>#N/A</v>
      </c>
      <c r="BA28" s="8" t="e">
        <v>#N/A</v>
      </c>
      <c r="BB28" s="8">
        <v>24515</v>
      </c>
      <c r="BC28" s="8" t="e">
        <v>#N/A</v>
      </c>
      <c r="BD28" s="8" t="e">
        <v>#N/A</v>
      </c>
      <c r="BE28" s="8" t="e">
        <v>#N/A</v>
      </c>
      <c r="BF28" s="8" t="e">
        <v>#N/A</v>
      </c>
      <c r="BG28" s="8">
        <v>3180</v>
      </c>
    </row>
    <row r="29" spans="1:59" x14ac:dyDescent="0.25">
      <c r="A29" t="s">
        <v>597</v>
      </c>
      <c r="B29" s="8" t="e">
        <v>#N/A</v>
      </c>
      <c r="C29" s="8" t="e">
        <v>#N/A</v>
      </c>
      <c r="D29" s="8" t="e">
        <v>#N/A</v>
      </c>
      <c r="E29" s="8" t="e">
        <v>#N/A</v>
      </c>
      <c r="F29" s="8" t="e">
        <v>#N/A</v>
      </c>
      <c r="G29" s="2" t="e">
        <v>#N/A</v>
      </c>
      <c r="H29" s="2" t="e">
        <v>#N/A</v>
      </c>
      <c r="I29" s="2" t="e">
        <v>#N/A</v>
      </c>
      <c r="J29" s="2" t="e">
        <v>#N/A</v>
      </c>
      <c r="K29" s="8" t="e">
        <v>#N/A</v>
      </c>
      <c r="L29" s="8" t="e">
        <v>#N/A</v>
      </c>
      <c r="M29" s="8" t="e">
        <v>#N/A</v>
      </c>
      <c r="N29" s="8" t="e">
        <v>#N/A</v>
      </c>
      <c r="O29" s="8" t="e">
        <v>#N/A</v>
      </c>
      <c r="P29" s="8" t="e">
        <v>#N/A</v>
      </c>
      <c r="Q29" s="8" t="e">
        <v>#N/A</v>
      </c>
      <c r="R29" s="8" t="e">
        <v>#N/A</v>
      </c>
      <c r="S29" s="8">
        <v>26610</v>
      </c>
      <c r="T29" s="8">
        <v>504</v>
      </c>
      <c r="U29" s="8">
        <v>270</v>
      </c>
      <c r="V29" s="8">
        <v>5089</v>
      </c>
      <c r="W29" s="8">
        <v>224</v>
      </c>
      <c r="X29" s="8">
        <v>143</v>
      </c>
      <c r="Y29" s="8">
        <v>1899</v>
      </c>
      <c r="Z29" s="8">
        <v>4149</v>
      </c>
      <c r="AA29" s="8">
        <v>1303</v>
      </c>
      <c r="AB29" s="8">
        <v>1367</v>
      </c>
      <c r="AC29" s="8">
        <v>762</v>
      </c>
      <c r="AD29" s="8">
        <v>955</v>
      </c>
      <c r="AE29" s="8">
        <v>210</v>
      </c>
      <c r="AF29" s="8">
        <v>1205</v>
      </c>
      <c r="AG29" s="8">
        <v>1260</v>
      </c>
      <c r="AH29" s="8">
        <v>1877</v>
      </c>
      <c r="AI29" s="8">
        <v>1785</v>
      </c>
      <c r="AJ29" s="8">
        <v>2337</v>
      </c>
      <c r="AK29" s="8">
        <v>573</v>
      </c>
      <c r="AL29" s="8">
        <v>696</v>
      </c>
      <c r="AM29" s="8">
        <v>0</v>
      </c>
      <c r="AN29" s="8">
        <v>18481</v>
      </c>
      <c r="AO29" s="8" t="e">
        <v>#N/A</v>
      </c>
      <c r="AP29" s="8">
        <v>3152</v>
      </c>
      <c r="AQ29" s="2">
        <v>11.4</v>
      </c>
      <c r="AR29" s="2" t="e">
        <v>#N/A</v>
      </c>
      <c r="AS29" s="2" t="e">
        <v>#N/A</v>
      </c>
      <c r="AT29" s="8" t="e">
        <v>#N/A</v>
      </c>
      <c r="AU29" s="8" t="e">
        <v>#N/A</v>
      </c>
      <c r="AV29" s="8" t="e">
        <v>#N/A</v>
      </c>
      <c r="AW29" s="8">
        <v>44006</v>
      </c>
      <c r="AX29" s="2">
        <v>63</v>
      </c>
      <c r="AY29" s="2">
        <v>67.400000000000006</v>
      </c>
      <c r="AZ29" s="2" t="e">
        <v>#N/A</v>
      </c>
      <c r="BA29" s="8" t="e">
        <v>#N/A</v>
      </c>
      <c r="BB29" s="8">
        <v>24570</v>
      </c>
      <c r="BC29" s="8" t="e">
        <v>#N/A</v>
      </c>
      <c r="BD29" s="8" t="e">
        <v>#N/A</v>
      </c>
      <c r="BE29" s="8" t="e">
        <v>#N/A</v>
      </c>
      <c r="BF29" s="8" t="e">
        <v>#N/A</v>
      </c>
      <c r="BG29" s="8">
        <v>3152</v>
      </c>
    </row>
    <row r="30" spans="1:59" x14ac:dyDescent="0.25">
      <c r="A30" t="s">
        <v>598</v>
      </c>
      <c r="B30" s="8" t="e">
        <v>#N/A</v>
      </c>
      <c r="C30" s="8" t="e">
        <v>#N/A</v>
      </c>
      <c r="D30" s="8" t="e">
        <v>#N/A</v>
      </c>
      <c r="E30" s="8" t="e">
        <v>#N/A</v>
      </c>
      <c r="F30" s="8" t="e">
        <v>#N/A</v>
      </c>
      <c r="G30" s="2" t="e">
        <v>#N/A</v>
      </c>
      <c r="H30" s="2" t="e">
        <v>#N/A</v>
      </c>
      <c r="I30" s="2" t="e">
        <v>#N/A</v>
      </c>
      <c r="J30" s="2" t="e">
        <v>#N/A</v>
      </c>
      <c r="K30" s="8" t="e">
        <v>#N/A</v>
      </c>
      <c r="L30" s="8" t="e">
        <v>#N/A</v>
      </c>
      <c r="M30" s="8" t="e">
        <v>#N/A</v>
      </c>
      <c r="N30" s="8" t="e">
        <v>#N/A</v>
      </c>
      <c r="O30" s="8" t="e">
        <v>#N/A</v>
      </c>
      <c r="P30" s="8" t="e">
        <v>#N/A</v>
      </c>
      <c r="Q30" s="8" t="e">
        <v>#N/A</v>
      </c>
      <c r="R30" s="8" t="e">
        <v>#N/A</v>
      </c>
      <c r="S30" s="8">
        <v>26667</v>
      </c>
      <c r="T30" s="8">
        <v>504</v>
      </c>
      <c r="U30" s="8">
        <v>260</v>
      </c>
      <c r="V30" s="8">
        <v>5092</v>
      </c>
      <c r="W30" s="8">
        <v>224</v>
      </c>
      <c r="X30" s="8">
        <v>142</v>
      </c>
      <c r="Y30" s="8">
        <v>1890</v>
      </c>
      <c r="Z30" s="8">
        <v>4164</v>
      </c>
      <c r="AA30" s="8">
        <v>1296</v>
      </c>
      <c r="AB30" s="8">
        <v>1370</v>
      </c>
      <c r="AC30" s="8">
        <v>761</v>
      </c>
      <c r="AD30" s="8">
        <v>968</v>
      </c>
      <c r="AE30" s="8">
        <v>212</v>
      </c>
      <c r="AF30" s="8">
        <v>1220</v>
      </c>
      <c r="AG30" s="8">
        <v>1272</v>
      </c>
      <c r="AH30" s="8">
        <v>1877</v>
      </c>
      <c r="AI30" s="8">
        <v>1789</v>
      </c>
      <c r="AJ30" s="8">
        <v>2351</v>
      </c>
      <c r="AK30" s="8">
        <v>575</v>
      </c>
      <c r="AL30" s="8">
        <v>700</v>
      </c>
      <c r="AM30" s="8">
        <v>0</v>
      </c>
      <c r="AN30" s="8">
        <v>18555</v>
      </c>
      <c r="AO30" s="8" t="e">
        <v>#N/A</v>
      </c>
      <c r="AP30" s="8">
        <v>3137</v>
      </c>
      <c r="AQ30" s="2">
        <v>11.3</v>
      </c>
      <c r="AR30" s="2" t="e">
        <v>#N/A</v>
      </c>
      <c r="AS30" s="2" t="e">
        <v>#N/A</v>
      </c>
      <c r="AT30" s="8" t="e">
        <v>#N/A</v>
      </c>
      <c r="AU30" s="8" t="e">
        <v>#N/A</v>
      </c>
      <c r="AV30" s="8" t="e">
        <v>#N/A</v>
      </c>
      <c r="AW30" s="8">
        <v>44069</v>
      </c>
      <c r="AX30" s="2">
        <v>63</v>
      </c>
      <c r="AY30" s="2">
        <v>67.5</v>
      </c>
      <c r="AZ30" s="2" t="e">
        <v>#N/A</v>
      </c>
      <c r="BA30" s="8" t="e">
        <v>#N/A</v>
      </c>
      <c r="BB30" s="8">
        <v>24625</v>
      </c>
      <c r="BC30" s="8" t="e">
        <v>#N/A</v>
      </c>
      <c r="BD30" s="8" t="e">
        <v>#N/A</v>
      </c>
      <c r="BE30" s="8" t="e">
        <v>#N/A</v>
      </c>
      <c r="BF30" s="8" t="e">
        <v>#N/A</v>
      </c>
      <c r="BG30" s="8">
        <v>3137</v>
      </c>
    </row>
    <row r="31" spans="1:59" x14ac:dyDescent="0.25">
      <c r="A31" t="s">
        <v>599</v>
      </c>
      <c r="B31" s="8" t="e">
        <v>#N/A</v>
      </c>
      <c r="C31" s="8" t="e">
        <v>#N/A</v>
      </c>
      <c r="D31" s="8" t="e">
        <v>#N/A</v>
      </c>
      <c r="E31" s="8" t="e">
        <v>#N/A</v>
      </c>
      <c r="F31" s="8" t="e">
        <v>#N/A</v>
      </c>
      <c r="G31" s="2" t="e">
        <v>#N/A</v>
      </c>
      <c r="H31" s="2" t="e">
        <v>#N/A</v>
      </c>
      <c r="I31" s="2" t="e">
        <v>#N/A</v>
      </c>
      <c r="J31" s="2" t="e">
        <v>#N/A</v>
      </c>
      <c r="K31" s="8" t="e">
        <v>#N/A</v>
      </c>
      <c r="L31" s="8" t="e">
        <v>#N/A</v>
      </c>
      <c r="M31" s="8" t="e">
        <v>#N/A</v>
      </c>
      <c r="N31" s="8" t="e">
        <v>#N/A</v>
      </c>
      <c r="O31" s="8" t="e">
        <v>#N/A</v>
      </c>
      <c r="P31" s="8" t="e">
        <v>#N/A</v>
      </c>
      <c r="Q31" s="8" t="e">
        <v>#N/A</v>
      </c>
      <c r="R31" s="8" t="e">
        <v>#N/A</v>
      </c>
      <c r="S31" s="8">
        <v>26655</v>
      </c>
      <c r="T31" s="8">
        <v>499</v>
      </c>
      <c r="U31" s="8">
        <v>251</v>
      </c>
      <c r="V31" s="8">
        <v>5062</v>
      </c>
      <c r="W31" s="8">
        <v>222</v>
      </c>
      <c r="X31" s="8">
        <v>141</v>
      </c>
      <c r="Y31" s="8">
        <v>1888</v>
      </c>
      <c r="Z31" s="8">
        <v>4172</v>
      </c>
      <c r="AA31" s="8">
        <v>1289</v>
      </c>
      <c r="AB31" s="8">
        <v>1370</v>
      </c>
      <c r="AC31" s="8">
        <v>763</v>
      </c>
      <c r="AD31" s="8">
        <v>973</v>
      </c>
      <c r="AE31" s="8">
        <v>213</v>
      </c>
      <c r="AF31" s="8">
        <v>1226</v>
      </c>
      <c r="AG31" s="8">
        <v>1279</v>
      </c>
      <c r="AH31" s="8">
        <v>1878</v>
      </c>
      <c r="AI31" s="8">
        <v>1800</v>
      </c>
      <c r="AJ31" s="8">
        <v>2362</v>
      </c>
      <c r="AK31" s="8">
        <v>571</v>
      </c>
      <c r="AL31" s="8">
        <v>697</v>
      </c>
      <c r="AM31" s="8">
        <v>0</v>
      </c>
      <c r="AN31" s="8">
        <v>18592</v>
      </c>
      <c r="AO31" s="8" t="e">
        <v>#N/A</v>
      </c>
      <c r="AP31" s="8">
        <v>3135</v>
      </c>
      <c r="AQ31" s="2">
        <v>11.3</v>
      </c>
      <c r="AR31" s="2" t="e">
        <v>#N/A</v>
      </c>
      <c r="AS31" s="2" t="e">
        <v>#N/A</v>
      </c>
      <c r="AT31" s="8" t="e">
        <v>#N/A</v>
      </c>
      <c r="AU31" s="8" t="e">
        <v>#N/A</v>
      </c>
      <c r="AV31" s="8" t="e">
        <v>#N/A</v>
      </c>
      <c r="AW31" s="8">
        <v>44122</v>
      </c>
      <c r="AX31" s="2">
        <v>63</v>
      </c>
      <c r="AY31" s="2">
        <v>67.5</v>
      </c>
      <c r="AZ31" s="2" t="e">
        <v>#N/A</v>
      </c>
      <c r="BA31" s="8" t="e">
        <v>#N/A</v>
      </c>
      <c r="BB31" s="8">
        <v>24660</v>
      </c>
      <c r="BC31" s="8" t="e">
        <v>#N/A</v>
      </c>
      <c r="BD31" s="8" t="e">
        <v>#N/A</v>
      </c>
      <c r="BE31" s="8" t="e">
        <v>#N/A</v>
      </c>
      <c r="BF31" s="8" t="e">
        <v>#N/A</v>
      </c>
      <c r="BG31" s="8">
        <v>3135</v>
      </c>
    </row>
    <row r="32" spans="1:59" x14ac:dyDescent="0.25">
      <c r="A32" t="s">
        <v>600</v>
      </c>
      <c r="B32" s="8" t="e">
        <v>#N/A</v>
      </c>
      <c r="C32" s="8" t="e">
        <v>#N/A</v>
      </c>
      <c r="D32" s="8" t="e">
        <v>#N/A</v>
      </c>
      <c r="E32" s="8" t="e">
        <v>#N/A</v>
      </c>
      <c r="F32" s="8" t="e">
        <v>#N/A</v>
      </c>
      <c r="G32" s="2" t="e">
        <v>#N/A</v>
      </c>
      <c r="H32" s="2" t="e">
        <v>#N/A</v>
      </c>
      <c r="I32" s="2" t="e">
        <v>#N/A</v>
      </c>
      <c r="J32" s="2" t="e">
        <v>#N/A</v>
      </c>
      <c r="K32" s="8" t="e">
        <v>#N/A</v>
      </c>
      <c r="L32" s="8" t="e">
        <v>#N/A</v>
      </c>
      <c r="M32" s="8" t="e">
        <v>#N/A</v>
      </c>
      <c r="N32" s="8" t="e">
        <v>#N/A</v>
      </c>
      <c r="O32" s="8" t="e">
        <v>#N/A</v>
      </c>
      <c r="P32" s="8" t="e">
        <v>#N/A</v>
      </c>
      <c r="Q32" s="8" t="e">
        <v>#N/A</v>
      </c>
      <c r="R32" s="8" t="e">
        <v>#N/A</v>
      </c>
      <c r="S32" s="8">
        <v>26622</v>
      </c>
      <c r="T32" s="8">
        <v>497</v>
      </c>
      <c r="U32" s="8">
        <v>239</v>
      </c>
      <c r="V32" s="8">
        <v>5030</v>
      </c>
      <c r="W32" s="8">
        <v>218</v>
      </c>
      <c r="X32" s="8">
        <v>141</v>
      </c>
      <c r="Y32" s="8">
        <v>1880</v>
      </c>
      <c r="Z32" s="8">
        <v>4167</v>
      </c>
      <c r="AA32" s="8">
        <v>1281</v>
      </c>
      <c r="AB32" s="8">
        <v>1365</v>
      </c>
      <c r="AC32" s="8">
        <v>761</v>
      </c>
      <c r="AD32" s="8">
        <v>976</v>
      </c>
      <c r="AE32" s="8">
        <v>213</v>
      </c>
      <c r="AF32" s="8">
        <v>1229</v>
      </c>
      <c r="AG32" s="8">
        <v>1283</v>
      </c>
      <c r="AH32" s="8">
        <v>1879</v>
      </c>
      <c r="AI32" s="8">
        <v>1816</v>
      </c>
      <c r="AJ32" s="8">
        <v>2376</v>
      </c>
      <c r="AK32" s="8">
        <v>573</v>
      </c>
      <c r="AL32" s="8">
        <v>699</v>
      </c>
      <c r="AM32" s="8">
        <v>0</v>
      </c>
      <c r="AN32" s="8">
        <v>18617</v>
      </c>
      <c r="AO32" s="8" t="e">
        <v>#N/A</v>
      </c>
      <c r="AP32" s="8">
        <v>3150</v>
      </c>
      <c r="AQ32" s="2">
        <v>11.3</v>
      </c>
      <c r="AR32" s="2" t="e">
        <v>#N/A</v>
      </c>
      <c r="AS32" s="2" t="e">
        <v>#N/A</v>
      </c>
      <c r="AT32" s="8" t="e">
        <v>#N/A</v>
      </c>
      <c r="AU32" s="8" t="e">
        <v>#N/A</v>
      </c>
      <c r="AV32" s="8" t="e">
        <v>#N/A</v>
      </c>
      <c r="AW32" s="8">
        <v>44175</v>
      </c>
      <c r="AX32" s="2">
        <v>63</v>
      </c>
      <c r="AY32" s="2">
        <v>67.599999999999994</v>
      </c>
      <c r="AZ32" s="2" t="e">
        <v>#N/A</v>
      </c>
      <c r="BA32" s="8" t="e">
        <v>#N/A</v>
      </c>
      <c r="BB32" s="8">
        <v>24670</v>
      </c>
      <c r="BC32" s="8" t="e">
        <v>#N/A</v>
      </c>
      <c r="BD32" s="8" t="e">
        <v>#N/A</v>
      </c>
      <c r="BE32" s="8" t="e">
        <v>#N/A</v>
      </c>
      <c r="BF32" s="8" t="e">
        <v>#N/A</v>
      </c>
      <c r="BG32" s="8">
        <v>3150</v>
      </c>
    </row>
    <row r="33" spans="1:59" x14ac:dyDescent="0.25">
      <c r="A33" t="s">
        <v>601</v>
      </c>
      <c r="B33" s="8" t="e">
        <v>#N/A</v>
      </c>
      <c r="C33" s="8" t="e">
        <v>#N/A</v>
      </c>
      <c r="D33" s="8" t="e">
        <v>#N/A</v>
      </c>
      <c r="E33" s="8" t="e">
        <v>#N/A</v>
      </c>
      <c r="F33" s="8" t="e">
        <v>#N/A</v>
      </c>
      <c r="G33" s="2" t="e">
        <v>#N/A</v>
      </c>
      <c r="H33" s="2" t="e">
        <v>#N/A</v>
      </c>
      <c r="I33" s="2" t="e">
        <v>#N/A</v>
      </c>
      <c r="J33" s="2" t="e">
        <v>#N/A</v>
      </c>
      <c r="K33" s="8" t="e">
        <v>#N/A</v>
      </c>
      <c r="L33" s="8" t="e">
        <v>#N/A</v>
      </c>
      <c r="M33" s="8" t="e">
        <v>#N/A</v>
      </c>
      <c r="N33" s="8" t="e">
        <v>#N/A</v>
      </c>
      <c r="O33" s="8" t="e">
        <v>#N/A</v>
      </c>
      <c r="P33" s="8" t="e">
        <v>#N/A</v>
      </c>
      <c r="Q33" s="8" t="e">
        <v>#N/A</v>
      </c>
      <c r="R33" s="8" t="e">
        <v>#N/A</v>
      </c>
      <c r="S33" s="8">
        <v>26654</v>
      </c>
      <c r="T33" s="8">
        <v>496</v>
      </c>
      <c r="U33" s="8">
        <v>231</v>
      </c>
      <c r="V33" s="8">
        <v>4982</v>
      </c>
      <c r="W33" s="8">
        <v>218</v>
      </c>
      <c r="X33" s="8">
        <v>141</v>
      </c>
      <c r="Y33" s="8">
        <v>1883</v>
      </c>
      <c r="Z33" s="8">
        <v>4157</v>
      </c>
      <c r="AA33" s="8">
        <v>1276</v>
      </c>
      <c r="AB33" s="8">
        <v>1369</v>
      </c>
      <c r="AC33" s="8">
        <v>762</v>
      </c>
      <c r="AD33" s="8">
        <v>980</v>
      </c>
      <c r="AE33" s="8">
        <v>216</v>
      </c>
      <c r="AF33" s="8">
        <v>1241</v>
      </c>
      <c r="AG33" s="8">
        <v>1293</v>
      </c>
      <c r="AH33" s="8">
        <v>1869</v>
      </c>
      <c r="AI33" s="8">
        <v>1837</v>
      </c>
      <c r="AJ33" s="8">
        <v>2412</v>
      </c>
      <c r="AK33" s="8">
        <v>583</v>
      </c>
      <c r="AL33" s="8">
        <v>710</v>
      </c>
      <c r="AM33" s="8">
        <v>0</v>
      </c>
      <c r="AN33" s="8">
        <v>18703</v>
      </c>
      <c r="AO33" s="8" t="e">
        <v>#N/A</v>
      </c>
      <c r="AP33" s="8">
        <v>3159</v>
      </c>
      <c r="AQ33" s="2">
        <v>11.3</v>
      </c>
      <c r="AR33" s="2" t="e">
        <v>#N/A</v>
      </c>
      <c r="AS33" s="2" t="e">
        <v>#N/A</v>
      </c>
      <c r="AT33" s="8" t="e">
        <v>#N/A</v>
      </c>
      <c r="AU33" s="8" t="e">
        <v>#N/A</v>
      </c>
      <c r="AV33" s="8" t="e">
        <v>#N/A</v>
      </c>
      <c r="AW33" s="8">
        <v>44228</v>
      </c>
      <c r="AX33" s="2">
        <v>63</v>
      </c>
      <c r="AY33" s="2">
        <v>67.599999999999994</v>
      </c>
      <c r="AZ33" s="2" t="e">
        <v>#N/A</v>
      </c>
      <c r="BA33" s="8" t="e">
        <v>#N/A</v>
      </c>
      <c r="BB33" s="8">
        <v>24695</v>
      </c>
      <c r="BC33" s="8" t="e">
        <v>#N/A</v>
      </c>
      <c r="BD33" s="8" t="e">
        <v>#N/A</v>
      </c>
      <c r="BE33" s="8" t="e">
        <v>#N/A</v>
      </c>
      <c r="BF33" s="8" t="e">
        <v>#N/A</v>
      </c>
      <c r="BG33" s="8">
        <v>3159</v>
      </c>
    </row>
    <row r="34" spans="1:59" x14ac:dyDescent="0.25">
      <c r="A34" t="s">
        <v>602</v>
      </c>
      <c r="B34" s="8" t="e">
        <v>#N/A</v>
      </c>
      <c r="C34" s="8" t="e">
        <v>#N/A</v>
      </c>
      <c r="D34" s="8" t="e">
        <v>#N/A</v>
      </c>
      <c r="E34" s="8" t="e">
        <v>#N/A</v>
      </c>
      <c r="F34" s="8" t="e">
        <v>#N/A</v>
      </c>
      <c r="G34" s="2" t="e">
        <v>#N/A</v>
      </c>
      <c r="H34" s="2" t="e">
        <v>#N/A</v>
      </c>
      <c r="I34" s="2" t="e">
        <v>#N/A</v>
      </c>
      <c r="J34" s="2" t="e">
        <v>#N/A</v>
      </c>
      <c r="K34" s="8" t="e">
        <v>#N/A</v>
      </c>
      <c r="L34" s="8" t="e">
        <v>#N/A</v>
      </c>
      <c r="M34" s="8" t="e">
        <v>#N/A</v>
      </c>
      <c r="N34" s="8" t="e">
        <v>#N/A</v>
      </c>
      <c r="O34" s="8" t="e">
        <v>#N/A</v>
      </c>
      <c r="P34" s="8" t="e">
        <v>#N/A</v>
      </c>
      <c r="Q34" s="8" t="e">
        <v>#N/A</v>
      </c>
      <c r="R34" s="8" t="e">
        <v>#N/A</v>
      </c>
      <c r="S34" s="8">
        <v>26754</v>
      </c>
      <c r="T34" s="8">
        <v>499</v>
      </c>
      <c r="U34" s="8">
        <v>222</v>
      </c>
      <c r="V34" s="8">
        <v>4957</v>
      </c>
      <c r="W34" s="8">
        <v>218</v>
      </c>
      <c r="X34" s="8">
        <v>140</v>
      </c>
      <c r="Y34" s="8">
        <v>1894</v>
      </c>
      <c r="Z34" s="8">
        <v>4169</v>
      </c>
      <c r="AA34" s="8">
        <v>1274</v>
      </c>
      <c r="AB34" s="8">
        <v>1373</v>
      </c>
      <c r="AC34" s="8">
        <v>762</v>
      </c>
      <c r="AD34" s="8">
        <v>1001</v>
      </c>
      <c r="AE34" s="8">
        <v>219</v>
      </c>
      <c r="AF34" s="8">
        <v>1258</v>
      </c>
      <c r="AG34" s="8">
        <v>1300</v>
      </c>
      <c r="AH34" s="8">
        <v>1877</v>
      </c>
      <c r="AI34" s="8">
        <v>1858</v>
      </c>
      <c r="AJ34" s="8">
        <v>2435</v>
      </c>
      <c r="AK34" s="8">
        <v>585</v>
      </c>
      <c r="AL34" s="8">
        <v>714</v>
      </c>
      <c r="AM34" s="8">
        <v>0</v>
      </c>
      <c r="AN34" s="8">
        <v>18825</v>
      </c>
      <c r="AO34" s="8" t="e">
        <v>#N/A</v>
      </c>
      <c r="AP34" s="8">
        <v>3177</v>
      </c>
      <c r="AQ34" s="2">
        <v>11.4</v>
      </c>
      <c r="AR34" s="2" t="e">
        <v>#N/A</v>
      </c>
      <c r="AS34" s="2" t="e">
        <v>#N/A</v>
      </c>
      <c r="AT34" s="8" t="e">
        <v>#N/A</v>
      </c>
      <c r="AU34" s="8" t="e">
        <v>#N/A</v>
      </c>
      <c r="AV34" s="8" t="e">
        <v>#N/A</v>
      </c>
      <c r="AW34" s="8">
        <v>44282</v>
      </c>
      <c r="AX34" s="2">
        <v>63.1</v>
      </c>
      <c r="AY34" s="2">
        <v>67.8</v>
      </c>
      <c r="AZ34" s="2" t="e">
        <v>#N/A</v>
      </c>
      <c r="BA34" s="8" t="e">
        <v>#N/A</v>
      </c>
      <c r="BB34" s="8">
        <v>24770</v>
      </c>
      <c r="BC34" s="8" t="e">
        <v>#N/A</v>
      </c>
      <c r="BD34" s="8" t="e">
        <v>#N/A</v>
      </c>
      <c r="BE34" s="8" t="e">
        <v>#N/A</v>
      </c>
      <c r="BF34" s="8" t="e">
        <v>#N/A</v>
      </c>
      <c r="BG34" s="8">
        <v>3177</v>
      </c>
    </row>
    <row r="35" spans="1:59" x14ac:dyDescent="0.25">
      <c r="A35" t="s">
        <v>603</v>
      </c>
      <c r="B35" s="8" t="e">
        <v>#N/A</v>
      </c>
      <c r="C35" s="8" t="e">
        <v>#N/A</v>
      </c>
      <c r="D35" s="8" t="e">
        <v>#N/A</v>
      </c>
      <c r="E35" s="8" t="e">
        <v>#N/A</v>
      </c>
      <c r="F35" s="8" t="e">
        <v>#N/A</v>
      </c>
      <c r="G35" s="2" t="e">
        <v>#N/A</v>
      </c>
      <c r="H35" s="2" t="e">
        <v>#N/A</v>
      </c>
      <c r="I35" s="2" t="e">
        <v>#N/A</v>
      </c>
      <c r="J35" s="2" t="e">
        <v>#N/A</v>
      </c>
      <c r="K35" s="8" t="e">
        <v>#N/A</v>
      </c>
      <c r="L35" s="8" t="e">
        <v>#N/A</v>
      </c>
      <c r="M35" s="8" t="e">
        <v>#N/A</v>
      </c>
      <c r="N35" s="8" t="e">
        <v>#N/A</v>
      </c>
      <c r="O35" s="8" t="e">
        <v>#N/A</v>
      </c>
      <c r="P35" s="8" t="e">
        <v>#N/A</v>
      </c>
      <c r="Q35" s="8" t="e">
        <v>#N/A</v>
      </c>
      <c r="R35" s="8" t="e">
        <v>#N/A</v>
      </c>
      <c r="S35" s="8">
        <v>26818</v>
      </c>
      <c r="T35" s="8">
        <v>499</v>
      </c>
      <c r="U35" s="8">
        <v>213</v>
      </c>
      <c r="V35" s="8">
        <v>4937</v>
      </c>
      <c r="W35" s="8">
        <v>215</v>
      </c>
      <c r="X35" s="8">
        <v>141</v>
      </c>
      <c r="Y35" s="8">
        <v>1914</v>
      </c>
      <c r="Z35" s="8">
        <v>4174</v>
      </c>
      <c r="AA35" s="8">
        <v>1269</v>
      </c>
      <c r="AB35" s="8">
        <v>1375</v>
      </c>
      <c r="AC35" s="8">
        <v>764</v>
      </c>
      <c r="AD35" s="8">
        <v>1009</v>
      </c>
      <c r="AE35" s="8">
        <v>220</v>
      </c>
      <c r="AF35" s="8">
        <v>1265</v>
      </c>
      <c r="AG35" s="8">
        <v>1308</v>
      </c>
      <c r="AH35" s="8">
        <v>1875</v>
      </c>
      <c r="AI35" s="8">
        <v>1876</v>
      </c>
      <c r="AJ35" s="8">
        <v>2456</v>
      </c>
      <c r="AK35" s="8">
        <v>588</v>
      </c>
      <c r="AL35" s="8">
        <v>720</v>
      </c>
      <c r="AM35" s="8">
        <v>0</v>
      </c>
      <c r="AN35" s="8">
        <v>18899</v>
      </c>
      <c r="AO35" s="8" t="e">
        <v>#N/A</v>
      </c>
      <c r="AP35" s="8">
        <v>3156</v>
      </c>
      <c r="AQ35" s="2">
        <v>11.3</v>
      </c>
      <c r="AR35" s="2" t="e">
        <v>#N/A</v>
      </c>
      <c r="AS35" s="2" t="e">
        <v>#N/A</v>
      </c>
      <c r="AT35" s="8" t="e">
        <v>#N/A</v>
      </c>
      <c r="AU35" s="8" t="e">
        <v>#N/A</v>
      </c>
      <c r="AV35" s="8" t="e">
        <v>#N/A</v>
      </c>
      <c r="AW35" s="8">
        <v>44335</v>
      </c>
      <c r="AX35" s="2">
        <v>63.2</v>
      </c>
      <c r="AY35" s="2">
        <v>67.900000000000006</v>
      </c>
      <c r="AZ35" s="2" t="e">
        <v>#N/A</v>
      </c>
      <c r="BA35" s="8" t="e">
        <v>#N/A</v>
      </c>
      <c r="BB35" s="8">
        <v>24850</v>
      </c>
      <c r="BC35" s="8" t="e">
        <v>#N/A</v>
      </c>
      <c r="BD35" s="8" t="e">
        <v>#N/A</v>
      </c>
      <c r="BE35" s="8" t="e">
        <v>#N/A</v>
      </c>
      <c r="BF35" s="8" t="e">
        <v>#N/A</v>
      </c>
      <c r="BG35" s="8">
        <v>3156</v>
      </c>
    </row>
    <row r="36" spans="1:59" x14ac:dyDescent="0.25">
      <c r="A36" t="s">
        <v>604</v>
      </c>
      <c r="B36" s="8" t="e">
        <v>#N/A</v>
      </c>
      <c r="C36" s="8" t="e">
        <v>#N/A</v>
      </c>
      <c r="D36" s="8" t="e">
        <v>#N/A</v>
      </c>
      <c r="E36" s="8" t="e">
        <v>#N/A</v>
      </c>
      <c r="F36" s="8" t="e">
        <v>#N/A</v>
      </c>
      <c r="G36" s="2" t="e">
        <v>#N/A</v>
      </c>
      <c r="H36" s="2" t="e">
        <v>#N/A</v>
      </c>
      <c r="I36" s="2" t="e">
        <v>#N/A</v>
      </c>
      <c r="J36" s="2" t="e">
        <v>#N/A</v>
      </c>
      <c r="K36" s="8" t="e">
        <v>#N/A</v>
      </c>
      <c r="L36" s="8" t="e">
        <v>#N/A</v>
      </c>
      <c r="M36" s="8" t="e">
        <v>#N/A</v>
      </c>
      <c r="N36" s="8" t="e">
        <v>#N/A</v>
      </c>
      <c r="O36" s="8" t="e">
        <v>#N/A</v>
      </c>
      <c r="P36" s="8" t="e">
        <v>#N/A</v>
      </c>
      <c r="Q36" s="8" t="e">
        <v>#N/A</v>
      </c>
      <c r="R36" s="8" t="e">
        <v>#N/A</v>
      </c>
      <c r="S36" s="8">
        <v>26886</v>
      </c>
      <c r="T36" s="8">
        <v>500</v>
      </c>
      <c r="U36" s="8">
        <v>203</v>
      </c>
      <c r="V36" s="8">
        <v>4912</v>
      </c>
      <c r="W36" s="8">
        <v>212</v>
      </c>
      <c r="X36" s="8">
        <v>141</v>
      </c>
      <c r="Y36" s="8">
        <v>1936</v>
      </c>
      <c r="Z36" s="8">
        <v>4169</v>
      </c>
      <c r="AA36" s="8">
        <v>1268</v>
      </c>
      <c r="AB36" s="8">
        <v>1376</v>
      </c>
      <c r="AC36" s="8">
        <v>767</v>
      </c>
      <c r="AD36" s="8">
        <v>1010</v>
      </c>
      <c r="AE36" s="8">
        <v>223</v>
      </c>
      <c r="AF36" s="8">
        <v>1281</v>
      </c>
      <c r="AG36" s="8">
        <v>1322</v>
      </c>
      <c r="AH36" s="8">
        <v>1875</v>
      </c>
      <c r="AI36" s="8">
        <v>1886</v>
      </c>
      <c r="AJ36" s="8">
        <v>2488</v>
      </c>
      <c r="AK36" s="8">
        <v>591</v>
      </c>
      <c r="AL36" s="8">
        <v>725</v>
      </c>
      <c r="AM36" s="8">
        <v>0</v>
      </c>
      <c r="AN36" s="8">
        <v>18982</v>
      </c>
      <c r="AO36" s="8" t="e">
        <v>#N/A</v>
      </c>
      <c r="AP36" s="8">
        <v>3113</v>
      </c>
      <c r="AQ36" s="2">
        <v>11.1</v>
      </c>
      <c r="AR36" s="2" t="e">
        <v>#N/A</v>
      </c>
      <c r="AS36" s="2" t="e">
        <v>#N/A</v>
      </c>
      <c r="AT36" s="8" t="e">
        <v>#N/A</v>
      </c>
      <c r="AU36" s="8" t="e">
        <v>#N/A</v>
      </c>
      <c r="AV36" s="8" t="e">
        <v>#N/A</v>
      </c>
      <c r="AW36" s="8">
        <v>44389</v>
      </c>
      <c r="AX36" s="2">
        <v>63.2</v>
      </c>
      <c r="AY36" s="2">
        <v>68.099999999999994</v>
      </c>
      <c r="AZ36" s="2" t="e">
        <v>#N/A</v>
      </c>
      <c r="BA36" s="8" t="e">
        <v>#N/A</v>
      </c>
      <c r="BB36" s="8">
        <v>24925</v>
      </c>
      <c r="BC36" s="8" t="e">
        <v>#N/A</v>
      </c>
      <c r="BD36" s="8" t="e">
        <v>#N/A</v>
      </c>
      <c r="BE36" s="8" t="e">
        <v>#N/A</v>
      </c>
      <c r="BF36" s="8" t="e">
        <v>#N/A</v>
      </c>
      <c r="BG36" s="8">
        <v>3113</v>
      </c>
    </row>
    <row r="37" spans="1:59" x14ac:dyDescent="0.25">
      <c r="A37" t="s">
        <v>605</v>
      </c>
      <c r="B37" s="8" t="e">
        <v>#N/A</v>
      </c>
      <c r="C37" s="8" t="e">
        <v>#N/A</v>
      </c>
      <c r="D37" s="8" t="e">
        <v>#N/A</v>
      </c>
      <c r="E37" s="8" t="e">
        <v>#N/A</v>
      </c>
      <c r="F37" s="8" t="e">
        <v>#N/A</v>
      </c>
      <c r="G37" s="2" t="e">
        <v>#N/A</v>
      </c>
      <c r="H37" s="2" t="e">
        <v>#N/A</v>
      </c>
      <c r="I37" s="2" t="e">
        <v>#N/A</v>
      </c>
      <c r="J37" s="2" t="e">
        <v>#N/A</v>
      </c>
      <c r="K37" s="8" t="e">
        <v>#N/A</v>
      </c>
      <c r="L37" s="8" t="e">
        <v>#N/A</v>
      </c>
      <c r="M37" s="8" t="e">
        <v>#N/A</v>
      </c>
      <c r="N37" s="8" t="e">
        <v>#N/A</v>
      </c>
      <c r="O37" s="8" t="e">
        <v>#N/A</v>
      </c>
      <c r="P37" s="8" t="e">
        <v>#N/A</v>
      </c>
      <c r="Q37" s="8" t="e">
        <v>#N/A</v>
      </c>
      <c r="R37" s="8" t="e">
        <v>#N/A</v>
      </c>
      <c r="S37" s="8">
        <v>27187</v>
      </c>
      <c r="T37" s="8">
        <v>504</v>
      </c>
      <c r="U37" s="8">
        <v>201</v>
      </c>
      <c r="V37" s="8">
        <v>4950</v>
      </c>
      <c r="W37" s="8">
        <v>212</v>
      </c>
      <c r="X37" s="8">
        <v>142</v>
      </c>
      <c r="Y37" s="8">
        <v>1967</v>
      </c>
      <c r="Z37" s="8">
        <v>4209</v>
      </c>
      <c r="AA37" s="8">
        <v>1276</v>
      </c>
      <c r="AB37" s="8">
        <v>1387</v>
      </c>
      <c r="AC37" s="8">
        <v>776</v>
      </c>
      <c r="AD37" s="8">
        <v>1026</v>
      </c>
      <c r="AE37" s="8">
        <v>227</v>
      </c>
      <c r="AF37" s="8">
        <v>1305</v>
      </c>
      <c r="AG37" s="8">
        <v>1342</v>
      </c>
      <c r="AH37" s="8">
        <v>1891</v>
      </c>
      <c r="AI37" s="8">
        <v>1909</v>
      </c>
      <c r="AJ37" s="8">
        <v>2525</v>
      </c>
      <c r="AK37" s="8">
        <v>600</v>
      </c>
      <c r="AL37" s="8">
        <v>738</v>
      </c>
      <c r="AM37" s="8">
        <v>0</v>
      </c>
      <c r="AN37" s="8">
        <v>19211</v>
      </c>
      <c r="AO37" s="8" t="e">
        <v>#N/A</v>
      </c>
      <c r="AP37" s="8">
        <v>3021</v>
      </c>
      <c r="AQ37" s="2">
        <v>10.7</v>
      </c>
      <c r="AR37" s="2" t="e">
        <v>#N/A</v>
      </c>
      <c r="AS37" s="2" t="e">
        <v>#N/A</v>
      </c>
      <c r="AT37" s="8" t="e">
        <v>#N/A</v>
      </c>
      <c r="AU37" s="8" t="e">
        <v>#N/A</v>
      </c>
      <c r="AV37" s="8" t="e">
        <v>#N/A</v>
      </c>
      <c r="AW37" s="8">
        <v>44443</v>
      </c>
      <c r="AX37" s="2">
        <v>63.3</v>
      </c>
      <c r="AY37" s="2">
        <v>68.5</v>
      </c>
      <c r="AZ37" s="2" t="e">
        <v>#N/A</v>
      </c>
      <c r="BA37" s="8" t="e">
        <v>#N/A</v>
      </c>
      <c r="BB37" s="8">
        <v>25110</v>
      </c>
      <c r="BC37" s="8" t="e">
        <v>#N/A</v>
      </c>
      <c r="BD37" s="8" t="e">
        <v>#N/A</v>
      </c>
      <c r="BE37" s="8" t="e">
        <v>#N/A</v>
      </c>
      <c r="BF37" s="8" t="e">
        <v>#N/A</v>
      </c>
      <c r="BG37" s="8">
        <v>3021</v>
      </c>
    </row>
    <row r="38" spans="1:59" x14ac:dyDescent="0.25">
      <c r="A38" t="s">
        <v>606</v>
      </c>
      <c r="B38" s="8" t="e">
        <v>#N/A</v>
      </c>
      <c r="C38" s="8" t="e">
        <v>#N/A</v>
      </c>
      <c r="D38" s="8" t="e">
        <v>#N/A</v>
      </c>
      <c r="E38" s="8" t="e">
        <v>#N/A</v>
      </c>
      <c r="F38" s="8" t="e">
        <v>#N/A</v>
      </c>
      <c r="G38" s="2" t="e">
        <v>#N/A</v>
      </c>
      <c r="H38" s="2" t="e">
        <v>#N/A</v>
      </c>
      <c r="I38" s="2" t="e">
        <v>#N/A</v>
      </c>
      <c r="J38" s="2" t="e">
        <v>#N/A</v>
      </c>
      <c r="K38" s="8" t="e">
        <v>#N/A</v>
      </c>
      <c r="L38" s="8" t="e">
        <v>#N/A</v>
      </c>
      <c r="M38" s="8" t="e">
        <v>#N/A</v>
      </c>
      <c r="N38" s="8" t="e">
        <v>#N/A</v>
      </c>
      <c r="O38" s="8" t="e">
        <v>#N/A</v>
      </c>
      <c r="P38" s="8" t="e">
        <v>#N/A</v>
      </c>
      <c r="Q38" s="8" t="e">
        <v>#N/A</v>
      </c>
      <c r="R38" s="8" t="e">
        <v>#N/A</v>
      </c>
      <c r="S38" s="8">
        <v>27468</v>
      </c>
      <c r="T38" s="8">
        <v>508</v>
      </c>
      <c r="U38" s="8">
        <v>200</v>
      </c>
      <c r="V38" s="8">
        <v>4964</v>
      </c>
      <c r="W38" s="8">
        <v>213</v>
      </c>
      <c r="X38" s="8">
        <v>143</v>
      </c>
      <c r="Y38" s="8">
        <v>2000</v>
      </c>
      <c r="Z38" s="8">
        <v>4234</v>
      </c>
      <c r="AA38" s="8">
        <v>1288</v>
      </c>
      <c r="AB38" s="8">
        <v>1401</v>
      </c>
      <c r="AC38" s="8">
        <v>783</v>
      </c>
      <c r="AD38" s="8">
        <v>1060</v>
      </c>
      <c r="AE38" s="8">
        <v>232</v>
      </c>
      <c r="AF38" s="8">
        <v>1331</v>
      </c>
      <c r="AG38" s="8">
        <v>1362</v>
      </c>
      <c r="AH38" s="8">
        <v>1901</v>
      </c>
      <c r="AI38" s="8">
        <v>1934</v>
      </c>
      <c r="AJ38" s="8">
        <v>2558</v>
      </c>
      <c r="AK38" s="8">
        <v>608</v>
      </c>
      <c r="AL38" s="8">
        <v>749</v>
      </c>
      <c r="AM38" s="8">
        <v>0</v>
      </c>
      <c r="AN38" s="8">
        <v>19440</v>
      </c>
      <c r="AO38" s="8" t="e">
        <v>#N/A</v>
      </c>
      <c r="AP38" s="8">
        <v>2885</v>
      </c>
      <c r="AQ38" s="2">
        <v>10.199999999999999</v>
      </c>
      <c r="AR38" s="2" t="e">
        <v>#N/A</v>
      </c>
      <c r="AS38" s="2" t="e">
        <v>#N/A</v>
      </c>
      <c r="AT38" s="8" t="e">
        <v>#N/A</v>
      </c>
      <c r="AU38" s="8" t="e">
        <v>#N/A</v>
      </c>
      <c r="AV38" s="8" t="e">
        <v>#N/A</v>
      </c>
      <c r="AW38" s="8">
        <v>44491</v>
      </c>
      <c r="AX38" s="2">
        <v>63.5</v>
      </c>
      <c r="AY38" s="2">
        <v>69.099999999999994</v>
      </c>
      <c r="AZ38" s="2" t="e">
        <v>#N/A</v>
      </c>
      <c r="BA38" s="8" t="e">
        <v>#N/A</v>
      </c>
      <c r="BB38" s="8">
        <v>25345</v>
      </c>
      <c r="BC38" s="8" t="e">
        <v>#N/A</v>
      </c>
      <c r="BD38" s="8" t="e">
        <v>#N/A</v>
      </c>
      <c r="BE38" s="8" t="e">
        <v>#N/A</v>
      </c>
      <c r="BF38" s="8" t="e">
        <v>#N/A</v>
      </c>
      <c r="BG38" s="8">
        <v>2885</v>
      </c>
    </row>
    <row r="39" spans="1:59" x14ac:dyDescent="0.25">
      <c r="A39" t="s">
        <v>607</v>
      </c>
      <c r="B39" s="8" t="e">
        <v>#N/A</v>
      </c>
      <c r="C39" s="8" t="e">
        <v>#N/A</v>
      </c>
      <c r="D39" s="8" t="e">
        <v>#N/A</v>
      </c>
      <c r="E39" s="8" t="e">
        <v>#N/A</v>
      </c>
      <c r="F39" s="8" t="e">
        <v>#N/A</v>
      </c>
      <c r="G39" s="2" t="e">
        <v>#N/A</v>
      </c>
      <c r="H39" s="2" t="e">
        <v>#N/A</v>
      </c>
      <c r="I39" s="2" t="e">
        <v>#N/A</v>
      </c>
      <c r="J39" s="2" t="e">
        <v>#N/A</v>
      </c>
      <c r="K39" s="8" t="e">
        <v>#N/A</v>
      </c>
      <c r="L39" s="8" t="e">
        <v>#N/A</v>
      </c>
      <c r="M39" s="8" t="e">
        <v>#N/A</v>
      </c>
      <c r="N39" s="8" t="e">
        <v>#N/A</v>
      </c>
      <c r="O39" s="8" t="e">
        <v>#N/A</v>
      </c>
      <c r="P39" s="8" t="e">
        <v>#N/A</v>
      </c>
      <c r="Q39" s="8" t="e">
        <v>#N/A</v>
      </c>
      <c r="R39" s="8" t="e">
        <v>#N/A</v>
      </c>
      <c r="S39" s="8">
        <v>27735</v>
      </c>
      <c r="T39" s="8">
        <v>510</v>
      </c>
      <c r="U39" s="8">
        <v>196</v>
      </c>
      <c r="V39" s="8">
        <v>4980</v>
      </c>
      <c r="W39" s="8">
        <v>213</v>
      </c>
      <c r="X39" s="8">
        <v>143</v>
      </c>
      <c r="Y39" s="8">
        <v>2022</v>
      </c>
      <c r="Z39" s="8">
        <v>4291</v>
      </c>
      <c r="AA39" s="8">
        <v>1295</v>
      </c>
      <c r="AB39" s="8">
        <v>1442</v>
      </c>
      <c r="AC39" s="8">
        <v>791</v>
      </c>
      <c r="AD39" s="8">
        <v>1081</v>
      </c>
      <c r="AE39" s="8">
        <v>234</v>
      </c>
      <c r="AF39" s="8">
        <v>1345</v>
      </c>
      <c r="AG39" s="8">
        <v>1375</v>
      </c>
      <c r="AH39" s="8">
        <v>1894</v>
      </c>
      <c r="AI39" s="8">
        <v>1950</v>
      </c>
      <c r="AJ39" s="8">
        <v>2598</v>
      </c>
      <c r="AK39" s="8">
        <v>616</v>
      </c>
      <c r="AL39" s="8">
        <v>760</v>
      </c>
      <c r="AM39" s="8">
        <v>0</v>
      </c>
      <c r="AN39" s="8">
        <v>19671</v>
      </c>
      <c r="AO39" s="8" t="e">
        <v>#N/A</v>
      </c>
      <c r="AP39" s="8">
        <v>2741</v>
      </c>
      <c r="AQ39" s="2">
        <v>9.6999999999999993</v>
      </c>
      <c r="AR39" s="2" t="e">
        <v>#N/A</v>
      </c>
      <c r="AS39" s="2" t="e">
        <v>#N/A</v>
      </c>
      <c r="AT39" s="8" t="e">
        <v>#N/A</v>
      </c>
      <c r="AU39" s="8" t="e">
        <v>#N/A</v>
      </c>
      <c r="AV39" s="8" t="e">
        <v>#N/A</v>
      </c>
      <c r="AW39" s="8">
        <v>44528</v>
      </c>
      <c r="AX39" s="2">
        <v>63.6</v>
      </c>
      <c r="AY39" s="2">
        <v>69.7</v>
      </c>
      <c r="AZ39" s="2" t="e">
        <v>#N/A</v>
      </c>
      <c r="BA39" s="8" t="e">
        <v>#N/A</v>
      </c>
      <c r="BB39" s="8">
        <v>25575</v>
      </c>
      <c r="BC39" s="8" t="e">
        <v>#N/A</v>
      </c>
      <c r="BD39" s="8" t="e">
        <v>#N/A</v>
      </c>
      <c r="BE39" s="8" t="e">
        <v>#N/A</v>
      </c>
      <c r="BF39" s="8" t="e">
        <v>#N/A</v>
      </c>
      <c r="BG39" s="8">
        <v>2741</v>
      </c>
    </row>
    <row r="40" spans="1:59" x14ac:dyDescent="0.25">
      <c r="A40" t="s">
        <v>608</v>
      </c>
      <c r="B40" s="8" t="e">
        <v>#N/A</v>
      </c>
      <c r="C40" s="8" t="e">
        <v>#N/A</v>
      </c>
      <c r="D40" s="8" t="e">
        <v>#N/A</v>
      </c>
      <c r="E40" s="8" t="e">
        <v>#N/A</v>
      </c>
      <c r="F40" s="8" t="e">
        <v>#N/A</v>
      </c>
      <c r="G40" s="2" t="e">
        <v>#N/A</v>
      </c>
      <c r="H40" s="2" t="e">
        <v>#N/A</v>
      </c>
      <c r="I40" s="2" t="e">
        <v>#N/A</v>
      </c>
      <c r="J40" s="2" t="e">
        <v>#N/A</v>
      </c>
      <c r="K40" s="8" t="e">
        <v>#N/A</v>
      </c>
      <c r="L40" s="8" t="e">
        <v>#N/A</v>
      </c>
      <c r="M40" s="8" t="e">
        <v>#N/A</v>
      </c>
      <c r="N40" s="8" t="e">
        <v>#N/A</v>
      </c>
      <c r="O40" s="8" t="e">
        <v>#N/A</v>
      </c>
      <c r="P40" s="8" t="e">
        <v>#N/A</v>
      </c>
      <c r="Q40" s="8" t="e">
        <v>#N/A</v>
      </c>
      <c r="R40" s="8" t="e">
        <v>#N/A</v>
      </c>
      <c r="S40" s="8">
        <v>27956</v>
      </c>
      <c r="T40" s="8">
        <v>509</v>
      </c>
      <c r="U40" s="8">
        <v>188</v>
      </c>
      <c r="V40" s="8">
        <v>4997</v>
      </c>
      <c r="W40" s="8">
        <v>211</v>
      </c>
      <c r="X40" s="8">
        <v>143</v>
      </c>
      <c r="Y40" s="8">
        <v>2051</v>
      </c>
      <c r="Z40" s="8">
        <v>4318</v>
      </c>
      <c r="AA40" s="8">
        <v>1303</v>
      </c>
      <c r="AB40" s="8">
        <v>1469</v>
      </c>
      <c r="AC40" s="8">
        <v>799</v>
      </c>
      <c r="AD40" s="8">
        <v>1090</v>
      </c>
      <c r="AE40" s="8">
        <v>238</v>
      </c>
      <c r="AF40" s="8">
        <v>1367</v>
      </c>
      <c r="AG40" s="8">
        <v>1393</v>
      </c>
      <c r="AH40" s="8">
        <v>1884</v>
      </c>
      <c r="AI40" s="8">
        <v>1967</v>
      </c>
      <c r="AJ40" s="8">
        <v>2642</v>
      </c>
      <c r="AK40" s="8">
        <v>620</v>
      </c>
      <c r="AL40" s="8">
        <v>766</v>
      </c>
      <c r="AM40" s="8">
        <v>0</v>
      </c>
      <c r="AN40" s="8">
        <v>19856</v>
      </c>
      <c r="AO40" s="8" t="e">
        <v>#N/A</v>
      </c>
      <c r="AP40" s="8">
        <v>2613</v>
      </c>
      <c r="AQ40" s="2">
        <v>9.1999999999999993</v>
      </c>
      <c r="AR40" s="2" t="e">
        <v>#N/A</v>
      </c>
      <c r="AS40" s="2" t="e">
        <v>#N/A</v>
      </c>
      <c r="AT40" s="8" t="e">
        <v>#N/A</v>
      </c>
      <c r="AU40" s="8" t="e">
        <v>#N/A</v>
      </c>
      <c r="AV40" s="8" t="e">
        <v>#N/A</v>
      </c>
      <c r="AW40" s="8">
        <v>44565</v>
      </c>
      <c r="AX40" s="2">
        <v>63.7</v>
      </c>
      <c r="AY40" s="2">
        <v>70.2</v>
      </c>
      <c r="AZ40" s="2" t="e">
        <v>#N/A</v>
      </c>
      <c r="BA40" s="8" t="e">
        <v>#N/A</v>
      </c>
      <c r="BB40" s="8">
        <v>25795</v>
      </c>
      <c r="BC40" s="8" t="e">
        <v>#N/A</v>
      </c>
      <c r="BD40" s="8" t="e">
        <v>#N/A</v>
      </c>
      <c r="BE40" s="8" t="e">
        <v>#N/A</v>
      </c>
      <c r="BF40" s="8" t="e">
        <v>#N/A</v>
      </c>
      <c r="BG40" s="8">
        <v>2613</v>
      </c>
    </row>
    <row r="41" spans="1:59" x14ac:dyDescent="0.25">
      <c r="A41" t="s">
        <v>609</v>
      </c>
      <c r="B41" s="8" t="e">
        <v>#N/A</v>
      </c>
      <c r="C41" s="8" t="e">
        <v>#N/A</v>
      </c>
      <c r="D41" s="8" t="e">
        <v>#N/A</v>
      </c>
      <c r="E41" s="8" t="e">
        <v>#N/A</v>
      </c>
      <c r="F41" s="8" t="e">
        <v>#N/A</v>
      </c>
      <c r="G41" s="2" t="e">
        <v>#N/A</v>
      </c>
      <c r="H41" s="2" t="e">
        <v>#N/A</v>
      </c>
      <c r="I41" s="2" t="e">
        <v>#N/A</v>
      </c>
      <c r="J41" s="2" t="e">
        <v>#N/A</v>
      </c>
      <c r="K41" s="8" t="e">
        <v>#N/A</v>
      </c>
      <c r="L41" s="8" t="e">
        <v>#N/A</v>
      </c>
      <c r="M41" s="8" t="e">
        <v>#N/A</v>
      </c>
      <c r="N41" s="8" t="e">
        <v>#N/A</v>
      </c>
      <c r="O41" s="8" t="e">
        <v>#N/A</v>
      </c>
      <c r="P41" s="8" t="e">
        <v>#N/A</v>
      </c>
      <c r="Q41" s="8" t="e">
        <v>#N/A</v>
      </c>
      <c r="R41" s="8" t="e">
        <v>#N/A</v>
      </c>
      <c r="S41" s="8">
        <v>28157</v>
      </c>
      <c r="T41" s="8">
        <v>509</v>
      </c>
      <c r="U41" s="8">
        <v>180</v>
      </c>
      <c r="V41" s="8">
        <v>5007</v>
      </c>
      <c r="W41" s="8">
        <v>212</v>
      </c>
      <c r="X41" s="8">
        <v>143</v>
      </c>
      <c r="Y41" s="8">
        <v>2065</v>
      </c>
      <c r="Z41" s="8">
        <v>4357</v>
      </c>
      <c r="AA41" s="8">
        <v>1311</v>
      </c>
      <c r="AB41" s="8">
        <v>1488</v>
      </c>
      <c r="AC41" s="8">
        <v>806</v>
      </c>
      <c r="AD41" s="8">
        <v>1109</v>
      </c>
      <c r="AE41" s="8">
        <v>243</v>
      </c>
      <c r="AF41" s="8">
        <v>1393</v>
      </c>
      <c r="AG41" s="8">
        <v>1413</v>
      </c>
      <c r="AH41" s="8">
        <v>1873</v>
      </c>
      <c r="AI41" s="8">
        <v>1981</v>
      </c>
      <c r="AJ41" s="8">
        <v>2680</v>
      </c>
      <c r="AK41" s="8">
        <v>618</v>
      </c>
      <c r="AL41" s="8">
        <v>768</v>
      </c>
      <c r="AM41" s="8">
        <v>0</v>
      </c>
      <c r="AN41" s="8">
        <v>20040</v>
      </c>
      <c r="AO41" s="8" t="e">
        <v>#N/A</v>
      </c>
      <c r="AP41" s="8">
        <v>2490</v>
      </c>
      <c r="AQ41" s="2">
        <v>8.6999999999999993</v>
      </c>
      <c r="AR41" s="2" t="e">
        <v>#N/A</v>
      </c>
      <c r="AS41" s="2" t="e">
        <v>#N/A</v>
      </c>
      <c r="AT41" s="8" t="e">
        <v>#N/A</v>
      </c>
      <c r="AU41" s="8" t="e">
        <v>#N/A</v>
      </c>
      <c r="AV41" s="8" t="e">
        <v>#N/A</v>
      </c>
      <c r="AW41" s="8">
        <v>44603</v>
      </c>
      <c r="AX41" s="2">
        <v>63.8</v>
      </c>
      <c r="AY41" s="2">
        <v>70.7</v>
      </c>
      <c r="AZ41" s="2" t="e">
        <v>#N/A</v>
      </c>
      <c r="BA41" s="8" t="e">
        <v>#N/A</v>
      </c>
      <c r="BB41" s="8">
        <v>25970</v>
      </c>
      <c r="BC41" s="8" t="e">
        <v>#N/A</v>
      </c>
      <c r="BD41" s="8" t="e">
        <v>#N/A</v>
      </c>
      <c r="BE41" s="8" t="e">
        <v>#N/A</v>
      </c>
      <c r="BF41" s="8" t="e">
        <v>#N/A</v>
      </c>
      <c r="BG41" s="8">
        <v>2490</v>
      </c>
    </row>
    <row r="42" spans="1:59" x14ac:dyDescent="0.25">
      <c r="A42" t="s">
        <v>610</v>
      </c>
      <c r="B42" s="8" t="e">
        <v>#N/A</v>
      </c>
      <c r="C42" s="8" t="e">
        <v>#N/A</v>
      </c>
      <c r="D42" s="8" t="e">
        <v>#N/A</v>
      </c>
      <c r="E42" s="8" t="e">
        <v>#N/A</v>
      </c>
      <c r="F42" s="8" t="e">
        <v>#N/A</v>
      </c>
      <c r="G42" s="2" t="e">
        <v>#N/A</v>
      </c>
      <c r="H42" s="2" t="e">
        <v>#N/A</v>
      </c>
      <c r="I42" s="2" t="e">
        <v>#N/A</v>
      </c>
      <c r="J42" s="2" t="e">
        <v>#N/A</v>
      </c>
      <c r="K42" s="8" t="e">
        <v>#N/A</v>
      </c>
      <c r="L42" s="8" t="e">
        <v>#N/A</v>
      </c>
      <c r="M42" s="8" t="e">
        <v>#N/A</v>
      </c>
      <c r="N42" s="8" t="e">
        <v>#N/A</v>
      </c>
      <c r="O42" s="8" t="e">
        <v>#N/A</v>
      </c>
      <c r="P42" s="8" t="e">
        <v>#N/A</v>
      </c>
      <c r="Q42" s="8" t="e">
        <v>#N/A</v>
      </c>
      <c r="R42" s="8" t="e">
        <v>#N/A</v>
      </c>
      <c r="S42" s="8">
        <v>28435</v>
      </c>
      <c r="T42" s="8">
        <v>512</v>
      </c>
      <c r="U42" s="8">
        <v>179</v>
      </c>
      <c r="V42" s="8">
        <v>5017</v>
      </c>
      <c r="W42" s="8">
        <v>212</v>
      </c>
      <c r="X42" s="8">
        <v>144</v>
      </c>
      <c r="Y42" s="8">
        <v>2084</v>
      </c>
      <c r="Z42" s="8">
        <v>4417</v>
      </c>
      <c r="AA42" s="8">
        <v>1322</v>
      </c>
      <c r="AB42" s="8">
        <v>1527</v>
      </c>
      <c r="AC42" s="8">
        <v>813</v>
      </c>
      <c r="AD42" s="8">
        <v>1133</v>
      </c>
      <c r="AE42" s="8">
        <v>249</v>
      </c>
      <c r="AF42" s="8">
        <v>1428</v>
      </c>
      <c r="AG42" s="8">
        <v>1444</v>
      </c>
      <c r="AH42" s="8">
        <v>1857</v>
      </c>
      <c r="AI42" s="8">
        <v>1998</v>
      </c>
      <c r="AJ42" s="8">
        <v>2695</v>
      </c>
      <c r="AK42" s="8">
        <v>625</v>
      </c>
      <c r="AL42" s="8">
        <v>778</v>
      </c>
      <c r="AM42" s="8">
        <v>0</v>
      </c>
      <c r="AN42" s="8">
        <v>20286</v>
      </c>
      <c r="AO42" s="8" t="e">
        <v>#N/A</v>
      </c>
      <c r="AP42" s="8">
        <v>2385</v>
      </c>
      <c r="AQ42" s="2">
        <v>8.4</v>
      </c>
      <c r="AR42" s="2" t="e">
        <v>#N/A</v>
      </c>
      <c r="AS42" s="2" t="e">
        <v>#N/A</v>
      </c>
      <c r="AT42" s="8" t="e">
        <v>#N/A</v>
      </c>
      <c r="AU42" s="8" t="e">
        <v>#N/A</v>
      </c>
      <c r="AV42" s="8" t="e">
        <v>#N/A</v>
      </c>
      <c r="AW42" s="8">
        <v>44640</v>
      </c>
      <c r="AX42" s="2">
        <v>63.9</v>
      </c>
      <c r="AY42" s="2">
        <v>71.099999999999994</v>
      </c>
      <c r="AZ42" s="2" t="e">
        <v>#N/A</v>
      </c>
      <c r="BA42" s="8" t="e">
        <v>#N/A</v>
      </c>
      <c r="BB42" s="8">
        <v>26160</v>
      </c>
      <c r="BC42" s="8" t="e">
        <v>#N/A</v>
      </c>
      <c r="BD42" s="8" t="e">
        <v>#N/A</v>
      </c>
      <c r="BE42" s="8" t="e">
        <v>#N/A</v>
      </c>
      <c r="BF42" s="8" t="e">
        <v>#N/A</v>
      </c>
      <c r="BG42" s="8">
        <v>2385</v>
      </c>
    </row>
    <row r="43" spans="1:59" x14ac:dyDescent="0.25">
      <c r="A43" t="s">
        <v>611</v>
      </c>
      <c r="B43" s="8" t="e">
        <v>#N/A</v>
      </c>
      <c r="C43" s="8" t="e">
        <v>#N/A</v>
      </c>
      <c r="D43" s="8" t="e">
        <v>#N/A</v>
      </c>
      <c r="E43" s="8" t="e">
        <v>#N/A</v>
      </c>
      <c r="F43" s="8" t="e">
        <v>#N/A</v>
      </c>
      <c r="G43" s="2" t="e">
        <v>#N/A</v>
      </c>
      <c r="H43" s="2" t="e">
        <v>#N/A</v>
      </c>
      <c r="I43" s="2" t="e">
        <v>#N/A</v>
      </c>
      <c r="J43" s="2" t="e">
        <v>#N/A</v>
      </c>
      <c r="K43" s="8" t="e">
        <v>#N/A</v>
      </c>
      <c r="L43" s="8" t="e">
        <v>#N/A</v>
      </c>
      <c r="M43" s="8" t="e">
        <v>#N/A</v>
      </c>
      <c r="N43" s="8" t="e">
        <v>#N/A</v>
      </c>
      <c r="O43" s="8" t="e">
        <v>#N/A</v>
      </c>
      <c r="P43" s="8" t="e">
        <v>#N/A</v>
      </c>
      <c r="Q43" s="8" t="e">
        <v>#N/A</v>
      </c>
      <c r="R43" s="8" t="e">
        <v>#N/A</v>
      </c>
      <c r="S43" s="8">
        <v>28644</v>
      </c>
      <c r="T43" s="8">
        <v>518</v>
      </c>
      <c r="U43" s="8">
        <v>176</v>
      </c>
      <c r="V43" s="8">
        <v>5033</v>
      </c>
      <c r="W43" s="8">
        <v>211</v>
      </c>
      <c r="X43" s="8">
        <v>145</v>
      </c>
      <c r="Y43" s="8">
        <v>2114</v>
      </c>
      <c r="Z43" s="8">
        <v>4484</v>
      </c>
      <c r="AA43" s="8">
        <v>1331</v>
      </c>
      <c r="AB43" s="8">
        <v>1558</v>
      </c>
      <c r="AC43" s="8">
        <v>822</v>
      </c>
      <c r="AD43" s="8">
        <v>1145</v>
      </c>
      <c r="AE43" s="8">
        <v>252</v>
      </c>
      <c r="AF43" s="8">
        <v>1445</v>
      </c>
      <c r="AG43" s="8">
        <v>1462</v>
      </c>
      <c r="AH43" s="8">
        <v>1802</v>
      </c>
      <c r="AI43" s="8">
        <v>2007</v>
      </c>
      <c r="AJ43" s="8">
        <v>2717</v>
      </c>
      <c r="AK43" s="8">
        <v>633</v>
      </c>
      <c r="AL43" s="8">
        <v>789</v>
      </c>
      <c r="AM43" s="8">
        <v>0</v>
      </c>
      <c r="AN43" s="8">
        <v>20447</v>
      </c>
      <c r="AO43" s="8" t="e">
        <v>#N/A</v>
      </c>
      <c r="AP43" s="8">
        <v>2293</v>
      </c>
      <c r="AQ43" s="2">
        <v>8</v>
      </c>
      <c r="AR43" s="2" t="e">
        <v>#N/A</v>
      </c>
      <c r="AS43" s="2" t="e">
        <v>#N/A</v>
      </c>
      <c r="AT43" s="8" t="e">
        <v>#N/A</v>
      </c>
      <c r="AU43" s="8" t="e">
        <v>#N/A</v>
      </c>
      <c r="AV43" s="8" t="e">
        <v>#N/A</v>
      </c>
      <c r="AW43" s="8">
        <v>44676</v>
      </c>
      <c r="AX43" s="2">
        <v>64.099999999999994</v>
      </c>
      <c r="AY43" s="2">
        <v>71.5</v>
      </c>
      <c r="AZ43" s="2" t="e">
        <v>#N/A</v>
      </c>
      <c r="BA43" s="8" t="e">
        <v>#N/A</v>
      </c>
      <c r="BB43" s="8">
        <v>26355</v>
      </c>
      <c r="BC43" s="8" t="e">
        <v>#N/A</v>
      </c>
      <c r="BD43" s="8" t="e">
        <v>#N/A</v>
      </c>
      <c r="BE43" s="8" t="e">
        <v>#N/A</v>
      </c>
      <c r="BF43" s="8" t="e">
        <v>#N/A</v>
      </c>
      <c r="BG43" s="8">
        <v>2293</v>
      </c>
    </row>
    <row r="44" spans="1:59" x14ac:dyDescent="0.25">
      <c r="A44" t="s">
        <v>612</v>
      </c>
      <c r="B44" s="8" t="e">
        <v>#N/A</v>
      </c>
      <c r="C44" s="8" t="e">
        <v>#N/A</v>
      </c>
      <c r="D44" s="8" t="e">
        <v>#N/A</v>
      </c>
      <c r="E44" s="8" t="e">
        <v>#N/A</v>
      </c>
      <c r="F44" s="8" t="e">
        <v>#N/A</v>
      </c>
      <c r="G44" s="2" t="e">
        <v>#N/A</v>
      </c>
      <c r="H44" s="2" t="e">
        <v>#N/A</v>
      </c>
      <c r="I44" s="2" t="e">
        <v>#N/A</v>
      </c>
      <c r="J44" s="2" t="e">
        <v>#N/A</v>
      </c>
      <c r="K44" s="8" t="e">
        <v>#N/A</v>
      </c>
      <c r="L44" s="8" t="e">
        <v>#N/A</v>
      </c>
      <c r="M44" s="8" t="e">
        <v>#N/A</v>
      </c>
      <c r="N44" s="8" t="e">
        <v>#N/A</v>
      </c>
      <c r="O44" s="8" t="e">
        <v>#N/A</v>
      </c>
      <c r="P44" s="8" t="e">
        <v>#N/A</v>
      </c>
      <c r="Q44" s="8" t="e">
        <v>#N/A</v>
      </c>
      <c r="R44" s="8" t="e">
        <v>#N/A</v>
      </c>
      <c r="S44" s="8">
        <v>28955</v>
      </c>
      <c r="T44" s="8">
        <v>521</v>
      </c>
      <c r="U44" s="8">
        <v>172</v>
      </c>
      <c r="V44" s="8">
        <v>5037</v>
      </c>
      <c r="W44" s="8">
        <v>210</v>
      </c>
      <c r="X44" s="8">
        <v>145</v>
      </c>
      <c r="Y44" s="8">
        <v>2152</v>
      </c>
      <c r="Z44" s="8">
        <v>4556</v>
      </c>
      <c r="AA44" s="8">
        <v>1339</v>
      </c>
      <c r="AB44" s="8">
        <v>1603</v>
      </c>
      <c r="AC44" s="8">
        <v>831</v>
      </c>
      <c r="AD44" s="8">
        <v>1158</v>
      </c>
      <c r="AE44" s="8">
        <v>256</v>
      </c>
      <c r="AF44" s="8">
        <v>1467</v>
      </c>
      <c r="AG44" s="8">
        <v>1485</v>
      </c>
      <c r="AH44" s="8">
        <v>1789</v>
      </c>
      <c r="AI44" s="8">
        <v>2029</v>
      </c>
      <c r="AJ44" s="8">
        <v>2754</v>
      </c>
      <c r="AK44" s="8">
        <v>643</v>
      </c>
      <c r="AL44" s="8">
        <v>805</v>
      </c>
      <c r="AM44" s="8">
        <v>0</v>
      </c>
      <c r="AN44" s="8">
        <v>20717</v>
      </c>
      <c r="AO44" s="8" t="e">
        <v>#N/A</v>
      </c>
      <c r="AP44" s="8">
        <v>2179</v>
      </c>
      <c r="AQ44" s="2">
        <v>7.6</v>
      </c>
      <c r="AR44" s="2" t="e">
        <v>#N/A</v>
      </c>
      <c r="AS44" s="2" t="e">
        <v>#N/A</v>
      </c>
      <c r="AT44" s="8">
        <v>64</v>
      </c>
      <c r="AU44" s="8">
        <v>58</v>
      </c>
      <c r="AV44" s="8" t="e">
        <v>#N/A</v>
      </c>
      <c r="AW44" s="8">
        <v>44713</v>
      </c>
      <c r="AX44" s="2">
        <v>64.3</v>
      </c>
      <c r="AY44" s="2">
        <v>72.099999999999994</v>
      </c>
      <c r="AZ44" s="2" t="e">
        <v>#N/A</v>
      </c>
      <c r="BA44" s="8" t="e">
        <v>#N/A</v>
      </c>
      <c r="BB44" s="8">
        <v>26590</v>
      </c>
      <c r="BC44" s="8" t="e">
        <v>#N/A</v>
      </c>
      <c r="BD44" s="8" t="e">
        <v>#N/A</v>
      </c>
      <c r="BE44" s="8" t="e">
        <v>#N/A</v>
      </c>
      <c r="BF44" s="8" t="e">
        <v>#N/A</v>
      </c>
      <c r="BG44" s="8">
        <v>2179</v>
      </c>
    </row>
    <row r="45" spans="1:59" x14ac:dyDescent="0.25">
      <c r="A45" t="s">
        <v>613</v>
      </c>
      <c r="B45" s="8" t="e">
        <v>#N/A</v>
      </c>
      <c r="C45" s="8" t="e">
        <v>#N/A</v>
      </c>
      <c r="D45" s="8" t="e">
        <v>#N/A</v>
      </c>
      <c r="E45" s="8" t="e">
        <v>#N/A</v>
      </c>
      <c r="F45" s="8" t="e">
        <v>#N/A</v>
      </c>
      <c r="G45" s="2" t="e">
        <v>#N/A</v>
      </c>
      <c r="H45" s="2" t="e">
        <v>#N/A</v>
      </c>
      <c r="I45" s="2" t="e">
        <v>#N/A</v>
      </c>
      <c r="J45" s="2" t="e">
        <v>#N/A</v>
      </c>
      <c r="K45" s="8" t="e">
        <v>#N/A</v>
      </c>
      <c r="L45" s="8" t="e">
        <v>#N/A</v>
      </c>
      <c r="M45" s="8" t="e">
        <v>#N/A</v>
      </c>
      <c r="N45" s="8" t="e">
        <v>#N/A</v>
      </c>
      <c r="O45" s="8" t="e">
        <v>#N/A</v>
      </c>
      <c r="P45" s="8" t="e">
        <v>#N/A</v>
      </c>
      <c r="Q45" s="8" t="e">
        <v>#N/A</v>
      </c>
      <c r="R45" s="8" t="e">
        <v>#N/A</v>
      </c>
      <c r="S45" s="8">
        <v>29046</v>
      </c>
      <c r="T45" s="8">
        <v>517</v>
      </c>
      <c r="U45" s="8">
        <v>169</v>
      </c>
      <c r="V45" s="8">
        <v>5031</v>
      </c>
      <c r="W45" s="8">
        <v>206</v>
      </c>
      <c r="X45" s="8">
        <v>146</v>
      </c>
      <c r="Y45" s="8">
        <v>2195</v>
      </c>
      <c r="Z45" s="8">
        <v>4572</v>
      </c>
      <c r="AA45" s="8">
        <v>1360</v>
      </c>
      <c r="AB45" s="8">
        <v>1614</v>
      </c>
      <c r="AC45" s="8">
        <v>836</v>
      </c>
      <c r="AD45" s="8">
        <v>1160</v>
      </c>
      <c r="AE45" s="8">
        <v>260</v>
      </c>
      <c r="AF45" s="8">
        <v>1487</v>
      </c>
      <c r="AG45" s="8">
        <v>1499</v>
      </c>
      <c r="AH45" s="8">
        <v>1792</v>
      </c>
      <c r="AI45" s="8">
        <v>2037</v>
      </c>
      <c r="AJ45" s="8">
        <v>2715</v>
      </c>
      <c r="AK45" s="8">
        <v>643</v>
      </c>
      <c r="AL45" s="8">
        <v>808</v>
      </c>
      <c r="AM45" s="8">
        <v>0</v>
      </c>
      <c r="AN45" s="8">
        <v>20782</v>
      </c>
      <c r="AO45" s="8" t="e">
        <v>#N/A</v>
      </c>
      <c r="AP45" s="8">
        <v>2083</v>
      </c>
      <c r="AQ45" s="2">
        <v>7.2</v>
      </c>
      <c r="AR45" s="2" t="e">
        <v>#N/A</v>
      </c>
      <c r="AS45" s="2" t="e">
        <v>#N/A</v>
      </c>
      <c r="AT45" s="8">
        <v>63</v>
      </c>
      <c r="AU45" s="8">
        <v>56</v>
      </c>
      <c r="AV45" s="8" t="e">
        <v>#N/A</v>
      </c>
      <c r="AW45" s="8">
        <v>44750</v>
      </c>
      <c r="AX45" s="2">
        <v>64.400000000000006</v>
      </c>
      <c r="AY45" s="2">
        <v>72.400000000000006</v>
      </c>
      <c r="AZ45" s="2" t="e">
        <v>#N/A</v>
      </c>
      <c r="BA45" s="8" t="e">
        <v>#N/A</v>
      </c>
      <c r="BB45" s="8">
        <v>26730</v>
      </c>
      <c r="BC45" s="8" t="e">
        <v>#N/A</v>
      </c>
      <c r="BD45" s="8" t="e">
        <v>#N/A</v>
      </c>
      <c r="BE45" s="8" t="e">
        <v>#N/A</v>
      </c>
      <c r="BF45" s="8" t="e">
        <v>#N/A</v>
      </c>
      <c r="BG45" s="8">
        <v>2083</v>
      </c>
    </row>
    <row r="46" spans="1:59" x14ac:dyDescent="0.25">
      <c r="A46" t="s">
        <v>614</v>
      </c>
      <c r="B46" s="8" t="e">
        <v>#N/A</v>
      </c>
      <c r="C46" s="8" t="e">
        <v>#N/A</v>
      </c>
      <c r="D46" s="8" t="e">
        <v>#N/A</v>
      </c>
      <c r="E46" s="8" t="e">
        <v>#N/A</v>
      </c>
      <c r="F46" s="8" t="e">
        <v>#N/A</v>
      </c>
      <c r="G46" s="2" t="e">
        <v>#N/A</v>
      </c>
      <c r="H46" s="2" t="e">
        <v>#N/A</v>
      </c>
      <c r="I46" s="2" t="e">
        <v>#N/A</v>
      </c>
      <c r="J46" s="2" t="e">
        <v>#N/A</v>
      </c>
      <c r="K46" s="8" t="e">
        <v>#N/A</v>
      </c>
      <c r="L46" s="8" t="e">
        <v>#N/A</v>
      </c>
      <c r="M46" s="8" t="e">
        <v>#N/A</v>
      </c>
      <c r="N46" s="8" t="e">
        <v>#N/A</v>
      </c>
      <c r="O46" s="8" t="e">
        <v>#N/A</v>
      </c>
      <c r="P46" s="8" t="e">
        <v>#N/A</v>
      </c>
      <c r="Q46" s="8" t="e">
        <v>#N/A</v>
      </c>
      <c r="R46" s="8" t="e">
        <v>#N/A</v>
      </c>
      <c r="S46" s="8">
        <v>29152</v>
      </c>
      <c r="T46" s="8">
        <v>517</v>
      </c>
      <c r="U46" s="8">
        <v>164</v>
      </c>
      <c r="V46" s="8">
        <v>5043</v>
      </c>
      <c r="W46" s="8">
        <v>203</v>
      </c>
      <c r="X46" s="8">
        <v>147</v>
      </c>
      <c r="Y46" s="8">
        <v>2207</v>
      </c>
      <c r="Z46" s="8">
        <v>4585</v>
      </c>
      <c r="AA46" s="8">
        <v>1370</v>
      </c>
      <c r="AB46" s="8">
        <v>1635</v>
      </c>
      <c r="AC46" s="8">
        <v>836</v>
      </c>
      <c r="AD46" s="8">
        <v>1164</v>
      </c>
      <c r="AE46" s="8">
        <v>264</v>
      </c>
      <c r="AF46" s="8">
        <v>1509</v>
      </c>
      <c r="AG46" s="8">
        <v>1525</v>
      </c>
      <c r="AH46" s="8">
        <v>1797</v>
      </c>
      <c r="AI46" s="8">
        <v>2057</v>
      </c>
      <c r="AJ46" s="8">
        <v>2677</v>
      </c>
      <c r="AK46" s="8">
        <v>643</v>
      </c>
      <c r="AL46" s="8">
        <v>810</v>
      </c>
      <c r="AM46" s="8">
        <v>0</v>
      </c>
      <c r="AN46" s="8">
        <v>20870</v>
      </c>
      <c r="AO46" s="8" t="e">
        <v>#N/A</v>
      </c>
      <c r="AP46" s="8">
        <v>2045</v>
      </c>
      <c r="AQ46" s="2">
        <v>7.1</v>
      </c>
      <c r="AR46" s="2" t="e">
        <v>#N/A</v>
      </c>
      <c r="AS46" s="2" t="e">
        <v>#N/A</v>
      </c>
      <c r="AT46" s="8">
        <v>66</v>
      </c>
      <c r="AU46" s="8">
        <v>62</v>
      </c>
      <c r="AV46" s="8" t="e">
        <v>#N/A</v>
      </c>
      <c r="AW46" s="8">
        <v>44782</v>
      </c>
      <c r="AX46" s="2">
        <v>64.400000000000006</v>
      </c>
      <c r="AY46" s="2">
        <v>72.599999999999994</v>
      </c>
      <c r="AZ46" s="2" t="e">
        <v>#N/A</v>
      </c>
      <c r="BA46" s="8" t="e">
        <v>#N/A</v>
      </c>
      <c r="BB46" s="8">
        <v>26795</v>
      </c>
      <c r="BC46" s="8" t="e">
        <v>#N/A</v>
      </c>
      <c r="BD46" s="8" t="e">
        <v>#N/A</v>
      </c>
      <c r="BE46" s="8" t="e">
        <v>#N/A</v>
      </c>
      <c r="BF46" s="8" t="e">
        <v>#N/A</v>
      </c>
      <c r="BG46" s="8">
        <v>2045</v>
      </c>
    </row>
    <row r="47" spans="1:59" x14ac:dyDescent="0.25">
      <c r="A47" t="s">
        <v>615</v>
      </c>
      <c r="B47" s="8" t="e">
        <v>#N/A</v>
      </c>
      <c r="C47" s="8" t="e">
        <v>#N/A</v>
      </c>
      <c r="D47" s="8" t="e">
        <v>#N/A</v>
      </c>
      <c r="E47" s="8" t="e">
        <v>#N/A</v>
      </c>
      <c r="F47" s="8" t="e">
        <v>#N/A</v>
      </c>
      <c r="G47" s="2" t="e">
        <v>#N/A</v>
      </c>
      <c r="H47" s="2" t="e">
        <v>#N/A</v>
      </c>
      <c r="I47" s="2" t="e">
        <v>#N/A</v>
      </c>
      <c r="J47" s="2" t="e">
        <v>#N/A</v>
      </c>
      <c r="K47" s="8" t="e">
        <v>#N/A</v>
      </c>
      <c r="L47" s="8" t="e">
        <v>#N/A</v>
      </c>
      <c r="M47" s="8" t="e">
        <v>#N/A</v>
      </c>
      <c r="N47" s="8" t="e">
        <v>#N/A</v>
      </c>
      <c r="O47" s="8" t="e">
        <v>#N/A</v>
      </c>
      <c r="P47" s="8" t="e">
        <v>#N/A</v>
      </c>
      <c r="Q47" s="8" t="e">
        <v>#N/A</v>
      </c>
      <c r="R47" s="8" t="e">
        <v>#N/A</v>
      </c>
      <c r="S47" s="8">
        <v>29267</v>
      </c>
      <c r="T47" s="8">
        <v>516</v>
      </c>
      <c r="U47" s="8">
        <v>163</v>
      </c>
      <c r="V47" s="8">
        <v>5011</v>
      </c>
      <c r="W47" s="8">
        <v>200</v>
      </c>
      <c r="X47" s="8">
        <v>147</v>
      </c>
      <c r="Y47" s="8">
        <v>2202</v>
      </c>
      <c r="Z47" s="8">
        <v>4613</v>
      </c>
      <c r="AA47" s="8">
        <v>1382</v>
      </c>
      <c r="AB47" s="8">
        <v>1663</v>
      </c>
      <c r="AC47" s="8">
        <v>842</v>
      </c>
      <c r="AD47" s="8">
        <v>1165</v>
      </c>
      <c r="AE47" s="8">
        <v>266</v>
      </c>
      <c r="AF47" s="8">
        <v>1522</v>
      </c>
      <c r="AG47" s="8">
        <v>1544</v>
      </c>
      <c r="AH47" s="8">
        <v>1815</v>
      </c>
      <c r="AI47" s="8">
        <v>2064</v>
      </c>
      <c r="AJ47" s="8">
        <v>2718</v>
      </c>
      <c r="AK47" s="8">
        <v>634</v>
      </c>
      <c r="AL47" s="8">
        <v>801</v>
      </c>
      <c r="AM47" s="8">
        <v>0</v>
      </c>
      <c r="AN47" s="8">
        <v>21028</v>
      </c>
      <c r="AO47" s="8" t="e">
        <v>#N/A</v>
      </c>
      <c r="AP47" s="8">
        <v>2021</v>
      </c>
      <c r="AQ47" s="2">
        <v>7</v>
      </c>
      <c r="AR47" s="2" t="e">
        <v>#N/A</v>
      </c>
      <c r="AS47" s="2" t="e">
        <v>#N/A</v>
      </c>
      <c r="AT47" s="8">
        <v>60</v>
      </c>
      <c r="AU47" s="8">
        <v>53</v>
      </c>
      <c r="AV47" s="8" t="e">
        <v>#N/A</v>
      </c>
      <c r="AW47" s="8">
        <v>44805</v>
      </c>
      <c r="AX47" s="2">
        <v>64.5</v>
      </c>
      <c r="AY47" s="2">
        <v>72.8</v>
      </c>
      <c r="AZ47" s="2" t="e">
        <v>#N/A</v>
      </c>
      <c r="BA47" s="8" t="e">
        <v>#N/A</v>
      </c>
      <c r="BB47" s="8">
        <v>26880</v>
      </c>
      <c r="BC47" s="8" t="e">
        <v>#N/A</v>
      </c>
      <c r="BD47" s="8" t="e">
        <v>#N/A</v>
      </c>
      <c r="BE47" s="8" t="e">
        <v>#N/A</v>
      </c>
      <c r="BF47" s="8" t="e">
        <v>#N/A</v>
      </c>
      <c r="BG47" s="8">
        <v>2021</v>
      </c>
    </row>
    <row r="48" spans="1:59" x14ac:dyDescent="0.25">
      <c r="A48" t="s">
        <v>616</v>
      </c>
      <c r="B48" s="8" t="e">
        <v>#N/A</v>
      </c>
      <c r="C48" s="8" t="e">
        <v>#N/A</v>
      </c>
      <c r="D48" s="8" t="e">
        <v>#N/A</v>
      </c>
      <c r="E48" s="8" t="e">
        <v>#N/A</v>
      </c>
      <c r="F48" s="8" t="e">
        <v>#N/A</v>
      </c>
      <c r="G48" s="2" t="e">
        <v>#N/A</v>
      </c>
      <c r="H48" s="2" t="e">
        <v>#N/A</v>
      </c>
      <c r="I48" s="2" t="e">
        <v>#N/A</v>
      </c>
      <c r="J48" s="2" t="e">
        <v>#N/A</v>
      </c>
      <c r="K48" s="8" t="e">
        <v>#N/A</v>
      </c>
      <c r="L48" s="8" t="e">
        <v>#N/A</v>
      </c>
      <c r="M48" s="8" t="e">
        <v>#N/A</v>
      </c>
      <c r="N48" s="8" t="e">
        <v>#N/A</v>
      </c>
      <c r="O48" s="8" t="e">
        <v>#N/A</v>
      </c>
      <c r="P48" s="8" t="e">
        <v>#N/A</v>
      </c>
      <c r="Q48" s="8" t="e">
        <v>#N/A</v>
      </c>
      <c r="R48" s="8" t="e">
        <v>#N/A</v>
      </c>
      <c r="S48" s="8">
        <v>29291</v>
      </c>
      <c r="T48" s="8">
        <v>516</v>
      </c>
      <c r="U48" s="8">
        <v>161</v>
      </c>
      <c r="V48" s="8">
        <v>4963</v>
      </c>
      <c r="W48" s="8">
        <v>197</v>
      </c>
      <c r="X48" s="8">
        <v>146</v>
      </c>
      <c r="Y48" s="8">
        <v>2212</v>
      </c>
      <c r="Z48" s="8">
        <v>4618</v>
      </c>
      <c r="AA48" s="8">
        <v>1388</v>
      </c>
      <c r="AB48" s="8">
        <v>1669</v>
      </c>
      <c r="AC48" s="8">
        <v>844</v>
      </c>
      <c r="AD48" s="8">
        <v>1170</v>
      </c>
      <c r="AE48" s="8">
        <v>267</v>
      </c>
      <c r="AF48" s="8">
        <v>1533</v>
      </c>
      <c r="AG48" s="8">
        <v>1556</v>
      </c>
      <c r="AH48" s="8">
        <v>1821</v>
      </c>
      <c r="AI48" s="8">
        <v>2060</v>
      </c>
      <c r="AJ48" s="8">
        <v>2736</v>
      </c>
      <c r="AK48" s="8">
        <v>633</v>
      </c>
      <c r="AL48" s="8">
        <v>800</v>
      </c>
      <c r="AM48" s="8">
        <v>0</v>
      </c>
      <c r="AN48" s="8">
        <v>21095</v>
      </c>
      <c r="AO48" s="8" t="e">
        <v>#N/A</v>
      </c>
      <c r="AP48" s="8">
        <v>2004</v>
      </c>
      <c r="AQ48" s="2">
        <v>6.9</v>
      </c>
      <c r="AR48" s="2" t="e">
        <v>#N/A</v>
      </c>
      <c r="AS48" s="2" t="e">
        <v>#N/A</v>
      </c>
      <c r="AT48" s="8">
        <v>67</v>
      </c>
      <c r="AU48" s="8">
        <v>60</v>
      </c>
      <c r="AV48" s="8" t="e">
        <v>#N/A</v>
      </c>
      <c r="AW48" s="8">
        <v>44829</v>
      </c>
      <c r="AX48" s="2">
        <v>64.5</v>
      </c>
      <c r="AY48" s="2">
        <v>72.8</v>
      </c>
      <c r="AZ48" s="2" t="e">
        <v>#N/A</v>
      </c>
      <c r="BA48" s="8" t="e">
        <v>#N/A</v>
      </c>
      <c r="BB48" s="8">
        <v>26900</v>
      </c>
      <c r="BC48" s="8" t="e">
        <v>#N/A</v>
      </c>
      <c r="BD48" s="8" t="e">
        <v>#N/A</v>
      </c>
      <c r="BE48" s="8" t="e">
        <v>#N/A</v>
      </c>
      <c r="BF48" s="8" t="e">
        <v>#N/A</v>
      </c>
      <c r="BG48" s="8">
        <v>2004</v>
      </c>
    </row>
    <row r="49" spans="1:59" x14ac:dyDescent="0.25">
      <c r="A49" t="s">
        <v>617</v>
      </c>
      <c r="B49" s="8" t="e">
        <v>#N/A</v>
      </c>
      <c r="C49" s="8" t="e">
        <v>#N/A</v>
      </c>
      <c r="D49" s="8" t="e">
        <v>#N/A</v>
      </c>
      <c r="E49" s="8" t="e">
        <v>#N/A</v>
      </c>
      <c r="F49" s="8" t="e">
        <v>#N/A</v>
      </c>
      <c r="G49" s="2" t="e">
        <v>#N/A</v>
      </c>
      <c r="H49" s="2" t="e">
        <v>#N/A</v>
      </c>
      <c r="I49" s="2" t="e">
        <v>#N/A</v>
      </c>
      <c r="J49" s="2" t="e">
        <v>#N/A</v>
      </c>
      <c r="K49" s="8" t="e">
        <v>#N/A</v>
      </c>
      <c r="L49" s="8" t="e">
        <v>#N/A</v>
      </c>
      <c r="M49" s="8" t="e">
        <v>#N/A</v>
      </c>
      <c r="N49" s="8" t="e">
        <v>#N/A</v>
      </c>
      <c r="O49" s="8" t="e">
        <v>#N/A</v>
      </c>
      <c r="P49" s="8" t="e">
        <v>#N/A</v>
      </c>
      <c r="Q49" s="8" t="e">
        <v>#N/A</v>
      </c>
      <c r="R49" s="8" t="e">
        <v>#N/A</v>
      </c>
      <c r="S49" s="8">
        <v>29370</v>
      </c>
      <c r="T49" s="8">
        <v>516</v>
      </c>
      <c r="U49" s="8">
        <v>159</v>
      </c>
      <c r="V49" s="8">
        <v>4925</v>
      </c>
      <c r="W49" s="8">
        <v>197</v>
      </c>
      <c r="X49" s="8">
        <v>145</v>
      </c>
      <c r="Y49" s="8">
        <v>2221</v>
      </c>
      <c r="Z49" s="8">
        <v>4645</v>
      </c>
      <c r="AA49" s="8">
        <v>1386</v>
      </c>
      <c r="AB49" s="8">
        <v>1675</v>
      </c>
      <c r="AC49" s="8">
        <v>847</v>
      </c>
      <c r="AD49" s="8">
        <v>1172</v>
      </c>
      <c r="AE49" s="8">
        <v>270</v>
      </c>
      <c r="AF49" s="8">
        <v>1549</v>
      </c>
      <c r="AG49" s="8">
        <v>1577</v>
      </c>
      <c r="AH49" s="8">
        <v>1827</v>
      </c>
      <c r="AI49" s="8">
        <v>2060</v>
      </c>
      <c r="AJ49" s="8">
        <v>2752</v>
      </c>
      <c r="AK49" s="8">
        <v>642</v>
      </c>
      <c r="AL49" s="8">
        <v>806</v>
      </c>
      <c r="AM49" s="8">
        <v>0</v>
      </c>
      <c r="AN49" s="8">
        <v>21208</v>
      </c>
      <c r="AO49" s="8" t="e">
        <v>#N/A</v>
      </c>
      <c r="AP49" s="8">
        <v>2002</v>
      </c>
      <c r="AQ49" s="2">
        <v>6.9</v>
      </c>
      <c r="AR49" s="2" t="e">
        <v>#N/A</v>
      </c>
      <c r="AS49" s="2" t="e">
        <v>#N/A</v>
      </c>
      <c r="AT49" s="8">
        <v>73</v>
      </c>
      <c r="AU49" s="8">
        <v>60</v>
      </c>
      <c r="AV49" s="8" t="e">
        <v>#N/A</v>
      </c>
      <c r="AW49" s="8">
        <v>44852</v>
      </c>
      <c r="AX49" s="2">
        <v>64.5</v>
      </c>
      <c r="AY49" s="2">
        <v>72.8</v>
      </c>
      <c r="AZ49" s="2" t="e">
        <v>#N/A</v>
      </c>
      <c r="BA49" s="8" t="e">
        <v>#N/A</v>
      </c>
      <c r="BB49" s="8">
        <v>26935</v>
      </c>
      <c r="BC49" s="8" t="e">
        <v>#N/A</v>
      </c>
      <c r="BD49" s="8" t="e">
        <v>#N/A</v>
      </c>
      <c r="BE49" s="8" t="e">
        <v>#N/A</v>
      </c>
      <c r="BF49" s="8" t="e">
        <v>#N/A</v>
      </c>
      <c r="BG49" s="8">
        <v>2002</v>
      </c>
    </row>
    <row r="50" spans="1:59" x14ac:dyDescent="0.25">
      <c r="A50" t="s">
        <v>618</v>
      </c>
      <c r="B50" s="8" t="e">
        <v>#N/A</v>
      </c>
      <c r="C50" s="8" t="e">
        <v>#N/A</v>
      </c>
      <c r="D50" s="8" t="e">
        <v>#N/A</v>
      </c>
      <c r="E50" s="8" t="e">
        <v>#N/A</v>
      </c>
      <c r="F50" s="8" t="e">
        <v>#N/A</v>
      </c>
      <c r="G50" s="2" t="e">
        <v>#N/A</v>
      </c>
      <c r="H50" s="2" t="e">
        <v>#N/A</v>
      </c>
      <c r="I50" s="2" t="e">
        <v>#N/A</v>
      </c>
      <c r="J50" s="2" t="e">
        <v>#N/A</v>
      </c>
      <c r="K50" s="8" t="e">
        <v>#N/A</v>
      </c>
      <c r="L50" s="8" t="e">
        <v>#N/A</v>
      </c>
      <c r="M50" s="8" t="e">
        <v>#N/A</v>
      </c>
      <c r="N50" s="8" t="e">
        <v>#N/A</v>
      </c>
      <c r="O50" s="8" t="e">
        <v>#N/A</v>
      </c>
      <c r="P50" s="8" t="e">
        <v>#N/A</v>
      </c>
      <c r="Q50" s="8" t="e">
        <v>#N/A</v>
      </c>
      <c r="R50" s="8" t="e">
        <v>#N/A</v>
      </c>
      <c r="S50" s="8">
        <v>29254</v>
      </c>
      <c r="T50" s="8">
        <v>509</v>
      </c>
      <c r="U50" s="8">
        <v>156</v>
      </c>
      <c r="V50" s="8">
        <v>4875</v>
      </c>
      <c r="W50" s="8">
        <v>196</v>
      </c>
      <c r="X50" s="8">
        <v>143</v>
      </c>
      <c r="Y50" s="8">
        <v>2199</v>
      </c>
      <c r="Z50" s="8">
        <v>4639</v>
      </c>
      <c r="AA50" s="8">
        <v>1388</v>
      </c>
      <c r="AB50" s="8">
        <v>1689</v>
      </c>
      <c r="AC50" s="8">
        <v>840</v>
      </c>
      <c r="AD50" s="8">
        <v>1180</v>
      </c>
      <c r="AE50" s="8">
        <v>269</v>
      </c>
      <c r="AF50" s="8">
        <v>1545</v>
      </c>
      <c r="AG50" s="8">
        <v>1571</v>
      </c>
      <c r="AH50" s="8">
        <v>1830</v>
      </c>
      <c r="AI50" s="8">
        <v>2034</v>
      </c>
      <c r="AJ50" s="8">
        <v>2750</v>
      </c>
      <c r="AK50" s="8">
        <v>640</v>
      </c>
      <c r="AL50" s="8">
        <v>801</v>
      </c>
      <c r="AM50" s="8">
        <v>0</v>
      </c>
      <c r="AN50" s="8">
        <v>21176</v>
      </c>
      <c r="AO50" s="8" t="e">
        <v>#N/A</v>
      </c>
      <c r="AP50" s="8">
        <v>2049</v>
      </c>
      <c r="AQ50" s="2">
        <v>7.1</v>
      </c>
      <c r="AR50" s="2" t="e">
        <v>#N/A</v>
      </c>
      <c r="AS50" s="2" t="e">
        <v>#N/A</v>
      </c>
      <c r="AT50" s="8">
        <v>62</v>
      </c>
      <c r="AU50" s="8">
        <v>55</v>
      </c>
      <c r="AV50" s="8" t="e">
        <v>#N/A</v>
      </c>
      <c r="AW50" s="8">
        <v>44875</v>
      </c>
      <c r="AX50" s="2">
        <v>64.5</v>
      </c>
      <c r="AY50" s="2">
        <v>72.7</v>
      </c>
      <c r="AZ50" s="2" t="e">
        <v>#N/A</v>
      </c>
      <c r="BA50" s="8" t="e">
        <v>#N/A</v>
      </c>
      <c r="BB50" s="8">
        <v>26900</v>
      </c>
      <c r="BC50" s="8" t="e">
        <v>#N/A</v>
      </c>
      <c r="BD50" s="8" t="e">
        <v>#N/A</v>
      </c>
      <c r="BE50" s="8" t="e">
        <v>#N/A</v>
      </c>
      <c r="BF50" s="8" t="e">
        <v>#N/A</v>
      </c>
      <c r="BG50" s="8">
        <v>2049</v>
      </c>
    </row>
    <row r="51" spans="1:59" x14ac:dyDescent="0.25">
      <c r="A51" t="s">
        <v>619</v>
      </c>
      <c r="B51" s="8" t="e">
        <v>#N/A</v>
      </c>
      <c r="C51" s="8" t="e">
        <v>#N/A</v>
      </c>
      <c r="D51" s="8" t="e">
        <v>#N/A</v>
      </c>
      <c r="E51" s="8" t="e">
        <v>#N/A</v>
      </c>
      <c r="F51" s="8" t="e">
        <v>#N/A</v>
      </c>
      <c r="G51" s="2" t="e">
        <v>#N/A</v>
      </c>
      <c r="H51" s="2" t="e">
        <v>#N/A</v>
      </c>
      <c r="I51" s="2" t="e">
        <v>#N/A</v>
      </c>
      <c r="J51" s="2" t="e">
        <v>#N/A</v>
      </c>
      <c r="K51" s="8" t="e">
        <v>#N/A</v>
      </c>
      <c r="L51" s="8" t="e">
        <v>#N/A</v>
      </c>
      <c r="M51" s="8" t="e">
        <v>#N/A</v>
      </c>
      <c r="N51" s="8" t="e">
        <v>#N/A</v>
      </c>
      <c r="O51" s="8" t="e">
        <v>#N/A</v>
      </c>
      <c r="P51" s="8" t="e">
        <v>#N/A</v>
      </c>
      <c r="Q51" s="8" t="e">
        <v>#N/A</v>
      </c>
      <c r="R51" s="8" t="e">
        <v>#N/A</v>
      </c>
      <c r="S51" s="8">
        <v>29046</v>
      </c>
      <c r="T51" s="8">
        <v>502</v>
      </c>
      <c r="U51" s="8">
        <v>152</v>
      </c>
      <c r="V51" s="8">
        <v>4768</v>
      </c>
      <c r="W51" s="8">
        <v>195</v>
      </c>
      <c r="X51" s="8">
        <v>140</v>
      </c>
      <c r="Y51" s="8">
        <v>2168</v>
      </c>
      <c r="Z51" s="8">
        <v>4608</v>
      </c>
      <c r="AA51" s="8">
        <v>1381</v>
      </c>
      <c r="AB51" s="8">
        <v>1694</v>
      </c>
      <c r="AC51" s="8">
        <v>833</v>
      </c>
      <c r="AD51" s="8">
        <v>1166</v>
      </c>
      <c r="AE51" s="8">
        <v>266</v>
      </c>
      <c r="AF51" s="8">
        <v>1531</v>
      </c>
      <c r="AG51" s="8">
        <v>1565</v>
      </c>
      <c r="AH51" s="8">
        <v>1829</v>
      </c>
      <c r="AI51" s="8">
        <v>2049</v>
      </c>
      <c r="AJ51" s="8">
        <v>2771</v>
      </c>
      <c r="AK51" s="8">
        <v>634</v>
      </c>
      <c r="AL51" s="8">
        <v>793</v>
      </c>
      <c r="AM51" s="8">
        <v>0</v>
      </c>
      <c r="AN51" s="8">
        <v>21121</v>
      </c>
      <c r="AO51" s="8" t="e">
        <v>#N/A</v>
      </c>
      <c r="AP51" s="8">
        <v>2158</v>
      </c>
      <c r="AQ51" s="2">
        <v>7.5</v>
      </c>
      <c r="AR51" s="2" t="e">
        <v>#N/A</v>
      </c>
      <c r="AS51" s="2" t="e">
        <v>#N/A</v>
      </c>
      <c r="AT51" s="8">
        <v>57</v>
      </c>
      <c r="AU51" s="8">
        <v>47</v>
      </c>
      <c r="AV51" s="8" t="e">
        <v>#N/A</v>
      </c>
      <c r="AW51" s="8">
        <v>44898</v>
      </c>
      <c r="AX51" s="2">
        <v>64.400000000000006</v>
      </c>
      <c r="AY51" s="2">
        <v>72.3</v>
      </c>
      <c r="AZ51" s="2" t="e">
        <v>#N/A</v>
      </c>
      <c r="BA51" s="8" t="e">
        <v>#N/A</v>
      </c>
      <c r="BB51" s="8">
        <v>26750</v>
      </c>
      <c r="BC51" s="8" t="e">
        <v>#N/A</v>
      </c>
      <c r="BD51" s="8" t="e">
        <v>#N/A</v>
      </c>
      <c r="BE51" s="8" t="e">
        <v>#N/A</v>
      </c>
      <c r="BF51" s="8" t="e">
        <v>#N/A</v>
      </c>
      <c r="BG51" s="8">
        <v>2158</v>
      </c>
    </row>
    <row r="52" spans="1:59" x14ac:dyDescent="0.25">
      <c r="A52" t="s">
        <v>620</v>
      </c>
      <c r="B52" s="8" t="e">
        <v>#N/A</v>
      </c>
      <c r="C52" s="8" t="e">
        <v>#N/A</v>
      </c>
      <c r="D52" s="8" t="e">
        <v>#N/A</v>
      </c>
      <c r="E52" s="8" t="e">
        <v>#N/A</v>
      </c>
      <c r="F52" s="8" t="e">
        <v>#N/A</v>
      </c>
      <c r="G52" s="2" t="e">
        <v>#N/A</v>
      </c>
      <c r="H52" s="2" t="e">
        <v>#N/A</v>
      </c>
      <c r="I52" s="2" t="e">
        <v>#N/A</v>
      </c>
      <c r="J52" s="2" t="e">
        <v>#N/A</v>
      </c>
      <c r="K52" s="8" t="e">
        <v>#N/A</v>
      </c>
      <c r="L52" s="8" t="e">
        <v>#N/A</v>
      </c>
      <c r="M52" s="8" t="e">
        <v>#N/A</v>
      </c>
      <c r="N52" s="8" t="e">
        <v>#N/A</v>
      </c>
      <c r="O52" s="8" t="e">
        <v>#N/A</v>
      </c>
      <c r="P52" s="8" t="e">
        <v>#N/A</v>
      </c>
      <c r="Q52" s="8" t="e">
        <v>#N/A</v>
      </c>
      <c r="R52" s="8" t="e">
        <v>#N/A</v>
      </c>
      <c r="S52" s="8">
        <v>28742</v>
      </c>
      <c r="T52" s="8">
        <v>501</v>
      </c>
      <c r="U52" s="8">
        <v>148</v>
      </c>
      <c r="V52" s="8">
        <v>4631</v>
      </c>
      <c r="W52" s="8">
        <v>193</v>
      </c>
      <c r="X52" s="8">
        <v>138</v>
      </c>
      <c r="Y52" s="8">
        <v>2120</v>
      </c>
      <c r="Z52" s="8">
        <v>4579</v>
      </c>
      <c r="AA52" s="8">
        <v>1367</v>
      </c>
      <c r="AB52" s="8">
        <v>1667</v>
      </c>
      <c r="AC52" s="8">
        <v>821</v>
      </c>
      <c r="AD52" s="8">
        <v>1160</v>
      </c>
      <c r="AE52" s="8">
        <v>264</v>
      </c>
      <c r="AF52" s="8">
        <v>1523</v>
      </c>
      <c r="AG52" s="8">
        <v>1565</v>
      </c>
      <c r="AH52" s="8">
        <v>1839</v>
      </c>
      <c r="AI52" s="8">
        <v>2042</v>
      </c>
      <c r="AJ52" s="8">
        <v>2783</v>
      </c>
      <c r="AK52" s="8">
        <v>623</v>
      </c>
      <c r="AL52" s="8">
        <v>778</v>
      </c>
      <c r="AM52" s="8">
        <v>0</v>
      </c>
      <c r="AN52" s="8">
        <v>21012</v>
      </c>
      <c r="AO52" s="8" t="e">
        <v>#N/A</v>
      </c>
      <c r="AP52" s="8">
        <v>2306</v>
      </c>
      <c r="AQ52" s="2">
        <v>8</v>
      </c>
      <c r="AR52" s="2" t="e">
        <v>#N/A</v>
      </c>
      <c r="AS52" s="2" t="e">
        <v>#N/A</v>
      </c>
      <c r="AT52" s="8">
        <v>32</v>
      </c>
      <c r="AU52" s="8">
        <v>36</v>
      </c>
      <c r="AV52" s="8" t="e">
        <v>#N/A</v>
      </c>
      <c r="AW52" s="8">
        <v>44920</v>
      </c>
      <c r="AX52" s="2">
        <v>64.2</v>
      </c>
      <c r="AY52" s="2">
        <v>71.7</v>
      </c>
      <c r="AZ52" s="2" t="e">
        <v>#N/A</v>
      </c>
      <c r="BA52" s="8" t="e">
        <v>#N/A</v>
      </c>
      <c r="BB52" s="8">
        <v>26530</v>
      </c>
      <c r="BC52" s="8" t="e">
        <v>#N/A</v>
      </c>
      <c r="BD52" s="8" t="e">
        <v>#N/A</v>
      </c>
      <c r="BE52" s="8" t="e">
        <v>#N/A</v>
      </c>
      <c r="BF52" s="8" t="e">
        <v>#N/A</v>
      </c>
      <c r="BG52" s="8">
        <v>2306</v>
      </c>
    </row>
    <row r="53" spans="1:59" x14ac:dyDescent="0.25">
      <c r="A53" t="s">
        <v>621</v>
      </c>
      <c r="B53" s="8">
        <v>5994</v>
      </c>
      <c r="C53" s="8" t="e">
        <v>#N/A</v>
      </c>
      <c r="D53" s="8" t="e">
        <v>#N/A</v>
      </c>
      <c r="E53" s="8" t="e">
        <v>#N/A</v>
      </c>
      <c r="F53" s="8" t="e">
        <v>#N/A</v>
      </c>
      <c r="G53" s="2" t="e">
        <v>#N/A</v>
      </c>
      <c r="H53" s="2" t="e">
        <v>#N/A</v>
      </c>
      <c r="I53" s="2" t="e">
        <v>#N/A</v>
      </c>
      <c r="J53" s="2" t="e">
        <v>#N/A</v>
      </c>
      <c r="K53" s="8" t="e">
        <v>#N/A</v>
      </c>
      <c r="L53" s="8" t="e">
        <v>#N/A</v>
      </c>
      <c r="M53" s="8" t="e">
        <v>#N/A</v>
      </c>
      <c r="N53" s="8" t="e">
        <v>#N/A</v>
      </c>
      <c r="O53" s="8" t="e">
        <v>#N/A</v>
      </c>
      <c r="P53" s="8" t="e">
        <v>#N/A</v>
      </c>
      <c r="Q53" s="8" t="e">
        <v>#N/A</v>
      </c>
      <c r="R53" s="8" t="e">
        <v>#N/A</v>
      </c>
      <c r="S53" s="8">
        <v>28445</v>
      </c>
      <c r="T53" s="8">
        <v>496</v>
      </c>
      <c r="U53" s="8">
        <v>145</v>
      </c>
      <c r="V53" s="8">
        <v>4509</v>
      </c>
      <c r="W53" s="8">
        <v>189</v>
      </c>
      <c r="X53" s="8">
        <v>138</v>
      </c>
      <c r="Y53" s="8">
        <v>2078</v>
      </c>
      <c r="Z53" s="8">
        <v>4553</v>
      </c>
      <c r="AA53" s="8">
        <v>1356</v>
      </c>
      <c r="AB53" s="8">
        <v>1636</v>
      </c>
      <c r="AC53" s="8">
        <v>811</v>
      </c>
      <c r="AD53" s="8">
        <v>1145</v>
      </c>
      <c r="AE53" s="8">
        <v>262</v>
      </c>
      <c r="AF53" s="8">
        <v>1509</v>
      </c>
      <c r="AG53" s="8">
        <v>1552</v>
      </c>
      <c r="AH53" s="8">
        <v>1837</v>
      </c>
      <c r="AI53" s="8">
        <v>2038</v>
      </c>
      <c r="AJ53" s="8">
        <v>2796</v>
      </c>
      <c r="AK53" s="8">
        <v>624</v>
      </c>
      <c r="AL53" s="8">
        <v>773</v>
      </c>
      <c r="AM53" s="8">
        <v>0</v>
      </c>
      <c r="AN53" s="8">
        <v>20891</v>
      </c>
      <c r="AO53" s="8" t="e">
        <v>#N/A</v>
      </c>
      <c r="AP53" s="8">
        <v>2492</v>
      </c>
      <c r="AQ53" s="2">
        <v>8.6999999999999993</v>
      </c>
      <c r="AR53" s="2" t="e">
        <v>#N/A</v>
      </c>
      <c r="AS53" s="2" t="e">
        <v>#N/A</v>
      </c>
      <c r="AT53" s="8">
        <v>34</v>
      </c>
      <c r="AU53" s="8">
        <v>29</v>
      </c>
      <c r="AV53" s="8" t="e">
        <v>#N/A</v>
      </c>
      <c r="AW53" s="8">
        <v>44941</v>
      </c>
      <c r="AX53" s="2">
        <v>64</v>
      </c>
      <c r="AY53" s="2">
        <v>71</v>
      </c>
      <c r="AZ53" s="2" t="e">
        <v>#N/A</v>
      </c>
      <c r="BA53" s="8" t="e">
        <v>#N/A</v>
      </c>
      <c r="BB53" s="8">
        <v>26275</v>
      </c>
      <c r="BC53" s="8" t="e">
        <v>#N/A</v>
      </c>
      <c r="BD53" s="8" t="e">
        <v>#N/A</v>
      </c>
      <c r="BE53" s="8" t="e">
        <v>#N/A</v>
      </c>
      <c r="BF53" s="8" t="e">
        <v>#N/A</v>
      </c>
      <c r="BG53" s="8">
        <v>2492</v>
      </c>
    </row>
    <row r="54" spans="1:59" x14ac:dyDescent="0.25">
      <c r="A54" t="s">
        <v>622</v>
      </c>
      <c r="B54" s="8" t="e">
        <v>#N/A</v>
      </c>
      <c r="C54" s="8" t="e">
        <v>#N/A</v>
      </c>
      <c r="D54" s="8" t="e">
        <v>#N/A</v>
      </c>
      <c r="E54" s="8" t="e">
        <v>#N/A</v>
      </c>
      <c r="F54" s="8" t="e">
        <v>#N/A</v>
      </c>
      <c r="G54" s="2" t="e">
        <v>#N/A</v>
      </c>
      <c r="H54" s="2" t="e">
        <v>#N/A</v>
      </c>
      <c r="I54" s="2" t="e">
        <v>#N/A</v>
      </c>
      <c r="J54" s="2" t="e">
        <v>#N/A</v>
      </c>
      <c r="K54" s="8" t="e">
        <v>#N/A</v>
      </c>
      <c r="L54" s="8" t="e">
        <v>#N/A</v>
      </c>
      <c r="M54" s="8" t="e">
        <v>#N/A</v>
      </c>
      <c r="N54" s="8" t="e">
        <v>#N/A</v>
      </c>
      <c r="O54" s="8" t="e">
        <v>#N/A</v>
      </c>
      <c r="P54" s="8" t="e">
        <v>#N/A</v>
      </c>
      <c r="Q54" s="8" t="e">
        <v>#N/A</v>
      </c>
      <c r="R54" s="8" t="e">
        <v>#N/A</v>
      </c>
      <c r="S54" s="8">
        <v>28265</v>
      </c>
      <c r="T54" s="8">
        <v>491</v>
      </c>
      <c r="U54" s="8">
        <v>142</v>
      </c>
      <c r="V54" s="8">
        <v>4432</v>
      </c>
      <c r="W54" s="8">
        <v>185</v>
      </c>
      <c r="X54" s="8">
        <v>137</v>
      </c>
      <c r="Y54" s="8">
        <v>2039</v>
      </c>
      <c r="Z54" s="8">
        <v>4556</v>
      </c>
      <c r="AA54" s="8">
        <v>1349</v>
      </c>
      <c r="AB54" s="8">
        <v>1619</v>
      </c>
      <c r="AC54" s="8">
        <v>804</v>
      </c>
      <c r="AD54" s="8">
        <v>1138</v>
      </c>
      <c r="AE54" s="8">
        <v>261</v>
      </c>
      <c r="AF54" s="8">
        <v>1507</v>
      </c>
      <c r="AG54" s="8">
        <v>1546</v>
      </c>
      <c r="AH54" s="8">
        <v>1842</v>
      </c>
      <c r="AI54" s="8">
        <v>2015</v>
      </c>
      <c r="AJ54" s="8">
        <v>2805</v>
      </c>
      <c r="AK54" s="8">
        <v>625</v>
      </c>
      <c r="AL54" s="8">
        <v>771</v>
      </c>
      <c r="AM54" s="8">
        <v>0</v>
      </c>
      <c r="AN54" s="8">
        <v>20840</v>
      </c>
      <c r="AO54" s="8" t="e">
        <v>#N/A</v>
      </c>
      <c r="AP54" s="8">
        <v>2624</v>
      </c>
      <c r="AQ54" s="2">
        <v>9.1999999999999993</v>
      </c>
      <c r="AR54" s="2" t="e">
        <v>#N/A</v>
      </c>
      <c r="AS54" s="2" t="e">
        <v>#N/A</v>
      </c>
      <c r="AT54" s="8">
        <v>27</v>
      </c>
      <c r="AU54" s="8">
        <v>20</v>
      </c>
      <c r="AV54" s="8" t="e">
        <v>#N/A</v>
      </c>
      <c r="AW54" s="8">
        <v>44958</v>
      </c>
      <c r="AX54" s="2">
        <v>63.7</v>
      </c>
      <c r="AY54" s="2">
        <v>70.3</v>
      </c>
      <c r="AZ54" s="2" t="e">
        <v>#N/A</v>
      </c>
      <c r="BA54" s="8" t="e">
        <v>#N/A</v>
      </c>
      <c r="BB54" s="8">
        <v>26025</v>
      </c>
      <c r="BC54" s="8" t="e">
        <v>#N/A</v>
      </c>
      <c r="BD54" s="8" t="e">
        <v>#N/A</v>
      </c>
      <c r="BE54" s="8" t="e">
        <v>#N/A</v>
      </c>
      <c r="BF54" s="8" t="e">
        <v>#N/A</v>
      </c>
      <c r="BG54" s="8">
        <v>2624</v>
      </c>
    </row>
    <row r="55" spans="1:59" x14ac:dyDescent="0.25">
      <c r="A55" t="s">
        <v>623</v>
      </c>
      <c r="B55" s="8" t="e">
        <v>#N/A</v>
      </c>
      <c r="C55" s="8" t="e">
        <v>#N/A</v>
      </c>
      <c r="D55" s="8" t="e">
        <v>#N/A</v>
      </c>
      <c r="E55" s="8" t="e">
        <v>#N/A</v>
      </c>
      <c r="F55" s="8" t="e">
        <v>#N/A</v>
      </c>
      <c r="G55" s="2" t="e">
        <v>#N/A</v>
      </c>
      <c r="H55" s="2" t="e">
        <v>#N/A</v>
      </c>
      <c r="I55" s="2" t="e">
        <v>#N/A</v>
      </c>
      <c r="J55" s="2" t="e">
        <v>#N/A</v>
      </c>
      <c r="K55" s="8" t="e">
        <v>#N/A</v>
      </c>
      <c r="L55" s="8" t="e">
        <v>#N/A</v>
      </c>
      <c r="M55" s="8" t="e">
        <v>#N/A</v>
      </c>
      <c r="N55" s="8" t="e">
        <v>#N/A</v>
      </c>
      <c r="O55" s="8" t="e">
        <v>#N/A</v>
      </c>
      <c r="P55" s="8" t="e">
        <v>#N/A</v>
      </c>
      <c r="Q55" s="8" t="e">
        <v>#N/A</v>
      </c>
      <c r="R55" s="8" t="e">
        <v>#N/A</v>
      </c>
      <c r="S55" s="8">
        <v>28129</v>
      </c>
      <c r="T55" s="8">
        <v>494</v>
      </c>
      <c r="U55" s="8">
        <v>133</v>
      </c>
      <c r="V55" s="8">
        <v>4379</v>
      </c>
      <c r="W55" s="8">
        <v>179</v>
      </c>
      <c r="X55" s="8">
        <v>140</v>
      </c>
      <c r="Y55" s="8">
        <v>2011</v>
      </c>
      <c r="Z55" s="8">
        <v>4541</v>
      </c>
      <c r="AA55" s="8">
        <v>1345</v>
      </c>
      <c r="AB55" s="8">
        <v>1581</v>
      </c>
      <c r="AC55" s="8">
        <v>802</v>
      </c>
      <c r="AD55" s="8">
        <v>1126</v>
      </c>
      <c r="AE55" s="8">
        <v>260</v>
      </c>
      <c r="AF55" s="8">
        <v>1501</v>
      </c>
      <c r="AG55" s="8">
        <v>1547</v>
      </c>
      <c r="AH55" s="8">
        <v>1848</v>
      </c>
      <c r="AI55" s="8">
        <v>2017</v>
      </c>
      <c r="AJ55" s="8">
        <v>2821</v>
      </c>
      <c r="AK55" s="8">
        <v>629</v>
      </c>
      <c r="AL55" s="8">
        <v>774</v>
      </c>
      <c r="AM55" s="8">
        <v>0</v>
      </c>
      <c r="AN55" s="8">
        <v>20793</v>
      </c>
      <c r="AO55" s="8" t="e">
        <v>#N/A</v>
      </c>
      <c r="AP55" s="8">
        <v>2697</v>
      </c>
      <c r="AQ55" s="2">
        <v>9.5</v>
      </c>
      <c r="AR55" s="2" t="e">
        <v>#N/A</v>
      </c>
      <c r="AS55" s="2" t="e">
        <v>#N/A</v>
      </c>
      <c r="AT55" s="8">
        <v>33</v>
      </c>
      <c r="AU55" s="8">
        <v>33</v>
      </c>
      <c r="AV55" s="8" t="e">
        <v>#N/A</v>
      </c>
      <c r="AW55" s="8">
        <v>44975</v>
      </c>
      <c r="AX55" s="2">
        <v>63.4</v>
      </c>
      <c r="AY55" s="2">
        <v>69.8</v>
      </c>
      <c r="AZ55" s="2" t="e">
        <v>#N/A</v>
      </c>
      <c r="BA55" s="8" t="e">
        <v>#N/A</v>
      </c>
      <c r="BB55" s="8">
        <v>25820</v>
      </c>
      <c r="BC55" s="8" t="e">
        <v>#N/A</v>
      </c>
      <c r="BD55" s="8" t="e">
        <v>#N/A</v>
      </c>
      <c r="BE55" s="8" t="e">
        <v>#N/A</v>
      </c>
      <c r="BF55" s="8" t="e">
        <v>#N/A</v>
      </c>
      <c r="BG55" s="8">
        <v>2697</v>
      </c>
    </row>
    <row r="56" spans="1:59" x14ac:dyDescent="0.25">
      <c r="A56" t="s">
        <v>624</v>
      </c>
      <c r="B56" s="8" t="e">
        <v>#N/A</v>
      </c>
      <c r="C56" s="8" t="e">
        <v>#N/A</v>
      </c>
      <c r="D56" s="8" t="e">
        <v>#N/A</v>
      </c>
      <c r="E56" s="8" t="e">
        <v>#N/A</v>
      </c>
      <c r="F56" s="8" t="e">
        <v>#N/A</v>
      </c>
      <c r="G56" s="2" t="e">
        <v>#N/A</v>
      </c>
      <c r="H56" s="2" t="e">
        <v>#N/A</v>
      </c>
      <c r="I56" s="2" t="e">
        <v>#N/A</v>
      </c>
      <c r="J56" s="2" t="e">
        <v>#N/A</v>
      </c>
      <c r="K56" s="8" t="e">
        <v>#N/A</v>
      </c>
      <c r="L56" s="8" t="e">
        <v>#N/A</v>
      </c>
      <c r="M56" s="8" t="e">
        <v>#N/A</v>
      </c>
      <c r="N56" s="8" t="e">
        <v>#N/A</v>
      </c>
      <c r="O56" s="8" t="e">
        <v>#N/A</v>
      </c>
      <c r="P56" s="8" t="e">
        <v>#N/A</v>
      </c>
      <c r="Q56" s="8" t="e">
        <v>#N/A</v>
      </c>
      <c r="R56" s="8" t="e">
        <v>#N/A</v>
      </c>
      <c r="S56" s="8">
        <v>28124</v>
      </c>
      <c r="T56" s="8">
        <v>496</v>
      </c>
      <c r="U56" s="8">
        <v>125</v>
      </c>
      <c r="V56" s="8">
        <v>4327</v>
      </c>
      <c r="W56" s="8">
        <v>174</v>
      </c>
      <c r="X56" s="8">
        <v>144</v>
      </c>
      <c r="Y56" s="8">
        <v>1983</v>
      </c>
      <c r="Z56" s="8">
        <v>4561</v>
      </c>
      <c r="AA56" s="8">
        <v>1343</v>
      </c>
      <c r="AB56" s="8">
        <v>1596</v>
      </c>
      <c r="AC56" s="8">
        <v>800</v>
      </c>
      <c r="AD56" s="8">
        <v>1113</v>
      </c>
      <c r="AE56" s="8">
        <v>261</v>
      </c>
      <c r="AF56" s="8">
        <v>1505</v>
      </c>
      <c r="AG56" s="8">
        <v>1551</v>
      </c>
      <c r="AH56" s="8">
        <v>1848</v>
      </c>
      <c r="AI56" s="8">
        <v>2030</v>
      </c>
      <c r="AJ56" s="8">
        <v>2853</v>
      </c>
      <c r="AK56" s="8">
        <v>636</v>
      </c>
      <c r="AL56" s="8">
        <v>779</v>
      </c>
      <c r="AM56" s="8">
        <v>0</v>
      </c>
      <c r="AN56" s="8">
        <v>20874</v>
      </c>
      <c r="AO56" s="8" t="e">
        <v>#N/A</v>
      </c>
      <c r="AP56" s="8">
        <v>2762</v>
      </c>
      <c r="AQ56" s="2">
        <v>9.6999999999999993</v>
      </c>
      <c r="AR56" s="2" t="e">
        <v>#N/A</v>
      </c>
      <c r="AS56" s="2" t="e">
        <v>#N/A</v>
      </c>
      <c r="AT56" s="8">
        <v>24</v>
      </c>
      <c r="AU56" s="8">
        <v>22</v>
      </c>
      <c r="AV56" s="8" t="e">
        <v>#N/A</v>
      </c>
      <c r="AW56" s="8">
        <v>44992</v>
      </c>
      <c r="AX56" s="2">
        <v>63.3</v>
      </c>
      <c r="AY56" s="2">
        <v>69.400000000000006</v>
      </c>
      <c r="AZ56" s="2" t="e">
        <v>#N/A</v>
      </c>
      <c r="BA56" s="8" t="e">
        <v>#N/A</v>
      </c>
      <c r="BB56" s="8">
        <v>25710</v>
      </c>
      <c r="BC56" s="8" t="e">
        <v>#N/A</v>
      </c>
      <c r="BD56" s="8" t="e">
        <v>#N/A</v>
      </c>
      <c r="BE56" s="8" t="e">
        <v>#N/A</v>
      </c>
      <c r="BF56" s="8" t="e">
        <v>#N/A</v>
      </c>
      <c r="BG56" s="8">
        <v>2762</v>
      </c>
    </row>
    <row r="57" spans="1:59" x14ac:dyDescent="0.25">
      <c r="A57" t="s">
        <v>625</v>
      </c>
      <c r="B57" s="8">
        <v>5919</v>
      </c>
      <c r="C57" s="8" t="e">
        <v>#N/A</v>
      </c>
      <c r="D57" s="8" t="e">
        <v>#N/A</v>
      </c>
      <c r="E57" s="8" t="e">
        <v>#N/A</v>
      </c>
      <c r="F57" s="8" t="e">
        <v>#N/A</v>
      </c>
      <c r="G57" s="2" t="e">
        <v>#N/A</v>
      </c>
      <c r="H57" s="2" t="e">
        <v>#N/A</v>
      </c>
      <c r="I57" s="2" t="e">
        <v>#N/A</v>
      </c>
      <c r="J57" s="2" t="e">
        <v>#N/A</v>
      </c>
      <c r="K57" s="8" t="e">
        <v>#N/A</v>
      </c>
      <c r="L57" s="8" t="e">
        <v>#N/A</v>
      </c>
      <c r="M57" s="8" t="e">
        <v>#N/A</v>
      </c>
      <c r="N57" s="8" t="e">
        <v>#N/A</v>
      </c>
      <c r="O57" s="8" t="e">
        <v>#N/A</v>
      </c>
      <c r="P57" s="8" t="e">
        <v>#N/A</v>
      </c>
      <c r="Q57" s="8" t="e">
        <v>#N/A</v>
      </c>
      <c r="R57" s="8" t="e">
        <v>#N/A</v>
      </c>
      <c r="S57" s="8">
        <v>27966</v>
      </c>
      <c r="T57" s="8">
        <v>493</v>
      </c>
      <c r="U57" s="8">
        <v>121</v>
      </c>
      <c r="V57" s="8">
        <v>4286</v>
      </c>
      <c r="W57" s="8">
        <v>168</v>
      </c>
      <c r="X57" s="8">
        <v>146</v>
      </c>
      <c r="Y57" s="8">
        <v>1953</v>
      </c>
      <c r="Z57" s="8">
        <v>4524</v>
      </c>
      <c r="AA57" s="8">
        <v>1326</v>
      </c>
      <c r="AB57" s="8">
        <v>1607</v>
      </c>
      <c r="AC57" s="8">
        <v>796</v>
      </c>
      <c r="AD57" s="8">
        <v>1111</v>
      </c>
      <c r="AE57" s="8">
        <v>261</v>
      </c>
      <c r="AF57" s="8">
        <v>1506</v>
      </c>
      <c r="AG57" s="8">
        <v>1549</v>
      </c>
      <c r="AH57" s="8">
        <v>1839</v>
      </c>
      <c r="AI57" s="8">
        <v>2009</v>
      </c>
      <c r="AJ57" s="8">
        <v>2861</v>
      </c>
      <c r="AK57" s="8">
        <v>635</v>
      </c>
      <c r="AL57" s="8">
        <v>775</v>
      </c>
      <c r="AM57" s="8">
        <v>0</v>
      </c>
      <c r="AN57" s="8">
        <v>20800</v>
      </c>
      <c r="AO57" s="8" t="e">
        <v>#N/A</v>
      </c>
      <c r="AP57" s="8">
        <v>2777</v>
      </c>
      <c r="AQ57" s="2">
        <v>9.8000000000000007</v>
      </c>
      <c r="AR57" s="2" t="e">
        <v>#N/A</v>
      </c>
      <c r="AS57" s="2" t="e">
        <v>#N/A</v>
      </c>
      <c r="AT57" s="8">
        <v>23</v>
      </c>
      <c r="AU57" s="8">
        <v>23</v>
      </c>
      <c r="AV57" s="8">
        <v>1005</v>
      </c>
      <c r="AW57" s="8">
        <v>44996</v>
      </c>
      <c r="AX57" s="2">
        <v>63.1</v>
      </c>
      <c r="AY57" s="2">
        <v>69.099999999999994</v>
      </c>
      <c r="AZ57" s="2">
        <v>33.200000000000003</v>
      </c>
      <c r="BA57" s="8" t="e">
        <v>#N/A</v>
      </c>
      <c r="BB57" s="8">
        <v>25605</v>
      </c>
      <c r="BC57" s="8" t="e">
        <v>#N/A</v>
      </c>
      <c r="BD57" s="8">
        <v>21576</v>
      </c>
      <c r="BE57" s="8">
        <v>663</v>
      </c>
      <c r="BF57" s="8">
        <v>1985</v>
      </c>
      <c r="BG57" s="8">
        <v>2777</v>
      </c>
    </row>
    <row r="58" spans="1:59" x14ac:dyDescent="0.25">
      <c r="A58" t="s">
        <v>626</v>
      </c>
      <c r="B58" s="8" t="e">
        <v>#N/A</v>
      </c>
      <c r="C58" s="8" t="e">
        <v>#N/A</v>
      </c>
      <c r="D58" s="8" t="e">
        <v>#N/A</v>
      </c>
      <c r="E58" s="8" t="e">
        <v>#N/A</v>
      </c>
      <c r="F58" s="8" t="e">
        <v>#N/A</v>
      </c>
      <c r="G58" s="2" t="e">
        <v>#N/A</v>
      </c>
      <c r="H58" s="2" t="e">
        <v>#N/A</v>
      </c>
      <c r="I58" s="2" t="e">
        <v>#N/A</v>
      </c>
      <c r="J58" s="2" t="e">
        <v>#N/A</v>
      </c>
      <c r="K58" s="8" t="e">
        <v>#N/A</v>
      </c>
      <c r="L58" s="8" t="e">
        <v>#N/A</v>
      </c>
      <c r="M58" s="8" t="e">
        <v>#N/A</v>
      </c>
      <c r="N58" s="8" t="e">
        <v>#N/A</v>
      </c>
      <c r="O58" s="8" t="e">
        <v>#N/A</v>
      </c>
      <c r="P58" s="8" t="e">
        <v>#N/A</v>
      </c>
      <c r="Q58" s="8" t="e">
        <v>#N/A</v>
      </c>
      <c r="R58" s="8" t="e">
        <v>#N/A</v>
      </c>
      <c r="S58" s="8">
        <v>27542</v>
      </c>
      <c r="T58" s="8">
        <v>491</v>
      </c>
      <c r="U58" s="8">
        <v>117</v>
      </c>
      <c r="V58" s="8">
        <v>4192</v>
      </c>
      <c r="W58" s="8">
        <v>166</v>
      </c>
      <c r="X58" s="8">
        <v>147</v>
      </c>
      <c r="Y58" s="8">
        <v>1915</v>
      </c>
      <c r="Z58" s="8">
        <v>4438</v>
      </c>
      <c r="AA58" s="8">
        <v>1291</v>
      </c>
      <c r="AB58" s="8">
        <v>1576</v>
      </c>
      <c r="AC58" s="8">
        <v>782</v>
      </c>
      <c r="AD58" s="8">
        <v>1089</v>
      </c>
      <c r="AE58" s="8">
        <v>259</v>
      </c>
      <c r="AF58" s="8">
        <v>1500</v>
      </c>
      <c r="AG58" s="8">
        <v>1534</v>
      </c>
      <c r="AH58" s="8">
        <v>1826</v>
      </c>
      <c r="AI58" s="8">
        <v>1990</v>
      </c>
      <c r="AJ58" s="8">
        <v>2839</v>
      </c>
      <c r="AK58" s="8">
        <v>628</v>
      </c>
      <c r="AL58" s="8">
        <v>764</v>
      </c>
      <c r="AM58" s="8">
        <v>0</v>
      </c>
      <c r="AN58" s="8">
        <v>20515</v>
      </c>
      <c r="AO58" s="8" t="e">
        <v>#N/A</v>
      </c>
      <c r="AP58" s="8">
        <v>2815</v>
      </c>
      <c r="AQ58" s="2">
        <v>9.9</v>
      </c>
      <c r="AR58" s="2" t="e">
        <v>#N/A</v>
      </c>
      <c r="AS58" s="2" t="e">
        <v>#N/A</v>
      </c>
      <c r="AT58" s="8">
        <v>28</v>
      </c>
      <c r="AU58" s="8">
        <v>28</v>
      </c>
      <c r="AV58" s="8">
        <v>1088</v>
      </c>
      <c r="AW58" s="8">
        <v>45003</v>
      </c>
      <c r="AX58" s="2">
        <v>62.9</v>
      </c>
      <c r="AY58" s="2">
        <v>68.900000000000006</v>
      </c>
      <c r="AZ58" s="2">
        <v>33</v>
      </c>
      <c r="BA58" s="8" t="e">
        <v>#N/A</v>
      </c>
      <c r="BB58" s="8">
        <v>25509</v>
      </c>
      <c r="BC58" s="8" t="e">
        <v>#N/A</v>
      </c>
      <c r="BD58" s="8">
        <v>21551</v>
      </c>
      <c r="BE58" s="8">
        <v>709</v>
      </c>
      <c r="BF58" s="8">
        <v>1996</v>
      </c>
      <c r="BG58" s="8">
        <v>2815</v>
      </c>
    </row>
    <row r="59" spans="1:59" x14ac:dyDescent="0.25">
      <c r="A59" t="s">
        <v>627</v>
      </c>
      <c r="B59" s="8" t="e">
        <v>#N/A</v>
      </c>
      <c r="C59" s="8" t="e">
        <v>#N/A</v>
      </c>
      <c r="D59" s="8" t="e">
        <v>#N/A</v>
      </c>
      <c r="E59" s="8" t="e">
        <v>#N/A</v>
      </c>
      <c r="F59" s="8" t="e">
        <v>#N/A</v>
      </c>
      <c r="G59" s="2" t="e">
        <v>#N/A</v>
      </c>
      <c r="H59" s="2" t="e">
        <v>#N/A</v>
      </c>
      <c r="I59" s="2" t="e">
        <v>#N/A</v>
      </c>
      <c r="J59" s="2" t="e">
        <v>#N/A</v>
      </c>
      <c r="K59" s="8" t="e">
        <v>#N/A</v>
      </c>
      <c r="L59" s="8" t="e">
        <v>#N/A</v>
      </c>
      <c r="M59" s="8" t="e">
        <v>#N/A</v>
      </c>
      <c r="N59" s="8" t="e">
        <v>#N/A</v>
      </c>
      <c r="O59" s="8" t="e">
        <v>#N/A</v>
      </c>
      <c r="P59" s="8" t="e">
        <v>#N/A</v>
      </c>
      <c r="Q59" s="8" t="e">
        <v>#N/A</v>
      </c>
      <c r="R59" s="8" t="e">
        <v>#N/A</v>
      </c>
      <c r="S59" s="8">
        <v>27417</v>
      </c>
      <c r="T59" s="8">
        <v>487</v>
      </c>
      <c r="U59" s="8">
        <v>108</v>
      </c>
      <c r="V59" s="8">
        <v>4104</v>
      </c>
      <c r="W59" s="8">
        <v>160</v>
      </c>
      <c r="X59" s="8">
        <v>149</v>
      </c>
      <c r="Y59" s="8">
        <v>1883</v>
      </c>
      <c r="Z59" s="8">
        <v>4439</v>
      </c>
      <c r="AA59" s="8">
        <v>1290</v>
      </c>
      <c r="AB59" s="8">
        <v>1583</v>
      </c>
      <c r="AC59" s="8">
        <v>780</v>
      </c>
      <c r="AD59" s="8">
        <v>1077</v>
      </c>
      <c r="AE59" s="8">
        <v>259</v>
      </c>
      <c r="AF59" s="8">
        <v>1500</v>
      </c>
      <c r="AG59" s="8">
        <v>1543</v>
      </c>
      <c r="AH59" s="8">
        <v>1815</v>
      </c>
      <c r="AI59" s="8">
        <v>1990</v>
      </c>
      <c r="AJ59" s="8">
        <v>2855</v>
      </c>
      <c r="AK59" s="8">
        <v>632</v>
      </c>
      <c r="AL59" s="8">
        <v>765</v>
      </c>
      <c r="AM59" s="8">
        <v>0</v>
      </c>
      <c r="AN59" s="8">
        <v>20526</v>
      </c>
      <c r="AO59" s="8" t="e">
        <v>#N/A</v>
      </c>
      <c r="AP59" s="8">
        <v>2932</v>
      </c>
      <c r="AQ59" s="2">
        <v>10.4</v>
      </c>
      <c r="AR59" s="2" t="e">
        <v>#N/A</v>
      </c>
      <c r="AS59" s="2" t="e">
        <v>#N/A</v>
      </c>
      <c r="AT59" s="8">
        <v>34</v>
      </c>
      <c r="AU59" s="8">
        <v>26</v>
      </c>
      <c r="AV59" s="8">
        <v>1176</v>
      </c>
      <c r="AW59" s="8">
        <v>45010</v>
      </c>
      <c r="AX59" s="2">
        <v>62.8</v>
      </c>
      <c r="AY59" s="2">
        <v>68.5</v>
      </c>
      <c r="AZ59" s="2">
        <v>32.9</v>
      </c>
      <c r="BA59" s="8" t="e">
        <v>#N/A</v>
      </c>
      <c r="BB59" s="8">
        <v>25336</v>
      </c>
      <c r="BC59" s="8" t="e">
        <v>#N/A</v>
      </c>
      <c r="BD59" s="8">
        <v>21429</v>
      </c>
      <c r="BE59" s="8">
        <v>732</v>
      </c>
      <c r="BF59" s="8">
        <v>2013</v>
      </c>
      <c r="BG59" s="8">
        <v>2932</v>
      </c>
    </row>
    <row r="60" spans="1:59" x14ac:dyDescent="0.25">
      <c r="A60" t="s">
        <v>628</v>
      </c>
      <c r="B60" s="8" t="e">
        <v>#N/A</v>
      </c>
      <c r="C60" s="8" t="e">
        <v>#N/A</v>
      </c>
      <c r="D60" s="8" t="e">
        <v>#N/A</v>
      </c>
      <c r="E60" s="8" t="e">
        <v>#N/A</v>
      </c>
      <c r="F60" s="8" t="e">
        <v>#N/A</v>
      </c>
      <c r="G60" s="2" t="e">
        <v>#N/A</v>
      </c>
      <c r="H60" s="2" t="e">
        <v>#N/A</v>
      </c>
      <c r="I60" s="2" t="e">
        <v>#N/A</v>
      </c>
      <c r="J60" s="2" t="e">
        <v>#N/A</v>
      </c>
      <c r="K60" s="8" t="e">
        <v>#N/A</v>
      </c>
      <c r="L60" s="8" t="e">
        <v>#N/A</v>
      </c>
      <c r="M60" s="8" t="e">
        <v>#N/A</v>
      </c>
      <c r="N60" s="8" t="e">
        <v>#N/A</v>
      </c>
      <c r="O60" s="8" t="e">
        <v>#N/A</v>
      </c>
      <c r="P60" s="8" t="e">
        <v>#N/A</v>
      </c>
      <c r="Q60" s="8" t="e">
        <v>#N/A</v>
      </c>
      <c r="R60" s="8" t="e">
        <v>#N/A</v>
      </c>
      <c r="S60" s="8">
        <v>27533</v>
      </c>
      <c r="T60" s="8">
        <v>503</v>
      </c>
      <c r="U60" s="8">
        <v>102</v>
      </c>
      <c r="V60" s="8">
        <v>4105</v>
      </c>
      <c r="W60" s="8">
        <v>156</v>
      </c>
      <c r="X60" s="8">
        <v>151</v>
      </c>
      <c r="Y60" s="8">
        <v>1872</v>
      </c>
      <c r="Z60" s="8">
        <v>4473</v>
      </c>
      <c r="AA60" s="8">
        <v>1291</v>
      </c>
      <c r="AB60" s="8">
        <v>1580</v>
      </c>
      <c r="AC60" s="8">
        <v>787</v>
      </c>
      <c r="AD60" s="8">
        <v>1076</v>
      </c>
      <c r="AE60" s="8">
        <v>263</v>
      </c>
      <c r="AF60" s="8">
        <v>1523</v>
      </c>
      <c r="AG60" s="8">
        <v>1567</v>
      </c>
      <c r="AH60" s="8">
        <v>1802</v>
      </c>
      <c r="AI60" s="8">
        <v>1994</v>
      </c>
      <c r="AJ60" s="8">
        <v>2866</v>
      </c>
      <c r="AK60" s="8">
        <v>645</v>
      </c>
      <c r="AL60" s="8">
        <v>779</v>
      </c>
      <c r="AM60" s="8">
        <v>0</v>
      </c>
      <c r="AN60" s="8">
        <v>20644</v>
      </c>
      <c r="AO60" s="8" t="e">
        <v>#N/A</v>
      </c>
      <c r="AP60" s="8">
        <v>3004</v>
      </c>
      <c r="AQ60" s="2">
        <v>10.6</v>
      </c>
      <c r="AR60" s="2" t="e">
        <v>#N/A</v>
      </c>
      <c r="AS60" s="2" t="e">
        <v>#N/A</v>
      </c>
      <c r="AT60" s="8">
        <v>32</v>
      </c>
      <c r="AU60" s="8">
        <v>28</v>
      </c>
      <c r="AV60" s="8">
        <v>1243</v>
      </c>
      <c r="AW60" s="8">
        <v>45016</v>
      </c>
      <c r="AX60" s="2">
        <v>62.8</v>
      </c>
      <c r="AY60" s="2">
        <v>68.400000000000006</v>
      </c>
      <c r="AZ60" s="2">
        <v>33</v>
      </c>
      <c r="BA60" s="8" t="e">
        <v>#N/A</v>
      </c>
      <c r="BB60" s="8">
        <v>25282</v>
      </c>
      <c r="BC60" s="8" t="e">
        <v>#N/A</v>
      </c>
      <c r="BD60" s="8">
        <v>21388</v>
      </c>
      <c r="BE60" s="8">
        <v>782</v>
      </c>
      <c r="BF60" s="8">
        <v>2050</v>
      </c>
      <c r="BG60" s="8">
        <v>3004</v>
      </c>
    </row>
    <row r="61" spans="1:59" x14ac:dyDescent="0.25">
      <c r="A61" t="s">
        <v>629</v>
      </c>
      <c r="B61" s="8">
        <v>5820</v>
      </c>
      <c r="C61" s="8" t="e">
        <v>#N/A</v>
      </c>
      <c r="D61" s="8" t="e">
        <v>#N/A</v>
      </c>
      <c r="E61" s="8" t="e">
        <v>#N/A</v>
      </c>
      <c r="F61" s="8" t="e">
        <v>#N/A</v>
      </c>
      <c r="G61" s="2" t="e">
        <v>#N/A</v>
      </c>
      <c r="H61" s="2" t="e">
        <v>#N/A</v>
      </c>
      <c r="I61" s="2" t="e">
        <v>#N/A</v>
      </c>
      <c r="J61" s="2" t="e">
        <v>#N/A</v>
      </c>
      <c r="K61" s="8" t="e">
        <v>#N/A</v>
      </c>
      <c r="L61" s="8" t="e">
        <v>#N/A</v>
      </c>
      <c r="M61" s="8" t="e">
        <v>#N/A</v>
      </c>
      <c r="N61" s="8" t="e">
        <v>#N/A</v>
      </c>
      <c r="O61" s="8" t="e">
        <v>#N/A</v>
      </c>
      <c r="P61" s="8" t="e">
        <v>#N/A</v>
      </c>
      <c r="Q61" s="8" t="e">
        <v>#N/A</v>
      </c>
      <c r="R61" s="8" t="e">
        <v>#N/A</v>
      </c>
      <c r="S61" s="8">
        <v>27519</v>
      </c>
      <c r="T61" s="8">
        <v>506</v>
      </c>
      <c r="U61" s="8">
        <v>88</v>
      </c>
      <c r="V61" s="8">
        <v>4098</v>
      </c>
      <c r="W61" s="8">
        <v>151</v>
      </c>
      <c r="X61" s="8">
        <v>154</v>
      </c>
      <c r="Y61" s="8">
        <v>1851</v>
      </c>
      <c r="Z61" s="8">
        <v>4495</v>
      </c>
      <c r="AA61" s="8">
        <v>1283</v>
      </c>
      <c r="AB61" s="8">
        <v>1564</v>
      </c>
      <c r="AC61" s="8">
        <v>790</v>
      </c>
      <c r="AD61" s="8">
        <v>1078</v>
      </c>
      <c r="AE61" s="8">
        <v>265</v>
      </c>
      <c r="AF61" s="8">
        <v>1538</v>
      </c>
      <c r="AG61" s="8">
        <v>1588</v>
      </c>
      <c r="AH61" s="8">
        <v>1787</v>
      </c>
      <c r="AI61" s="8">
        <v>1988</v>
      </c>
      <c r="AJ61" s="8">
        <v>2868</v>
      </c>
      <c r="AK61" s="8">
        <v>646</v>
      </c>
      <c r="AL61" s="8">
        <v>781</v>
      </c>
      <c r="AM61" s="8">
        <v>0</v>
      </c>
      <c r="AN61" s="8">
        <v>20671</v>
      </c>
      <c r="AO61" s="8" t="e">
        <v>#N/A</v>
      </c>
      <c r="AP61" s="8">
        <v>2931</v>
      </c>
      <c r="AQ61" s="2">
        <v>10.4</v>
      </c>
      <c r="AR61" s="2" t="e">
        <v>#N/A</v>
      </c>
      <c r="AS61" s="2" t="e">
        <v>#N/A</v>
      </c>
      <c r="AT61" s="8">
        <v>32</v>
      </c>
      <c r="AU61" s="8">
        <v>28</v>
      </c>
      <c r="AV61" s="8">
        <v>1244</v>
      </c>
      <c r="AW61" s="8">
        <v>45022</v>
      </c>
      <c r="AX61" s="2">
        <v>62.7</v>
      </c>
      <c r="AY61" s="2">
        <v>68.400000000000006</v>
      </c>
      <c r="AZ61" s="2">
        <v>33</v>
      </c>
      <c r="BA61" s="8" t="e">
        <v>#N/A</v>
      </c>
      <c r="BB61" s="8">
        <v>25293</v>
      </c>
      <c r="BC61" s="8" t="e">
        <v>#N/A</v>
      </c>
      <c r="BD61" s="8">
        <v>21389</v>
      </c>
      <c r="BE61" s="8">
        <v>812</v>
      </c>
      <c r="BF61" s="8">
        <v>2177</v>
      </c>
      <c r="BG61" s="8">
        <v>2931</v>
      </c>
    </row>
    <row r="62" spans="1:59" x14ac:dyDescent="0.25">
      <c r="A62" t="s">
        <v>630</v>
      </c>
      <c r="B62" s="8" t="e">
        <v>#N/A</v>
      </c>
      <c r="C62" s="8" t="e">
        <v>#N/A</v>
      </c>
      <c r="D62" s="8" t="e">
        <v>#N/A</v>
      </c>
      <c r="E62" s="8" t="e">
        <v>#N/A</v>
      </c>
      <c r="F62" s="8" t="e">
        <v>#N/A</v>
      </c>
      <c r="G62" s="2" t="e">
        <v>#N/A</v>
      </c>
      <c r="H62" s="2" t="e">
        <v>#N/A</v>
      </c>
      <c r="I62" s="2" t="e">
        <v>#N/A</v>
      </c>
      <c r="J62" s="2" t="e">
        <v>#N/A</v>
      </c>
      <c r="K62" s="8" t="e">
        <v>#N/A</v>
      </c>
      <c r="L62" s="8" t="e">
        <v>#N/A</v>
      </c>
      <c r="M62" s="8" t="e">
        <v>#N/A</v>
      </c>
      <c r="N62" s="8" t="e">
        <v>#N/A</v>
      </c>
      <c r="O62" s="8" t="e">
        <v>#N/A</v>
      </c>
      <c r="P62" s="8" t="e">
        <v>#N/A</v>
      </c>
      <c r="Q62" s="8" t="e">
        <v>#N/A</v>
      </c>
      <c r="R62" s="8" t="e">
        <v>#N/A</v>
      </c>
      <c r="S62" s="8">
        <v>27576</v>
      </c>
      <c r="T62" s="8">
        <v>505</v>
      </c>
      <c r="U62" s="8">
        <v>83</v>
      </c>
      <c r="V62" s="8">
        <v>4086</v>
      </c>
      <c r="W62" s="8">
        <v>147</v>
      </c>
      <c r="X62" s="8">
        <v>157</v>
      </c>
      <c r="Y62" s="8">
        <v>1846</v>
      </c>
      <c r="Z62" s="8">
        <v>4531</v>
      </c>
      <c r="AA62" s="8">
        <v>1280</v>
      </c>
      <c r="AB62" s="8">
        <v>1585</v>
      </c>
      <c r="AC62" s="8">
        <v>790</v>
      </c>
      <c r="AD62" s="8">
        <v>1070</v>
      </c>
      <c r="AE62" s="8">
        <v>269</v>
      </c>
      <c r="AF62" s="8">
        <v>1556</v>
      </c>
      <c r="AG62" s="8">
        <v>1601</v>
      </c>
      <c r="AH62" s="8">
        <v>1774</v>
      </c>
      <c r="AI62" s="8">
        <v>1992</v>
      </c>
      <c r="AJ62" s="8">
        <v>2864</v>
      </c>
      <c r="AK62" s="8">
        <v>653</v>
      </c>
      <c r="AL62" s="8">
        <v>786</v>
      </c>
      <c r="AM62" s="8">
        <v>0</v>
      </c>
      <c r="AN62" s="8">
        <v>20752</v>
      </c>
      <c r="AO62" s="8" t="e">
        <v>#N/A</v>
      </c>
      <c r="AP62" s="8">
        <v>2890</v>
      </c>
      <c r="AQ62" s="2">
        <v>10.199999999999999</v>
      </c>
      <c r="AR62" s="2" t="e">
        <v>#N/A</v>
      </c>
      <c r="AS62" s="2" t="e">
        <v>#N/A</v>
      </c>
      <c r="AT62" s="8">
        <v>38</v>
      </c>
      <c r="AU62" s="8">
        <v>35</v>
      </c>
      <c r="AV62" s="8">
        <v>1253</v>
      </c>
      <c r="AW62" s="8">
        <v>45033</v>
      </c>
      <c r="AX62" s="2">
        <v>62.6</v>
      </c>
      <c r="AY62" s="2">
        <v>68.5</v>
      </c>
      <c r="AZ62" s="2">
        <v>33</v>
      </c>
      <c r="BA62" s="8" t="e">
        <v>#N/A</v>
      </c>
      <c r="BB62" s="8">
        <v>25316</v>
      </c>
      <c r="BC62" s="8" t="e">
        <v>#N/A</v>
      </c>
      <c r="BD62" s="8">
        <v>21431</v>
      </c>
      <c r="BE62" s="8">
        <v>816</v>
      </c>
      <c r="BF62" s="8">
        <v>2282</v>
      </c>
      <c r="BG62" s="8">
        <v>2890</v>
      </c>
    </row>
    <row r="63" spans="1:59" x14ac:dyDescent="0.25">
      <c r="A63" t="s">
        <v>631</v>
      </c>
      <c r="B63" s="8" t="e">
        <v>#N/A</v>
      </c>
      <c r="C63" s="8" t="e">
        <v>#N/A</v>
      </c>
      <c r="D63" s="8" t="e">
        <v>#N/A</v>
      </c>
      <c r="E63" s="8" t="e">
        <v>#N/A</v>
      </c>
      <c r="F63" s="8" t="e">
        <v>#N/A</v>
      </c>
      <c r="G63" s="2" t="e">
        <v>#N/A</v>
      </c>
      <c r="H63" s="2" t="e">
        <v>#N/A</v>
      </c>
      <c r="I63" s="2" t="e">
        <v>#N/A</v>
      </c>
      <c r="J63" s="2" t="e">
        <v>#N/A</v>
      </c>
      <c r="K63" s="8" t="e">
        <v>#N/A</v>
      </c>
      <c r="L63" s="8" t="e">
        <v>#N/A</v>
      </c>
      <c r="M63" s="8" t="e">
        <v>#N/A</v>
      </c>
      <c r="N63" s="8" t="e">
        <v>#N/A</v>
      </c>
      <c r="O63" s="8" t="e">
        <v>#N/A</v>
      </c>
      <c r="P63" s="8" t="e">
        <v>#N/A</v>
      </c>
      <c r="Q63" s="8" t="e">
        <v>#N/A</v>
      </c>
      <c r="R63" s="8" t="e">
        <v>#N/A</v>
      </c>
      <c r="S63" s="8">
        <v>27649</v>
      </c>
      <c r="T63" s="8">
        <v>493</v>
      </c>
      <c r="U63" s="8">
        <v>78</v>
      </c>
      <c r="V63" s="8">
        <v>4092</v>
      </c>
      <c r="W63" s="8">
        <v>146</v>
      </c>
      <c r="X63" s="8">
        <v>154</v>
      </c>
      <c r="Y63" s="8">
        <v>1860</v>
      </c>
      <c r="Z63" s="8">
        <v>4561</v>
      </c>
      <c r="AA63" s="8">
        <v>1278</v>
      </c>
      <c r="AB63" s="8">
        <v>1597</v>
      </c>
      <c r="AC63" s="8">
        <v>794</v>
      </c>
      <c r="AD63" s="8">
        <v>1085</v>
      </c>
      <c r="AE63" s="8">
        <v>269</v>
      </c>
      <c r="AF63" s="8">
        <v>1558</v>
      </c>
      <c r="AG63" s="8">
        <v>1595</v>
      </c>
      <c r="AH63" s="8">
        <v>1756</v>
      </c>
      <c r="AI63" s="8">
        <v>2002</v>
      </c>
      <c r="AJ63" s="8">
        <v>2887</v>
      </c>
      <c r="AK63" s="8">
        <v>656</v>
      </c>
      <c r="AL63" s="8">
        <v>789</v>
      </c>
      <c r="AM63" s="8">
        <v>0</v>
      </c>
      <c r="AN63" s="8">
        <v>20826</v>
      </c>
      <c r="AO63" s="8" t="e">
        <v>#N/A</v>
      </c>
      <c r="AP63" s="8">
        <v>2892</v>
      </c>
      <c r="AQ63" s="2">
        <v>10.3</v>
      </c>
      <c r="AR63" s="2" t="e">
        <v>#N/A</v>
      </c>
      <c r="AS63" s="2" t="e">
        <v>#N/A</v>
      </c>
      <c r="AT63" s="8">
        <v>42</v>
      </c>
      <c r="AU63" s="8">
        <v>38</v>
      </c>
      <c r="AV63" s="8">
        <v>1274</v>
      </c>
      <c r="AW63" s="8">
        <v>45046</v>
      </c>
      <c r="AX63" s="2">
        <v>62.6</v>
      </c>
      <c r="AY63" s="2">
        <v>68.5</v>
      </c>
      <c r="AZ63" s="2">
        <v>33</v>
      </c>
      <c r="BA63" s="8" t="e">
        <v>#N/A</v>
      </c>
      <c r="BB63" s="8">
        <v>25320</v>
      </c>
      <c r="BC63" s="8" t="e">
        <v>#N/A</v>
      </c>
      <c r="BD63" s="8">
        <v>21403</v>
      </c>
      <c r="BE63" s="8">
        <v>825</v>
      </c>
      <c r="BF63" s="8">
        <v>2328</v>
      </c>
      <c r="BG63" s="8">
        <v>2892</v>
      </c>
    </row>
    <row r="64" spans="1:59" x14ac:dyDescent="0.25">
      <c r="A64" t="s">
        <v>632</v>
      </c>
      <c r="B64" s="8" t="e">
        <v>#N/A</v>
      </c>
      <c r="C64" s="8" t="e">
        <v>#N/A</v>
      </c>
      <c r="D64" s="8" t="e">
        <v>#N/A</v>
      </c>
      <c r="E64" s="8" t="e">
        <v>#N/A</v>
      </c>
      <c r="F64" s="8" t="e">
        <v>#N/A</v>
      </c>
      <c r="G64" s="2" t="e">
        <v>#N/A</v>
      </c>
      <c r="H64" s="2" t="e">
        <v>#N/A</v>
      </c>
      <c r="I64" s="2" t="e">
        <v>#N/A</v>
      </c>
      <c r="J64" s="2" t="e">
        <v>#N/A</v>
      </c>
      <c r="K64" s="8" t="e">
        <v>#N/A</v>
      </c>
      <c r="L64" s="8" t="e">
        <v>#N/A</v>
      </c>
      <c r="M64" s="8" t="e">
        <v>#N/A</v>
      </c>
      <c r="N64" s="8" t="e">
        <v>#N/A</v>
      </c>
      <c r="O64" s="8" t="e">
        <v>#N/A</v>
      </c>
      <c r="P64" s="8" t="e">
        <v>#N/A</v>
      </c>
      <c r="Q64" s="8" t="e">
        <v>#N/A</v>
      </c>
      <c r="R64" s="8" t="e">
        <v>#N/A</v>
      </c>
      <c r="S64" s="8">
        <v>27630</v>
      </c>
      <c r="T64" s="8">
        <v>492</v>
      </c>
      <c r="U64" s="8">
        <v>74</v>
      </c>
      <c r="V64" s="8">
        <v>4096</v>
      </c>
      <c r="W64" s="8">
        <v>144</v>
      </c>
      <c r="X64" s="8">
        <v>151</v>
      </c>
      <c r="Y64" s="8">
        <v>1867</v>
      </c>
      <c r="Z64" s="8">
        <v>4582</v>
      </c>
      <c r="AA64" s="8">
        <v>1278</v>
      </c>
      <c r="AB64" s="8">
        <v>1564</v>
      </c>
      <c r="AC64" s="8">
        <v>794</v>
      </c>
      <c r="AD64" s="8">
        <v>1086</v>
      </c>
      <c r="AE64" s="8">
        <v>268</v>
      </c>
      <c r="AF64" s="8">
        <v>1547</v>
      </c>
      <c r="AG64" s="8">
        <v>1596</v>
      </c>
      <c r="AH64" s="8">
        <v>1745</v>
      </c>
      <c r="AI64" s="8">
        <v>1997</v>
      </c>
      <c r="AJ64" s="8">
        <v>2904</v>
      </c>
      <c r="AK64" s="8">
        <v>656</v>
      </c>
      <c r="AL64" s="8">
        <v>789</v>
      </c>
      <c r="AM64" s="8">
        <v>0</v>
      </c>
      <c r="AN64" s="8">
        <v>20806</v>
      </c>
      <c r="AO64" s="8" t="e">
        <v>#N/A</v>
      </c>
      <c r="AP64" s="8">
        <v>2806</v>
      </c>
      <c r="AQ64" s="2">
        <v>9.9</v>
      </c>
      <c r="AR64" s="2" t="e">
        <v>#N/A</v>
      </c>
      <c r="AS64" s="2" t="e">
        <v>#N/A</v>
      </c>
      <c r="AT64" s="8">
        <v>37</v>
      </c>
      <c r="AU64" s="8">
        <v>32</v>
      </c>
      <c r="AV64" s="8">
        <v>1236</v>
      </c>
      <c r="AW64" s="8">
        <v>45059</v>
      </c>
      <c r="AX64" s="2">
        <v>62.6</v>
      </c>
      <c r="AY64" s="2">
        <v>68.7</v>
      </c>
      <c r="AZ64" s="2">
        <v>33.1</v>
      </c>
      <c r="BA64" s="8" t="e">
        <v>#N/A</v>
      </c>
      <c r="BB64" s="8">
        <v>25408</v>
      </c>
      <c r="BC64" s="8" t="e">
        <v>#N/A</v>
      </c>
      <c r="BD64" s="8">
        <v>21443</v>
      </c>
      <c r="BE64" s="8">
        <v>831</v>
      </c>
      <c r="BF64" s="8">
        <v>2308</v>
      </c>
      <c r="BG64" s="8">
        <v>2806</v>
      </c>
    </row>
    <row r="65" spans="1:59" x14ac:dyDescent="0.25">
      <c r="A65" t="s">
        <v>633</v>
      </c>
      <c r="B65" s="8">
        <v>5659</v>
      </c>
      <c r="C65" s="8" t="e">
        <v>#N/A</v>
      </c>
      <c r="D65" s="8" t="e">
        <v>#N/A</v>
      </c>
      <c r="E65" s="8" t="e">
        <v>#N/A</v>
      </c>
      <c r="F65" s="8" t="e">
        <v>#N/A</v>
      </c>
      <c r="G65" s="2" t="e">
        <v>#N/A</v>
      </c>
      <c r="H65" s="2" t="e">
        <v>#N/A</v>
      </c>
      <c r="I65" s="2" t="e">
        <v>#N/A</v>
      </c>
      <c r="J65" s="2" t="e">
        <v>#N/A</v>
      </c>
      <c r="K65" s="8" t="e">
        <v>#N/A</v>
      </c>
      <c r="L65" s="8" t="e">
        <v>#N/A</v>
      </c>
      <c r="M65" s="8" t="e">
        <v>#N/A</v>
      </c>
      <c r="N65" s="8" t="e">
        <v>#N/A</v>
      </c>
      <c r="O65" s="8" t="e">
        <v>#N/A</v>
      </c>
      <c r="P65" s="8" t="e">
        <v>#N/A</v>
      </c>
      <c r="Q65" s="8" t="e">
        <v>#N/A</v>
      </c>
      <c r="R65" s="8" t="e">
        <v>#N/A</v>
      </c>
      <c r="S65" s="8">
        <v>27678</v>
      </c>
      <c r="T65" s="8">
        <v>487</v>
      </c>
      <c r="U65" s="8">
        <v>70</v>
      </c>
      <c r="V65" s="8">
        <v>4121</v>
      </c>
      <c r="W65" s="8">
        <v>140</v>
      </c>
      <c r="X65" s="8">
        <v>149</v>
      </c>
      <c r="Y65" s="8">
        <v>1874</v>
      </c>
      <c r="Z65" s="8">
        <v>4605</v>
      </c>
      <c r="AA65" s="8">
        <v>1287</v>
      </c>
      <c r="AB65" s="8">
        <v>1580</v>
      </c>
      <c r="AC65" s="8">
        <v>797</v>
      </c>
      <c r="AD65" s="8">
        <v>1086</v>
      </c>
      <c r="AE65" s="8">
        <v>269</v>
      </c>
      <c r="AF65" s="8">
        <v>1553</v>
      </c>
      <c r="AG65" s="8">
        <v>1599</v>
      </c>
      <c r="AH65" s="8">
        <v>1731</v>
      </c>
      <c r="AI65" s="8">
        <v>2015</v>
      </c>
      <c r="AJ65" s="8">
        <v>2883</v>
      </c>
      <c r="AK65" s="8">
        <v>648</v>
      </c>
      <c r="AL65" s="8">
        <v>785</v>
      </c>
      <c r="AM65" s="8">
        <v>0</v>
      </c>
      <c r="AN65" s="8">
        <v>20837</v>
      </c>
      <c r="AO65" s="8" t="e">
        <v>#N/A</v>
      </c>
      <c r="AP65" s="8">
        <v>2736</v>
      </c>
      <c r="AQ65" s="2">
        <v>9.6999999999999993</v>
      </c>
      <c r="AR65" s="2" t="e">
        <v>#N/A</v>
      </c>
      <c r="AS65" s="2" t="e">
        <v>#N/A</v>
      </c>
      <c r="AT65" s="8">
        <v>45</v>
      </c>
      <c r="AU65" s="8">
        <v>44</v>
      </c>
      <c r="AV65" s="8">
        <v>1219</v>
      </c>
      <c r="AW65" s="8">
        <v>45072</v>
      </c>
      <c r="AX65" s="2">
        <v>62.5</v>
      </c>
      <c r="AY65" s="2">
        <v>68.8</v>
      </c>
      <c r="AZ65" s="2">
        <v>33.1</v>
      </c>
      <c r="BA65" s="8" t="e">
        <v>#N/A</v>
      </c>
      <c r="BB65" s="8">
        <v>25451</v>
      </c>
      <c r="BC65" s="8" t="e">
        <v>#N/A</v>
      </c>
      <c r="BD65" s="8">
        <v>21498</v>
      </c>
      <c r="BE65" s="8">
        <v>830</v>
      </c>
      <c r="BF65" s="8">
        <v>2323</v>
      </c>
      <c r="BG65" s="8">
        <v>2736</v>
      </c>
    </row>
    <row r="66" spans="1:59" x14ac:dyDescent="0.25">
      <c r="A66" t="s">
        <v>634</v>
      </c>
      <c r="B66" s="8" t="e">
        <v>#N/A</v>
      </c>
      <c r="C66" s="8" t="e">
        <v>#N/A</v>
      </c>
      <c r="D66" s="8" t="e">
        <v>#N/A</v>
      </c>
      <c r="E66" s="8" t="e">
        <v>#N/A</v>
      </c>
      <c r="F66" s="8" t="e">
        <v>#N/A</v>
      </c>
      <c r="G66" s="2" t="e">
        <v>#N/A</v>
      </c>
      <c r="H66" s="2" t="e">
        <v>#N/A</v>
      </c>
      <c r="I66" s="2" t="e">
        <v>#N/A</v>
      </c>
      <c r="J66" s="2" t="e">
        <v>#N/A</v>
      </c>
      <c r="K66" s="8" t="e">
        <v>#N/A</v>
      </c>
      <c r="L66" s="8" t="e">
        <v>#N/A</v>
      </c>
      <c r="M66" s="8" t="e">
        <v>#N/A</v>
      </c>
      <c r="N66" s="8" t="e">
        <v>#N/A</v>
      </c>
      <c r="O66" s="8" t="e">
        <v>#N/A</v>
      </c>
      <c r="P66" s="8" t="e">
        <v>#N/A</v>
      </c>
      <c r="Q66" s="8" t="e">
        <v>#N/A</v>
      </c>
      <c r="R66" s="8" t="e">
        <v>#N/A</v>
      </c>
      <c r="S66" s="8">
        <v>27874</v>
      </c>
      <c r="T66" s="8">
        <v>484</v>
      </c>
      <c r="U66" s="8">
        <v>69</v>
      </c>
      <c r="V66" s="8">
        <v>4151</v>
      </c>
      <c r="W66" s="8">
        <v>135</v>
      </c>
      <c r="X66" s="8">
        <v>148</v>
      </c>
      <c r="Y66" s="8">
        <v>1888</v>
      </c>
      <c r="Z66" s="8">
        <v>4627</v>
      </c>
      <c r="AA66" s="8">
        <v>1289</v>
      </c>
      <c r="AB66" s="8">
        <v>1616</v>
      </c>
      <c r="AC66" s="8">
        <v>805</v>
      </c>
      <c r="AD66" s="8">
        <v>1097</v>
      </c>
      <c r="AE66" s="8">
        <v>278</v>
      </c>
      <c r="AF66" s="8">
        <v>1599</v>
      </c>
      <c r="AG66" s="8">
        <v>1643</v>
      </c>
      <c r="AH66" s="8">
        <v>1716</v>
      </c>
      <c r="AI66" s="8">
        <v>2010</v>
      </c>
      <c r="AJ66" s="8">
        <v>2894</v>
      </c>
      <c r="AK66" s="8">
        <v>643</v>
      </c>
      <c r="AL66" s="8">
        <v>781</v>
      </c>
      <c r="AM66" s="8">
        <v>0</v>
      </c>
      <c r="AN66" s="8">
        <v>20999</v>
      </c>
      <c r="AO66" s="8" t="e">
        <v>#N/A</v>
      </c>
      <c r="AP66" s="8">
        <v>2639</v>
      </c>
      <c r="AQ66" s="2">
        <v>9.4</v>
      </c>
      <c r="AR66" s="2" t="e">
        <v>#N/A</v>
      </c>
      <c r="AS66" s="2" t="e">
        <v>#N/A</v>
      </c>
      <c r="AT66" s="8">
        <v>46</v>
      </c>
      <c r="AU66" s="8">
        <v>42</v>
      </c>
      <c r="AV66" s="8">
        <v>1169</v>
      </c>
      <c r="AW66" s="8">
        <v>45099</v>
      </c>
      <c r="AX66" s="2">
        <v>62.5</v>
      </c>
      <c r="AY66" s="2">
        <v>69</v>
      </c>
      <c r="AZ66" s="2">
        <v>33.200000000000003</v>
      </c>
      <c r="BA66" s="8" t="e">
        <v>#N/A</v>
      </c>
      <c r="BB66" s="8">
        <v>25559</v>
      </c>
      <c r="BC66" s="8" t="e">
        <v>#N/A</v>
      </c>
      <c r="BD66" s="8">
        <v>21558</v>
      </c>
      <c r="BE66" s="8">
        <v>828</v>
      </c>
      <c r="BF66" s="8">
        <v>2310</v>
      </c>
      <c r="BG66" s="8">
        <v>2639</v>
      </c>
    </row>
    <row r="67" spans="1:59" x14ac:dyDescent="0.25">
      <c r="A67" t="s">
        <v>635</v>
      </c>
      <c r="B67" s="8" t="e">
        <v>#N/A</v>
      </c>
      <c r="C67" s="8" t="e">
        <v>#N/A</v>
      </c>
      <c r="D67" s="8" t="e">
        <v>#N/A</v>
      </c>
      <c r="E67" s="8" t="e">
        <v>#N/A</v>
      </c>
      <c r="F67" s="8" t="e">
        <v>#N/A</v>
      </c>
      <c r="G67" s="2" t="e">
        <v>#N/A</v>
      </c>
      <c r="H67" s="2" t="e">
        <v>#N/A</v>
      </c>
      <c r="I67" s="2" t="e">
        <v>#N/A</v>
      </c>
      <c r="J67" s="2" t="e">
        <v>#N/A</v>
      </c>
      <c r="K67" s="8" t="e">
        <v>#N/A</v>
      </c>
      <c r="L67" s="8" t="e">
        <v>#N/A</v>
      </c>
      <c r="M67" s="8" t="e">
        <v>#N/A</v>
      </c>
      <c r="N67" s="8" t="e">
        <v>#N/A</v>
      </c>
      <c r="O67" s="8" t="e">
        <v>#N/A</v>
      </c>
      <c r="P67" s="8" t="e">
        <v>#N/A</v>
      </c>
      <c r="Q67" s="8" t="e">
        <v>#N/A</v>
      </c>
      <c r="R67" s="8" t="e">
        <v>#N/A</v>
      </c>
      <c r="S67" s="8">
        <v>27941</v>
      </c>
      <c r="T67" s="8">
        <v>470</v>
      </c>
      <c r="U67" s="8">
        <v>68</v>
      </c>
      <c r="V67" s="8">
        <v>4176</v>
      </c>
      <c r="W67" s="8">
        <v>131</v>
      </c>
      <c r="X67" s="8">
        <v>147</v>
      </c>
      <c r="Y67" s="8">
        <v>1879</v>
      </c>
      <c r="Z67" s="8">
        <v>4650</v>
      </c>
      <c r="AA67" s="8">
        <v>1283</v>
      </c>
      <c r="AB67" s="8">
        <v>1619</v>
      </c>
      <c r="AC67" s="8">
        <v>812</v>
      </c>
      <c r="AD67" s="8">
        <v>1102</v>
      </c>
      <c r="AE67" s="8">
        <v>280</v>
      </c>
      <c r="AF67" s="8">
        <v>1613</v>
      </c>
      <c r="AG67" s="8">
        <v>1655</v>
      </c>
      <c r="AH67" s="8">
        <v>1698</v>
      </c>
      <c r="AI67" s="8">
        <v>2021</v>
      </c>
      <c r="AJ67" s="8">
        <v>2898</v>
      </c>
      <c r="AK67" s="8">
        <v>650</v>
      </c>
      <c r="AL67" s="8">
        <v>789</v>
      </c>
      <c r="AM67" s="8">
        <v>0</v>
      </c>
      <c r="AN67" s="8">
        <v>21070</v>
      </c>
      <c r="AO67" s="8" t="e">
        <v>#N/A</v>
      </c>
      <c r="AP67" s="8">
        <v>2521</v>
      </c>
      <c r="AQ67" s="2">
        <v>9</v>
      </c>
      <c r="AR67" s="2" t="e">
        <v>#N/A</v>
      </c>
      <c r="AS67" s="2" t="e">
        <v>#N/A</v>
      </c>
      <c r="AT67" s="8">
        <v>54</v>
      </c>
      <c r="AU67" s="8">
        <v>40</v>
      </c>
      <c r="AV67" s="8">
        <v>1096</v>
      </c>
      <c r="AW67" s="8">
        <v>45134</v>
      </c>
      <c r="AX67" s="2">
        <v>62.3</v>
      </c>
      <c r="AY67" s="2">
        <v>69.099999999999994</v>
      </c>
      <c r="AZ67" s="2">
        <v>33.5</v>
      </c>
      <c r="BA67" s="8" t="e">
        <v>#N/A</v>
      </c>
      <c r="BB67" s="8">
        <v>25600</v>
      </c>
      <c r="BC67" s="8" t="e">
        <v>#N/A</v>
      </c>
      <c r="BD67" s="8">
        <v>21604</v>
      </c>
      <c r="BE67" s="8">
        <v>845</v>
      </c>
      <c r="BF67" s="8">
        <v>2373</v>
      </c>
      <c r="BG67" s="8">
        <v>2521</v>
      </c>
    </row>
    <row r="68" spans="1:59" x14ac:dyDescent="0.25">
      <c r="A68" t="s">
        <v>636</v>
      </c>
      <c r="B68" s="8" t="e">
        <v>#N/A</v>
      </c>
      <c r="C68" s="8" t="e">
        <v>#N/A</v>
      </c>
      <c r="D68" s="8" t="e">
        <v>#N/A</v>
      </c>
      <c r="E68" s="8" t="e">
        <v>#N/A</v>
      </c>
      <c r="F68" s="8" t="e">
        <v>#N/A</v>
      </c>
      <c r="G68" s="2" t="e">
        <v>#N/A</v>
      </c>
      <c r="H68" s="2" t="e">
        <v>#N/A</v>
      </c>
      <c r="I68" s="2" t="e">
        <v>#N/A</v>
      </c>
      <c r="J68" s="2" t="e">
        <v>#N/A</v>
      </c>
      <c r="K68" s="8" t="e">
        <v>#N/A</v>
      </c>
      <c r="L68" s="8" t="e">
        <v>#N/A</v>
      </c>
      <c r="M68" s="8" t="e">
        <v>#N/A</v>
      </c>
      <c r="N68" s="8" t="e">
        <v>#N/A</v>
      </c>
      <c r="O68" s="8" t="e">
        <v>#N/A</v>
      </c>
      <c r="P68" s="8" t="e">
        <v>#N/A</v>
      </c>
      <c r="Q68" s="8" t="e">
        <v>#N/A</v>
      </c>
      <c r="R68" s="8" t="e">
        <v>#N/A</v>
      </c>
      <c r="S68" s="8">
        <v>27930</v>
      </c>
      <c r="T68" s="8">
        <v>469</v>
      </c>
      <c r="U68" s="8">
        <v>67</v>
      </c>
      <c r="V68" s="8">
        <v>4199</v>
      </c>
      <c r="W68" s="8">
        <v>130</v>
      </c>
      <c r="X68" s="8">
        <v>143</v>
      </c>
      <c r="Y68" s="8">
        <v>1844</v>
      </c>
      <c r="Z68" s="8">
        <v>4649</v>
      </c>
      <c r="AA68" s="8">
        <v>1284</v>
      </c>
      <c r="AB68" s="8">
        <v>1638</v>
      </c>
      <c r="AC68" s="8">
        <v>813</v>
      </c>
      <c r="AD68" s="8">
        <v>1101</v>
      </c>
      <c r="AE68" s="8">
        <v>281</v>
      </c>
      <c r="AF68" s="8">
        <v>1614</v>
      </c>
      <c r="AG68" s="8">
        <v>1663</v>
      </c>
      <c r="AH68" s="8">
        <v>1684</v>
      </c>
      <c r="AI68" s="8">
        <v>2008</v>
      </c>
      <c r="AJ68" s="8">
        <v>2908</v>
      </c>
      <c r="AK68" s="8">
        <v>649</v>
      </c>
      <c r="AL68" s="8">
        <v>785</v>
      </c>
      <c r="AM68" s="8">
        <v>0</v>
      </c>
      <c r="AN68" s="8">
        <v>21078</v>
      </c>
      <c r="AO68" s="8" t="e">
        <v>#N/A</v>
      </c>
      <c r="AP68" s="8">
        <v>2497</v>
      </c>
      <c r="AQ68" s="2">
        <v>8.9</v>
      </c>
      <c r="AR68" s="2" t="e">
        <v>#N/A</v>
      </c>
      <c r="AS68" s="2" t="e">
        <v>#N/A</v>
      </c>
      <c r="AT68" s="8">
        <v>48</v>
      </c>
      <c r="AU68" s="8">
        <v>43</v>
      </c>
      <c r="AV68" s="8">
        <v>1085</v>
      </c>
      <c r="AW68" s="8">
        <v>45169</v>
      </c>
      <c r="AX68" s="2">
        <v>62.4</v>
      </c>
      <c r="AY68" s="2">
        <v>69.2</v>
      </c>
      <c r="AZ68" s="2">
        <v>33.299999999999997</v>
      </c>
      <c r="BA68" s="8" t="e">
        <v>#N/A</v>
      </c>
      <c r="BB68" s="8">
        <v>25670</v>
      </c>
      <c r="BC68" s="8" t="e">
        <v>#N/A</v>
      </c>
      <c r="BD68" s="8">
        <v>21671</v>
      </c>
      <c r="BE68" s="8">
        <v>818</v>
      </c>
      <c r="BF68" s="8">
        <v>2374</v>
      </c>
      <c r="BG68" s="8">
        <v>2497</v>
      </c>
    </row>
    <row r="69" spans="1:59" x14ac:dyDescent="0.25">
      <c r="A69" t="s">
        <v>637</v>
      </c>
      <c r="B69" s="8">
        <v>5597</v>
      </c>
      <c r="C69" s="8" t="e">
        <v>#N/A</v>
      </c>
      <c r="D69" s="8" t="e">
        <v>#N/A</v>
      </c>
      <c r="E69" s="8" t="e">
        <v>#N/A</v>
      </c>
      <c r="F69" s="8" t="e">
        <v>#N/A</v>
      </c>
      <c r="G69" s="2" t="e">
        <v>#N/A</v>
      </c>
      <c r="H69" s="2" t="e">
        <v>#N/A</v>
      </c>
      <c r="I69" s="2" t="e">
        <v>#N/A</v>
      </c>
      <c r="J69" s="2" t="e">
        <v>#N/A</v>
      </c>
      <c r="K69" s="8" t="e">
        <v>#N/A</v>
      </c>
      <c r="L69" s="8" t="e">
        <v>#N/A</v>
      </c>
      <c r="M69" s="8" t="e">
        <v>#N/A</v>
      </c>
      <c r="N69" s="8" t="e">
        <v>#N/A</v>
      </c>
      <c r="O69" s="8" t="e">
        <v>#N/A</v>
      </c>
      <c r="P69" s="8" t="e">
        <v>#N/A</v>
      </c>
      <c r="Q69" s="8" t="e">
        <v>#N/A</v>
      </c>
      <c r="R69" s="8" t="e">
        <v>#N/A</v>
      </c>
      <c r="S69" s="8">
        <v>28047</v>
      </c>
      <c r="T69" s="8">
        <v>465</v>
      </c>
      <c r="U69" s="8">
        <v>67</v>
      </c>
      <c r="V69" s="8">
        <v>4214</v>
      </c>
      <c r="W69" s="8">
        <v>122</v>
      </c>
      <c r="X69" s="8">
        <v>148</v>
      </c>
      <c r="Y69" s="8">
        <v>1856</v>
      </c>
      <c r="Z69" s="8">
        <v>4663</v>
      </c>
      <c r="AA69" s="8">
        <v>1291</v>
      </c>
      <c r="AB69" s="8">
        <v>1649</v>
      </c>
      <c r="AC69" s="8">
        <v>818</v>
      </c>
      <c r="AD69" s="8">
        <v>1104</v>
      </c>
      <c r="AE69" s="8">
        <v>283</v>
      </c>
      <c r="AF69" s="8">
        <v>1628</v>
      </c>
      <c r="AG69" s="8">
        <v>1678</v>
      </c>
      <c r="AH69" s="8">
        <v>1675</v>
      </c>
      <c r="AI69" s="8">
        <v>2024</v>
      </c>
      <c r="AJ69" s="8">
        <v>2915</v>
      </c>
      <c r="AK69" s="8">
        <v>654</v>
      </c>
      <c r="AL69" s="8">
        <v>793</v>
      </c>
      <c r="AM69" s="8">
        <v>0</v>
      </c>
      <c r="AN69" s="8">
        <v>21174</v>
      </c>
      <c r="AO69" s="8" t="e">
        <v>#N/A</v>
      </c>
      <c r="AP69" s="8">
        <v>2445</v>
      </c>
      <c r="AQ69" s="2">
        <v>8.6999999999999993</v>
      </c>
      <c r="AR69" s="2">
        <v>8.1999999999999993</v>
      </c>
      <c r="AS69" s="2" t="e">
        <v>#N/A</v>
      </c>
      <c r="AT69" s="8">
        <v>51</v>
      </c>
      <c r="AU69" s="8">
        <v>44</v>
      </c>
      <c r="AV69" s="8">
        <v>1048</v>
      </c>
      <c r="AW69" s="8">
        <v>45205</v>
      </c>
      <c r="AX69" s="2">
        <v>62.4</v>
      </c>
      <c r="AY69" s="2">
        <v>69.400000000000006</v>
      </c>
      <c r="AZ69" s="2">
        <v>33.299999999999997</v>
      </c>
      <c r="BA69" s="8" t="e">
        <v>#N/A</v>
      </c>
      <c r="BB69" s="8">
        <v>25770</v>
      </c>
      <c r="BC69" s="8" t="e">
        <v>#N/A</v>
      </c>
      <c r="BD69" s="8">
        <v>21787</v>
      </c>
      <c r="BE69" s="8">
        <v>811</v>
      </c>
      <c r="BF69" s="8">
        <v>2335</v>
      </c>
      <c r="BG69" s="8">
        <v>2445</v>
      </c>
    </row>
    <row r="70" spans="1:59" x14ac:dyDescent="0.25">
      <c r="A70" t="s">
        <v>638</v>
      </c>
      <c r="B70" s="8" t="e">
        <v>#N/A</v>
      </c>
      <c r="C70" s="8" t="e">
        <v>#N/A</v>
      </c>
      <c r="D70" s="8" t="e">
        <v>#N/A</v>
      </c>
      <c r="E70" s="8" t="e">
        <v>#N/A</v>
      </c>
      <c r="F70" s="8" t="e">
        <v>#N/A</v>
      </c>
      <c r="G70" s="2" t="e">
        <v>#N/A</v>
      </c>
      <c r="H70" s="2" t="e">
        <v>#N/A</v>
      </c>
      <c r="I70" s="2" t="e">
        <v>#N/A</v>
      </c>
      <c r="J70" s="2" t="e">
        <v>#N/A</v>
      </c>
      <c r="K70" s="8" t="e">
        <v>#N/A</v>
      </c>
      <c r="L70" s="8" t="e">
        <v>#N/A</v>
      </c>
      <c r="M70" s="8" t="e">
        <v>#N/A</v>
      </c>
      <c r="N70" s="8" t="e">
        <v>#N/A</v>
      </c>
      <c r="O70" s="8" t="e">
        <v>#N/A</v>
      </c>
      <c r="P70" s="8" t="e">
        <v>#N/A</v>
      </c>
      <c r="Q70" s="8" t="e">
        <v>#N/A</v>
      </c>
      <c r="R70" s="8" t="e">
        <v>#N/A</v>
      </c>
      <c r="S70" s="8">
        <v>28046</v>
      </c>
      <c r="T70" s="8">
        <v>469</v>
      </c>
      <c r="U70" s="8">
        <v>68</v>
      </c>
      <c r="V70" s="8">
        <v>4219</v>
      </c>
      <c r="W70" s="8">
        <v>119</v>
      </c>
      <c r="X70" s="8">
        <v>146</v>
      </c>
      <c r="Y70" s="8">
        <v>1843</v>
      </c>
      <c r="Z70" s="8">
        <v>4642</v>
      </c>
      <c r="AA70" s="8">
        <v>1288</v>
      </c>
      <c r="AB70" s="8">
        <v>1652</v>
      </c>
      <c r="AC70" s="8">
        <v>821</v>
      </c>
      <c r="AD70" s="8">
        <v>1102</v>
      </c>
      <c r="AE70" s="8">
        <v>286</v>
      </c>
      <c r="AF70" s="8">
        <v>1651</v>
      </c>
      <c r="AG70" s="8">
        <v>1715</v>
      </c>
      <c r="AH70" s="8">
        <v>1667</v>
      </c>
      <c r="AI70" s="8">
        <v>1998</v>
      </c>
      <c r="AJ70" s="8">
        <v>2926</v>
      </c>
      <c r="AK70" s="8">
        <v>650</v>
      </c>
      <c r="AL70" s="8">
        <v>783</v>
      </c>
      <c r="AM70" s="8">
        <v>0</v>
      </c>
      <c r="AN70" s="8">
        <v>21181</v>
      </c>
      <c r="AO70" s="8" t="e">
        <v>#N/A</v>
      </c>
      <c r="AP70" s="8">
        <v>2447</v>
      </c>
      <c r="AQ70" s="2">
        <v>8.6</v>
      </c>
      <c r="AR70" s="2">
        <v>7.5</v>
      </c>
      <c r="AS70" s="2" t="e">
        <v>#N/A</v>
      </c>
      <c r="AT70" s="8">
        <v>59</v>
      </c>
      <c r="AU70" s="8">
        <v>46</v>
      </c>
      <c r="AV70" s="8">
        <v>1028</v>
      </c>
      <c r="AW70" s="8">
        <v>45242</v>
      </c>
      <c r="AX70" s="2">
        <v>62.6</v>
      </c>
      <c r="AY70" s="2">
        <v>69.599999999999994</v>
      </c>
      <c r="AZ70" s="2">
        <v>33.200000000000003</v>
      </c>
      <c r="BA70" s="8" t="e">
        <v>#N/A</v>
      </c>
      <c r="BB70" s="8">
        <v>25852</v>
      </c>
      <c r="BC70" s="8" t="e">
        <v>#N/A</v>
      </c>
      <c r="BD70" s="8">
        <v>21925</v>
      </c>
      <c r="BE70" s="8">
        <v>836</v>
      </c>
      <c r="BF70" s="8">
        <v>2277</v>
      </c>
      <c r="BG70" s="8">
        <v>2447</v>
      </c>
    </row>
    <row r="71" spans="1:59" x14ac:dyDescent="0.25">
      <c r="A71" t="s">
        <v>639</v>
      </c>
      <c r="B71" s="8" t="e">
        <v>#N/A</v>
      </c>
      <c r="C71" s="8" t="e">
        <v>#N/A</v>
      </c>
      <c r="D71" s="8" t="e">
        <v>#N/A</v>
      </c>
      <c r="E71" s="8" t="e">
        <v>#N/A</v>
      </c>
      <c r="F71" s="8" t="e">
        <v>#N/A</v>
      </c>
      <c r="G71" s="2" t="e">
        <v>#N/A</v>
      </c>
      <c r="H71" s="2" t="e">
        <v>#N/A</v>
      </c>
      <c r="I71" s="2" t="e">
        <v>#N/A</v>
      </c>
      <c r="J71" s="2" t="e">
        <v>#N/A</v>
      </c>
      <c r="K71" s="8" t="e">
        <v>#N/A</v>
      </c>
      <c r="L71" s="8" t="e">
        <v>#N/A</v>
      </c>
      <c r="M71" s="8" t="e">
        <v>#N/A</v>
      </c>
      <c r="N71" s="8" t="e">
        <v>#N/A</v>
      </c>
      <c r="O71" s="8" t="e">
        <v>#N/A</v>
      </c>
      <c r="P71" s="8" t="e">
        <v>#N/A</v>
      </c>
      <c r="Q71" s="8" t="e">
        <v>#N/A</v>
      </c>
      <c r="R71" s="8" t="e">
        <v>#N/A</v>
      </c>
      <c r="S71" s="8">
        <v>28192</v>
      </c>
      <c r="T71" s="8">
        <v>471</v>
      </c>
      <c r="U71" s="8">
        <v>72</v>
      </c>
      <c r="V71" s="8">
        <v>4273</v>
      </c>
      <c r="W71" s="8">
        <v>120</v>
      </c>
      <c r="X71" s="8">
        <v>145</v>
      </c>
      <c r="Y71" s="8">
        <v>1837</v>
      </c>
      <c r="Z71" s="8">
        <v>4696</v>
      </c>
      <c r="AA71" s="8">
        <v>1277</v>
      </c>
      <c r="AB71" s="8">
        <v>1638</v>
      </c>
      <c r="AC71" s="8">
        <v>823</v>
      </c>
      <c r="AD71" s="8">
        <v>1122</v>
      </c>
      <c r="AE71" s="8">
        <v>286</v>
      </c>
      <c r="AF71" s="8">
        <v>1650</v>
      </c>
      <c r="AG71" s="8">
        <v>1740</v>
      </c>
      <c r="AH71" s="8">
        <v>1662</v>
      </c>
      <c r="AI71" s="8">
        <v>2024</v>
      </c>
      <c r="AJ71" s="8">
        <v>2921</v>
      </c>
      <c r="AK71" s="8">
        <v>653</v>
      </c>
      <c r="AL71" s="8">
        <v>782</v>
      </c>
      <c r="AM71" s="8">
        <v>0</v>
      </c>
      <c r="AN71" s="8">
        <v>21274</v>
      </c>
      <c r="AO71" s="8" t="e">
        <v>#N/A</v>
      </c>
      <c r="AP71" s="8">
        <v>2353</v>
      </c>
      <c r="AQ71" s="2">
        <v>8.3000000000000007</v>
      </c>
      <c r="AR71" s="2">
        <v>7.4</v>
      </c>
      <c r="AS71" s="2" t="e">
        <v>#N/A</v>
      </c>
      <c r="AT71" s="8">
        <v>63</v>
      </c>
      <c r="AU71" s="8">
        <v>51</v>
      </c>
      <c r="AV71" s="8">
        <v>935</v>
      </c>
      <c r="AW71" s="8">
        <v>45283</v>
      </c>
      <c r="AX71" s="2">
        <v>62.6</v>
      </c>
      <c r="AY71" s="2">
        <v>69.900000000000006</v>
      </c>
      <c r="AZ71" s="2">
        <v>33.200000000000003</v>
      </c>
      <c r="BA71" s="8" t="e">
        <v>#N/A</v>
      </c>
      <c r="BB71" s="8">
        <v>25982</v>
      </c>
      <c r="BC71" s="8" t="e">
        <v>#N/A</v>
      </c>
      <c r="BD71" s="8">
        <v>22070</v>
      </c>
      <c r="BE71" s="8">
        <v>829</v>
      </c>
      <c r="BF71" s="8">
        <v>2259</v>
      </c>
      <c r="BG71" s="8">
        <v>2353</v>
      </c>
    </row>
    <row r="72" spans="1:59" x14ac:dyDescent="0.25">
      <c r="A72" t="s">
        <v>640</v>
      </c>
      <c r="B72" s="8" t="e">
        <v>#N/A</v>
      </c>
      <c r="C72" s="8" t="e">
        <v>#N/A</v>
      </c>
      <c r="D72" s="8" t="e">
        <v>#N/A</v>
      </c>
      <c r="E72" s="8" t="e">
        <v>#N/A</v>
      </c>
      <c r="F72" s="8" t="e">
        <v>#N/A</v>
      </c>
      <c r="G72" s="2" t="e">
        <v>#N/A</v>
      </c>
      <c r="H72" s="2" t="e">
        <v>#N/A</v>
      </c>
      <c r="I72" s="2" t="e">
        <v>#N/A</v>
      </c>
      <c r="J72" s="2" t="e">
        <v>#N/A</v>
      </c>
      <c r="K72" s="8" t="e">
        <v>#N/A</v>
      </c>
      <c r="L72" s="8" t="e">
        <v>#N/A</v>
      </c>
      <c r="M72" s="8" t="e">
        <v>#N/A</v>
      </c>
      <c r="N72" s="8" t="e">
        <v>#N/A</v>
      </c>
      <c r="O72" s="8" t="e">
        <v>#N/A</v>
      </c>
      <c r="P72" s="8" t="e">
        <v>#N/A</v>
      </c>
      <c r="Q72" s="8" t="e">
        <v>#N/A</v>
      </c>
      <c r="R72" s="8" t="e">
        <v>#N/A</v>
      </c>
      <c r="S72" s="8">
        <v>28105</v>
      </c>
      <c r="T72" s="8">
        <v>468</v>
      </c>
      <c r="U72" s="8">
        <v>76</v>
      </c>
      <c r="V72" s="8">
        <v>4263</v>
      </c>
      <c r="W72" s="8">
        <v>115</v>
      </c>
      <c r="X72" s="8">
        <v>139</v>
      </c>
      <c r="Y72" s="8">
        <v>1815</v>
      </c>
      <c r="Z72" s="8">
        <v>4689</v>
      </c>
      <c r="AA72" s="8">
        <v>1263</v>
      </c>
      <c r="AB72" s="8">
        <v>1639</v>
      </c>
      <c r="AC72" s="8">
        <v>813</v>
      </c>
      <c r="AD72" s="8">
        <v>1096</v>
      </c>
      <c r="AE72" s="8">
        <v>281</v>
      </c>
      <c r="AF72" s="8">
        <v>1625</v>
      </c>
      <c r="AG72" s="8">
        <v>1755</v>
      </c>
      <c r="AH72" s="8">
        <v>1658</v>
      </c>
      <c r="AI72" s="8">
        <v>2046</v>
      </c>
      <c r="AJ72" s="8">
        <v>2913</v>
      </c>
      <c r="AK72" s="8">
        <v>657</v>
      </c>
      <c r="AL72" s="8">
        <v>699</v>
      </c>
      <c r="AM72" s="8">
        <v>97</v>
      </c>
      <c r="AN72" s="8">
        <v>21230</v>
      </c>
      <c r="AO72" s="8" t="e">
        <v>#N/A</v>
      </c>
      <c r="AP72" s="8">
        <v>2330</v>
      </c>
      <c r="AQ72" s="2">
        <v>8.1999999999999993</v>
      </c>
      <c r="AR72" s="2">
        <v>8.9</v>
      </c>
      <c r="AS72" s="2" t="e">
        <v>#N/A</v>
      </c>
      <c r="AT72" s="8">
        <v>59</v>
      </c>
      <c r="AU72" s="8">
        <v>54</v>
      </c>
      <c r="AV72" s="8">
        <v>915</v>
      </c>
      <c r="AW72" s="8">
        <v>45322</v>
      </c>
      <c r="AX72" s="2">
        <v>62.4</v>
      </c>
      <c r="AY72" s="2">
        <v>69.900000000000006</v>
      </c>
      <c r="AZ72" s="2">
        <v>33.200000000000003</v>
      </c>
      <c r="BA72" s="8" t="e">
        <v>#N/A</v>
      </c>
      <c r="BB72" s="8">
        <v>25970</v>
      </c>
      <c r="BC72" s="8" t="e">
        <v>#N/A</v>
      </c>
      <c r="BD72" s="8">
        <v>22110</v>
      </c>
      <c r="BE72" s="8">
        <v>826</v>
      </c>
      <c r="BF72" s="8">
        <v>2307</v>
      </c>
      <c r="BG72" s="8">
        <v>2330</v>
      </c>
    </row>
    <row r="73" spans="1:59" x14ac:dyDescent="0.25">
      <c r="A73" t="s">
        <v>641</v>
      </c>
      <c r="B73" s="8">
        <v>5498</v>
      </c>
      <c r="C73" s="8" t="e">
        <v>#N/A</v>
      </c>
      <c r="D73" s="8" t="e">
        <v>#N/A</v>
      </c>
      <c r="E73" s="8" t="e">
        <v>#N/A</v>
      </c>
      <c r="F73" s="8" t="e">
        <v>#N/A</v>
      </c>
      <c r="G73" s="2" t="e">
        <v>#N/A</v>
      </c>
      <c r="H73" s="2" t="e">
        <v>#N/A</v>
      </c>
      <c r="I73" s="2" t="e">
        <v>#N/A</v>
      </c>
      <c r="J73" s="2" t="e">
        <v>#N/A</v>
      </c>
      <c r="K73" s="8" t="e">
        <v>#N/A</v>
      </c>
      <c r="L73" s="8" t="e">
        <v>#N/A</v>
      </c>
      <c r="M73" s="8" t="e">
        <v>#N/A</v>
      </c>
      <c r="N73" s="8" t="e">
        <v>#N/A</v>
      </c>
      <c r="O73" s="8" t="e">
        <v>#N/A</v>
      </c>
      <c r="P73" s="8" t="e">
        <v>#N/A</v>
      </c>
      <c r="Q73" s="8" t="e">
        <v>#N/A</v>
      </c>
      <c r="R73" s="8" t="e">
        <v>#N/A</v>
      </c>
      <c r="S73" s="8">
        <v>28248</v>
      </c>
      <c r="T73" s="8">
        <v>473</v>
      </c>
      <c r="U73" s="8">
        <v>80</v>
      </c>
      <c r="V73" s="8">
        <v>4248</v>
      </c>
      <c r="W73" s="8">
        <v>106</v>
      </c>
      <c r="X73" s="8">
        <v>152</v>
      </c>
      <c r="Y73" s="8">
        <v>1838</v>
      </c>
      <c r="Z73" s="8">
        <v>4701</v>
      </c>
      <c r="AA73" s="8">
        <v>1270</v>
      </c>
      <c r="AB73" s="8">
        <v>1701</v>
      </c>
      <c r="AC73" s="8">
        <v>827</v>
      </c>
      <c r="AD73" s="8">
        <v>1080</v>
      </c>
      <c r="AE73" s="8">
        <v>282</v>
      </c>
      <c r="AF73" s="8">
        <v>1629</v>
      </c>
      <c r="AG73" s="8">
        <v>1791</v>
      </c>
      <c r="AH73" s="8">
        <v>1648</v>
      </c>
      <c r="AI73" s="8">
        <v>2046</v>
      </c>
      <c r="AJ73" s="8">
        <v>2920</v>
      </c>
      <c r="AK73" s="8">
        <v>660</v>
      </c>
      <c r="AL73" s="8">
        <v>699</v>
      </c>
      <c r="AM73" s="8">
        <v>101</v>
      </c>
      <c r="AN73" s="8">
        <v>21353</v>
      </c>
      <c r="AO73" s="8" t="e">
        <v>#N/A</v>
      </c>
      <c r="AP73" s="8">
        <v>2340</v>
      </c>
      <c r="AQ73" s="2">
        <v>8.3000000000000007</v>
      </c>
      <c r="AR73" s="2">
        <v>7.2</v>
      </c>
      <c r="AS73" s="2" t="e">
        <v>#N/A</v>
      </c>
      <c r="AT73" s="8">
        <v>63</v>
      </c>
      <c r="AU73" s="8">
        <v>55</v>
      </c>
      <c r="AV73" s="8">
        <v>902</v>
      </c>
      <c r="AW73" s="8">
        <v>45361</v>
      </c>
      <c r="AX73" s="2">
        <v>62.5</v>
      </c>
      <c r="AY73" s="2">
        <v>69.900000000000006</v>
      </c>
      <c r="AZ73" s="2">
        <v>33.299999999999997</v>
      </c>
      <c r="BA73" s="8" t="e">
        <v>#N/A</v>
      </c>
      <c r="BB73" s="8">
        <v>26009</v>
      </c>
      <c r="BC73" s="8" t="e">
        <v>#N/A</v>
      </c>
      <c r="BD73" s="8">
        <v>22149</v>
      </c>
      <c r="BE73" s="8">
        <v>816</v>
      </c>
      <c r="BF73" s="8">
        <v>2358</v>
      </c>
      <c r="BG73" s="8">
        <v>2340</v>
      </c>
    </row>
    <row r="74" spans="1:59" x14ac:dyDescent="0.25">
      <c r="A74" t="s">
        <v>642</v>
      </c>
      <c r="B74" s="8" t="e">
        <v>#N/A</v>
      </c>
      <c r="C74" s="8" t="e">
        <v>#N/A</v>
      </c>
      <c r="D74" s="8" t="e">
        <v>#N/A</v>
      </c>
      <c r="E74" s="8" t="e">
        <v>#N/A</v>
      </c>
      <c r="F74" s="8" t="e">
        <v>#N/A</v>
      </c>
      <c r="G74" s="2" t="e">
        <v>#N/A</v>
      </c>
      <c r="H74" s="2" t="e">
        <v>#N/A</v>
      </c>
      <c r="I74" s="2" t="e">
        <v>#N/A</v>
      </c>
      <c r="J74" s="2" t="e">
        <v>#N/A</v>
      </c>
      <c r="K74" s="8" t="e">
        <v>#N/A</v>
      </c>
      <c r="L74" s="8" t="e">
        <v>#N/A</v>
      </c>
      <c r="M74" s="8" t="e">
        <v>#N/A</v>
      </c>
      <c r="N74" s="8" t="e">
        <v>#N/A</v>
      </c>
      <c r="O74" s="8" t="e">
        <v>#N/A</v>
      </c>
      <c r="P74" s="8" t="e">
        <v>#N/A</v>
      </c>
      <c r="Q74" s="8" t="e">
        <v>#N/A</v>
      </c>
      <c r="R74" s="8" t="e">
        <v>#N/A</v>
      </c>
      <c r="S74" s="8">
        <v>28394</v>
      </c>
      <c r="T74" s="8">
        <v>484</v>
      </c>
      <c r="U74" s="8">
        <v>81</v>
      </c>
      <c r="V74" s="8">
        <v>4277</v>
      </c>
      <c r="W74" s="8">
        <v>103</v>
      </c>
      <c r="X74" s="8">
        <v>173</v>
      </c>
      <c r="Y74" s="8">
        <v>1812</v>
      </c>
      <c r="Z74" s="8">
        <v>4722</v>
      </c>
      <c r="AA74" s="8">
        <v>1275</v>
      </c>
      <c r="AB74" s="8">
        <v>1709</v>
      </c>
      <c r="AC74" s="8">
        <v>845</v>
      </c>
      <c r="AD74" s="8">
        <v>1089</v>
      </c>
      <c r="AE74" s="8">
        <v>275</v>
      </c>
      <c r="AF74" s="8">
        <v>1629</v>
      </c>
      <c r="AG74" s="8">
        <v>1802</v>
      </c>
      <c r="AH74" s="8">
        <v>1642</v>
      </c>
      <c r="AI74" s="8">
        <v>2059</v>
      </c>
      <c r="AJ74" s="8">
        <v>2935</v>
      </c>
      <c r="AK74" s="8">
        <v>673</v>
      </c>
      <c r="AL74" s="8">
        <v>707</v>
      </c>
      <c r="AM74" s="8">
        <v>99</v>
      </c>
      <c r="AN74" s="8">
        <v>21463</v>
      </c>
      <c r="AO74" s="8" t="e">
        <v>#N/A</v>
      </c>
      <c r="AP74" s="8">
        <v>2285</v>
      </c>
      <c r="AQ74" s="2">
        <v>8.1</v>
      </c>
      <c r="AR74" s="2">
        <v>7.4</v>
      </c>
      <c r="AS74" s="2" t="e">
        <v>#N/A</v>
      </c>
      <c r="AT74" s="8">
        <v>64</v>
      </c>
      <c r="AU74" s="8">
        <v>57</v>
      </c>
      <c r="AV74" s="8">
        <v>890</v>
      </c>
      <c r="AW74" s="8">
        <v>45401</v>
      </c>
      <c r="AX74" s="2">
        <v>62.4</v>
      </c>
      <c r="AY74" s="2">
        <v>70</v>
      </c>
      <c r="AZ74" s="2">
        <v>33.200000000000003</v>
      </c>
      <c r="BA74" s="8" t="e">
        <v>#N/A</v>
      </c>
      <c r="BB74" s="8">
        <v>26062</v>
      </c>
      <c r="BC74" s="8" t="e">
        <v>#N/A</v>
      </c>
      <c r="BD74" s="8">
        <v>22184</v>
      </c>
      <c r="BE74" s="8">
        <v>814</v>
      </c>
      <c r="BF74" s="8">
        <v>2437</v>
      </c>
      <c r="BG74" s="8">
        <v>2285</v>
      </c>
    </row>
    <row r="75" spans="1:59" x14ac:dyDescent="0.25">
      <c r="A75" t="s">
        <v>643</v>
      </c>
      <c r="B75" s="8" t="e">
        <v>#N/A</v>
      </c>
      <c r="C75" s="8" t="e">
        <v>#N/A</v>
      </c>
      <c r="D75" s="8" t="e">
        <v>#N/A</v>
      </c>
      <c r="E75" s="8" t="e">
        <v>#N/A</v>
      </c>
      <c r="F75" s="8" t="e">
        <v>#N/A</v>
      </c>
      <c r="G75" s="2" t="e">
        <v>#N/A</v>
      </c>
      <c r="H75" s="2" t="e">
        <v>#N/A</v>
      </c>
      <c r="I75" s="2" t="e">
        <v>#N/A</v>
      </c>
      <c r="J75" s="2" t="e">
        <v>#N/A</v>
      </c>
      <c r="K75" s="8" t="e">
        <v>#N/A</v>
      </c>
      <c r="L75" s="8" t="e">
        <v>#N/A</v>
      </c>
      <c r="M75" s="8" t="e">
        <v>#N/A</v>
      </c>
      <c r="N75" s="8" t="e">
        <v>#N/A</v>
      </c>
      <c r="O75" s="8" t="e">
        <v>#N/A</v>
      </c>
      <c r="P75" s="8" t="e">
        <v>#N/A</v>
      </c>
      <c r="Q75" s="8" t="e">
        <v>#N/A</v>
      </c>
      <c r="R75" s="8" t="e">
        <v>#N/A</v>
      </c>
      <c r="S75" s="8">
        <v>28493</v>
      </c>
      <c r="T75" s="8">
        <v>483</v>
      </c>
      <c r="U75" s="8">
        <v>82</v>
      </c>
      <c r="V75" s="8">
        <v>4272</v>
      </c>
      <c r="W75" s="8">
        <v>103</v>
      </c>
      <c r="X75" s="8">
        <v>164</v>
      </c>
      <c r="Y75" s="8">
        <v>1814</v>
      </c>
      <c r="Z75" s="8">
        <v>4722</v>
      </c>
      <c r="AA75" s="8">
        <v>1294</v>
      </c>
      <c r="AB75" s="8">
        <v>1725</v>
      </c>
      <c r="AC75" s="8">
        <v>848</v>
      </c>
      <c r="AD75" s="8">
        <v>1079</v>
      </c>
      <c r="AE75" s="8">
        <v>274</v>
      </c>
      <c r="AF75" s="8">
        <v>1657</v>
      </c>
      <c r="AG75" s="8">
        <v>1863</v>
      </c>
      <c r="AH75" s="8">
        <v>1631</v>
      </c>
      <c r="AI75" s="8">
        <v>2048</v>
      </c>
      <c r="AJ75" s="8">
        <v>2956</v>
      </c>
      <c r="AK75" s="8">
        <v>679</v>
      </c>
      <c r="AL75" s="8">
        <v>702</v>
      </c>
      <c r="AM75" s="8">
        <v>96</v>
      </c>
      <c r="AN75" s="8">
        <v>21575</v>
      </c>
      <c r="AO75" s="8" t="e">
        <v>#N/A</v>
      </c>
      <c r="AP75" s="8">
        <v>2229</v>
      </c>
      <c r="AQ75" s="2">
        <v>7.8</v>
      </c>
      <c r="AR75" s="2">
        <v>6.7</v>
      </c>
      <c r="AS75" s="2" t="e">
        <v>#N/A</v>
      </c>
      <c r="AT75" s="8">
        <v>75</v>
      </c>
      <c r="AU75" s="8">
        <v>62</v>
      </c>
      <c r="AV75" s="8">
        <v>872</v>
      </c>
      <c r="AW75" s="8">
        <v>45441</v>
      </c>
      <c r="AX75" s="2">
        <v>62.6</v>
      </c>
      <c r="AY75" s="2">
        <v>70.3</v>
      </c>
      <c r="AZ75" s="2">
        <v>33.200000000000003</v>
      </c>
      <c r="BA75" s="8" t="e">
        <v>#N/A</v>
      </c>
      <c r="BB75" s="8">
        <v>26198</v>
      </c>
      <c r="BC75" s="8" t="e">
        <v>#N/A</v>
      </c>
      <c r="BD75" s="8">
        <v>22342</v>
      </c>
      <c r="BE75" s="8">
        <v>835</v>
      </c>
      <c r="BF75" s="8">
        <v>2456</v>
      </c>
      <c r="BG75" s="8">
        <v>2229</v>
      </c>
    </row>
    <row r="76" spans="1:59" x14ac:dyDescent="0.25">
      <c r="A76" t="s">
        <v>644</v>
      </c>
      <c r="B76" s="8" t="e">
        <v>#N/A</v>
      </c>
      <c r="C76" s="8" t="e">
        <v>#N/A</v>
      </c>
      <c r="D76" s="8" t="e">
        <v>#N/A</v>
      </c>
      <c r="E76" s="8" t="e">
        <v>#N/A</v>
      </c>
      <c r="F76" s="8" t="e">
        <v>#N/A</v>
      </c>
      <c r="G76" s="2" t="e">
        <v>#N/A</v>
      </c>
      <c r="H76" s="2" t="e">
        <v>#N/A</v>
      </c>
      <c r="I76" s="2" t="e">
        <v>#N/A</v>
      </c>
      <c r="J76" s="2" t="e">
        <v>#N/A</v>
      </c>
      <c r="K76" s="8" t="e">
        <v>#N/A</v>
      </c>
      <c r="L76" s="8" t="e">
        <v>#N/A</v>
      </c>
      <c r="M76" s="8" t="e">
        <v>#N/A</v>
      </c>
      <c r="N76" s="8" t="e">
        <v>#N/A</v>
      </c>
      <c r="O76" s="8" t="e">
        <v>#N/A</v>
      </c>
      <c r="P76" s="8" t="e">
        <v>#N/A</v>
      </c>
      <c r="Q76" s="8" t="e">
        <v>#N/A</v>
      </c>
      <c r="R76" s="8" t="e">
        <v>#N/A</v>
      </c>
      <c r="S76" s="8">
        <v>28505</v>
      </c>
      <c r="T76" s="8">
        <v>479</v>
      </c>
      <c r="U76" s="8">
        <v>82</v>
      </c>
      <c r="V76" s="8">
        <v>4262</v>
      </c>
      <c r="W76" s="8">
        <v>108</v>
      </c>
      <c r="X76" s="8">
        <v>162</v>
      </c>
      <c r="Y76" s="8">
        <v>1793</v>
      </c>
      <c r="Z76" s="8">
        <v>4791</v>
      </c>
      <c r="AA76" s="8">
        <v>1285</v>
      </c>
      <c r="AB76" s="8">
        <v>1727</v>
      </c>
      <c r="AC76" s="8">
        <v>884</v>
      </c>
      <c r="AD76" s="8">
        <v>1085</v>
      </c>
      <c r="AE76" s="8">
        <v>287</v>
      </c>
      <c r="AF76" s="8">
        <v>1626</v>
      </c>
      <c r="AG76" s="8">
        <v>1888</v>
      </c>
      <c r="AH76" s="8">
        <v>1620</v>
      </c>
      <c r="AI76" s="8">
        <v>2044</v>
      </c>
      <c r="AJ76" s="8">
        <v>2933</v>
      </c>
      <c r="AK76" s="8">
        <v>667</v>
      </c>
      <c r="AL76" s="8">
        <v>692</v>
      </c>
      <c r="AM76" s="8">
        <v>90</v>
      </c>
      <c r="AN76" s="8">
        <v>21618</v>
      </c>
      <c r="AO76" s="8" t="e">
        <v>#N/A</v>
      </c>
      <c r="AP76" s="8">
        <v>2085</v>
      </c>
      <c r="AQ76" s="2">
        <v>7.3</v>
      </c>
      <c r="AR76" s="2">
        <v>7</v>
      </c>
      <c r="AS76" s="2" t="e">
        <v>#N/A</v>
      </c>
      <c r="AT76" s="8">
        <v>72</v>
      </c>
      <c r="AU76" s="8">
        <v>66</v>
      </c>
      <c r="AV76" s="8">
        <v>813</v>
      </c>
      <c r="AW76" s="8">
        <v>45481</v>
      </c>
      <c r="AX76" s="2">
        <v>62.6</v>
      </c>
      <c r="AY76" s="2">
        <v>70.8</v>
      </c>
      <c r="AZ76" s="2">
        <v>33.200000000000003</v>
      </c>
      <c r="BA76" s="8" t="e">
        <v>#N/A</v>
      </c>
      <c r="BB76" s="8">
        <v>26381</v>
      </c>
      <c r="BC76" s="8" t="e">
        <v>#N/A</v>
      </c>
      <c r="BD76" s="8">
        <v>22563</v>
      </c>
      <c r="BE76" s="8">
        <v>823</v>
      </c>
      <c r="BF76" s="8">
        <v>2474</v>
      </c>
      <c r="BG76" s="8">
        <v>2085</v>
      </c>
    </row>
    <row r="77" spans="1:59" x14ac:dyDescent="0.25">
      <c r="A77" t="s">
        <v>645</v>
      </c>
      <c r="B77" s="8">
        <v>5405</v>
      </c>
      <c r="C77" s="8" t="e">
        <v>#N/A</v>
      </c>
      <c r="D77" s="8" t="e">
        <v>#N/A</v>
      </c>
      <c r="E77" s="8" t="e">
        <v>#N/A</v>
      </c>
      <c r="F77" s="8" t="e">
        <v>#N/A</v>
      </c>
      <c r="G77" s="2" t="e">
        <v>#N/A</v>
      </c>
      <c r="H77" s="2" t="e">
        <v>#N/A</v>
      </c>
      <c r="I77" s="2" t="e">
        <v>#N/A</v>
      </c>
      <c r="J77" s="2" t="e">
        <v>#N/A</v>
      </c>
      <c r="K77" s="8" t="e">
        <v>#N/A</v>
      </c>
      <c r="L77" s="8" t="e">
        <v>#N/A</v>
      </c>
      <c r="M77" s="8" t="e">
        <v>#N/A</v>
      </c>
      <c r="N77" s="8" t="e">
        <v>#N/A</v>
      </c>
      <c r="O77" s="8" t="e">
        <v>#N/A</v>
      </c>
      <c r="P77" s="8" t="e">
        <v>#N/A</v>
      </c>
      <c r="Q77" s="8" t="e">
        <v>#N/A</v>
      </c>
      <c r="R77" s="8" t="e">
        <v>#N/A</v>
      </c>
      <c r="S77" s="8">
        <v>28760</v>
      </c>
      <c r="T77" s="8">
        <v>499</v>
      </c>
      <c r="U77" s="8">
        <v>81</v>
      </c>
      <c r="V77" s="8">
        <v>4285</v>
      </c>
      <c r="W77" s="8">
        <v>108</v>
      </c>
      <c r="X77" s="8">
        <v>159</v>
      </c>
      <c r="Y77" s="8">
        <v>1794</v>
      </c>
      <c r="Z77" s="8">
        <v>4841</v>
      </c>
      <c r="AA77" s="8">
        <v>1297</v>
      </c>
      <c r="AB77" s="8">
        <v>1739</v>
      </c>
      <c r="AC77" s="8">
        <v>895</v>
      </c>
      <c r="AD77" s="8">
        <v>1101</v>
      </c>
      <c r="AE77" s="8">
        <v>290</v>
      </c>
      <c r="AF77" s="8">
        <v>1639</v>
      </c>
      <c r="AG77" s="8">
        <v>1946</v>
      </c>
      <c r="AH77" s="8">
        <v>1606</v>
      </c>
      <c r="AI77" s="8">
        <v>2060</v>
      </c>
      <c r="AJ77" s="8">
        <v>2937</v>
      </c>
      <c r="AK77" s="8">
        <v>681</v>
      </c>
      <c r="AL77" s="8">
        <v>710</v>
      </c>
      <c r="AM77" s="8">
        <v>91</v>
      </c>
      <c r="AN77" s="8">
        <v>21835</v>
      </c>
      <c r="AO77" s="8" t="e">
        <v>#N/A</v>
      </c>
      <c r="AP77" s="8">
        <v>2051</v>
      </c>
      <c r="AQ77" s="2">
        <v>7.2</v>
      </c>
      <c r="AR77" s="2">
        <v>7.5</v>
      </c>
      <c r="AS77" s="2" t="e">
        <v>#N/A</v>
      </c>
      <c r="AT77" s="8">
        <v>67</v>
      </c>
      <c r="AU77" s="8">
        <v>62</v>
      </c>
      <c r="AV77" s="8">
        <v>746</v>
      </c>
      <c r="AW77" s="8">
        <v>45520</v>
      </c>
      <c r="AX77" s="2">
        <v>62.8</v>
      </c>
      <c r="AY77" s="2">
        <v>71</v>
      </c>
      <c r="AZ77" s="2">
        <v>33.200000000000003</v>
      </c>
      <c r="BA77" s="8" t="e">
        <v>#N/A</v>
      </c>
      <c r="BB77" s="8">
        <v>26514</v>
      </c>
      <c r="BC77" s="8" t="e">
        <v>#N/A</v>
      </c>
      <c r="BD77" s="8">
        <v>22717</v>
      </c>
      <c r="BE77" s="8">
        <v>799</v>
      </c>
      <c r="BF77" s="8">
        <v>2438</v>
      </c>
      <c r="BG77" s="8">
        <v>2051</v>
      </c>
    </row>
    <row r="78" spans="1:59" x14ac:dyDescent="0.25">
      <c r="A78" t="s">
        <v>646</v>
      </c>
      <c r="B78" s="8" t="e">
        <v>#N/A</v>
      </c>
      <c r="C78" s="8" t="e">
        <v>#N/A</v>
      </c>
      <c r="D78" s="8" t="e">
        <v>#N/A</v>
      </c>
      <c r="E78" s="8" t="e">
        <v>#N/A</v>
      </c>
      <c r="F78" s="8" t="e">
        <v>#N/A</v>
      </c>
      <c r="G78" s="2" t="e">
        <v>#N/A</v>
      </c>
      <c r="H78" s="2" t="e">
        <v>#N/A</v>
      </c>
      <c r="I78" s="2" t="e">
        <v>#N/A</v>
      </c>
      <c r="J78" s="2" t="e">
        <v>#N/A</v>
      </c>
      <c r="K78" s="8" t="e">
        <v>#N/A</v>
      </c>
      <c r="L78" s="8" t="e">
        <v>#N/A</v>
      </c>
      <c r="M78" s="8" t="e">
        <v>#N/A</v>
      </c>
      <c r="N78" s="8" t="e">
        <v>#N/A</v>
      </c>
      <c r="O78" s="8" t="e">
        <v>#N/A</v>
      </c>
      <c r="P78" s="8" t="e">
        <v>#N/A</v>
      </c>
      <c r="Q78" s="8" t="e">
        <v>#N/A</v>
      </c>
      <c r="R78" s="8" t="e">
        <v>#N/A</v>
      </c>
      <c r="S78" s="8">
        <v>28897</v>
      </c>
      <c r="T78" s="8">
        <v>497</v>
      </c>
      <c r="U78" s="8">
        <v>78</v>
      </c>
      <c r="V78" s="8">
        <v>4275</v>
      </c>
      <c r="W78" s="8">
        <v>106</v>
      </c>
      <c r="X78" s="8">
        <v>161</v>
      </c>
      <c r="Y78" s="8">
        <v>1836</v>
      </c>
      <c r="Z78" s="8">
        <v>4872</v>
      </c>
      <c r="AA78" s="8">
        <v>1296</v>
      </c>
      <c r="AB78" s="8">
        <v>1764</v>
      </c>
      <c r="AC78" s="8">
        <v>899</v>
      </c>
      <c r="AD78" s="8">
        <v>1105</v>
      </c>
      <c r="AE78" s="8">
        <v>283</v>
      </c>
      <c r="AF78" s="8">
        <v>1651</v>
      </c>
      <c r="AG78" s="8">
        <v>1983</v>
      </c>
      <c r="AH78" s="8">
        <v>1608</v>
      </c>
      <c r="AI78" s="8">
        <v>2037</v>
      </c>
      <c r="AJ78" s="8">
        <v>2946</v>
      </c>
      <c r="AK78" s="8">
        <v>687</v>
      </c>
      <c r="AL78" s="8">
        <v>732</v>
      </c>
      <c r="AM78" s="8">
        <v>81</v>
      </c>
      <c r="AN78" s="8">
        <v>21945</v>
      </c>
      <c r="AO78" s="8" t="e">
        <v>#N/A</v>
      </c>
      <c r="AP78" s="8">
        <v>1951</v>
      </c>
      <c r="AQ78" s="2">
        <v>6.8</v>
      </c>
      <c r="AR78" s="2">
        <v>6.7</v>
      </c>
      <c r="AS78" s="2" t="e">
        <v>#N/A</v>
      </c>
      <c r="AT78" s="8">
        <v>67</v>
      </c>
      <c r="AU78" s="8">
        <v>61</v>
      </c>
      <c r="AV78" s="8">
        <v>681</v>
      </c>
      <c r="AW78" s="8">
        <v>45561</v>
      </c>
      <c r="AX78" s="2">
        <v>62.6</v>
      </c>
      <c r="AY78" s="2">
        <v>71.099999999999994</v>
      </c>
      <c r="AZ78" s="2">
        <v>33.200000000000003</v>
      </c>
      <c r="BA78" s="8" t="e">
        <v>#N/A</v>
      </c>
      <c r="BB78" s="8">
        <v>26572</v>
      </c>
      <c r="BC78" s="8" t="e">
        <v>#N/A</v>
      </c>
      <c r="BD78" s="8">
        <v>22788</v>
      </c>
      <c r="BE78" s="8">
        <v>785</v>
      </c>
      <c r="BF78" s="8">
        <v>2439</v>
      </c>
      <c r="BG78" s="8">
        <v>1951</v>
      </c>
    </row>
    <row r="79" spans="1:59" x14ac:dyDescent="0.25">
      <c r="A79" t="s">
        <v>647</v>
      </c>
      <c r="B79" s="8" t="e">
        <v>#N/A</v>
      </c>
      <c r="C79" s="8" t="e">
        <v>#N/A</v>
      </c>
      <c r="D79" s="8" t="e">
        <v>#N/A</v>
      </c>
      <c r="E79" s="8" t="e">
        <v>#N/A</v>
      </c>
      <c r="F79" s="8" t="e">
        <v>#N/A</v>
      </c>
      <c r="G79" s="2" t="e">
        <v>#N/A</v>
      </c>
      <c r="H79" s="2" t="e">
        <v>#N/A</v>
      </c>
      <c r="I79" s="2" t="e">
        <v>#N/A</v>
      </c>
      <c r="J79" s="2" t="e">
        <v>#N/A</v>
      </c>
      <c r="K79" s="8" t="e">
        <v>#N/A</v>
      </c>
      <c r="L79" s="8" t="e">
        <v>#N/A</v>
      </c>
      <c r="M79" s="8" t="e">
        <v>#N/A</v>
      </c>
      <c r="N79" s="8" t="e">
        <v>#N/A</v>
      </c>
      <c r="O79" s="8" t="e">
        <v>#N/A</v>
      </c>
      <c r="P79" s="8" t="e">
        <v>#N/A</v>
      </c>
      <c r="Q79" s="8" t="e">
        <v>#N/A</v>
      </c>
      <c r="R79" s="8" t="e">
        <v>#N/A</v>
      </c>
      <c r="S79" s="8">
        <v>29022</v>
      </c>
      <c r="T79" s="8">
        <v>484</v>
      </c>
      <c r="U79" s="8">
        <v>78</v>
      </c>
      <c r="V79" s="8">
        <v>4301</v>
      </c>
      <c r="W79" s="8">
        <v>106</v>
      </c>
      <c r="X79" s="8">
        <v>167</v>
      </c>
      <c r="Y79" s="8">
        <v>1896</v>
      </c>
      <c r="Z79" s="8">
        <v>4868</v>
      </c>
      <c r="AA79" s="8">
        <v>1303</v>
      </c>
      <c r="AB79" s="8">
        <v>1759</v>
      </c>
      <c r="AC79" s="8">
        <v>930</v>
      </c>
      <c r="AD79" s="8">
        <v>1104</v>
      </c>
      <c r="AE79" s="8">
        <v>286</v>
      </c>
      <c r="AF79" s="8">
        <v>1667</v>
      </c>
      <c r="AG79" s="8">
        <v>2001</v>
      </c>
      <c r="AH79" s="8">
        <v>1599</v>
      </c>
      <c r="AI79" s="8">
        <v>2040</v>
      </c>
      <c r="AJ79" s="8">
        <v>2927</v>
      </c>
      <c r="AK79" s="8">
        <v>687</v>
      </c>
      <c r="AL79" s="8">
        <v>739</v>
      </c>
      <c r="AM79" s="8">
        <v>78</v>
      </c>
      <c r="AN79" s="8">
        <v>21989</v>
      </c>
      <c r="AO79" s="8" t="e">
        <v>#N/A</v>
      </c>
      <c r="AP79" s="8">
        <v>1864</v>
      </c>
      <c r="AQ79" s="2">
        <v>6.5</v>
      </c>
      <c r="AR79" s="2">
        <v>6.3</v>
      </c>
      <c r="AS79" s="2" t="e">
        <v>#N/A</v>
      </c>
      <c r="AT79" s="8">
        <v>74</v>
      </c>
      <c r="AU79" s="8">
        <v>64</v>
      </c>
      <c r="AV79" s="8">
        <v>611</v>
      </c>
      <c r="AW79" s="8">
        <v>45605</v>
      </c>
      <c r="AX79" s="2">
        <v>62.5</v>
      </c>
      <c r="AY79" s="2">
        <v>71.2</v>
      </c>
      <c r="AZ79" s="2">
        <v>33.1</v>
      </c>
      <c r="BA79" s="8" t="e">
        <v>#N/A</v>
      </c>
      <c r="BB79" s="8">
        <v>26636</v>
      </c>
      <c r="BC79" s="8" t="e">
        <v>#N/A</v>
      </c>
      <c r="BD79" s="8">
        <v>22903</v>
      </c>
      <c r="BE79" s="8">
        <v>759</v>
      </c>
      <c r="BF79" s="8">
        <v>2442</v>
      </c>
      <c r="BG79" s="8">
        <v>1864</v>
      </c>
    </row>
    <row r="80" spans="1:59" x14ac:dyDescent="0.25">
      <c r="A80" t="s">
        <v>648</v>
      </c>
      <c r="B80" s="8" t="e">
        <v>#N/A</v>
      </c>
      <c r="C80" s="8" t="e">
        <v>#N/A</v>
      </c>
      <c r="D80" s="8" t="e">
        <v>#N/A</v>
      </c>
      <c r="E80" s="8" t="e">
        <v>#N/A</v>
      </c>
      <c r="F80" s="8" t="e">
        <v>#N/A</v>
      </c>
      <c r="G80" s="2" t="e">
        <v>#N/A</v>
      </c>
      <c r="H80" s="2" t="e">
        <v>#N/A</v>
      </c>
      <c r="I80" s="2" t="e">
        <v>#N/A</v>
      </c>
      <c r="J80" s="2" t="e">
        <v>#N/A</v>
      </c>
      <c r="K80" s="8" t="e">
        <v>#N/A</v>
      </c>
      <c r="L80" s="8" t="e">
        <v>#N/A</v>
      </c>
      <c r="M80" s="8" t="e">
        <v>#N/A</v>
      </c>
      <c r="N80" s="8" t="e">
        <v>#N/A</v>
      </c>
      <c r="O80" s="8" t="e">
        <v>#N/A</v>
      </c>
      <c r="P80" s="8" t="e">
        <v>#N/A</v>
      </c>
      <c r="Q80" s="8" t="e">
        <v>#N/A</v>
      </c>
      <c r="R80" s="8" t="e">
        <v>#N/A</v>
      </c>
      <c r="S80" s="8">
        <v>29045</v>
      </c>
      <c r="T80" s="8">
        <v>483</v>
      </c>
      <c r="U80" s="8">
        <v>78</v>
      </c>
      <c r="V80" s="8">
        <v>4313</v>
      </c>
      <c r="W80" s="8">
        <v>106</v>
      </c>
      <c r="X80" s="8">
        <v>163</v>
      </c>
      <c r="Y80" s="8">
        <v>1885</v>
      </c>
      <c r="Z80" s="8">
        <v>4872</v>
      </c>
      <c r="AA80" s="8">
        <v>1313</v>
      </c>
      <c r="AB80" s="8">
        <v>1759</v>
      </c>
      <c r="AC80" s="8">
        <v>956</v>
      </c>
      <c r="AD80" s="8">
        <v>1116</v>
      </c>
      <c r="AE80" s="8">
        <v>281</v>
      </c>
      <c r="AF80" s="8">
        <v>1673</v>
      </c>
      <c r="AG80" s="8">
        <v>1983</v>
      </c>
      <c r="AH80" s="8">
        <v>1600</v>
      </c>
      <c r="AI80" s="8">
        <v>2057</v>
      </c>
      <c r="AJ80" s="8">
        <v>2926</v>
      </c>
      <c r="AK80" s="8">
        <v>667</v>
      </c>
      <c r="AL80" s="8">
        <v>730</v>
      </c>
      <c r="AM80" s="8">
        <v>82</v>
      </c>
      <c r="AN80" s="8">
        <v>22016</v>
      </c>
      <c r="AO80" s="8" t="e">
        <v>#N/A</v>
      </c>
      <c r="AP80" s="8">
        <v>1813</v>
      </c>
      <c r="AQ80" s="2">
        <v>6.4</v>
      </c>
      <c r="AR80" s="2">
        <v>7.4</v>
      </c>
      <c r="AS80" s="2" t="e">
        <v>#N/A</v>
      </c>
      <c r="AT80" s="8">
        <v>74</v>
      </c>
      <c r="AU80" s="8">
        <v>66</v>
      </c>
      <c r="AV80" s="8">
        <v>581</v>
      </c>
      <c r="AW80" s="8">
        <v>45648</v>
      </c>
      <c r="AX80" s="2">
        <v>62.4</v>
      </c>
      <c r="AY80" s="2">
        <v>71.3</v>
      </c>
      <c r="AZ80" s="2">
        <v>33.200000000000003</v>
      </c>
      <c r="BA80" s="8" t="e">
        <v>#N/A</v>
      </c>
      <c r="BB80" s="8">
        <v>26677</v>
      </c>
      <c r="BC80" s="8" t="e">
        <v>#N/A</v>
      </c>
      <c r="BD80" s="8">
        <v>22972</v>
      </c>
      <c r="BE80" s="8">
        <v>763</v>
      </c>
      <c r="BF80" s="8">
        <v>2466</v>
      </c>
      <c r="BG80" s="8">
        <v>1813</v>
      </c>
    </row>
    <row r="81" spans="1:59" x14ac:dyDescent="0.25">
      <c r="A81" t="s">
        <v>649</v>
      </c>
      <c r="B81" s="8">
        <v>5393</v>
      </c>
      <c r="C81" s="8" t="e">
        <v>#N/A</v>
      </c>
      <c r="D81" s="8" t="e">
        <v>#N/A</v>
      </c>
      <c r="E81" s="8" t="e">
        <v>#N/A</v>
      </c>
      <c r="F81" s="8" t="e">
        <v>#N/A</v>
      </c>
      <c r="G81" s="2" t="e">
        <v>#N/A</v>
      </c>
      <c r="H81" s="2" t="e">
        <v>#N/A</v>
      </c>
      <c r="I81" s="2" t="e">
        <v>#N/A</v>
      </c>
      <c r="J81" s="2" t="e">
        <v>#N/A</v>
      </c>
      <c r="K81" s="8" t="e">
        <v>#N/A</v>
      </c>
      <c r="L81" s="8" t="e">
        <v>#N/A</v>
      </c>
      <c r="M81" s="8" t="e">
        <v>#N/A</v>
      </c>
      <c r="N81" s="8" t="e">
        <v>#N/A</v>
      </c>
      <c r="O81" s="8" t="e">
        <v>#N/A</v>
      </c>
      <c r="P81" s="8" t="e">
        <v>#N/A</v>
      </c>
      <c r="Q81" s="8" t="e">
        <v>#N/A</v>
      </c>
      <c r="R81" s="8" t="e">
        <v>#N/A</v>
      </c>
      <c r="S81" s="8">
        <v>28948</v>
      </c>
      <c r="T81" s="8">
        <v>475</v>
      </c>
      <c r="U81" s="8">
        <v>76</v>
      </c>
      <c r="V81" s="8">
        <v>4299</v>
      </c>
      <c r="W81" s="8">
        <v>105</v>
      </c>
      <c r="X81" s="8">
        <v>162</v>
      </c>
      <c r="Y81" s="8">
        <v>1869</v>
      </c>
      <c r="Z81" s="8">
        <v>4870</v>
      </c>
      <c r="AA81" s="8">
        <v>1317</v>
      </c>
      <c r="AB81" s="8">
        <v>1740</v>
      </c>
      <c r="AC81" s="8">
        <v>970</v>
      </c>
      <c r="AD81" s="8">
        <v>1113</v>
      </c>
      <c r="AE81" s="8">
        <v>284</v>
      </c>
      <c r="AF81" s="8">
        <v>1663</v>
      </c>
      <c r="AG81" s="8">
        <v>1998</v>
      </c>
      <c r="AH81" s="8">
        <v>1598</v>
      </c>
      <c r="AI81" s="8">
        <v>2034</v>
      </c>
      <c r="AJ81" s="8">
        <v>2916</v>
      </c>
      <c r="AK81" s="8">
        <v>645</v>
      </c>
      <c r="AL81" s="8">
        <v>732</v>
      </c>
      <c r="AM81" s="8">
        <v>82</v>
      </c>
      <c r="AN81" s="8">
        <v>21962</v>
      </c>
      <c r="AO81" s="8" t="e">
        <v>#N/A</v>
      </c>
      <c r="AP81" s="8">
        <v>1791</v>
      </c>
      <c r="AQ81" s="2">
        <v>6.3</v>
      </c>
      <c r="AR81" s="2">
        <v>7.3</v>
      </c>
      <c r="AS81" s="2" t="e">
        <v>#N/A</v>
      </c>
      <c r="AT81" s="8">
        <v>77</v>
      </c>
      <c r="AU81" s="8">
        <v>70</v>
      </c>
      <c r="AV81" s="8">
        <v>561</v>
      </c>
      <c r="AW81" s="8">
        <v>45691</v>
      </c>
      <c r="AX81" s="2">
        <v>62.4</v>
      </c>
      <c r="AY81" s="2">
        <v>71.3</v>
      </c>
      <c r="AZ81" s="2">
        <v>33.200000000000003</v>
      </c>
      <c r="BA81" s="8" t="e">
        <v>#N/A</v>
      </c>
      <c r="BB81" s="8">
        <v>26714</v>
      </c>
      <c r="BC81" s="8" t="e">
        <v>#N/A</v>
      </c>
      <c r="BD81" s="8">
        <v>23090</v>
      </c>
      <c r="BE81" s="8">
        <v>763</v>
      </c>
      <c r="BF81" s="8">
        <v>2439</v>
      </c>
      <c r="BG81" s="8">
        <v>1791</v>
      </c>
    </row>
    <row r="82" spans="1:59" x14ac:dyDescent="0.25">
      <c r="A82" t="s">
        <v>650</v>
      </c>
      <c r="B82" s="8" t="e">
        <v>#N/A</v>
      </c>
      <c r="C82" s="8" t="e">
        <v>#N/A</v>
      </c>
      <c r="D82" s="8" t="e">
        <v>#N/A</v>
      </c>
      <c r="E82" s="8" t="e">
        <v>#N/A</v>
      </c>
      <c r="F82" s="8" t="e">
        <v>#N/A</v>
      </c>
      <c r="G82" s="2" t="e">
        <v>#N/A</v>
      </c>
      <c r="H82" s="2" t="e">
        <v>#N/A</v>
      </c>
      <c r="I82" s="2" t="e">
        <v>#N/A</v>
      </c>
      <c r="J82" s="2" t="e">
        <v>#N/A</v>
      </c>
      <c r="K82" s="8" t="e">
        <v>#N/A</v>
      </c>
      <c r="L82" s="8" t="e">
        <v>#N/A</v>
      </c>
      <c r="M82" s="8" t="e">
        <v>#N/A</v>
      </c>
      <c r="N82" s="8" t="e">
        <v>#N/A</v>
      </c>
      <c r="O82" s="8" t="e">
        <v>#N/A</v>
      </c>
      <c r="P82" s="8" t="e">
        <v>#N/A</v>
      </c>
      <c r="Q82" s="8" t="e">
        <v>#N/A</v>
      </c>
      <c r="R82" s="8" t="e">
        <v>#N/A</v>
      </c>
      <c r="S82" s="8">
        <v>29049</v>
      </c>
      <c r="T82" s="8">
        <v>446</v>
      </c>
      <c r="U82" s="8">
        <v>76</v>
      </c>
      <c r="V82" s="8">
        <v>4295</v>
      </c>
      <c r="W82" s="8">
        <v>105</v>
      </c>
      <c r="X82" s="8">
        <v>164</v>
      </c>
      <c r="Y82" s="8">
        <v>1887</v>
      </c>
      <c r="Z82" s="8">
        <v>4919</v>
      </c>
      <c r="AA82" s="8">
        <v>1325</v>
      </c>
      <c r="AB82" s="8">
        <v>1760</v>
      </c>
      <c r="AC82" s="8">
        <v>975</v>
      </c>
      <c r="AD82" s="8">
        <v>1105</v>
      </c>
      <c r="AE82" s="8">
        <v>293</v>
      </c>
      <c r="AF82" s="8">
        <v>1688</v>
      </c>
      <c r="AG82" s="8">
        <v>2005</v>
      </c>
      <c r="AH82" s="8">
        <v>1596</v>
      </c>
      <c r="AI82" s="8">
        <v>2039</v>
      </c>
      <c r="AJ82" s="8">
        <v>2904</v>
      </c>
      <c r="AK82" s="8">
        <v>656</v>
      </c>
      <c r="AL82" s="8">
        <v>732</v>
      </c>
      <c r="AM82" s="8">
        <v>79</v>
      </c>
      <c r="AN82" s="8">
        <v>22076</v>
      </c>
      <c r="AO82" s="8" t="e">
        <v>#N/A</v>
      </c>
      <c r="AP82" s="8">
        <v>1786</v>
      </c>
      <c r="AQ82" s="2">
        <v>6.2</v>
      </c>
      <c r="AR82" s="2">
        <v>6.8</v>
      </c>
      <c r="AS82" s="2" t="e">
        <v>#N/A</v>
      </c>
      <c r="AT82" s="8">
        <v>70</v>
      </c>
      <c r="AU82" s="8">
        <v>65</v>
      </c>
      <c r="AV82" s="8">
        <v>525</v>
      </c>
      <c r="AW82" s="8">
        <v>45743</v>
      </c>
      <c r="AX82" s="2">
        <v>62.6</v>
      </c>
      <c r="AY82" s="2">
        <v>71.599999999999994</v>
      </c>
      <c r="AZ82" s="2">
        <v>33.1</v>
      </c>
      <c r="BA82" s="8" t="e">
        <v>#N/A</v>
      </c>
      <c r="BB82" s="8">
        <v>26834</v>
      </c>
      <c r="BC82" s="8" t="e">
        <v>#N/A</v>
      </c>
      <c r="BD82" s="8">
        <v>23270</v>
      </c>
      <c r="BE82" s="8">
        <v>731</v>
      </c>
      <c r="BF82" s="8">
        <v>2413</v>
      </c>
      <c r="BG82" s="8">
        <v>1786</v>
      </c>
    </row>
    <row r="83" spans="1:59" x14ac:dyDescent="0.25">
      <c r="A83" t="s">
        <v>651</v>
      </c>
      <c r="B83" s="8" t="e">
        <v>#N/A</v>
      </c>
      <c r="C83" s="8" t="e">
        <v>#N/A</v>
      </c>
      <c r="D83" s="8" t="e">
        <v>#N/A</v>
      </c>
      <c r="E83" s="8" t="e">
        <v>#N/A</v>
      </c>
      <c r="F83" s="8" t="e">
        <v>#N/A</v>
      </c>
      <c r="G83" s="2" t="e">
        <v>#N/A</v>
      </c>
      <c r="H83" s="2" t="e">
        <v>#N/A</v>
      </c>
      <c r="I83" s="2" t="e">
        <v>#N/A</v>
      </c>
      <c r="J83" s="2" t="e">
        <v>#N/A</v>
      </c>
      <c r="K83" s="8" t="e">
        <v>#N/A</v>
      </c>
      <c r="L83" s="8" t="e">
        <v>#N/A</v>
      </c>
      <c r="M83" s="8" t="e">
        <v>#N/A</v>
      </c>
      <c r="N83" s="8" t="e">
        <v>#N/A</v>
      </c>
      <c r="O83" s="8" t="e">
        <v>#N/A</v>
      </c>
      <c r="P83" s="8" t="e">
        <v>#N/A</v>
      </c>
      <c r="Q83" s="8" t="e">
        <v>#N/A</v>
      </c>
      <c r="R83" s="8" t="e">
        <v>#N/A</v>
      </c>
      <c r="S83" s="8">
        <v>29213</v>
      </c>
      <c r="T83" s="8">
        <v>428</v>
      </c>
      <c r="U83" s="8">
        <v>78</v>
      </c>
      <c r="V83" s="8">
        <v>4230</v>
      </c>
      <c r="W83" s="8">
        <v>104</v>
      </c>
      <c r="X83" s="8">
        <v>167</v>
      </c>
      <c r="Y83" s="8">
        <v>1918</v>
      </c>
      <c r="Z83" s="8">
        <v>4893</v>
      </c>
      <c r="AA83" s="8">
        <v>1343</v>
      </c>
      <c r="AB83" s="8">
        <v>1785</v>
      </c>
      <c r="AC83" s="8">
        <v>1014</v>
      </c>
      <c r="AD83" s="8">
        <v>1115</v>
      </c>
      <c r="AE83" s="8">
        <v>287</v>
      </c>
      <c r="AF83" s="8">
        <v>1710</v>
      </c>
      <c r="AG83" s="8">
        <v>2031</v>
      </c>
      <c r="AH83" s="8">
        <v>1593</v>
      </c>
      <c r="AI83" s="8">
        <v>2079</v>
      </c>
      <c r="AJ83" s="8">
        <v>2948</v>
      </c>
      <c r="AK83" s="8">
        <v>672</v>
      </c>
      <c r="AL83" s="8">
        <v>731</v>
      </c>
      <c r="AM83" s="8">
        <v>87</v>
      </c>
      <c r="AN83" s="8">
        <v>22287</v>
      </c>
      <c r="AO83" s="8" t="e">
        <v>#N/A</v>
      </c>
      <c r="AP83" s="8">
        <v>1764</v>
      </c>
      <c r="AQ83" s="2">
        <v>6.1</v>
      </c>
      <c r="AR83" s="2">
        <v>7.9</v>
      </c>
      <c r="AS83" s="2" t="e">
        <v>#N/A</v>
      </c>
      <c r="AT83" s="8">
        <v>66</v>
      </c>
      <c r="AU83" s="8">
        <v>64</v>
      </c>
      <c r="AV83" s="8">
        <v>500</v>
      </c>
      <c r="AW83" s="8">
        <v>45796</v>
      </c>
      <c r="AX83" s="2">
        <v>62.7</v>
      </c>
      <c r="AY83" s="2">
        <v>71.8</v>
      </c>
      <c r="AZ83" s="2">
        <v>32.799999999999997</v>
      </c>
      <c r="BA83" s="8" t="e">
        <v>#N/A</v>
      </c>
      <c r="BB83" s="8">
        <v>26955</v>
      </c>
      <c r="BC83" s="8" t="e">
        <v>#N/A</v>
      </c>
      <c r="BD83" s="8">
        <v>23397</v>
      </c>
      <c r="BE83" s="8">
        <v>717</v>
      </c>
      <c r="BF83" s="8">
        <v>2391</v>
      </c>
      <c r="BG83" s="8">
        <v>1764</v>
      </c>
    </row>
    <row r="84" spans="1:59" x14ac:dyDescent="0.25">
      <c r="A84" t="s">
        <v>652</v>
      </c>
      <c r="B84" s="8">
        <v>5398</v>
      </c>
      <c r="C84" s="8">
        <v>21644</v>
      </c>
      <c r="D84" s="8">
        <v>27042</v>
      </c>
      <c r="E84" s="8">
        <v>4956</v>
      </c>
      <c r="F84" s="8">
        <v>22086</v>
      </c>
      <c r="G84" s="2">
        <v>20</v>
      </c>
      <c r="H84" s="2">
        <v>80</v>
      </c>
      <c r="I84" s="2">
        <v>18.3</v>
      </c>
      <c r="J84" s="2">
        <v>81.7</v>
      </c>
      <c r="K84" s="8">
        <v>109</v>
      </c>
      <c r="L84" s="8">
        <v>217</v>
      </c>
      <c r="M84" s="8">
        <v>228</v>
      </c>
      <c r="N84" s="8">
        <v>1163</v>
      </c>
      <c r="O84" s="8">
        <v>1381</v>
      </c>
      <c r="P84" s="8">
        <v>1173</v>
      </c>
      <c r="Q84" s="8">
        <v>392</v>
      </c>
      <c r="R84" s="8">
        <v>732</v>
      </c>
      <c r="S84" s="8">
        <v>29237</v>
      </c>
      <c r="T84" s="8">
        <v>436</v>
      </c>
      <c r="U84" s="8">
        <v>77</v>
      </c>
      <c r="V84" s="8">
        <v>4171</v>
      </c>
      <c r="W84" s="8">
        <v>102</v>
      </c>
      <c r="X84" s="8">
        <v>164</v>
      </c>
      <c r="Y84" s="8">
        <v>1884</v>
      </c>
      <c r="Z84" s="8">
        <v>4871</v>
      </c>
      <c r="AA84" s="8">
        <v>1346</v>
      </c>
      <c r="AB84" s="8">
        <v>1789</v>
      </c>
      <c r="AC84" s="8">
        <v>1027</v>
      </c>
      <c r="AD84" s="8">
        <v>1121</v>
      </c>
      <c r="AE84" s="8">
        <v>282</v>
      </c>
      <c r="AF84" s="8">
        <v>1724</v>
      </c>
      <c r="AG84" s="8">
        <v>2034</v>
      </c>
      <c r="AH84" s="8">
        <v>1627</v>
      </c>
      <c r="AI84" s="8">
        <v>2106</v>
      </c>
      <c r="AJ84" s="8">
        <v>2968</v>
      </c>
      <c r="AK84" s="8">
        <v>690</v>
      </c>
      <c r="AL84" s="8">
        <v>737</v>
      </c>
      <c r="AM84" s="8">
        <v>80</v>
      </c>
      <c r="AN84" s="8">
        <v>22402</v>
      </c>
      <c r="AO84" s="8" t="e">
        <v>#N/A</v>
      </c>
      <c r="AP84" s="8">
        <v>1780</v>
      </c>
      <c r="AQ84" s="2">
        <v>6.2</v>
      </c>
      <c r="AR84" s="2">
        <v>8.8000000000000007</v>
      </c>
      <c r="AS84" s="2" t="e">
        <v>#N/A</v>
      </c>
      <c r="AT84" s="8">
        <v>69</v>
      </c>
      <c r="AU84" s="8">
        <v>64</v>
      </c>
      <c r="AV84" s="8">
        <v>499</v>
      </c>
      <c r="AW84" s="8">
        <v>45851</v>
      </c>
      <c r="AX84" s="2">
        <v>62.8</v>
      </c>
      <c r="AY84" s="2">
        <v>71.900000000000006</v>
      </c>
      <c r="AZ84" s="2">
        <v>32.9</v>
      </c>
      <c r="BA84" s="8" t="e">
        <v>#N/A</v>
      </c>
      <c r="BB84" s="8">
        <v>27036</v>
      </c>
      <c r="BC84" s="8" t="e">
        <v>#N/A</v>
      </c>
      <c r="BD84" s="8">
        <v>23473</v>
      </c>
      <c r="BE84" s="8">
        <v>714</v>
      </c>
      <c r="BF84" s="8">
        <v>2325</v>
      </c>
      <c r="BG84" s="8">
        <v>1780</v>
      </c>
    </row>
    <row r="85" spans="1:59" x14ac:dyDescent="0.25">
      <c r="A85" t="s">
        <v>653</v>
      </c>
      <c r="B85" s="8">
        <v>5411</v>
      </c>
      <c r="C85" s="8">
        <v>21704</v>
      </c>
      <c r="D85" s="8">
        <v>27115</v>
      </c>
      <c r="E85" s="8">
        <v>4968</v>
      </c>
      <c r="F85" s="8">
        <v>22147</v>
      </c>
      <c r="G85" s="2">
        <v>20</v>
      </c>
      <c r="H85" s="2">
        <v>80</v>
      </c>
      <c r="I85" s="2">
        <v>18.3</v>
      </c>
      <c r="J85" s="2">
        <v>81.7</v>
      </c>
      <c r="K85" s="8">
        <v>107</v>
      </c>
      <c r="L85" s="8">
        <v>218</v>
      </c>
      <c r="M85" s="8">
        <v>227</v>
      </c>
      <c r="N85" s="8">
        <v>1172</v>
      </c>
      <c r="O85" s="8">
        <v>1388</v>
      </c>
      <c r="P85" s="8">
        <v>1179</v>
      </c>
      <c r="Q85" s="8">
        <v>392</v>
      </c>
      <c r="R85" s="8">
        <v>731</v>
      </c>
      <c r="S85" s="8">
        <v>29327</v>
      </c>
      <c r="T85" s="8">
        <v>424</v>
      </c>
      <c r="U85" s="8">
        <v>76</v>
      </c>
      <c r="V85" s="8">
        <v>4128</v>
      </c>
      <c r="W85" s="8">
        <v>102</v>
      </c>
      <c r="X85" s="8">
        <v>165</v>
      </c>
      <c r="Y85" s="8">
        <v>1909</v>
      </c>
      <c r="Z85" s="8">
        <v>4872</v>
      </c>
      <c r="AA85" s="8">
        <v>1346</v>
      </c>
      <c r="AB85" s="8">
        <v>1800</v>
      </c>
      <c r="AC85" s="8">
        <v>1065</v>
      </c>
      <c r="AD85" s="8">
        <v>1141</v>
      </c>
      <c r="AE85" s="8">
        <v>291</v>
      </c>
      <c r="AF85" s="8">
        <v>1743</v>
      </c>
      <c r="AG85" s="8">
        <v>2036</v>
      </c>
      <c r="AH85" s="8">
        <v>1632</v>
      </c>
      <c r="AI85" s="8">
        <v>2121</v>
      </c>
      <c r="AJ85" s="8">
        <v>2933</v>
      </c>
      <c r="AK85" s="8">
        <v>712</v>
      </c>
      <c r="AL85" s="8">
        <v>754</v>
      </c>
      <c r="AM85" s="8">
        <v>78</v>
      </c>
      <c r="AN85" s="8">
        <v>22523</v>
      </c>
      <c r="AO85" s="8" t="e">
        <v>#N/A</v>
      </c>
      <c r="AP85" s="8">
        <v>1743</v>
      </c>
      <c r="AQ85" s="2">
        <v>6</v>
      </c>
      <c r="AR85" s="2">
        <v>7.7</v>
      </c>
      <c r="AS85" s="2" t="e">
        <v>#N/A</v>
      </c>
      <c r="AT85" s="8">
        <v>71</v>
      </c>
      <c r="AU85" s="8">
        <v>62</v>
      </c>
      <c r="AV85" s="8">
        <v>496</v>
      </c>
      <c r="AW85" s="8">
        <v>45905</v>
      </c>
      <c r="AX85" s="2">
        <v>62.8</v>
      </c>
      <c r="AY85" s="2">
        <v>71.900000000000006</v>
      </c>
      <c r="AZ85" s="2">
        <v>32.9</v>
      </c>
      <c r="BA85" s="8" t="e">
        <v>#N/A</v>
      </c>
      <c r="BB85" s="8">
        <v>27095</v>
      </c>
      <c r="BC85" s="8" t="e">
        <v>#N/A</v>
      </c>
      <c r="BD85" s="8">
        <v>23515</v>
      </c>
      <c r="BE85" s="8">
        <v>703</v>
      </c>
      <c r="BF85" s="8">
        <v>2361</v>
      </c>
      <c r="BG85" s="8">
        <v>1743</v>
      </c>
    </row>
    <row r="86" spans="1:59" x14ac:dyDescent="0.25">
      <c r="A86" t="s">
        <v>654</v>
      </c>
      <c r="B86" s="8">
        <v>5432</v>
      </c>
      <c r="C86" s="8">
        <v>21780</v>
      </c>
      <c r="D86" s="8">
        <v>27212</v>
      </c>
      <c r="E86" s="8">
        <v>4991</v>
      </c>
      <c r="F86" s="8">
        <v>22221</v>
      </c>
      <c r="G86" s="2">
        <v>20</v>
      </c>
      <c r="H86" s="2">
        <v>80</v>
      </c>
      <c r="I86" s="2">
        <v>18.3</v>
      </c>
      <c r="J86" s="2">
        <v>81.7</v>
      </c>
      <c r="K86" s="8">
        <v>111</v>
      </c>
      <c r="L86" s="8">
        <v>218</v>
      </c>
      <c r="M86" s="8">
        <v>226</v>
      </c>
      <c r="N86" s="8">
        <v>1177</v>
      </c>
      <c r="O86" s="8">
        <v>1388</v>
      </c>
      <c r="P86" s="8">
        <v>1185</v>
      </c>
      <c r="Q86" s="8">
        <v>396</v>
      </c>
      <c r="R86" s="8">
        <v>733</v>
      </c>
      <c r="S86" s="8">
        <v>29584</v>
      </c>
      <c r="T86" s="8">
        <v>420</v>
      </c>
      <c r="U86" s="8">
        <v>76</v>
      </c>
      <c r="V86" s="8">
        <v>4101</v>
      </c>
      <c r="W86" s="8">
        <v>99</v>
      </c>
      <c r="X86" s="8">
        <v>163</v>
      </c>
      <c r="Y86" s="8">
        <v>1920</v>
      </c>
      <c r="Z86" s="8">
        <v>4893</v>
      </c>
      <c r="AA86" s="8">
        <v>1364</v>
      </c>
      <c r="AB86" s="8">
        <v>1817</v>
      </c>
      <c r="AC86" s="8">
        <v>1079</v>
      </c>
      <c r="AD86" s="8">
        <v>1153</v>
      </c>
      <c r="AE86" s="8">
        <v>292</v>
      </c>
      <c r="AF86" s="8">
        <v>1780</v>
      </c>
      <c r="AG86" s="8">
        <v>2074</v>
      </c>
      <c r="AH86" s="8">
        <v>1635</v>
      </c>
      <c r="AI86" s="8">
        <v>2150</v>
      </c>
      <c r="AJ86" s="8">
        <v>2977</v>
      </c>
      <c r="AK86" s="8">
        <v>732</v>
      </c>
      <c r="AL86" s="8">
        <v>777</v>
      </c>
      <c r="AM86" s="8">
        <v>83</v>
      </c>
      <c r="AN86" s="8">
        <v>22806</v>
      </c>
      <c r="AO86" s="8" t="e">
        <v>#N/A</v>
      </c>
      <c r="AP86" s="8">
        <v>1702</v>
      </c>
      <c r="AQ86" s="2">
        <v>5.9</v>
      </c>
      <c r="AR86" s="2">
        <v>7.1</v>
      </c>
      <c r="AS86" s="2" t="e">
        <v>#N/A</v>
      </c>
      <c r="AT86" s="8">
        <v>69</v>
      </c>
      <c r="AU86" s="8">
        <v>61</v>
      </c>
      <c r="AV86" s="8">
        <v>494</v>
      </c>
      <c r="AW86" s="8">
        <v>45965</v>
      </c>
      <c r="AX86" s="2">
        <v>62.9</v>
      </c>
      <c r="AY86" s="2">
        <v>72.099999999999994</v>
      </c>
      <c r="AZ86" s="2">
        <v>32.9</v>
      </c>
      <c r="BA86" s="8" t="e">
        <v>#N/A</v>
      </c>
      <c r="BB86" s="8">
        <v>27218</v>
      </c>
      <c r="BC86" s="8" t="e">
        <v>#N/A</v>
      </c>
      <c r="BD86" s="8">
        <v>23659</v>
      </c>
      <c r="BE86" s="8">
        <v>703</v>
      </c>
      <c r="BF86" s="8">
        <v>2336</v>
      </c>
      <c r="BG86" s="8">
        <v>1702</v>
      </c>
    </row>
    <row r="87" spans="1:59" x14ac:dyDescent="0.25">
      <c r="A87" t="s">
        <v>655</v>
      </c>
      <c r="B87" s="8">
        <v>5460</v>
      </c>
      <c r="C87" s="8">
        <v>21847</v>
      </c>
      <c r="D87" s="8">
        <v>27307</v>
      </c>
      <c r="E87" s="8">
        <v>5018</v>
      </c>
      <c r="F87" s="8">
        <v>22289</v>
      </c>
      <c r="G87" s="2">
        <v>20</v>
      </c>
      <c r="H87" s="2">
        <v>80</v>
      </c>
      <c r="I87" s="2">
        <v>18.399999999999999</v>
      </c>
      <c r="J87" s="2">
        <v>81.599999999999994</v>
      </c>
      <c r="K87" s="8">
        <v>111</v>
      </c>
      <c r="L87" s="8">
        <v>217</v>
      </c>
      <c r="M87" s="8">
        <v>226</v>
      </c>
      <c r="N87" s="8">
        <v>1181</v>
      </c>
      <c r="O87" s="8">
        <v>1395</v>
      </c>
      <c r="P87" s="8">
        <v>1190</v>
      </c>
      <c r="Q87" s="8">
        <v>399</v>
      </c>
      <c r="R87" s="8">
        <v>742</v>
      </c>
      <c r="S87" s="8">
        <v>29715</v>
      </c>
      <c r="T87" s="8">
        <v>402</v>
      </c>
      <c r="U87" s="8">
        <v>76</v>
      </c>
      <c r="V87" s="8">
        <v>4082</v>
      </c>
      <c r="W87" s="8">
        <v>96</v>
      </c>
      <c r="X87" s="8">
        <v>154</v>
      </c>
      <c r="Y87" s="8">
        <v>1912</v>
      </c>
      <c r="Z87" s="8">
        <v>4891</v>
      </c>
      <c r="AA87" s="8">
        <v>1389</v>
      </c>
      <c r="AB87" s="8">
        <v>1826</v>
      </c>
      <c r="AC87" s="8">
        <v>1092</v>
      </c>
      <c r="AD87" s="8">
        <v>1169</v>
      </c>
      <c r="AE87" s="8">
        <v>301</v>
      </c>
      <c r="AF87" s="8">
        <v>1791</v>
      </c>
      <c r="AG87" s="8">
        <v>2075</v>
      </c>
      <c r="AH87" s="8">
        <v>1646</v>
      </c>
      <c r="AI87" s="8">
        <v>2200</v>
      </c>
      <c r="AJ87" s="8">
        <v>2985</v>
      </c>
      <c r="AK87" s="8">
        <v>739</v>
      </c>
      <c r="AL87" s="8">
        <v>801</v>
      </c>
      <c r="AM87" s="8">
        <v>87</v>
      </c>
      <c r="AN87" s="8">
        <v>22993</v>
      </c>
      <c r="AO87" s="8" t="e">
        <v>#N/A</v>
      </c>
      <c r="AP87" s="8">
        <v>1684</v>
      </c>
      <c r="AQ87" s="2">
        <v>5.8</v>
      </c>
      <c r="AR87" s="2">
        <v>6.8</v>
      </c>
      <c r="AS87" s="2" t="e">
        <v>#N/A</v>
      </c>
      <c r="AT87" s="8">
        <v>71</v>
      </c>
      <c r="AU87" s="8">
        <v>63</v>
      </c>
      <c r="AV87" s="8">
        <v>483</v>
      </c>
      <c r="AW87" s="8">
        <v>46028</v>
      </c>
      <c r="AX87" s="2">
        <v>63</v>
      </c>
      <c r="AY87" s="2">
        <v>72.3</v>
      </c>
      <c r="AZ87" s="2">
        <v>32.9</v>
      </c>
      <c r="BA87" s="8" t="e">
        <v>#N/A</v>
      </c>
      <c r="BB87" s="8">
        <v>27322</v>
      </c>
      <c r="BC87" s="8" t="e">
        <v>#N/A</v>
      </c>
      <c r="BD87" s="8">
        <v>23770</v>
      </c>
      <c r="BE87" s="8">
        <v>668</v>
      </c>
      <c r="BF87" s="8">
        <v>2315</v>
      </c>
      <c r="BG87" s="8">
        <v>1684</v>
      </c>
    </row>
    <row r="88" spans="1:59" x14ac:dyDescent="0.25">
      <c r="A88" t="s">
        <v>656</v>
      </c>
      <c r="B88" s="8">
        <v>5472</v>
      </c>
      <c r="C88" s="8">
        <v>21934</v>
      </c>
      <c r="D88" s="8">
        <v>27406</v>
      </c>
      <c r="E88" s="8">
        <v>5029</v>
      </c>
      <c r="F88" s="8">
        <v>22377</v>
      </c>
      <c r="G88" s="2">
        <v>20</v>
      </c>
      <c r="H88" s="2">
        <v>80</v>
      </c>
      <c r="I88" s="2">
        <v>18.3</v>
      </c>
      <c r="J88" s="2">
        <v>81.7</v>
      </c>
      <c r="K88" s="8">
        <v>108</v>
      </c>
      <c r="L88" s="8">
        <v>217</v>
      </c>
      <c r="M88" s="8">
        <v>225</v>
      </c>
      <c r="N88" s="8">
        <v>1184</v>
      </c>
      <c r="O88" s="8">
        <v>1406</v>
      </c>
      <c r="P88" s="8">
        <v>1197</v>
      </c>
      <c r="Q88" s="8">
        <v>398</v>
      </c>
      <c r="R88" s="8">
        <v>734</v>
      </c>
      <c r="S88" s="8">
        <v>29644</v>
      </c>
      <c r="T88" s="8">
        <v>397</v>
      </c>
      <c r="U88" s="8">
        <v>76</v>
      </c>
      <c r="V88" s="8">
        <v>4049</v>
      </c>
      <c r="W88" s="8">
        <v>96</v>
      </c>
      <c r="X88" s="8">
        <v>157</v>
      </c>
      <c r="Y88" s="8">
        <v>1909</v>
      </c>
      <c r="Z88" s="8">
        <v>4877</v>
      </c>
      <c r="AA88" s="8">
        <v>1366</v>
      </c>
      <c r="AB88" s="8">
        <v>1823</v>
      </c>
      <c r="AC88" s="8">
        <v>1100</v>
      </c>
      <c r="AD88" s="8">
        <v>1147</v>
      </c>
      <c r="AE88" s="8">
        <v>304</v>
      </c>
      <c r="AF88" s="8">
        <v>1793</v>
      </c>
      <c r="AG88" s="8">
        <v>2067</v>
      </c>
      <c r="AH88" s="8">
        <v>1647</v>
      </c>
      <c r="AI88" s="8">
        <v>2217</v>
      </c>
      <c r="AJ88" s="8">
        <v>2982</v>
      </c>
      <c r="AK88" s="8">
        <v>744</v>
      </c>
      <c r="AL88" s="8">
        <v>808</v>
      </c>
      <c r="AM88" s="8">
        <v>83</v>
      </c>
      <c r="AN88" s="8">
        <v>22959</v>
      </c>
      <c r="AO88" s="8" t="e">
        <v>#N/A</v>
      </c>
      <c r="AP88" s="8">
        <v>1682</v>
      </c>
      <c r="AQ88" s="2">
        <v>5.8</v>
      </c>
      <c r="AR88" s="2">
        <v>7.8</v>
      </c>
      <c r="AS88" s="2" t="e">
        <v>#N/A</v>
      </c>
      <c r="AT88" s="8">
        <v>68</v>
      </c>
      <c r="AU88" s="8">
        <v>61</v>
      </c>
      <c r="AV88" s="8">
        <v>451</v>
      </c>
      <c r="AW88" s="8">
        <v>46090</v>
      </c>
      <c r="AX88" s="2">
        <v>63</v>
      </c>
      <c r="AY88" s="2">
        <v>72.3</v>
      </c>
      <c r="AZ88" s="2">
        <v>32.4</v>
      </c>
      <c r="BA88" s="8">
        <v>303.33333333333331</v>
      </c>
      <c r="BB88" s="8">
        <v>27362</v>
      </c>
      <c r="BC88" s="8" t="e">
        <v>#N/A</v>
      </c>
      <c r="BD88" s="8">
        <v>23833</v>
      </c>
      <c r="BE88" s="8">
        <v>664</v>
      </c>
      <c r="BF88" s="8">
        <v>2345</v>
      </c>
      <c r="BG88" s="8">
        <v>1682</v>
      </c>
    </row>
    <row r="89" spans="1:59" x14ac:dyDescent="0.25">
      <c r="A89" t="s">
        <v>657</v>
      </c>
      <c r="B89" s="8">
        <v>5491</v>
      </c>
      <c r="C89" s="8">
        <v>22037</v>
      </c>
      <c r="D89" s="8">
        <v>27528</v>
      </c>
      <c r="E89" s="8">
        <v>5049</v>
      </c>
      <c r="F89" s="8">
        <v>22479</v>
      </c>
      <c r="G89" s="2">
        <v>19.899999999999999</v>
      </c>
      <c r="H89" s="2">
        <v>80.099999999999994</v>
      </c>
      <c r="I89" s="2">
        <v>18.3</v>
      </c>
      <c r="J89" s="2">
        <v>81.7</v>
      </c>
      <c r="K89" s="8">
        <v>105</v>
      </c>
      <c r="L89" s="8">
        <v>217</v>
      </c>
      <c r="M89" s="8">
        <v>225</v>
      </c>
      <c r="N89" s="8">
        <v>1178</v>
      </c>
      <c r="O89" s="8">
        <v>1441</v>
      </c>
      <c r="P89" s="8">
        <v>1204</v>
      </c>
      <c r="Q89" s="8">
        <v>388</v>
      </c>
      <c r="R89" s="8">
        <v>736</v>
      </c>
      <c r="S89" s="8">
        <v>29775</v>
      </c>
      <c r="T89" s="8">
        <v>399</v>
      </c>
      <c r="U89" s="8">
        <v>78</v>
      </c>
      <c r="V89" s="8">
        <v>4002</v>
      </c>
      <c r="W89" s="8">
        <v>95</v>
      </c>
      <c r="X89" s="8">
        <v>161</v>
      </c>
      <c r="Y89" s="8">
        <v>1959</v>
      </c>
      <c r="Z89" s="8">
        <v>4887</v>
      </c>
      <c r="AA89" s="8">
        <v>1359</v>
      </c>
      <c r="AB89" s="8">
        <v>1825</v>
      </c>
      <c r="AC89" s="8">
        <v>1132</v>
      </c>
      <c r="AD89" s="8">
        <v>1144</v>
      </c>
      <c r="AE89" s="8">
        <v>309</v>
      </c>
      <c r="AF89" s="8">
        <v>1802</v>
      </c>
      <c r="AG89" s="8">
        <v>2085</v>
      </c>
      <c r="AH89" s="8">
        <v>1639</v>
      </c>
      <c r="AI89" s="8">
        <v>2226</v>
      </c>
      <c r="AJ89" s="8">
        <v>3040</v>
      </c>
      <c r="AK89" s="8">
        <v>742</v>
      </c>
      <c r="AL89" s="8">
        <v>815</v>
      </c>
      <c r="AM89" s="8">
        <v>76</v>
      </c>
      <c r="AN89" s="8">
        <v>23082</v>
      </c>
      <c r="AO89" s="8" t="e">
        <v>#N/A</v>
      </c>
      <c r="AP89" s="8">
        <v>1599</v>
      </c>
      <c r="AQ89" s="2">
        <v>5.5</v>
      </c>
      <c r="AR89" s="2">
        <v>7.5</v>
      </c>
      <c r="AS89" s="2" t="e">
        <v>#N/A</v>
      </c>
      <c r="AT89" s="8">
        <v>69</v>
      </c>
      <c r="AU89" s="8">
        <v>60</v>
      </c>
      <c r="AV89" s="8">
        <v>445</v>
      </c>
      <c r="AW89" s="8">
        <v>46152</v>
      </c>
      <c r="AX89" s="2">
        <v>63</v>
      </c>
      <c r="AY89" s="2">
        <v>72.5</v>
      </c>
      <c r="AZ89" s="2">
        <v>32.6</v>
      </c>
      <c r="BA89" s="8">
        <v>309.66666666666669</v>
      </c>
      <c r="BB89" s="8">
        <v>27468</v>
      </c>
      <c r="BC89" s="8" t="e">
        <v>#N/A</v>
      </c>
      <c r="BD89" s="8">
        <v>23956</v>
      </c>
      <c r="BE89" s="8">
        <v>652</v>
      </c>
      <c r="BF89" s="8">
        <v>2397</v>
      </c>
      <c r="BG89" s="8">
        <v>1599</v>
      </c>
    </row>
    <row r="90" spans="1:59" x14ac:dyDescent="0.25">
      <c r="A90" t="s">
        <v>658</v>
      </c>
      <c r="B90" s="8">
        <v>5513</v>
      </c>
      <c r="C90" s="8">
        <v>22015</v>
      </c>
      <c r="D90" s="8">
        <v>27528</v>
      </c>
      <c r="E90" s="8">
        <v>5072</v>
      </c>
      <c r="F90" s="8">
        <v>22456</v>
      </c>
      <c r="G90" s="2">
        <v>20</v>
      </c>
      <c r="H90" s="2">
        <v>80</v>
      </c>
      <c r="I90" s="2">
        <v>18.399999999999999</v>
      </c>
      <c r="J90" s="2">
        <v>81.599999999999994</v>
      </c>
      <c r="K90" s="8">
        <v>99</v>
      </c>
      <c r="L90" s="8">
        <v>216</v>
      </c>
      <c r="M90" s="8">
        <v>226</v>
      </c>
      <c r="N90" s="8">
        <v>1177</v>
      </c>
      <c r="O90" s="8">
        <v>1455</v>
      </c>
      <c r="P90" s="8">
        <v>1213</v>
      </c>
      <c r="Q90" s="8">
        <v>379</v>
      </c>
      <c r="R90" s="8">
        <v>751</v>
      </c>
      <c r="S90" s="8">
        <v>29957</v>
      </c>
      <c r="T90" s="8">
        <v>391</v>
      </c>
      <c r="U90" s="8">
        <v>76</v>
      </c>
      <c r="V90" s="8">
        <v>3960</v>
      </c>
      <c r="W90" s="8">
        <v>95</v>
      </c>
      <c r="X90" s="8">
        <v>164</v>
      </c>
      <c r="Y90" s="8">
        <v>1940</v>
      </c>
      <c r="Z90" s="8">
        <v>4926</v>
      </c>
      <c r="AA90" s="8">
        <v>1380</v>
      </c>
      <c r="AB90" s="8">
        <v>1820</v>
      </c>
      <c r="AC90" s="8">
        <v>1161</v>
      </c>
      <c r="AD90" s="8">
        <v>1149</v>
      </c>
      <c r="AE90" s="8">
        <v>308</v>
      </c>
      <c r="AF90" s="8">
        <v>1827</v>
      </c>
      <c r="AG90" s="8">
        <v>2140</v>
      </c>
      <c r="AH90" s="8">
        <v>1637</v>
      </c>
      <c r="AI90" s="8">
        <v>2250</v>
      </c>
      <c r="AJ90" s="8">
        <v>3105</v>
      </c>
      <c r="AK90" s="8">
        <v>737</v>
      </c>
      <c r="AL90" s="8">
        <v>813</v>
      </c>
      <c r="AM90" s="8">
        <v>78</v>
      </c>
      <c r="AN90" s="8">
        <v>23331</v>
      </c>
      <c r="AO90" s="8" t="e">
        <v>#N/A</v>
      </c>
      <c r="AP90" s="8">
        <v>1548</v>
      </c>
      <c r="AQ90" s="2">
        <v>5.3</v>
      </c>
      <c r="AR90" s="2">
        <v>6.5</v>
      </c>
      <c r="AS90" s="2" t="e">
        <v>#N/A</v>
      </c>
      <c r="AT90" s="8">
        <v>73</v>
      </c>
      <c r="AU90" s="8">
        <v>66</v>
      </c>
      <c r="AV90" s="8">
        <v>415</v>
      </c>
      <c r="AW90" s="8">
        <v>46226</v>
      </c>
      <c r="AX90" s="2">
        <v>63</v>
      </c>
      <c r="AY90" s="2">
        <v>72.599999999999994</v>
      </c>
      <c r="AZ90" s="2">
        <v>32.6</v>
      </c>
      <c r="BA90" s="8">
        <v>315</v>
      </c>
      <c r="BB90" s="8">
        <v>27555</v>
      </c>
      <c r="BC90" s="8" t="e">
        <v>#N/A</v>
      </c>
      <c r="BD90" s="8">
        <v>24030</v>
      </c>
      <c r="BE90" s="8">
        <v>661</v>
      </c>
      <c r="BF90" s="8">
        <v>2340</v>
      </c>
      <c r="BG90" s="8">
        <v>1548</v>
      </c>
    </row>
    <row r="91" spans="1:59" x14ac:dyDescent="0.25">
      <c r="A91" t="s">
        <v>659</v>
      </c>
      <c r="B91" s="8">
        <v>5526</v>
      </c>
      <c r="C91" s="8">
        <v>22111</v>
      </c>
      <c r="D91" s="8">
        <v>27637</v>
      </c>
      <c r="E91" s="8">
        <v>5081</v>
      </c>
      <c r="F91" s="8">
        <v>22556</v>
      </c>
      <c r="G91" s="2">
        <v>20</v>
      </c>
      <c r="H91" s="2">
        <v>80</v>
      </c>
      <c r="I91" s="2">
        <v>18.399999999999999</v>
      </c>
      <c r="J91" s="2">
        <v>81.599999999999994</v>
      </c>
      <c r="K91" s="8">
        <v>99</v>
      </c>
      <c r="L91" s="8">
        <v>215</v>
      </c>
      <c r="M91" s="8">
        <v>227</v>
      </c>
      <c r="N91" s="8">
        <v>1177</v>
      </c>
      <c r="O91" s="8">
        <v>1457</v>
      </c>
      <c r="P91" s="8">
        <v>1223</v>
      </c>
      <c r="Q91" s="8">
        <v>375</v>
      </c>
      <c r="R91" s="8">
        <v>754</v>
      </c>
      <c r="S91" s="8">
        <v>30012</v>
      </c>
      <c r="T91" s="8">
        <v>377</v>
      </c>
      <c r="U91" s="8">
        <v>76</v>
      </c>
      <c r="V91" s="8">
        <v>3904</v>
      </c>
      <c r="W91" s="8">
        <v>99</v>
      </c>
      <c r="X91" s="8">
        <v>165</v>
      </c>
      <c r="Y91" s="8">
        <v>1936</v>
      </c>
      <c r="Z91" s="8">
        <v>4948</v>
      </c>
      <c r="AA91" s="8">
        <v>1401</v>
      </c>
      <c r="AB91" s="8">
        <v>1821</v>
      </c>
      <c r="AC91" s="8">
        <v>1195</v>
      </c>
      <c r="AD91" s="8">
        <v>1162</v>
      </c>
      <c r="AE91" s="8">
        <v>316</v>
      </c>
      <c r="AF91" s="8">
        <v>1847</v>
      </c>
      <c r="AG91" s="8">
        <v>2177</v>
      </c>
      <c r="AH91" s="8">
        <v>1641</v>
      </c>
      <c r="AI91" s="8">
        <v>2245</v>
      </c>
      <c r="AJ91" s="8">
        <v>3071</v>
      </c>
      <c r="AK91" s="8">
        <v>745</v>
      </c>
      <c r="AL91" s="8">
        <v>806</v>
      </c>
      <c r="AM91" s="8">
        <v>81</v>
      </c>
      <c r="AN91" s="8">
        <v>23456</v>
      </c>
      <c r="AO91" s="8" t="e">
        <v>#N/A</v>
      </c>
      <c r="AP91" s="8">
        <v>1520</v>
      </c>
      <c r="AQ91" s="2">
        <v>5.2</v>
      </c>
      <c r="AR91" s="2">
        <v>6.5</v>
      </c>
      <c r="AS91" s="2" t="e">
        <v>#N/A</v>
      </c>
      <c r="AT91" s="8">
        <v>73</v>
      </c>
      <c r="AU91" s="8">
        <v>65</v>
      </c>
      <c r="AV91" s="8">
        <v>393</v>
      </c>
      <c r="AW91" s="8">
        <v>46307</v>
      </c>
      <c r="AX91" s="2">
        <v>62.8</v>
      </c>
      <c r="AY91" s="2">
        <v>72.5</v>
      </c>
      <c r="AZ91" s="2">
        <v>32.799999999999997</v>
      </c>
      <c r="BA91" s="8">
        <v>321</v>
      </c>
      <c r="BB91" s="8">
        <v>27549</v>
      </c>
      <c r="BC91" s="8" t="e">
        <v>#N/A</v>
      </c>
      <c r="BD91" s="8">
        <v>24088</v>
      </c>
      <c r="BE91" s="8">
        <v>656</v>
      </c>
      <c r="BF91" s="8">
        <v>2297</v>
      </c>
      <c r="BG91" s="8">
        <v>1520</v>
      </c>
    </row>
    <row r="92" spans="1:59" x14ac:dyDescent="0.25">
      <c r="A92" t="s">
        <v>660</v>
      </c>
      <c r="B92" s="8">
        <v>5554</v>
      </c>
      <c r="C92" s="8">
        <v>22109</v>
      </c>
      <c r="D92" s="8">
        <v>27663</v>
      </c>
      <c r="E92" s="8">
        <v>5107</v>
      </c>
      <c r="F92" s="8">
        <v>22556</v>
      </c>
      <c r="G92" s="2">
        <v>20.100000000000001</v>
      </c>
      <c r="H92" s="2">
        <v>79.900000000000006</v>
      </c>
      <c r="I92" s="2">
        <v>18.5</v>
      </c>
      <c r="J92" s="2">
        <v>81.5</v>
      </c>
      <c r="K92" s="8">
        <v>97</v>
      </c>
      <c r="L92" s="8">
        <v>215</v>
      </c>
      <c r="M92" s="8">
        <v>228</v>
      </c>
      <c r="N92" s="8">
        <v>1181</v>
      </c>
      <c r="O92" s="8">
        <v>1463</v>
      </c>
      <c r="P92" s="8">
        <v>1235</v>
      </c>
      <c r="Q92" s="8">
        <v>373</v>
      </c>
      <c r="R92" s="8">
        <v>759</v>
      </c>
      <c r="S92" s="8">
        <v>30026</v>
      </c>
      <c r="T92" s="8">
        <v>357</v>
      </c>
      <c r="U92" s="8">
        <v>76</v>
      </c>
      <c r="V92" s="8">
        <v>3879</v>
      </c>
      <c r="W92" s="8">
        <v>100</v>
      </c>
      <c r="X92" s="8">
        <v>169</v>
      </c>
      <c r="Y92" s="8">
        <v>1937</v>
      </c>
      <c r="Z92" s="8">
        <v>4990</v>
      </c>
      <c r="AA92" s="8">
        <v>1400</v>
      </c>
      <c r="AB92" s="8">
        <v>1824</v>
      </c>
      <c r="AC92" s="8">
        <v>1196</v>
      </c>
      <c r="AD92" s="8">
        <v>1165</v>
      </c>
      <c r="AE92" s="8">
        <v>321</v>
      </c>
      <c r="AF92" s="8">
        <v>1856</v>
      </c>
      <c r="AG92" s="8">
        <v>2174</v>
      </c>
      <c r="AH92" s="8">
        <v>1646</v>
      </c>
      <c r="AI92" s="8">
        <v>2241</v>
      </c>
      <c r="AJ92" s="8">
        <v>3074</v>
      </c>
      <c r="AK92" s="8">
        <v>750</v>
      </c>
      <c r="AL92" s="8">
        <v>802</v>
      </c>
      <c r="AM92" s="8">
        <v>68</v>
      </c>
      <c r="AN92" s="8">
        <v>23507</v>
      </c>
      <c r="AO92" s="8" t="e">
        <v>#N/A</v>
      </c>
      <c r="AP92" s="8">
        <v>1481</v>
      </c>
      <c r="AQ92" s="2">
        <v>5.0999999999999996</v>
      </c>
      <c r="AR92" s="2">
        <v>6.6</v>
      </c>
      <c r="AS92" s="2" t="e">
        <v>#N/A</v>
      </c>
      <c r="AT92" s="8">
        <v>75</v>
      </c>
      <c r="AU92" s="8">
        <v>66</v>
      </c>
      <c r="AV92" s="8">
        <v>382</v>
      </c>
      <c r="AW92" s="8">
        <v>46386</v>
      </c>
      <c r="AX92" s="2">
        <v>62.7</v>
      </c>
      <c r="AY92" s="2">
        <v>72.599999999999994</v>
      </c>
      <c r="AZ92" s="2">
        <v>32.700000000000003</v>
      </c>
      <c r="BA92" s="8">
        <v>324.33333333333331</v>
      </c>
      <c r="BB92" s="8">
        <v>27623</v>
      </c>
      <c r="BC92" s="8" t="e">
        <v>#N/A</v>
      </c>
      <c r="BD92" s="8">
        <v>24102</v>
      </c>
      <c r="BE92" s="8">
        <v>625</v>
      </c>
      <c r="BF92" s="8">
        <v>2294</v>
      </c>
      <c r="BG92" s="8">
        <v>1481</v>
      </c>
    </row>
    <row r="93" spans="1:59" x14ac:dyDescent="0.25">
      <c r="A93" t="s">
        <v>661</v>
      </c>
      <c r="B93" s="8">
        <v>5581</v>
      </c>
      <c r="C93" s="8">
        <v>22118</v>
      </c>
      <c r="D93" s="8">
        <v>27699</v>
      </c>
      <c r="E93" s="8">
        <v>5137</v>
      </c>
      <c r="F93" s="8">
        <v>22562</v>
      </c>
      <c r="G93" s="2">
        <v>20.100000000000001</v>
      </c>
      <c r="H93" s="2">
        <v>79.900000000000006</v>
      </c>
      <c r="I93" s="2">
        <v>18.5</v>
      </c>
      <c r="J93" s="2">
        <v>81.5</v>
      </c>
      <c r="K93" s="8">
        <v>96</v>
      </c>
      <c r="L93" s="8">
        <v>214</v>
      </c>
      <c r="M93" s="8">
        <v>229</v>
      </c>
      <c r="N93" s="8">
        <v>1185</v>
      </c>
      <c r="O93" s="8">
        <v>1468</v>
      </c>
      <c r="P93" s="8">
        <v>1249</v>
      </c>
      <c r="Q93" s="8">
        <v>375</v>
      </c>
      <c r="R93" s="8">
        <v>771</v>
      </c>
      <c r="S93" s="8">
        <v>30136</v>
      </c>
      <c r="T93" s="8">
        <v>362</v>
      </c>
      <c r="U93" s="8">
        <v>75</v>
      </c>
      <c r="V93" s="8">
        <v>3832</v>
      </c>
      <c r="W93" s="8">
        <v>102</v>
      </c>
      <c r="X93" s="8">
        <v>170</v>
      </c>
      <c r="Y93" s="8">
        <v>1974</v>
      </c>
      <c r="Z93" s="8">
        <v>4985</v>
      </c>
      <c r="AA93" s="8">
        <v>1412</v>
      </c>
      <c r="AB93" s="8">
        <v>1842</v>
      </c>
      <c r="AC93" s="8">
        <v>1207</v>
      </c>
      <c r="AD93" s="8">
        <v>1176</v>
      </c>
      <c r="AE93" s="8">
        <v>323</v>
      </c>
      <c r="AF93" s="8">
        <v>1847</v>
      </c>
      <c r="AG93" s="8">
        <v>2196</v>
      </c>
      <c r="AH93" s="8">
        <v>1647</v>
      </c>
      <c r="AI93" s="8">
        <v>2234</v>
      </c>
      <c r="AJ93" s="8">
        <v>3119</v>
      </c>
      <c r="AK93" s="8">
        <v>750</v>
      </c>
      <c r="AL93" s="8">
        <v>811</v>
      </c>
      <c r="AM93" s="8">
        <v>72</v>
      </c>
      <c r="AN93" s="8">
        <v>23622</v>
      </c>
      <c r="AO93" s="8">
        <v>683.33333333333337</v>
      </c>
      <c r="AP93" s="8">
        <v>1468</v>
      </c>
      <c r="AQ93" s="2">
        <v>5</v>
      </c>
      <c r="AR93" s="2">
        <v>7</v>
      </c>
      <c r="AS93" s="2" t="e">
        <v>#N/A</v>
      </c>
      <c r="AT93" s="8">
        <v>62</v>
      </c>
      <c r="AU93" s="8">
        <v>64</v>
      </c>
      <c r="AV93" s="8">
        <v>378</v>
      </c>
      <c r="AW93" s="8">
        <v>46467</v>
      </c>
      <c r="AX93" s="2">
        <v>62.8</v>
      </c>
      <c r="AY93" s="2">
        <v>72.7</v>
      </c>
      <c r="AZ93" s="2">
        <v>32.799999999999997</v>
      </c>
      <c r="BA93" s="8">
        <v>326.66666666666669</v>
      </c>
      <c r="BB93" s="8">
        <v>27707</v>
      </c>
      <c r="BC93" s="8" t="e">
        <v>#N/A</v>
      </c>
      <c r="BD93" s="8">
        <v>24188</v>
      </c>
      <c r="BE93" s="8">
        <v>602</v>
      </c>
      <c r="BF93" s="8">
        <v>2260</v>
      </c>
      <c r="BG93" s="8">
        <v>1468</v>
      </c>
    </row>
    <row r="94" spans="1:59" x14ac:dyDescent="0.25">
      <c r="A94" t="s">
        <v>662</v>
      </c>
      <c r="B94" s="8">
        <v>5605</v>
      </c>
      <c r="C94" s="8">
        <v>22130</v>
      </c>
      <c r="D94" s="8">
        <v>27735</v>
      </c>
      <c r="E94" s="8">
        <v>5156</v>
      </c>
      <c r="F94" s="8">
        <v>22579</v>
      </c>
      <c r="G94" s="2">
        <v>20.2</v>
      </c>
      <c r="H94" s="2">
        <v>79.8</v>
      </c>
      <c r="I94" s="2">
        <v>18.600000000000001</v>
      </c>
      <c r="J94" s="2">
        <v>81.400000000000006</v>
      </c>
      <c r="K94" s="8">
        <v>87</v>
      </c>
      <c r="L94" s="8">
        <v>214</v>
      </c>
      <c r="M94" s="8">
        <v>231</v>
      </c>
      <c r="N94" s="8">
        <v>1188</v>
      </c>
      <c r="O94" s="8">
        <v>1465</v>
      </c>
      <c r="P94" s="8">
        <v>1263</v>
      </c>
      <c r="Q94" s="8">
        <v>378</v>
      </c>
      <c r="R94" s="8">
        <v>778</v>
      </c>
      <c r="S94" s="8">
        <v>30316</v>
      </c>
      <c r="T94" s="8">
        <v>370</v>
      </c>
      <c r="U94" s="8">
        <v>75</v>
      </c>
      <c r="V94" s="8">
        <v>3775</v>
      </c>
      <c r="W94" s="8">
        <v>102</v>
      </c>
      <c r="X94" s="8">
        <v>174</v>
      </c>
      <c r="Y94" s="8">
        <v>2000</v>
      </c>
      <c r="Z94" s="8">
        <v>4978</v>
      </c>
      <c r="AA94" s="8">
        <v>1403</v>
      </c>
      <c r="AB94" s="8">
        <v>1865</v>
      </c>
      <c r="AC94" s="8">
        <v>1213</v>
      </c>
      <c r="AD94" s="8">
        <v>1195</v>
      </c>
      <c r="AE94" s="8">
        <v>320</v>
      </c>
      <c r="AF94" s="8">
        <v>1855</v>
      </c>
      <c r="AG94" s="8">
        <v>2209</v>
      </c>
      <c r="AH94" s="8">
        <v>1647</v>
      </c>
      <c r="AI94" s="8">
        <v>2224</v>
      </c>
      <c r="AJ94" s="8">
        <v>3167</v>
      </c>
      <c r="AK94" s="8">
        <v>773</v>
      </c>
      <c r="AL94" s="8">
        <v>817</v>
      </c>
      <c r="AM94" s="8">
        <v>153</v>
      </c>
      <c r="AN94" s="8">
        <v>23819</v>
      </c>
      <c r="AO94" s="8">
        <v>690</v>
      </c>
      <c r="AP94" s="8">
        <v>1487</v>
      </c>
      <c r="AQ94" s="2">
        <v>5.0999999999999996</v>
      </c>
      <c r="AR94" s="2">
        <v>7.9</v>
      </c>
      <c r="AS94" s="2" t="e">
        <v>#N/A</v>
      </c>
      <c r="AT94" s="8">
        <v>75</v>
      </c>
      <c r="AU94" s="8">
        <v>66</v>
      </c>
      <c r="AV94" s="8">
        <v>369</v>
      </c>
      <c r="AW94" s="8">
        <v>46541</v>
      </c>
      <c r="AX94" s="2">
        <v>62.7</v>
      </c>
      <c r="AY94" s="2">
        <v>72.5</v>
      </c>
      <c r="AZ94" s="2">
        <v>32.700000000000003</v>
      </c>
      <c r="BA94" s="8">
        <v>329.33333333333331</v>
      </c>
      <c r="BB94" s="8">
        <v>27715</v>
      </c>
      <c r="BC94" s="8" t="e">
        <v>#N/A</v>
      </c>
      <c r="BD94" s="8">
        <v>24181</v>
      </c>
      <c r="BE94" s="8">
        <v>576</v>
      </c>
      <c r="BF94" s="8">
        <v>2278</v>
      </c>
      <c r="BG94" s="8">
        <v>1487</v>
      </c>
    </row>
    <row r="95" spans="1:59" x14ac:dyDescent="0.25">
      <c r="A95" t="s">
        <v>663</v>
      </c>
      <c r="B95" s="8">
        <v>5629</v>
      </c>
      <c r="C95" s="8">
        <v>22140</v>
      </c>
      <c r="D95" s="8">
        <v>27769</v>
      </c>
      <c r="E95" s="8">
        <v>5159</v>
      </c>
      <c r="F95" s="8">
        <v>22610</v>
      </c>
      <c r="G95" s="2">
        <v>20.3</v>
      </c>
      <c r="H95" s="2">
        <v>79.7</v>
      </c>
      <c r="I95" s="2">
        <v>18.600000000000001</v>
      </c>
      <c r="J95" s="2">
        <v>81.400000000000006</v>
      </c>
      <c r="K95" s="8">
        <v>84</v>
      </c>
      <c r="L95" s="8">
        <v>214</v>
      </c>
      <c r="M95" s="8">
        <v>234</v>
      </c>
      <c r="N95" s="8">
        <v>1197</v>
      </c>
      <c r="O95" s="8">
        <v>1467</v>
      </c>
      <c r="P95" s="8">
        <v>1278</v>
      </c>
      <c r="Q95" s="8">
        <v>366</v>
      </c>
      <c r="R95" s="8">
        <v>788</v>
      </c>
      <c r="S95" s="8">
        <v>30322</v>
      </c>
      <c r="T95" s="8">
        <v>362</v>
      </c>
      <c r="U95" s="8">
        <v>74</v>
      </c>
      <c r="V95" s="8">
        <v>3726</v>
      </c>
      <c r="W95" s="8">
        <v>102</v>
      </c>
      <c r="X95" s="8">
        <v>178</v>
      </c>
      <c r="Y95" s="8">
        <v>2023</v>
      </c>
      <c r="Z95" s="8">
        <v>4984</v>
      </c>
      <c r="AA95" s="8">
        <v>1414</v>
      </c>
      <c r="AB95" s="8">
        <v>1862</v>
      </c>
      <c r="AC95" s="8">
        <v>1212</v>
      </c>
      <c r="AD95" s="8">
        <v>1193</v>
      </c>
      <c r="AE95" s="8">
        <v>324</v>
      </c>
      <c r="AF95" s="8">
        <v>1866</v>
      </c>
      <c r="AG95" s="8">
        <v>2193</v>
      </c>
      <c r="AH95" s="8">
        <v>1663</v>
      </c>
      <c r="AI95" s="8">
        <v>2238</v>
      </c>
      <c r="AJ95" s="8">
        <v>3173</v>
      </c>
      <c r="AK95" s="8">
        <v>776</v>
      </c>
      <c r="AL95" s="8">
        <v>818</v>
      </c>
      <c r="AM95" s="8">
        <v>141</v>
      </c>
      <c r="AN95" s="8">
        <v>23857</v>
      </c>
      <c r="AO95" s="8">
        <v>601.66666666666663</v>
      </c>
      <c r="AP95" s="8">
        <v>1520</v>
      </c>
      <c r="AQ95" s="2">
        <v>5.2</v>
      </c>
      <c r="AR95" s="2">
        <v>8</v>
      </c>
      <c r="AS95" s="2" t="e">
        <v>#N/A</v>
      </c>
      <c r="AT95" s="8">
        <v>66</v>
      </c>
      <c r="AU95" s="8">
        <v>60</v>
      </c>
      <c r="AV95" s="8">
        <v>350</v>
      </c>
      <c r="AW95" s="8">
        <v>46621</v>
      </c>
      <c r="AX95" s="2">
        <v>62.9</v>
      </c>
      <c r="AY95" s="2">
        <v>72.599999999999994</v>
      </c>
      <c r="AZ95" s="2">
        <v>32.5</v>
      </c>
      <c r="BA95" s="8">
        <v>333.33333333333331</v>
      </c>
      <c r="BB95" s="8">
        <v>27803</v>
      </c>
      <c r="BC95" s="8" t="e">
        <v>#N/A</v>
      </c>
      <c r="BD95" s="8">
        <v>24274</v>
      </c>
      <c r="BE95" s="8">
        <v>579</v>
      </c>
      <c r="BF95" s="8">
        <v>2316</v>
      </c>
      <c r="BG95" s="8">
        <v>1520</v>
      </c>
    </row>
    <row r="96" spans="1:59" x14ac:dyDescent="0.25">
      <c r="A96" t="s">
        <v>664</v>
      </c>
      <c r="B96" s="8">
        <v>5670</v>
      </c>
      <c r="C96" s="8">
        <v>22186</v>
      </c>
      <c r="D96" s="8">
        <v>27856</v>
      </c>
      <c r="E96" s="8">
        <v>5199</v>
      </c>
      <c r="F96" s="8">
        <v>22657</v>
      </c>
      <c r="G96" s="2">
        <v>20.399999999999999</v>
      </c>
      <c r="H96" s="2">
        <v>79.599999999999994</v>
      </c>
      <c r="I96" s="2">
        <v>18.7</v>
      </c>
      <c r="J96" s="2">
        <v>81.3</v>
      </c>
      <c r="K96" s="8">
        <v>83</v>
      </c>
      <c r="L96" s="8">
        <v>214</v>
      </c>
      <c r="M96" s="8">
        <v>236</v>
      </c>
      <c r="N96" s="8">
        <v>1204</v>
      </c>
      <c r="O96" s="8">
        <v>1471</v>
      </c>
      <c r="P96" s="8">
        <v>1292</v>
      </c>
      <c r="Q96" s="8">
        <v>371</v>
      </c>
      <c r="R96" s="8">
        <v>797</v>
      </c>
      <c r="S96" s="8">
        <v>30313</v>
      </c>
      <c r="T96" s="8">
        <v>369</v>
      </c>
      <c r="U96" s="8">
        <v>74</v>
      </c>
      <c r="V96" s="8">
        <v>3676</v>
      </c>
      <c r="W96" s="8">
        <v>102</v>
      </c>
      <c r="X96" s="8">
        <v>168</v>
      </c>
      <c r="Y96" s="8">
        <v>2003</v>
      </c>
      <c r="Z96" s="8">
        <v>5000</v>
      </c>
      <c r="AA96" s="8">
        <v>1404</v>
      </c>
      <c r="AB96" s="8">
        <v>1864</v>
      </c>
      <c r="AC96" s="8">
        <v>1214</v>
      </c>
      <c r="AD96" s="8">
        <v>1203</v>
      </c>
      <c r="AE96" s="8">
        <v>329</v>
      </c>
      <c r="AF96" s="8">
        <v>1867</v>
      </c>
      <c r="AG96" s="8">
        <v>2211</v>
      </c>
      <c r="AH96" s="8">
        <v>1676</v>
      </c>
      <c r="AI96" s="8">
        <v>2259</v>
      </c>
      <c r="AJ96" s="8">
        <v>3169</v>
      </c>
      <c r="AK96" s="8">
        <v>778</v>
      </c>
      <c r="AL96" s="8">
        <v>814</v>
      </c>
      <c r="AM96" s="8">
        <v>131</v>
      </c>
      <c r="AN96" s="8">
        <v>23920</v>
      </c>
      <c r="AO96" s="8">
        <v>588.66666666666663</v>
      </c>
      <c r="AP96" s="8">
        <v>1515</v>
      </c>
      <c r="AQ96" s="2">
        <v>5.2</v>
      </c>
      <c r="AR96" s="2">
        <v>8.4</v>
      </c>
      <c r="AS96" s="2" t="e">
        <v>#N/A</v>
      </c>
      <c r="AT96" s="8">
        <v>60</v>
      </c>
      <c r="AU96" s="8">
        <v>60</v>
      </c>
      <c r="AV96" s="8">
        <v>334</v>
      </c>
      <c r="AW96" s="8">
        <v>46701</v>
      </c>
      <c r="AX96" s="2">
        <v>62.8</v>
      </c>
      <c r="AY96" s="2">
        <v>72.5</v>
      </c>
      <c r="AZ96" s="2">
        <v>32.5</v>
      </c>
      <c r="BA96" s="8">
        <v>333.33333333333331</v>
      </c>
      <c r="BB96" s="8">
        <v>27797</v>
      </c>
      <c r="BC96" s="8" t="e">
        <v>#N/A</v>
      </c>
      <c r="BD96" s="8">
        <v>24271</v>
      </c>
      <c r="BE96" s="8">
        <v>568</v>
      </c>
      <c r="BF96" s="8">
        <v>2357</v>
      </c>
      <c r="BG96" s="8">
        <v>1515</v>
      </c>
    </row>
    <row r="97" spans="1:59" x14ac:dyDescent="0.25">
      <c r="A97" t="s">
        <v>665</v>
      </c>
      <c r="B97" s="8">
        <v>5695</v>
      </c>
      <c r="C97" s="8">
        <v>22213</v>
      </c>
      <c r="D97" s="8">
        <v>27908</v>
      </c>
      <c r="E97" s="8">
        <v>5226</v>
      </c>
      <c r="F97" s="8">
        <v>22682</v>
      </c>
      <c r="G97" s="2">
        <v>20.399999999999999</v>
      </c>
      <c r="H97" s="2">
        <v>79.599999999999994</v>
      </c>
      <c r="I97" s="2">
        <v>18.7</v>
      </c>
      <c r="J97" s="2">
        <v>81.3</v>
      </c>
      <c r="K97" s="8">
        <v>82</v>
      </c>
      <c r="L97" s="8">
        <v>214</v>
      </c>
      <c r="M97" s="8">
        <v>238</v>
      </c>
      <c r="N97" s="8">
        <v>1212</v>
      </c>
      <c r="O97" s="8">
        <v>1473</v>
      </c>
      <c r="P97" s="8">
        <v>1309</v>
      </c>
      <c r="Q97" s="8">
        <v>370</v>
      </c>
      <c r="R97" s="8">
        <v>797</v>
      </c>
      <c r="S97" s="8">
        <v>30419</v>
      </c>
      <c r="T97" s="8">
        <v>364</v>
      </c>
      <c r="U97" s="8">
        <v>70</v>
      </c>
      <c r="V97" s="8">
        <v>3636</v>
      </c>
      <c r="W97" s="8">
        <v>100</v>
      </c>
      <c r="X97" s="8">
        <v>164</v>
      </c>
      <c r="Y97" s="8">
        <v>1997</v>
      </c>
      <c r="Z97" s="8">
        <v>5029</v>
      </c>
      <c r="AA97" s="8">
        <v>1409</v>
      </c>
      <c r="AB97" s="8">
        <v>1900</v>
      </c>
      <c r="AC97" s="8">
        <v>1207</v>
      </c>
      <c r="AD97" s="8">
        <v>1193</v>
      </c>
      <c r="AE97" s="8">
        <v>332</v>
      </c>
      <c r="AF97" s="8">
        <v>1861</v>
      </c>
      <c r="AG97" s="8">
        <v>2213</v>
      </c>
      <c r="AH97" s="8">
        <v>1685</v>
      </c>
      <c r="AI97" s="8">
        <v>2290</v>
      </c>
      <c r="AJ97" s="8">
        <v>3193</v>
      </c>
      <c r="AK97" s="8">
        <v>792</v>
      </c>
      <c r="AL97" s="8">
        <v>840</v>
      </c>
      <c r="AM97" s="8">
        <v>144</v>
      </c>
      <c r="AN97" s="8">
        <v>24088</v>
      </c>
      <c r="AO97" s="8">
        <v>619.66666666666663</v>
      </c>
      <c r="AP97" s="8">
        <v>1520</v>
      </c>
      <c r="AQ97" s="2">
        <v>5.2</v>
      </c>
      <c r="AR97" s="2">
        <v>8</v>
      </c>
      <c r="AS97" s="2" t="e">
        <v>#N/A</v>
      </c>
      <c r="AT97" s="8">
        <v>66</v>
      </c>
      <c r="AU97" s="8">
        <v>58</v>
      </c>
      <c r="AV97" s="8">
        <v>325</v>
      </c>
      <c r="AW97" s="8">
        <v>46782</v>
      </c>
      <c r="AX97" s="2">
        <v>63</v>
      </c>
      <c r="AY97" s="2">
        <v>72.7</v>
      </c>
      <c r="AZ97" s="2">
        <v>32.200000000000003</v>
      </c>
      <c r="BA97" s="8">
        <v>338.33333333333331</v>
      </c>
      <c r="BB97" s="8">
        <v>27933</v>
      </c>
      <c r="BC97" s="8" t="e">
        <v>#N/A</v>
      </c>
      <c r="BD97" s="8">
        <v>24395</v>
      </c>
      <c r="BE97" s="8">
        <v>589</v>
      </c>
      <c r="BF97" s="8">
        <v>2317</v>
      </c>
      <c r="BG97" s="8">
        <v>1520</v>
      </c>
    </row>
    <row r="98" spans="1:59" x14ac:dyDescent="0.25">
      <c r="A98" t="s">
        <v>666</v>
      </c>
      <c r="B98" s="8">
        <v>5724</v>
      </c>
      <c r="C98" s="8">
        <v>22299</v>
      </c>
      <c r="D98" s="8">
        <v>28023</v>
      </c>
      <c r="E98" s="8">
        <v>5262</v>
      </c>
      <c r="F98" s="8">
        <v>22761</v>
      </c>
      <c r="G98" s="2">
        <v>20.399999999999999</v>
      </c>
      <c r="H98" s="2">
        <v>79.599999999999994</v>
      </c>
      <c r="I98" s="2">
        <v>18.8</v>
      </c>
      <c r="J98" s="2">
        <v>81.2</v>
      </c>
      <c r="K98" s="8">
        <v>80</v>
      </c>
      <c r="L98" s="8">
        <v>215</v>
      </c>
      <c r="M98" s="8">
        <v>240</v>
      </c>
      <c r="N98" s="8">
        <v>1215</v>
      </c>
      <c r="O98" s="8">
        <v>1500</v>
      </c>
      <c r="P98" s="8">
        <v>1325</v>
      </c>
      <c r="Q98" s="8">
        <v>357</v>
      </c>
      <c r="R98" s="8">
        <v>791</v>
      </c>
      <c r="S98" s="8">
        <v>30507</v>
      </c>
      <c r="T98" s="8">
        <v>352</v>
      </c>
      <c r="U98" s="8">
        <v>67</v>
      </c>
      <c r="V98" s="8">
        <v>3583</v>
      </c>
      <c r="W98" s="8">
        <v>96</v>
      </c>
      <c r="X98" s="8">
        <v>161</v>
      </c>
      <c r="Y98" s="8">
        <v>2014</v>
      </c>
      <c r="Z98" s="8">
        <v>5035</v>
      </c>
      <c r="AA98" s="8">
        <v>1422</v>
      </c>
      <c r="AB98" s="8">
        <v>1925</v>
      </c>
      <c r="AC98" s="8">
        <v>1211</v>
      </c>
      <c r="AD98" s="8">
        <v>1189</v>
      </c>
      <c r="AE98" s="8">
        <v>335</v>
      </c>
      <c r="AF98" s="8">
        <v>1881</v>
      </c>
      <c r="AG98" s="8">
        <v>2203</v>
      </c>
      <c r="AH98" s="8">
        <v>1686</v>
      </c>
      <c r="AI98" s="8">
        <v>2322</v>
      </c>
      <c r="AJ98" s="8">
        <v>3243</v>
      </c>
      <c r="AK98" s="8">
        <v>792</v>
      </c>
      <c r="AL98" s="8">
        <v>839</v>
      </c>
      <c r="AM98" s="8">
        <v>151</v>
      </c>
      <c r="AN98" s="8">
        <v>24234</v>
      </c>
      <c r="AO98" s="8">
        <v>635.33333333333337</v>
      </c>
      <c r="AP98" s="8">
        <v>1566</v>
      </c>
      <c r="AQ98" s="2">
        <v>5.3</v>
      </c>
      <c r="AR98" s="2">
        <v>7.1</v>
      </c>
      <c r="AS98" s="2" t="e">
        <v>#N/A</v>
      </c>
      <c r="AT98" s="8">
        <v>62</v>
      </c>
      <c r="AU98" s="8">
        <v>60</v>
      </c>
      <c r="AV98" s="8">
        <v>336</v>
      </c>
      <c r="AW98" s="8">
        <v>46861</v>
      </c>
      <c r="AX98" s="2">
        <v>63</v>
      </c>
      <c r="AY98" s="2">
        <v>72.599999999999994</v>
      </c>
      <c r="AZ98" s="2">
        <v>32.4</v>
      </c>
      <c r="BA98" s="8">
        <v>340.33333333333331</v>
      </c>
      <c r="BB98" s="8">
        <v>27935</v>
      </c>
      <c r="BC98" s="8" t="e">
        <v>#N/A</v>
      </c>
      <c r="BD98" s="8">
        <v>24386</v>
      </c>
      <c r="BE98" s="8">
        <v>570</v>
      </c>
      <c r="BF98" s="8">
        <v>2302</v>
      </c>
      <c r="BG98" s="8">
        <v>1566</v>
      </c>
    </row>
    <row r="99" spans="1:59" x14ac:dyDescent="0.25">
      <c r="A99" t="s">
        <v>667</v>
      </c>
      <c r="B99" s="8">
        <v>5776</v>
      </c>
      <c r="C99" s="8">
        <v>22305</v>
      </c>
      <c r="D99" s="8">
        <v>28081</v>
      </c>
      <c r="E99" s="8">
        <v>5325</v>
      </c>
      <c r="F99" s="8">
        <v>22756</v>
      </c>
      <c r="G99" s="2">
        <v>20.6</v>
      </c>
      <c r="H99" s="2">
        <v>79.400000000000006</v>
      </c>
      <c r="I99" s="2">
        <v>19</v>
      </c>
      <c r="J99" s="2">
        <v>81</v>
      </c>
      <c r="K99" s="8">
        <v>77</v>
      </c>
      <c r="L99" s="8">
        <v>215</v>
      </c>
      <c r="M99" s="8">
        <v>242</v>
      </c>
      <c r="N99" s="8">
        <v>1236</v>
      </c>
      <c r="O99" s="8">
        <v>1510</v>
      </c>
      <c r="P99" s="8">
        <v>1341</v>
      </c>
      <c r="Q99" s="8">
        <v>345</v>
      </c>
      <c r="R99" s="8">
        <v>807</v>
      </c>
      <c r="S99" s="8">
        <v>30487</v>
      </c>
      <c r="T99" s="8">
        <v>335</v>
      </c>
      <c r="U99" s="8">
        <v>65</v>
      </c>
      <c r="V99" s="8">
        <v>3536</v>
      </c>
      <c r="W99" s="8">
        <v>94</v>
      </c>
      <c r="X99" s="8">
        <v>159</v>
      </c>
      <c r="Y99" s="8">
        <v>2021</v>
      </c>
      <c r="Z99" s="8">
        <v>5039</v>
      </c>
      <c r="AA99" s="8">
        <v>1428</v>
      </c>
      <c r="AB99" s="8">
        <v>1925</v>
      </c>
      <c r="AC99" s="8">
        <v>1219</v>
      </c>
      <c r="AD99" s="8">
        <v>1195</v>
      </c>
      <c r="AE99" s="8">
        <v>331</v>
      </c>
      <c r="AF99" s="8">
        <v>1894</v>
      </c>
      <c r="AG99" s="8">
        <v>2195</v>
      </c>
      <c r="AH99" s="8">
        <v>1712</v>
      </c>
      <c r="AI99" s="8">
        <v>2349</v>
      </c>
      <c r="AJ99" s="8">
        <v>3236</v>
      </c>
      <c r="AK99" s="8">
        <v>780</v>
      </c>
      <c r="AL99" s="8">
        <v>832</v>
      </c>
      <c r="AM99" s="8">
        <v>143</v>
      </c>
      <c r="AN99" s="8">
        <v>24278</v>
      </c>
      <c r="AO99" s="8">
        <v>602.66666666666663</v>
      </c>
      <c r="AP99" s="8">
        <v>1516</v>
      </c>
      <c r="AQ99" s="2">
        <v>5.0999999999999996</v>
      </c>
      <c r="AR99" s="2">
        <v>7.1</v>
      </c>
      <c r="AS99" s="2" t="e">
        <v>#N/A</v>
      </c>
      <c r="AT99" s="8">
        <v>74</v>
      </c>
      <c r="AU99" s="8">
        <v>63</v>
      </c>
      <c r="AV99" s="8">
        <v>308</v>
      </c>
      <c r="AW99" s="8">
        <v>46940</v>
      </c>
      <c r="AX99" s="2">
        <v>63.1</v>
      </c>
      <c r="AY99" s="2">
        <v>72.900000000000006</v>
      </c>
      <c r="AZ99" s="2">
        <v>32.200000000000003</v>
      </c>
      <c r="BA99" s="8">
        <v>340.66666666666669</v>
      </c>
      <c r="BB99" s="8">
        <v>28110</v>
      </c>
      <c r="BC99" s="8" t="e">
        <v>#N/A</v>
      </c>
      <c r="BD99" s="8">
        <v>24576</v>
      </c>
      <c r="BE99" s="8">
        <v>557</v>
      </c>
      <c r="BF99" s="8">
        <v>2310</v>
      </c>
      <c r="BG99" s="8">
        <v>1516</v>
      </c>
    </row>
    <row r="100" spans="1:59" x14ac:dyDescent="0.25">
      <c r="A100" t="s">
        <v>668</v>
      </c>
      <c r="B100" s="8">
        <v>5827</v>
      </c>
      <c r="C100" s="8">
        <v>22315</v>
      </c>
      <c r="D100" s="8">
        <v>28142</v>
      </c>
      <c r="E100" s="8">
        <v>5374</v>
      </c>
      <c r="F100" s="8">
        <v>22768</v>
      </c>
      <c r="G100" s="2">
        <v>20.7</v>
      </c>
      <c r="H100" s="2">
        <v>79.3</v>
      </c>
      <c r="I100" s="2">
        <v>19.100000000000001</v>
      </c>
      <c r="J100" s="2">
        <v>80.900000000000006</v>
      </c>
      <c r="K100" s="8">
        <v>79</v>
      </c>
      <c r="L100" s="8">
        <v>221</v>
      </c>
      <c r="M100" s="8">
        <v>246</v>
      </c>
      <c r="N100" s="8">
        <v>1246</v>
      </c>
      <c r="O100" s="8">
        <v>1516</v>
      </c>
      <c r="P100" s="8">
        <v>1359</v>
      </c>
      <c r="Q100" s="8">
        <v>345</v>
      </c>
      <c r="R100" s="8">
        <v>812</v>
      </c>
      <c r="S100" s="8">
        <v>30533</v>
      </c>
      <c r="T100" s="8">
        <v>337</v>
      </c>
      <c r="U100" s="8">
        <v>63</v>
      </c>
      <c r="V100" s="8">
        <v>3496</v>
      </c>
      <c r="W100" s="8">
        <v>92</v>
      </c>
      <c r="X100" s="8">
        <v>155</v>
      </c>
      <c r="Y100" s="8">
        <v>2030</v>
      </c>
      <c r="Z100" s="8">
        <v>4980</v>
      </c>
      <c r="AA100" s="8">
        <v>1428</v>
      </c>
      <c r="AB100" s="8">
        <v>1941</v>
      </c>
      <c r="AC100" s="8">
        <v>1229</v>
      </c>
      <c r="AD100" s="8">
        <v>1191</v>
      </c>
      <c r="AE100" s="8">
        <v>339</v>
      </c>
      <c r="AF100" s="8">
        <v>1902</v>
      </c>
      <c r="AG100" s="8">
        <v>2204</v>
      </c>
      <c r="AH100" s="8">
        <v>1736</v>
      </c>
      <c r="AI100" s="8">
        <v>2371</v>
      </c>
      <c r="AJ100" s="8">
        <v>3256</v>
      </c>
      <c r="AK100" s="8">
        <v>789</v>
      </c>
      <c r="AL100" s="8">
        <v>827</v>
      </c>
      <c r="AM100" s="8">
        <v>166</v>
      </c>
      <c r="AN100" s="8">
        <v>24360</v>
      </c>
      <c r="AO100" s="8">
        <v>562.66666666666663</v>
      </c>
      <c r="AP100" s="8">
        <v>1531</v>
      </c>
      <c r="AQ100" s="2">
        <v>5.2</v>
      </c>
      <c r="AR100" s="2">
        <v>7.3</v>
      </c>
      <c r="AS100" s="2" t="e">
        <v>#N/A</v>
      </c>
      <c r="AT100" s="8">
        <v>61</v>
      </c>
      <c r="AU100" s="8">
        <v>62</v>
      </c>
      <c r="AV100" s="8">
        <v>327</v>
      </c>
      <c r="AW100" s="8">
        <v>47020</v>
      </c>
      <c r="AX100" s="2">
        <v>63</v>
      </c>
      <c r="AY100" s="2">
        <v>72.7</v>
      </c>
      <c r="AZ100" s="2">
        <v>32.200000000000003</v>
      </c>
      <c r="BA100" s="8">
        <v>342.33333333333331</v>
      </c>
      <c r="BB100" s="8">
        <v>28099</v>
      </c>
      <c r="BC100" s="8" t="e">
        <v>#N/A</v>
      </c>
      <c r="BD100" s="8">
        <v>24495</v>
      </c>
      <c r="BE100" s="8">
        <v>560</v>
      </c>
      <c r="BF100" s="8">
        <v>2239</v>
      </c>
      <c r="BG100" s="8">
        <v>1531</v>
      </c>
    </row>
    <row r="101" spans="1:59" x14ac:dyDescent="0.25">
      <c r="A101" t="s">
        <v>669</v>
      </c>
      <c r="B101" s="8">
        <v>5858</v>
      </c>
      <c r="C101" s="8">
        <v>22378</v>
      </c>
      <c r="D101" s="8">
        <v>28236</v>
      </c>
      <c r="E101" s="8">
        <v>5421</v>
      </c>
      <c r="F101" s="8">
        <v>22815</v>
      </c>
      <c r="G101" s="2">
        <v>20.7</v>
      </c>
      <c r="H101" s="2">
        <v>79.3</v>
      </c>
      <c r="I101" s="2">
        <v>19.2</v>
      </c>
      <c r="J101" s="2">
        <v>80.8</v>
      </c>
      <c r="K101" s="8">
        <v>77</v>
      </c>
      <c r="L101" s="8">
        <v>223</v>
      </c>
      <c r="M101" s="8">
        <v>248</v>
      </c>
      <c r="N101" s="8">
        <v>1257</v>
      </c>
      <c r="O101" s="8">
        <v>1531</v>
      </c>
      <c r="P101" s="8">
        <v>1374</v>
      </c>
      <c r="Q101" s="8">
        <v>350</v>
      </c>
      <c r="R101" s="8">
        <v>798</v>
      </c>
      <c r="S101" s="8">
        <v>30706</v>
      </c>
      <c r="T101" s="8">
        <v>348</v>
      </c>
      <c r="U101" s="8">
        <v>61</v>
      </c>
      <c r="V101" s="8">
        <v>3438</v>
      </c>
      <c r="W101" s="8">
        <v>93</v>
      </c>
      <c r="X101" s="8">
        <v>155</v>
      </c>
      <c r="Y101" s="8">
        <v>2057</v>
      </c>
      <c r="Z101" s="8">
        <v>5011</v>
      </c>
      <c r="AA101" s="8">
        <v>1436</v>
      </c>
      <c r="AB101" s="8">
        <v>1950</v>
      </c>
      <c r="AC101" s="8">
        <v>1241</v>
      </c>
      <c r="AD101" s="8">
        <v>1194</v>
      </c>
      <c r="AE101" s="8">
        <v>336</v>
      </c>
      <c r="AF101" s="8">
        <v>1944</v>
      </c>
      <c r="AG101" s="8">
        <v>2209</v>
      </c>
      <c r="AH101" s="8">
        <v>1748</v>
      </c>
      <c r="AI101" s="8">
        <v>2395</v>
      </c>
      <c r="AJ101" s="8">
        <v>3293</v>
      </c>
      <c r="AK101" s="8">
        <v>792</v>
      </c>
      <c r="AL101" s="8">
        <v>835</v>
      </c>
      <c r="AM101" s="8">
        <v>173</v>
      </c>
      <c r="AN101" s="8">
        <v>24555</v>
      </c>
      <c r="AO101" s="8">
        <v>582.66666666666663</v>
      </c>
      <c r="AP101" s="8">
        <v>1467</v>
      </c>
      <c r="AQ101" s="2">
        <v>4.9000000000000004</v>
      </c>
      <c r="AR101" s="2">
        <v>6.4</v>
      </c>
      <c r="AS101" s="2" t="e">
        <v>#N/A</v>
      </c>
      <c r="AT101" s="8">
        <v>60</v>
      </c>
      <c r="AU101" s="8">
        <v>59</v>
      </c>
      <c r="AV101" s="8">
        <v>314</v>
      </c>
      <c r="AW101" s="8">
        <v>47099</v>
      </c>
      <c r="AX101" s="2">
        <v>63</v>
      </c>
      <c r="AY101" s="2">
        <v>72.900000000000006</v>
      </c>
      <c r="AZ101" s="2">
        <v>32.200000000000003</v>
      </c>
      <c r="BA101" s="8">
        <v>346.66666666666669</v>
      </c>
      <c r="BB101" s="8">
        <v>28226</v>
      </c>
      <c r="BC101" s="8" t="e">
        <v>#N/A</v>
      </c>
      <c r="BD101" s="8">
        <v>24492</v>
      </c>
      <c r="BE101" s="8">
        <v>579</v>
      </c>
      <c r="BF101" s="8">
        <v>2223</v>
      </c>
      <c r="BG101" s="8">
        <v>1467</v>
      </c>
    </row>
    <row r="102" spans="1:59" x14ac:dyDescent="0.25">
      <c r="A102" t="s">
        <v>670</v>
      </c>
      <c r="B102" s="8">
        <v>5894</v>
      </c>
      <c r="C102" s="8">
        <v>22391</v>
      </c>
      <c r="D102" s="8">
        <v>28285</v>
      </c>
      <c r="E102" s="8">
        <v>5466</v>
      </c>
      <c r="F102" s="8">
        <v>22819</v>
      </c>
      <c r="G102" s="2">
        <v>20.8</v>
      </c>
      <c r="H102" s="2">
        <v>79.2</v>
      </c>
      <c r="I102" s="2">
        <v>19.3</v>
      </c>
      <c r="J102" s="2">
        <v>80.7</v>
      </c>
      <c r="K102" s="8">
        <v>80</v>
      </c>
      <c r="L102" s="8">
        <v>222</v>
      </c>
      <c r="M102" s="8">
        <v>252</v>
      </c>
      <c r="N102" s="8">
        <v>1260</v>
      </c>
      <c r="O102" s="8">
        <v>1535</v>
      </c>
      <c r="P102" s="8">
        <v>1391</v>
      </c>
      <c r="Q102" s="8">
        <v>354</v>
      </c>
      <c r="R102" s="8">
        <v>803</v>
      </c>
      <c r="S102" s="8">
        <v>30878</v>
      </c>
      <c r="T102" s="8">
        <v>369</v>
      </c>
      <c r="U102" s="8">
        <v>61</v>
      </c>
      <c r="V102" s="8">
        <v>3404</v>
      </c>
      <c r="W102" s="8">
        <v>92</v>
      </c>
      <c r="X102" s="8">
        <v>159</v>
      </c>
      <c r="Y102" s="8">
        <v>2091</v>
      </c>
      <c r="Z102" s="8">
        <v>5033</v>
      </c>
      <c r="AA102" s="8">
        <v>1430</v>
      </c>
      <c r="AB102" s="8">
        <v>1969</v>
      </c>
      <c r="AC102" s="8">
        <v>1227</v>
      </c>
      <c r="AD102" s="8">
        <v>1194</v>
      </c>
      <c r="AE102" s="8">
        <v>344</v>
      </c>
      <c r="AF102" s="8">
        <v>1982</v>
      </c>
      <c r="AG102" s="8">
        <v>2216</v>
      </c>
      <c r="AH102" s="8">
        <v>1746</v>
      </c>
      <c r="AI102" s="8">
        <v>2408</v>
      </c>
      <c r="AJ102" s="8">
        <v>3335</v>
      </c>
      <c r="AK102" s="8">
        <v>811</v>
      </c>
      <c r="AL102" s="8">
        <v>841</v>
      </c>
      <c r="AM102" s="8">
        <v>167</v>
      </c>
      <c r="AN102" s="8">
        <v>24702</v>
      </c>
      <c r="AO102" s="8">
        <v>617.66666666666663</v>
      </c>
      <c r="AP102" s="8">
        <v>1502</v>
      </c>
      <c r="AQ102" s="2">
        <v>5</v>
      </c>
      <c r="AR102" s="2">
        <v>6.3</v>
      </c>
      <c r="AS102" s="2" t="e">
        <v>#N/A</v>
      </c>
      <c r="AT102" s="8">
        <v>64</v>
      </c>
      <c r="AU102" s="8">
        <v>57</v>
      </c>
      <c r="AV102" s="8">
        <v>315</v>
      </c>
      <c r="AW102" s="8">
        <v>47186</v>
      </c>
      <c r="AX102" s="2">
        <v>63.1</v>
      </c>
      <c r="AY102" s="2">
        <v>72.8</v>
      </c>
      <c r="AZ102" s="2">
        <v>32.200000000000003</v>
      </c>
      <c r="BA102" s="8">
        <v>349.33333333333331</v>
      </c>
      <c r="BB102" s="8">
        <v>28256</v>
      </c>
      <c r="BC102" s="8" t="e">
        <v>#N/A</v>
      </c>
      <c r="BD102" s="8">
        <v>24391</v>
      </c>
      <c r="BE102" s="8">
        <v>567</v>
      </c>
      <c r="BF102" s="8">
        <v>2160</v>
      </c>
      <c r="BG102" s="8">
        <v>1502</v>
      </c>
    </row>
    <row r="103" spans="1:59" x14ac:dyDescent="0.25">
      <c r="A103" t="s">
        <v>671</v>
      </c>
      <c r="B103" s="8">
        <v>5937</v>
      </c>
      <c r="C103" s="8">
        <v>22462</v>
      </c>
      <c r="D103" s="8">
        <v>28399</v>
      </c>
      <c r="E103" s="8">
        <v>5501</v>
      </c>
      <c r="F103" s="8">
        <v>22898</v>
      </c>
      <c r="G103" s="2">
        <v>20.9</v>
      </c>
      <c r="H103" s="2">
        <v>79.099999999999994</v>
      </c>
      <c r="I103" s="2">
        <v>19.399999999999999</v>
      </c>
      <c r="J103" s="2">
        <v>80.599999999999994</v>
      </c>
      <c r="K103" s="8">
        <v>80</v>
      </c>
      <c r="L103" s="8">
        <v>221</v>
      </c>
      <c r="M103" s="8">
        <v>256</v>
      </c>
      <c r="N103" s="8">
        <v>1258</v>
      </c>
      <c r="O103" s="8">
        <v>1557</v>
      </c>
      <c r="P103" s="8">
        <v>1408</v>
      </c>
      <c r="Q103" s="8">
        <v>363</v>
      </c>
      <c r="R103" s="8">
        <v>795</v>
      </c>
      <c r="S103" s="8">
        <v>30898</v>
      </c>
      <c r="T103" s="8">
        <v>371</v>
      </c>
      <c r="U103" s="8">
        <v>61</v>
      </c>
      <c r="V103" s="8">
        <v>3355</v>
      </c>
      <c r="W103" s="8">
        <v>90</v>
      </c>
      <c r="X103" s="8">
        <v>156</v>
      </c>
      <c r="Y103" s="8">
        <v>2095</v>
      </c>
      <c r="Z103" s="8">
        <v>5043</v>
      </c>
      <c r="AA103" s="8">
        <v>1428</v>
      </c>
      <c r="AB103" s="8">
        <v>1967</v>
      </c>
      <c r="AC103" s="8">
        <v>1207</v>
      </c>
      <c r="AD103" s="8">
        <v>1180</v>
      </c>
      <c r="AE103" s="8">
        <v>346</v>
      </c>
      <c r="AF103" s="8">
        <v>2009</v>
      </c>
      <c r="AG103" s="8">
        <v>2224</v>
      </c>
      <c r="AH103" s="8">
        <v>1757</v>
      </c>
      <c r="AI103" s="8">
        <v>2453</v>
      </c>
      <c r="AJ103" s="8">
        <v>3345</v>
      </c>
      <c r="AK103" s="8">
        <v>820</v>
      </c>
      <c r="AL103" s="8">
        <v>843</v>
      </c>
      <c r="AM103" s="8">
        <v>148</v>
      </c>
      <c r="AN103" s="8">
        <v>24771</v>
      </c>
      <c r="AO103" s="8">
        <v>614.33333333333337</v>
      </c>
      <c r="AP103" s="8">
        <v>1457</v>
      </c>
      <c r="AQ103" s="2">
        <v>4.9000000000000004</v>
      </c>
      <c r="AR103" s="2">
        <v>5.8</v>
      </c>
      <c r="AS103" s="2" t="e">
        <v>#N/A</v>
      </c>
      <c r="AT103" s="8">
        <v>73</v>
      </c>
      <c r="AU103" s="8">
        <v>63</v>
      </c>
      <c r="AV103" s="8">
        <v>314</v>
      </c>
      <c r="AW103" s="8">
        <v>47277</v>
      </c>
      <c r="AX103" s="2">
        <v>63</v>
      </c>
      <c r="AY103" s="2">
        <v>72.8</v>
      </c>
      <c r="AZ103" s="2">
        <v>32</v>
      </c>
      <c r="BA103" s="8">
        <v>353.33333333333331</v>
      </c>
      <c r="BB103" s="8">
        <v>28304</v>
      </c>
      <c r="BC103" s="8" t="e">
        <v>#N/A</v>
      </c>
      <c r="BD103" s="8">
        <v>24457</v>
      </c>
      <c r="BE103" s="8">
        <v>566</v>
      </c>
      <c r="BF103" s="8">
        <v>2186</v>
      </c>
      <c r="BG103" s="8">
        <v>1457</v>
      </c>
    </row>
    <row r="104" spans="1:59" x14ac:dyDescent="0.25">
      <c r="A104" t="s">
        <v>672</v>
      </c>
      <c r="B104" s="8">
        <v>5970</v>
      </c>
      <c r="C104" s="8">
        <v>22479</v>
      </c>
      <c r="D104" s="8">
        <v>28449</v>
      </c>
      <c r="E104" s="8">
        <v>5534</v>
      </c>
      <c r="F104" s="8">
        <v>22915</v>
      </c>
      <c r="G104" s="2">
        <v>21</v>
      </c>
      <c r="H104" s="2">
        <v>79</v>
      </c>
      <c r="I104" s="2">
        <v>19.5</v>
      </c>
      <c r="J104" s="2">
        <v>80.5</v>
      </c>
      <c r="K104" s="8">
        <v>79</v>
      </c>
      <c r="L104" s="8">
        <v>219</v>
      </c>
      <c r="M104" s="8">
        <v>260</v>
      </c>
      <c r="N104" s="8">
        <v>1267</v>
      </c>
      <c r="O104" s="8">
        <v>1560</v>
      </c>
      <c r="P104" s="8">
        <v>1426</v>
      </c>
      <c r="Q104" s="8">
        <v>365</v>
      </c>
      <c r="R104" s="8">
        <v>794</v>
      </c>
      <c r="S104" s="8">
        <v>30976</v>
      </c>
      <c r="T104" s="8">
        <v>357</v>
      </c>
      <c r="U104" s="8">
        <v>58</v>
      </c>
      <c r="V104" s="8">
        <v>3314</v>
      </c>
      <c r="W104" s="8">
        <v>88</v>
      </c>
      <c r="X104" s="8">
        <v>155</v>
      </c>
      <c r="Y104" s="8">
        <v>2111</v>
      </c>
      <c r="Z104" s="8">
        <v>5034</v>
      </c>
      <c r="AA104" s="8">
        <v>1420</v>
      </c>
      <c r="AB104" s="8">
        <v>2009</v>
      </c>
      <c r="AC104" s="8">
        <v>1203</v>
      </c>
      <c r="AD104" s="8">
        <v>1174</v>
      </c>
      <c r="AE104" s="8">
        <v>356</v>
      </c>
      <c r="AF104" s="8">
        <v>2003</v>
      </c>
      <c r="AG104" s="8">
        <v>2252</v>
      </c>
      <c r="AH104" s="8">
        <v>1769</v>
      </c>
      <c r="AI104" s="8">
        <v>2474</v>
      </c>
      <c r="AJ104" s="8">
        <v>3373</v>
      </c>
      <c r="AK104" s="8">
        <v>817</v>
      </c>
      <c r="AL104" s="8">
        <v>836</v>
      </c>
      <c r="AM104" s="8">
        <v>175</v>
      </c>
      <c r="AN104" s="8">
        <v>24894</v>
      </c>
      <c r="AO104" s="8">
        <v>593</v>
      </c>
      <c r="AP104" s="8">
        <v>1434</v>
      </c>
      <c r="AQ104" s="2">
        <v>4.8</v>
      </c>
      <c r="AR104" s="2">
        <v>5.9</v>
      </c>
      <c r="AS104" s="2" t="e">
        <v>#N/A</v>
      </c>
      <c r="AT104" s="8">
        <v>64</v>
      </c>
      <c r="AU104" s="8">
        <v>63</v>
      </c>
      <c r="AV104" s="8">
        <v>307</v>
      </c>
      <c r="AW104" s="8">
        <v>47368</v>
      </c>
      <c r="AX104" s="2">
        <v>63.1</v>
      </c>
      <c r="AY104" s="2">
        <v>73</v>
      </c>
      <c r="AZ104" s="2">
        <v>32.1</v>
      </c>
      <c r="BA104" s="8">
        <v>354</v>
      </c>
      <c r="BB104" s="8">
        <v>28459</v>
      </c>
      <c r="BC104" s="8" t="e">
        <v>#N/A</v>
      </c>
      <c r="BD104" s="8">
        <v>24622</v>
      </c>
      <c r="BE104" s="8">
        <v>571</v>
      </c>
      <c r="BF104" s="8">
        <v>2133</v>
      </c>
      <c r="BG104" s="8">
        <v>1434</v>
      </c>
    </row>
    <row r="105" spans="1:59" x14ac:dyDescent="0.25">
      <c r="A105" t="s">
        <v>673</v>
      </c>
      <c r="B105" s="8">
        <v>5995</v>
      </c>
      <c r="C105" s="8">
        <v>22469</v>
      </c>
      <c r="D105" s="8">
        <v>28464</v>
      </c>
      <c r="E105" s="8">
        <v>5545</v>
      </c>
      <c r="F105" s="8">
        <v>22919</v>
      </c>
      <c r="G105" s="2">
        <v>21.1</v>
      </c>
      <c r="H105" s="2">
        <v>78.900000000000006</v>
      </c>
      <c r="I105" s="2">
        <v>19.5</v>
      </c>
      <c r="J105" s="2">
        <v>80.5</v>
      </c>
      <c r="K105" s="8">
        <v>78</v>
      </c>
      <c r="L105" s="8">
        <v>218</v>
      </c>
      <c r="M105" s="8">
        <v>264</v>
      </c>
      <c r="N105" s="8">
        <v>1270</v>
      </c>
      <c r="O105" s="8">
        <v>1569</v>
      </c>
      <c r="P105" s="8">
        <v>1430</v>
      </c>
      <c r="Q105" s="8">
        <v>364</v>
      </c>
      <c r="R105" s="8">
        <v>803</v>
      </c>
      <c r="S105" s="8">
        <v>31030</v>
      </c>
      <c r="T105" s="8">
        <v>358</v>
      </c>
      <c r="U105" s="8">
        <v>58</v>
      </c>
      <c r="V105" s="8">
        <v>3290</v>
      </c>
      <c r="W105" s="8">
        <v>83</v>
      </c>
      <c r="X105" s="8">
        <v>155</v>
      </c>
      <c r="Y105" s="8">
        <v>2121</v>
      </c>
      <c r="Z105" s="8">
        <v>5029</v>
      </c>
      <c r="AA105" s="8">
        <v>1427</v>
      </c>
      <c r="AB105" s="8">
        <v>2002</v>
      </c>
      <c r="AC105" s="8">
        <v>1186</v>
      </c>
      <c r="AD105" s="8">
        <v>1177</v>
      </c>
      <c r="AE105" s="8">
        <v>359</v>
      </c>
      <c r="AF105" s="8">
        <v>2016</v>
      </c>
      <c r="AG105" s="8">
        <v>2294</v>
      </c>
      <c r="AH105" s="8">
        <v>1766</v>
      </c>
      <c r="AI105" s="8">
        <v>2485</v>
      </c>
      <c r="AJ105" s="8">
        <v>3398</v>
      </c>
      <c r="AK105" s="8">
        <v>823</v>
      </c>
      <c r="AL105" s="8">
        <v>828</v>
      </c>
      <c r="AM105" s="8">
        <v>175</v>
      </c>
      <c r="AN105" s="8">
        <v>24965</v>
      </c>
      <c r="AO105" s="8">
        <v>645</v>
      </c>
      <c r="AP105" s="8">
        <v>1437</v>
      </c>
      <c r="AQ105" s="2">
        <v>4.8</v>
      </c>
      <c r="AR105" s="2">
        <v>6</v>
      </c>
      <c r="AS105" s="2" t="e">
        <v>#N/A</v>
      </c>
      <c r="AT105" s="8">
        <v>66</v>
      </c>
      <c r="AU105" s="8">
        <v>55</v>
      </c>
      <c r="AV105" s="8">
        <v>286</v>
      </c>
      <c r="AW105" s="8">
        <v>47459</v>
      </c>
      <c r="AX105" s="2">
        <v>63</v>
      </c>
      <c r="AY105" s="2">
        <v>72.900000000000006</v>
      </c>
      <c r="AZ105" s="2">
        <v>32</v>
      </c>
      <c r="BA105" s="8">
        <v>361</v>
      </c>
      <c r="BB105" s="8">
        <v>28470</v>
      </c>
      <c r="BC105" s="8" t="e">
        <v>#N/A</v>
      </c>
      <c r="BD105" s="8">
        <v>24581</v>
      </c>
      <c r="BE105" s="8">
        <v>533</v>
      </c>
      <c r="BF105" s="8">
        <v>2080</v>
      </c>
      <c r="BG105" s="8">
        <v>1437</v>
      </c>
    </row>
    <row r="106" spans="1:59" x14ac:dyDescent="0.25">
      <c r="A106" t="s">
        <v>674</v>
      </c>
      <c r="B106" s="8">
        <v>6026</v>
      </c>
      <c r="C106" s="8">
        <v>22518</v>
      </c>
      <c r="D106" s="8">
        <v>28544</v>
      </c>
      <c r="E106" s="8">
        <v>5577</v>
      </c>
      <c r="F106" s="8">
        <v>22967</v>
      </c>
      <c r="G106" s="2">
        <v>21.1</v>
      </c>
      <c r="H106" s="2">
        <v>78.900000000000006</v>
      </c>
      <c r="I106" s="2">
        <v>19.5</v>
      </c>
      <c r="J106" s="2">
        <v>80.5</v>
      </c>
      <c r="K106" s="8">
        <v>76</v>
      </c>
      <c r="L106" s="8">
        <v>216</v>
      </c>
      <c r="M106" s="8">
        <v>265</v>
      </c>
      <c r="N106" s="8">
        <v>1279</v>
      </c>
      <c r="O106" s="8">
        <v>1573</v>
      </c>
      <c r="P106" s="8">
        <v>1443</v>
      </c>
      <c r="Q106" s="8">
        <v>368</v>
      </c>
      <c r="R106" s="8">
        <v>805</v>
      </c>
      <c r="S106" s="8">
        <v>31065</v>
      </c>
      <c r="T106" s="8">
        <v>372</v>
      </c>
      <c r="U106" s="8">
        <v>61</v>
      </c>
      <c r="V106" s="8">
        <v>3238</v>
      </c>
      <c r="W106" s="8">
        <v>80</v>
      </c>
      <c r="X106" s="8">
        <v>155</v>
      </c>
      <c r="Y106" s="8">
        <v>2128</v>
      </c>
      <c r="Z106" s="8">
        <v>5027</v>
      </c>
      <c r="AA106" s="8">
        <v>1435</v>
      </c>
      <c r="AB106" s="8">
        <v>2008</v>
      </c>
      <c r="AC106" s="8">
        <v>1174</v>
      </c>
      <c r="AD106" s="8">
        <v>1170</v>
      </c>
      <c r="AE106" s="8">
        <v>361</v>
      </c>
      <c r="AF106" s="8">
        <v>2032</v>
      </c>
      <c r="AG106" s="8">
        <v>2320</v>
      </c>
      <c r="AH106" s="8">
        <v>1778</v>
      </c>
      <c r="AI106" s="8">
        <v>2482</v>
      </c>
      <c r="AJ106" s="8">
        <v>3448</v>
      </c>
      <c r="AK106" s="8">
        <v>808</v>
      </c>
      <c r="AL106" s="8">
        <v>826</v>
      </c>
      <c r="AM106" s="8">
        <v>159</v>
      </c>
      <c r="AN106" s="8">
        <v>25030</v>
      </c>
      <c r="AO106" s="8">
        <v>679.33333333333337</v>
      </c>
      <c r="AP106" s="8">
        <v>1401</v>
      </c>
      <c r="AQ106" s="2">
        <v>4.7</v>
      </c>
      <c r="AR106" s="2">
        <v>5.3</v>
      </c>
      <c r="AS106" s="2" t="e">
        <v>#N/A</v>
      </c>
      <c r="AT106" s="8">
        <v>51</v>
      </c>
      <c r="AU106" s="8">
        <v>57</v>
      </c>
      <c r="AV106" s="8">
        <v>277</v>
      </c>
      <c r="AW106" s="8">
        <v>47570</v>
      </c>
      <c r="AX106" s="2">
        <v>62.9</v>
      </c>
      <c r="AY106" s="2">
        <v>72.900000000000006</v>
      </c>
      <c r="AZ106" s="2">
        <v>32</v>
      </c>
      <c r="BA106" s="8">
        <v>365.33333333333331</v>
      </c>
      <c r="BB106" s="8">
        <v>28518</v>
      </c>
      <c r="BC106" s="8" t="e">
        <v>#N/A</v>
      </c>
      <c r="BD106" s="8">
        <v>24714</v>
      </c>
      <c r="BE106" s="8">
        <v>555</v>
      </c>
      <c r="BF106" s="8">
        <v>2115</v>
      </c>
      <c r="BG106" s="8">
        <v>1401</v>
      </c>
    </row>
    <row r="107" spans="1:59" x14ac:dyDescent="0.25">
      <c r="A107" t="s">
        <v>675</v>
      </c>
      <c r="B107" s="8">
        <v>6039</v>
      </c>
      <c r="C107" s="8">
        <v>22687</v>
      </c>
      <c r="D107" s="8">
        <v>28726</v>
      </c>
      <c r="E107" s="8">
        <v>5597</v>
      </c>
      <c r="F107" s="8">
        <v>23129</v>
      </c>
      <c r="G107" s="2">
        <v>21</v>
      </c>
      <c r="H107" s="2">
        <v>79</v>
      </c>
      <c r="I107" s="2">
        <v>19.5</v>
      </c>
      <c r="J107" s="2">
        <v>80.5</v>
      </c>
      <c r="K107" s="8">
        <v>75</v>
      </c>
      <c r="L107" s="8">
        <v>214</v>
      </c>
      <c r="M107" s="8">
        <v>267</v>
      </c>
      <c r="N107" s="8">
        <v>1278</v>
      </c>
      <c r="O107" s="8">
        <v>1576</v>
      </c>
      <c r="P107" s="8">
        <v>1456</v>
      </c>
      <c r="Q107" s="8">
        <v>368</v>
      </c>
      <c r="R107" s="8">
        <v>805</v>
      </c>
      <c r="S107" s="8">
        <v>31215</v>
      </c>
      <c r="T107" s="8">
        <v>373</v>
      </c>
      <c r="U107" s="8">
        <v>59</v>
      </c>
      <c r="V107" s="8">
        <v>3207</v>
      </c>
      <c r="W107" s="8">
        <v>77</v>
      </c>
      <c r="X107" s="8">
        <v>158</v>
      </c>
      <c r="Y107" s="8">
        <v>2184</v>
      </c>
      <c r="Z107" s="8">
        <v>5065</v>
      </c>
      <c r="AA107" s="8">
        <v>1444</v>
      </c>
      <c r="AB107" s="8">
        <v>2021</v>
      </c>
      <c r="AC107" s="8">
        <v>1164</v>
      </c>
      <c r="AD107" s="8">
        <v>1172</v>
      </c>
      <c r="AE107" s="8">
        <v>369</v>
      </c>
      <c r="AF107" s="8">
        <v>2036</v>
      </c>
      <c r="AG107" s="8">
        <v>2342</v>
      </c>
      <c r="AH107" s="8">
        <v>1779</v>
      </c>
      <c r="AI107" s="8">
        <v>2493</v>
      </c>
      <c r="AJ107" s="8">
        <v>3471</v>
      </c>
      <c r="AK107" s="8">
        <v>816</v>
      </c>
      <c r="AL107" s="8">
        <v>827</v>
      </c>
      <c r="AM107" s="8">
        <v>160</v>
      </c>
      <c r="AN107" s="8">
        <v>25157</v>
      </c>
      <c r="AO107" s="8">
        <v>661</v>
      </c>
      <c r="AP107" s="8">
        <v>1423</v>
      </c>
      <c r="AQ107" s="2">
        <v>4.7</v>
      </c>
      <c r="AR107" s="2">
        <v>5.8</v>
      </c>
      <c r="AS107" s="2" t="e">
        <v>#N/A</v>
      </c>
      <c r="AT107" s="8">
        <v>60</v>
      </c>
      <c r="AU107" s="8">
        <v>66</v>
      </c>
      <c r="AV107" s="8">
        <v>279</v>
      </c>
      <c r="AW107" s="8">
        <v>47689</v>
      </c>
      <c r="AX107" s="2">
        <v>63.1</v>
      </c>
      <c r="AY107" s="2">
        <v>73</v>
      </c>
      <c r="AZ107" s="2">
        <v>32.200000000000003</v>
      </c>
      <c r="BA107" s="8">
        <v>370.33333333333331</v>
      </c>
      <c r="BB107" s="8">
        <v>28673</v>
      </c>
      <c r="BC107" s="8" t="e">
        <v>#N/A</v>
      </c>
      <c r="BD107" s="8">
        <v>24830</v>
      </c>
      <c r="BE107" s="8">
        <v>538</v>
      </c>
      <c r="BF107" s="8">
        <v>2073</v>
      </c>
      <c r="BG107" s="8">
        <v>1423</v>
      </c>
    </row>
    <row r="108" spans="1:59" x14ac:dyDescent="0.25">
      <c r="A108" t="s">
        <v>676</v>
      </c>
      <c r="B108" s="8">
        <v>6059</v>
      </c>
      <c r="C108" s="8">
        <v>22700</v>
      </c>
      <c r="D108" s="8">
        <v>28759</v>
      </c>
      <c r="E108" s="8">
        <v>5615</v>
      </c>
      <c r="F108" s="8">
        <v>23144</v>
      </c>
      <c r="G108" s="2">
        <v>21.1</v>
      </c>
      <c r="H108" s="2">
        <v>78.900000000000006</v>
      </c>
      <c r="I108" s="2">
        <v>19.5</v>
      </c>
      <c r="J108" s="2">
        <v>80.5</v>
      </c>
      <c r="K108" s="8">
        <v>74</v>
      </c>
      <c r="L108" s="8">
        <v>212</v>
      </c>
      <c r="M108" s="8">
        <v>271</v>
      </c>
      <c r="N108" s="8">
        <v>1280</v>
      </c>
      <c r="O108" s="8">
        <v>1581</v>
      </c>
      <c r="P108" s="8">
        <v>1466</v>
      </c>
      <c r="Q108" s="8">
        <v>370</v>
      </c>
      <c r="R108" s="8">
        <v>807</v>
      </c>
      <c r="S108" s="8">
        <v>31353</v>
      </c>
      <c r="T108" s="8">
        <v>396</v>
      </c>
      <c r="U108" s="8">
        <v>58</v>
      </c>
      <c r="V108" s="8">
        <v>3174</v>
      </c>
      <c r="W108" s="8">
        <v>75</v>
      </c>
      <c r="X108" s="8">
        <v>160</v>
      </c>
      <c r="Y108" s="8">
        <v>2218</v>
      </c>
      <c r="Z108" s="8">
        <v>5053</v>
      </c>
      <c r="AA108" s="8">
        <v>1456</v>
      </c>
      <c r="AB108" s="8">
        <v>2023</v>
      </c>
      <c r="AC108" s="8">
        <v>1185</v>
      </c>
      <c r="AD108" s="8">
        <v>1178</v>
      </c>
      <c r="AE108" s="8">
        <v>372</v>
      </c>
      <c r="AF108" s="8">
        <v>2066</v>
      </c>
      <c r="AG108" s="8">
        <v>2355</v>
      </c>
      <c r="AH108" s="8">
        <v>1787</v>
      </c>
      <c r="AI108" s="8">
        <v>2503</v>
      </c>
      <c r="AJ108" s="8">
        <v>3499</v>
      </c>
      <c r="AK108" s="8">
        <v>821</v>
      </c>
      <c r="AL108" s="8">
        <v>827</v>
      </c>
      <c r="AM108" s="8">
        <v>147</v>
      </c>
      <c r="AN108" s="8">
        <v>25273</v>
      </c>
      <c r="AO108" s="8">
        <v>613.66666666666663</v>
      </c>
      <c r="AP108" s="8">
        <v>1416</v>
      </c>
      <c r="AQ108" s="2">
        <v>4.7</v>
      </c>
      <c r="AR108" s="2">
        <v>5.6</v>
      </c>
      <c r="AS108" s="2">
        <v>1.9333333333333333</v>
      </c>
      <c r="AT108" s="8">
        <v>58</v>
      </c>
      <c r="AU108" s="8">
        <v>64</v>
      </c>
      <c r="AV108" s="8">
        <v>296</v>
      </c>
      <c r="AW108" s="8">
        <v>47811</v>
      </c>
      <c r="AX108" s="2">
        <v>63.2</v>
      </c>
      <c r="AY108" s="2">
        <v>73.099999999999994</v>
      </c>
      <c r="AZ108" s="2">
        <v>32.200000000000003</v>
      </c>
      <c r="BA108" s="8">
        <v>371</v>
      </c>
      <c r="BB108" s="8">
        <v>28789</v>
      </c>
      <c r="BC108" s="8" t="e">
        <v>#N/A</v>
      </c>
      <c r="BD108" s="8">
        <v>24949</v>
      </c>
      <c r="BE108" s="8">
        <v>568</v>
      </c>
      <c r="BF108" s="8">
        <v>2040</v>
      </c>
      <c r="BG108" s="8">
        <v>1416</v>
      </c>
    </row>
    <row r="109" spans="1:59" x14ac:dyDescent="0.25">
      <c r="A109" t="s">
        <v>677</v>
      </c>
      <c r="B109" s="8">
        <v>6090</v>
      </c>
      <c r="C109" s="8">
        <v>22765</v>
      </c>
      <c r="D109" s="8">
        <v>28855</v>
      </c>
      <c r="E109" s="8">
        <v>5646</v>
      </c>
      <c r="F109" s="8">
        <v>23209</v>
      </c>
      <c r="G109" s="2">
        <v>21.1</v>
      </c>
      <c r="H109" s="2">
        <v>78.900000000000006</v>
      </c>
      <c r="I109" s="2">
        <v>19.600000000000001</v>
      </c>
      <c r="J109" s="2">
        <v>80.400000000000006</v>
      </c>
      <c r="K109" s="8">
        <v>72</v>
      </c>
      <c r="L109" s="8">
        <v>210</v>
      </c>
      <c r="M109" s="8">
        <v>272</v>
      </c>
      <c r="N109" s="8">
        <v>1287</v>
      </c>
      <c r="O109" s="8">
        <v>1583</v>
      </c>
      <c r="P109" s="8">
        <v>1480</v>
      </c>
      <c r="Q109" s="8">
        <v>372</v>
      </c>
      <c r="R109" s="8">
        <v>814</v>
      </c>
      <c r="S109" s="8">
        <v>31401</v>
      </c>
      <c r="T109" s="8">
        <v>389</v>
      </c>
      <c r="U109" s="8">
        <v>58</v>
      </c>
      <c r="V109" s="8">
        <v>3120</v>
      </c>
      <c r="W109" s="8">
        <v>73</v>
      </c>
      <c r="X109" s="8">
        <v>158</v>
      </c>
      <c r="Y109" s="8">
        <v>2198</v>
      </c>
      <c r="Z109" s="8">
        <v>5044</v>
      </c>
      <c r="AA109" s="8">
        <v>1471</v>
      </c>
      <c r="AB109" s="8">
        <v>2005</v>
      </c>
      <c r="AC109" s="8">
        <v>1188</v>
      </c>
      <c r="AD109" s="8">
        <v>1166</v>
      </c>
      <c r="AE109" s="8">
        <v>389</v>
      </c>
      <c r="AF109" s="8">
        <v>2105</v>
      </c>
      <c r="AG109" s="8">
        <v>2376</v>
      </c>
      <c r="AH109" s="8">
        <v>1786</v>
      </c>
      <c r="AI109" s="8">
        <v>2517</v>
      </c>
      <c r="AJ109" s="8">
        <v>3528</v>
      </c>
      <c r="AK109" s="8">
        <v>849</v>
      </c>
      <c r="AL109" s="8">
        <v>826</v>
      </c>
      <c r="AM109" s="8">
        <v>155</v>
      </c>
      <c r="AN109" s="8">
        <v>25404</v>
      </c>
      <c r="AO109" s="8">
        <v>645.33333333333337</v>
      </c>
      <c r="AP109" s="8">
        <v>1437</v>
      </c>
      <c r="AQ109" s="2">
        <v>4.8</v>
      </c>
      <c r="AR109" s="2">
        <v>5.2</v>
      </c>
      <c r="AS109" s="2">
        <v>1.1333333333333333</v>
      </c>
      <c r="AT109" s="8">
        <v>44</v>
      </c>
      <c r="AU109" s="8">
        <v>63</v>
      </c>
      <c r="AV109" s="8">
        <v>313</v>
      </c>
      <c r="AW109" s="8">
        <v>47932</v>
      </c>
      <c r="AX109" s="2">
        <v>63.1</v>
      </c>
      <c r="AY109" s="2">
        <v>72.900000000000006</v>
      </c>
      <c r="AZ109" s="2">
        <v>32.1</v>
      </c>
      <c r="BA109" s="8">
        <v>375</v>
      </c>
      <c r="BB109" s="8">
        <v>28802</v>
      </c>
      <c r="BC109" s="8" t="e">
        <v>#N/A</v>
      </c>
      <c r="BD109" s="8">
        <v>24974</v>
      </c>
      <c r="BE109" s="8">
        <v>588</v>
      </c>
      <c r="BF109" s="8">
        <v>2144</v>
      </c>
      <c r="BG109" s="8">
        <v>1437</v>
      </c>
    </row>
    <row r="110" spans="1:59" x14ac:dyDescent="0.25">
      <c r="A110" t="s">
        <v>678</v>
      </c>
      <c r="B110" s="8">
        <v>6091</v>
      </c>
      <c r="C110" s="8">
        <v>22822</v>
      </c>
      <c r="D110" s="8">
        <v>28913</v>
      </c>
      <c r="E110" s="8">
        <v>5640</v>
      </c>
      <c r="F110" s="8">
        <v>23273</v>
      </c>
      <c r="G110" s="2">
        <v>21.1</v>
      </c>
      <c r="H110" s="2">
        <v>78.900000000000006</v>
      </c>
      <c r="I110" s="2">
        <v>19.5</v>
      </c>
      <c r="J110" s="2">
        <v>80.5</v>
      </c>
      <c r="K110" s="8">
        <v>69</v>
      </c>
      <c r="L110" s="8">
        <v>208</v>
      </c>
      <c r="M110" s="8">
        <v>271</v>
      </c>
      <c r="N110" s="8">
        <v>1284</v>
      </c>
      <c r="O110" s="8">
        <v>1593</v>
      </c>
      <c r="P110" s="8">
        <v>1485</v>
      </c>
      <c r="Q110" s="8">
        <v>366</v>
      </c>
      <c r="R110" s="8">
        <v>815</v>
      </c>
      <c r="S110" s="8">
        <v>31543</v>
      </c>
      <c r="T110" s="8">
        <v>384</v>
      </c>
      <c r="U110" s="8">
        <v>60</v>
      </c>
      <c r="V110" s="8">
        <v>3099</v>
      </c>
      <c r="W110" s="8">
        <v>75</v>
      </c>
      <c r="X110" s="8">
        <v>158</v>
      </c>
      <c r="Y110" s="8">
        <v>2236</v>
      </c>
      <c r="Z110" s="8">
        <v>5053</v>
      </c>
      <c r="AA110" s="8">
        <v>1479</v>
      </c>
      <c r="AB110" s="8">
        <v>2012</v>
      </c>
      <c r="AC110" s="8">
        <v>1186</v>
      </c>
      <c r="AD110" s="8">
        <v>1162</v>
      </c>
      <c r="AE110" s="8">
        <v>392</v>
      </c>
      <c r="AF110" s="8">
        <v>2143</v>
      </c>
      <c r="AG110" s="8">
        <v>2399</v>
      </c>
      <c r="AH110" s="8">
        <v>1778</v>
      </c>
      <c r="AI110" s="8">
        <v>2547</v>
      </c>
      <c r="AJ110" s="8">
        <v>3549</v>
      </c>
      <c r="AK110" s="8">
        <v>849</v>
      </c>
      <c r="AL110" s="8">
        <v>827</v>
      </c>
      <c r="AM110" s="8">
        <v>155</v>
      </c>
      <c r="AN110" s="8">
        <v>25531</v>
      </c>
      <c r="AO110" s="8">
        <v>646</v>
      </c>
      <c r="AP110" s="8">
        <v>1437</v>
      </c>
      <c r="AQ110" s="2">
        <v>4.7</v>
      </c>
      <c r="AR110" s="2">
        <v>6.2</v>
      </c>
      <c r="AS110" s="2">
        <v>0.46666666666666662</v>
      </c>
      <c r="AT110" s="8">
        <v>44</v>
      </c>
      <c r="AU110" s="8">
        <v>58</v>
      </c>
      <c r="AV110" s="8">
        <v>290</v>
      </c>
      <c r="AW110" s="8">
        <v>48044</v>
      </c>
      <c r="AX110" s="2">
        <v>63.2</v>
      </c>
      <c r="AY110" s="2">
        <v>73</v>
      </c>
      <c r="AZ110" s="2">
        <v>32.200000000000003</v>
      </c>
      <c r="BA110" s="8">
        <v>382.33333333333331</v>
      </c>
      <c r="BB110" s="8">
        <v>28928</v>
      </c>
      <c r="BC110" s="8" t="e">
        <v>#N/A</v>
      </c>
      <c r="BD110" s="8">
        <v>25066</v>
      </c>
      <c r="BE110" s="8">
        <v>598</v>
      </c>
      <c r="BF110" s="8">
        <v>2117</v>
      </c>
      <c r="BG110" s="8">
        <v>1437</v>
      </c>
    </row>
    <row r="111" spans="1:59" x14ac:dyDescent="0.25">
      <c r="A111" t="s">
        <v>679</v>
      </c>
      <c r="B111" s="8">
        <v>6087</v>
      </c>
      <c r="C111" s="8">
        <v>22847</v>
      </c>
      <c r="D111" s="8">
        <v>28934</v>
      </c>
      <c r="E111" s="8">
        <v>5646</v>
      </c>
      <c r="F111" s="8">
        <v>23288</v>
      </c>
      <c r="G111" s="2">
        <v>21</v>
      </c>
      <c r="H111" s="2">
        <v>79</v>
      </c>
      <c r="I111" s="2">
        <v>19.5</v>
      </c>
      <c r="J111" s="2">
        <v>80.5</v>
      </c>
      <c r="K111" s="8">
        <v>68</v>
      </c>
      <c r="L111" s="8">
        <v>206</v>
      </c>
      <c r="M111" s="8">
        <v>274</v>
      </c>
      <c r="N111" s="8">
        <v>1284</v>
      </c>
      <c r="O111" s="8">
        <v>1599</v>
      </c>
      <c r="P111" s="8">
        <v>1488</v>
      </c>
      <c r="Q111" s="8">
        <v>366</v>
      </c>
      <c r="R111" s="8">
        <v>801</v>
      </c>
      <c r="S111" s="8">
        <v>31633</v>
      </c>
      <c r="T111" s="8">
        <v>386</v>
      </c>
      <c r="U111" s="8">
        <v>61</v>
      </c>
      <c r="V111" s="8">
        <v>3085</v>
      </c>
      <c r="W111" s="8">
        <v>73</v>
      </c>
      <c r="X111" s="8">
        <v>155</v>
      </c>
      <c r="Y111" s="8">
        <v>2241</v>
      </c>
      <c r="Z111" s="8">
        <v>5024</v>
      </c>
      <c r="AA111" s="8">
        <v>1494</v>
      </c>
      <c r="AB111" s="8">
        <v>1994</v>
      </c>
      <c r="AC111" s="8">
        <v>1195</v>
      </c>
      <c r="AD111" s="8">
        <v>1154</v>
      </c>
      <c r="AE111" s="8">
        <v>400</v>
      </c>
      <c r="AF111" s="8">
        <v>2185</v>
      </c>
      <c r="AG111" s="8">
        <v>2428</v>
      </c>
      <c r="AH111" s="8">
        <v>1781</v>
      </c>
      <c r="AI111" s="8">
        <v>2570</v>
      </c>
      <c r="AJ111" s="8">
        <v>3569</v>
      </c>
      <c r="AK111" s="8">
        <v>858</v>
      </c>
      <c r="AL111" s="8">
        <v>837</v>
      </c>
      <c r="AM111" s="8">
        <v>144</v>
      </c>
      <c r="AN111" s="8">
        <v>25632</v>
      </c>
      <c r="AO111" s="8">
        <v>607.66666666666663</v>
      </c>
      <c r="AP111" s="8">
        <v>1567</v>
      </c>
      <c r="AQ111" s="2">
        <v>5.0999999999999996</v>
      </c>
      <c r="AR111" s="2">
        <v>5.8</v>
      </c>
      <c r="AS111" s="2">
        <v>-0.23333333333333331</v>
      </c>
      <c r="AT111" s="8">
        <v>46</v>
      </c>
      <c r="AU111" s="8">
        <v>61</v>
      </c>
      <c r="AV111" s="8">
        <v>331</v>
      </c>
      <c r="AW111" s="8">
        <v>48150</v>
      </c>
      <c r="AX111" s="2">
        <v>63.2</v>
      </c>
      <c r="AY111" s="2">
        <v>72.7</v>
      </c>
      <c r="AZ111" s="2">
        <v>32.200000000000003</v>
      </c>
      <c r="BA111" s="8">
        <v>386</v>
      </c>
      <c r="BB111" s="8">
        <v>28880</v>
      </c>
      <c r="BC111" s="8" t="e">
        <v>#N/A</v>
      </c>
      <c r="BD111" s="8">
        <v>24999</v>
      </c>
      <c r="BE111" s="8">
        <v>606</v>
      </c>
      <c r="BF111" s="8">
        <v>2129</v>
      </c>
      <c r="BG111" s="8">
        <v>1567</v>
      </c>
    </row>
    <row r="112" spans="1:59" x14ac:dyDescent="0.25">
      <c r="A112" t="s">
        <v>680</v>
      </c>
      <c r="B112" s="8">
        <v>6072</v>
      </c>
      <c r="C112" s="8">
        <v>23013</v>
      </c>
      <c r="D112" s="8">
        <v>29085</v>
      </c>
      <c r="E112" s="8">
        <v>5631</v>
      </c>
      <c r="F112" s="8">
        <v>23454</v>
      </c>
      <c r="G112" s="2">
        <v>20.9</v>
      </c>
      <c r="H112" s="2">
        <v>79.099999999999994</v>
      </c>
      <c r="I112" s="2">
        <v>19.399999999999999</v>
      </c>
      <c r="J112" s="2">
        <v>80.599999999999994</v>
      </c>
      <c r="K112" s="8">
        <v>67</v>
      </c>
      <c r="L112" s="8">
        <v>205</v>
      </c>
      <c r="M112" s="8">
        <v>274</v>
      </c>
      <c r="N112" s="8">
        <v>1284</v>
      </c>
      <c r="O112" s="8">
        <v>1603</v>
      </c>
      <c r="P112" s="8">
        <v>1484</v>
      </c>
      <c r="Q112" s="8">
        <v>364</v>
      </c>
      <c r="R112" s="8">
        <v>794</v>
      </c>
      <c r="S112" s="8">
        <v>31702</v>
      </c>
      <c r="T112" s="8">
        <v>374</v>
      </c>
      <c r="U112" s="8">
        <v>59</v>
      </c>
      <c r="V112" s="8">
        <v>3042</v>
      </c>
      <c r="W112" s="8">
        <v>73</v>
      </c>
      <c r="X112" s="8">
        <v>159</v>
      </c>
      <c r="Y112" s="8">
        <v>2256</v>
      </c>
      <c r="Z112" s="8">
        <v>5033</v>
      </c>
      <c r="AA112" s="8">
        <v>1507</v>
      </c>
      <c r="AB112" s="8">
        <v>2006</v>
      </c>
      <c r="AC112" s="8">
        <v>1218</v>
      </c>
      <c r="AD112" s="8">
        <v>1159</v>
      </c>
      <c r="AE112" s="8">
        <v>412</v>
      </c>
      <c r="AF112" s="8">
        <v>2191</v>
      </c>
      <c r="AG112" s="8">
        <v>2423</v>
      </c>
      <c r="AH112" s="8">
        <v>1783</v>
      </c>
      <c r="AI112" s="8">
        <v>2586</v>
      </c>
      <c r="AJ112" s="8">
        <v>3591</v>
      </c>
      <c r="AK112" s="8">
        <v>859</v>
      </c>
      <c r="AL112" s="8">
        <v>837</v>
      </c>
      <c r="AM112" s="8">
        <v>136</v>
      </c>
      <c r="AN112" s="8">
        <v>25739</v>
      </c>
      <c r="AO112" s="8">
        <v>571.33333333333337</v>
      </c>
      <c r="AP112" s="8">
        <v>1604</v>
      </c>
      <c r="AQ112" s="2">
        <v>5.2</v>
      </c>
      <c r="AR112" s="2">
        <v>5.9</v>
      </c>
      <c r="AS112" s="2">
        <v>-0.5</v>
      </c>
      <c r="AT112" s="8">
        <v>39</v>
      </c>
      <c r="AU112" s="8">
        <v>62</v>
      </c>
      <c r="AV112" s="8">
        <v>339</v>
      </c>
      <c r="AW112" s="8">
        <v>48257</v>
      </c>
      <c r="AX112" s="2">
        <v>63.5</v>
      </c>
      <c r="AY112" s="2">
        <v>72.900000000000006</v>
      </c>
      <c r="AZ112" s="2">
        <v>32.1</v>
      </c>
      <c r="BA112" s="8">
        <v>389.66666666666669</v>
      </c>
      <c r="BB112" s="8">
        <v>29048</v>
      </c>
      <c r="BC112" s="8" t="e">
        <v>#N/A</v>
      </c>
      <c r="BD112" s="8">
        <v>25143</v>
      </c>
      <c r="BE112" s="8">
        <v>620</v>
      </c>
      <c r="BF112" s="8">
        <v>2101</v>
      </c>
      <c r="BG112" s="8">
        <v>1604</v>
      </c>
    </row>
    <row r="113" spans="1:59" x14ac:dyDescent="0.25">
      <c r="A113" t="s">
        <v>681</v>
      </c>
      <c r="B113" s="8">
        <v>6061</v>
      </c>
      <c r="C113" s="8">
        <v>23079</v>
      </c>
      <c r="D113" s="8">
        <v>29140</v>
      </c>
      <c r="E113" s="8">
        <v>5623</v>
      </c>
      <c r="F113" s="8">
        <v>23517</v>
      </c>
      <c r="G113" s="2">
        <v>20.8</v>
      </c>
      <c r="H113" s="2">
        <v>79.2</v>
      </c>
      <c r="I113" s="2">
        <v>19.3</v>
      </c>
      <c r="J113" s="2">
        <v>80.7</v>
      </c>
      <c r="K113" s="8">
        <v>67</v>
      </c>
      <c r="L113" s="8">
        <v>204</v>
      </c>
      <c r="M113" s="8">
        <v>274</v>
      </c>
      <c r="N113" s="8">
        <v>1283</v>
      </c>
      <c r="O113" s="8">
        <v>1609</v>
      </c>
      <c r="P113" s="8">
        <v>1477</v>
      </c>
      <c r="Q113" s="8">
        <v>364</v>
      </c>
      <c r="R113" s="8">
        <v>782</v>
      </c>
      <c r="S113" s="8">
        <v>31807</v>
      </c>
      <c r="T113" s="8">
        <v>381</v>
      </c>
      <c r="U113" s="8">
        <v>63</v>
      </c>
      <c r="V113" s="8">
        <v>3025</v>
      </c>
      <c r="W113" s="8">
        <v>77</v>
      </c>
      <c r="X113" s="8">
        <v>162</v>
      </c>
      <c r="Y113" s="8">
        <v>2269</v>
      </c>
      <c r="Z113" s="8">
        <v>5014</v>
      </c>
      <c r="AA113" s="8">
        <v>1503</v>
      </c>
      <c r="AB113" s="8">
        <v>2011</v>
      </c>
      <c r="AC113" s="8">
        <v>1228</v>
      </c>
      <c r="AD113" s="8">
        <v>1160</v>
      </c>
      <c r="AE113" s="8">
        <v>416</v>
      </c>
      <c r="AF113" s="8">
        <v>2196</v>
      </c>
      <c r="AG113" s="8">
        <v>2448</v>
      </c>
      <c r="AH113" s="8">
        <v>1780</v>
      </c>
      <c r="AI113" s="8">
        <v>2592</v>
      </c>
      <c r="AJ113" s="8">
        <v>3614</v>
      </c>
      <c r="AK113" s="8">
        <v>881</v>
      </c>
      <c r="AL113" s="8">
        <v>847</v>
      </c>
      <c r="AM113" s="8">
        <v>141</v>
      </c>
      <c r="AN113" s="8">
        <v>25831</v>
      </c>
      <c r="AO113" s="8">
        <v>607.66666666666663</v>
      </c>
      <c r="AP113" s="8">
        <v>1685</v>
      </c>
      <c r="AQ113" s="2">
        <v>5.5</v>
      </c>
      <c r="AR113" s="2">
        <v>5.4</v>
      </c>
      <c r="AS113" s="2">
        <v>-0.43333333333333335</v>
      </c>
      <c r="AT113" s="8">
        <v>43</v>
      </c>
      <c r="AU113" s="8">
        <v>60</v>
      </c>
      <c r="AV113" s="8">
        <v>361</v>
      </c>
      <c r="AW113" s="8">
        <v>48364</v>
      </c>
      <c r="AX113" s="2">
        <v>63.7</v>
      </c>
      <c r="AY113" s="2">
        <v>72.8</v>
      </c>
      <c r="AZ113" s="2">
        <v>32</v>
      </c>
      <c r="BA113" s="8">
        <v>396</v>
      </c>
      <c r="BB113" s="8">
        <v>29106</v>
      </c>
      <c r="BC113" s="8" t="e">
        <v>#N/A</v>
      </c>
      <c r="BD113" s="8">
        <v>25210</v>
      </c>
      <c r="BE113" s="8">
        <v>623</v>
      </c>
      <c r="BF113" s="8">
        <v>2159</v>
      </c>
      <c r="BG113" s="8">
        <v>1685</v>
      </c>
    </row>
    <row r="114" spans="1:59" x14ac:dyDescent="0.25">
      <c r="A114" t="s">
        <v>682</v>
      </c>
      <c r="B114" s="8">
        <v>6045</v>
      </c>
      <c r="C114" s="8">
        <v>23144</v>
      </c>
      <c r="D114" s="8">
        <v>29189</v>
      </c>
      <c r="E114" s="8">
        <v>5601</v>
      </c>
      <c r="F114" s="8">
        <v>23588</v>
      </c>
      <c r="G114" s="2">
        <v>20.7</v>
      </c>
      <c r="H114" s="2">
        <v>79.3</v>
      </c>
      <c r="I114" s="2">
        <v>19.2</v>
      </c>
      <c r="J114" s="2">
        <v>80.8</v>
      </c>
      <c r="K114" s="8">
        <v>62</v>
      </c>
      <c r="L114" s="8">
        <v>203</v>
      </c>
      <c r="M114" s="8">
        <v>276</v>
      </c>
      <c r="N114" s="8">
        <v>1283</v>
      </c>
      <c r="O114" s="8">
        <v>1611</v>
      </c>
      <c r="P114" s="8">
        <v>1460</v>
      </c>
      <c r="Q114" s="8">
        <v>367</v>
      </c>
      <c r="R114" s="8">
        <v>780</v>
      </c>
      <c r="S114" s="8">
        <v>31951</v>
      </c>
      <c r="T114" s="8">
        <v>376</v>
      </c>
      <c r="U114" s="8">
        <v>69</v>
      </c>
      <c r="V114" s="8">
        <v>3018</v>
      </c>
      <c r="W114" s="8">
        <v>79</v>
      </c>
      <c r="X114" s="8">
        <v>162</v>
      </c>
      <c r="Y114" s="8">
        <v>2281</v>
      </c>
      <c r="Z114" s="8">
        <v>5034</v>
      </c>
      <c r="AA114" s="8">
        <v>1496</v>
      </c>
      <c r="AB114" s="8">
        <v>2015</v>
      </c>
      <c r="AC114" s="8">
        <v>1240</v>
      </c>
      <c r="AD114" s="8">
        <v>1164</v>
      </c>
      <c r="AE114" s="8">
        <v>421</v>
      </c>
      <c r="AF114" s="8">
        <v>2228</v>
      </c>
      <c r="AG114" s="8">
        <v>2479</v>
      </c>
      <c r="AH114" s="8">
        <v>1780</v>
      </c>
      <c r="AI114" s="8">
        <v>2583</v>
      </c>
      <c r="AJ114" s="8">
        <v>3626</v>
      </c>
      <c r="AK114" s="8">
        <v>898</v>
      </c>
      <c r="AL114" s="8">
        <v>847</v>
      </c>
      <c r="AM114" s="8">
        <v>157</v>
      </c>
      <c r="AN114" s="8">
        <v>25967</v>
      </c>
      <c r="AO114" s="8">
        <v>634.66666666666663</v>
      </c>
      <c r="AP114" s="8">
        <v>1693</v>
      </c>
      <c r="AQ114" s="2">
        <v>5.5</v>
      </c>
      <c r="AR114" s="2">
        <v>5.4</v>
      </c>
      <c r="AS114" s="2">
        <v>-0.56666666666666654</v>
      </c>
      <c r="AT114" s="8">
        <v>48</v>
      </c>
      <c r="AU114" s="8">
        <v>60</v>
      </c>
      <c r="AV114" s="8">
        <v>390</v>
      </c>
      <c r="AW114" s="8">
        <v>48481</v>
      </c>
      <c r="AX114" s="2">
        <v>63.7</v>
      </c>
      <c r="AY114" s="2">
        <v>72.8</v>
      </c>
      <c r="AZ114" s="2">
        <v>32</v>
      </c>
      <c r="BA114" s="8">
        <v>399.33333333333331</v>
      </c>
      <c r="BB114" s="8">
        <v>29183</v>
      </c>
      <c r="BC114" s="8" t="e">
        <v>#N/A</v>
      </c>
      <c r="BD114" s="8">
        <v>25211</v>
      </c>
      <c r="BE114" s="8">
        <v>646</v>
      </c>
      <c r="BF114" s="8">
        <v>2162</v>
      </c>
      <c r="BG114" s="8">
        <v>1693</v>
      </c>
    </row>
    <row r="115" spans="1:59" x14ac:dyDescent="0.25">
      <c r="A115" t="s">
        <v>683</v>
      </c>
      <c r="B115" s="8">
        <v>6037</v>
      </c>
      <c r="C115" s="8">
        <v>23165</v>
      </c>
      <c r="D115" s="8">
        <v>29202</v>
      </c>
      <c r="E115" s="8">
        <v>5582</v>
      </c>
      <c r="F115" s="8">
        <v>23620</v>
      </c>
      <c r="G115" s="2">
        <v>20.7</v>
      </c>
      <c r="H115" s="2">
        <v>79.3</v>
      </c>
      <c r="I115" s="2">
        <v>19.100000000000001</v>
      </c>
      <c r="J115" s="2">
        <v>80.900000000000006</v>
      </c>
      <c r="K115" s="8">
        <v>62</v>
      </c>
      <c r="L115" s="8">
        <v>202</v>
      </c>
      <c r="M115" s="8">
        <v>279</v>
      </c>
      <c r="N115" s="8">
        <v>1280</v>
      </c>
      <c r="O115" s="8">
        <v>1611</v>
      </c>
      <c r="P115" s="8">
        <v>1447</v>
      </c>
      <c r="Q115" s="8">
        <v>364</v>
      </c>
      <c r="R115" s="8">
        <v>791</v>
      </c>
      <c r="S115" s="8">
        <v>32071</v>
      </c>
      <c r="T115" s="8">
        <v>387</v>
      </c>
      <c r="U115" s="8">
        <v>67</v>
      </c>
      <c r="V115" s="8">
        <v>2999</v>
      </c>
      <c r="W115" s="8">
        <v>83</v>
      </c>
      <c r="X115" s="8">
        <v>161</v>
      </c>
      <c r="Y115" s="8">
        <v>2342</v>
      </c>
      <c r="Z115" s="8">
        <v>5033</v>
      </c>
      <c r="AA115" s="8">
        <v>1511</v>
      </c>
      <c r="AB115" s="8">
        <v>2012</v>
      </c>
      <c r="AC115" s="8">
        <v>1241</v>
      </c>
      <c r="AD115" s="8">
        <v>1171</v>
      </c>
      <c r="AE115" s="8">
        <v>425</v>
      </c>
      <c r="AF115" s="8">
        <v>2256</v>
      </c>
      <c r="AG115" s="8">
        <v>2522</v>
      </c>
      <c r="AH115" s="8">
        <v>1780</v>
      </c>
      <c r="AI115" s="8">
        <v>2585</v>
      </c>
      <c r="AJ115" s="8">
        <v>3625</v>
      </c>
      <c r="AK115" s="8">
        <v>873</v>
      </c>
      <c r="AL115" s="8">
        <v>853</v>
      </c>
      <c r="AM115" s="8">
        <v>144</v>
      </c>
      <c r="AN115" s="8">
        <v>26031</v>
      </c>
      <c r="AO115" s="8">
        <v>618.66666666666663</v>
      </c>
      <c r="AP115" s="8">
        <v>1701</v>
      </c>
      <c r="AQ115" s="2">
        <v>5.5</v>
      </c>
      <c r="AR115" s="2">
        <v>5.2</v>
      </c>
      <c r="AS115" s="2">
        <v>-0.16666666666666666</v>
      </c>
      <c r="AT115" s="8">
        <v>43</v>
      </c>
      <c r="AU115" s="8">
        <v>59</v>
      </c>
      <c r="AV115" s="8">
        <v>397</v>
      </c>
      <c r="AW115" s="8">
        <v>48602</v>
      </c>
      <c r="AX115" s="2">
        <v>63.6</v>
      </c>
      <c r="AY115" s="2">
        <v>72.7</v>
      </c>
      <c r="AZ115" s="2">
        <v>32.1</v>
      </c>
      <c r="BA115" s="8">
        <v>406.33333333333331</v>
      </c>
      <c r="BB115" s="8">
        <v>29214</v>
      </c>
      <c r="BC115" s="8" t="e">
        <v>#N/A</v>
      </c>
      <c r="BD115" s="8">
        <v>25217</v>
      </c>
      <c r="BE115" s="8">
        <v>664</v>
      </c>
      <c r="BF115" s="8">
        <v>2167</v>
      </c>
      <c r="BG115" s="8">
        <v>1701</v>
      </c>
    </row>
    <row r="116" spans="1:59" x14ac:dyDescent="0.25">
      <c r="A116" t="s">
        <v>684</v>
      </c>
      <c r="B116" s="8">
        <v>6033</v>
      </c>
      <c r="C116" s="8">
        <v>23199</v>
      </c>
      <c r="D116" s="8">
        <v>29232</v>
      </c>
      <c r="E116" s="8">
        <v>5587</v>
      </c>
      <c r="F116" s="8">
        <v>23645</v>
      </c>
      <c r="G116" s="2">
        <v>20.6</v>
      </c>
      <c r="H116" s="2">
        <v>79.400000000000006</v>
      </c>
      <c r="I116" s="2">
        <v>19.100000000000001</v>
      </c>
      <c r="J116" s="2">
        <v>80.900000000000006</v>
      </c>
      <c r="K116" s="8">
        <v>62</v>
      </c>
      <c r="L116" s="8">
        <v>199</v>
      </c>
      <c r="M116" s="8">
        <v>282</v>
      </c>
      <c r="N116" s="8">
        <v>1276</v>
      </c>
      <c r="O116" s="8">
        <v>1618</v>
      </c>
      <c r="P116" s="8">
        <v>1448</v>
      </c>
      <c r="Q116" s="8">
        <v>363</v>
      </c>
      <c r="R116" s="8">
        <v>789</v>
      </c>
      <c r="S116" s="8">
        <v>31996</v>
      </c>
      <c r="T116" s="8">
        <v>376</v>
      </c>
      <c r="U116" s="8">
        <v>66</v>
      </c>
      <c r="V116" s="8">
        <v>2988</v>
      </c>
      <c r="W116" s="8">
        <v>85</v>
      </c>
      <c r="X116" s="8">
        <v>160</v>
      </c>
      <c r="Y116" s="8">
        <v>2318</v>
      </c>
      <c r="Z116" s="8">
        <v>5033</v>
      </c>
      <c r="AA116" s="8">
        <v>1501</v>
      </c>
      <c r="AB116" s="8">
        <v>2005</v>
      </c>
      <c r="AC116" s="8">
        <v>1245</v>
      </c>
      <c r="AD116" s="8">
        <v>1174</v>
      </c>
      <c r="AE116" s="8">
        <v>439</v>
      </c>
      <c r="AF116" s="8">
        <v>2256</v>
      </c>
      <c r="AG116" s="8">
        <v>2511</v>
      </c>
      <c r="AH116" s="8">
        <v>1777</v>
      </c>
      <c r="AI116" s="8">
        <v>2586</v>
      </c>
      <c r="AJ116" s="8">
        <v>3630</v>
      </c>
      <c r="AK116" s="8">
        <v>857</v>
      </c>
      <c r="AL116" s="8">
        <v>846</v>
      </c>
      <c r="AM116" s="8">
        <v>144</v>
      </c>
      <c r="AN116" s="8">
        <v>26004</v>
      </c>
      <c r="AO116" s="8">
        <v>615.66666666666663</v>
      </c>
      <c r="AP116" s="8">
        <v>1704</v>
      </c>
      <c r="AQ116" s="2">
        <v>5.5</v>
      </c>
      <c r="AR116" s="2">
        <v>6.1</v>
      </c>
      <c r="AS116" s="2">
        <v>0.56666666666666676</v>
      </c>
      <c r="AT116" s="8">
        <v>40</v>
      </c>
      <c r="AU116" s="8">
        <v>62</v>
      </c>
      <c r="AV116" s="8">
        <v>393</v>
      </c>
      <c r="AW116" s="8">
        <v>48722</v>
      </c>
      <c r="AX116" s="2">
        <v>63.4</v>
      </c>
      <c r="AY116" s="2">
        <v>72.5</v>
      </c>
      <c r="AZ116" s="2">
        <v>32.1</v>
      </c>
      <c r="BA116" s="8">
        <v>415.66666666666669</v>
      </c>
      <c r="BB116" s="8">
        <v>29194</v>
      </c>
      <c r="BC116" s="8" t="e">
        <v>#N/A</v>
      </c>
      <c r="BD116" s="8">
        <v>25169</v>
      </c>
      <c r="BE116" s="8">
        <v>660</v>
      </c>
      <c r="BF116" s="8">
        <v>2172</v>
      </c>
      <c r="BG116" s="8">
        <v>1704</v>
      </c>
    </row>
    <row r="117" spans="1:59" x14ac:dyDescent="0.25">
      <c r="A117" t="s">
        <v>685</v>
      </c>
      <c r="B117" s="8">
        <v>6028</v>
      </c>
      <c r="C117" s="8">
        <v>23324</v>
      </c>
      <c r="D117" s="8">
        <v>29352</v>
      </c>
      <c r="E117" s="8">
        <v>5580</v>
      </c>
      <c r="F117" s="8">
        <v>23772</v>
      </c>
      <c r="G117" s="2">
        <v>20.5</v>
      </c>
      <c r="H117" s="2">
        <v>79.5</v>
      </c>
      <c r="I117" s="2">
        <v>19</v>
      </c>
      <c r="J117" s="2">
        <v>81</v>
      </c>
      <c r="K117" s="8">
        <v>61</v>
      </c>
      <c r="L117" s="8">
        <v>197</v>
      </c>
      <c r="M117" s="8">
        <v>283</v>
      </c>
      <c r="N117" s="8">
        <v>1269</v>
      </c>
      <c r="O117" s="8">
        <v>1623</v>
      </c>
      <c r="P117" s="8">
        <v>1443</v>
      </c>
      <c r="Q117" s="8">
        <v>362</v>
      </c>
      <c r="R117" s="8">
        <v>788</v>
      </c>
      <c r="S117" s="8">
        <v>32084</v>
      </c>
      <c r="T117" s="8">
        <v>376</v>
      </c>
      <c r="U117" s="8">
        <v>69</v>
      </c>
      <c r="V117" s="8">
        <v>2985</v>
      </c>
      <c r="W117" s="8">
        <v>85</v>
      </c>
      <c r="X117" s="8">
        <v>158</v>
      </c>
      <c r="Y117" s="8">
        <v>2325</v>
      </c>
      <c r="Z117" s="8">
        <v>5058</v>
      </c>
      <c r="AA117" s="8">
        <v>1510</v>
      </c>
      <c r="AB117" s="8">
        <v>1997</v>
      </c>
      <c r="AC117" s="8">
        <v>1250</v>
      </c>
      <c r="AD117" s="8">
        <v>1180</v>
      </c>
      <c r="AE117" s="8">
        <v>445</v>
      </c>
      <c r="AF117" s="8">
        <v>2271</v>
      </c>
      <c r="AG117" s="8">
        <v>2548</v>
      </c>
      <c r="AH117" s="8">
        <v>1778</v>
      </c>
      <c r="AI117" s="8">
        <v>2600</v>
      </c>
      <c r="AJ117" s="8">
        <v>3602</v>
      </c>
      <c r="AK117" s="8">
        <v>864</v>
      </c>
      <c r="AL117" s="8">
        <v>837</v>
      </c>
      <c r="AM117" s="8">
        <v>145</v>
      </c>
      <c r="AN117" s="8">
        <v>26086</v>
      </c>
      <c r="AO117" s="8">
        <v>662.66666666666663</v>
      </c>
      <c r="AP117" s="8">
        <v>1658</v>
      </c>
      <c r="AQ117" s="2">
        <v>5.4</v>
      </c>
      <c r="AR117" s="2">
        <v>4.5999999999999996</v>
      </c>
      <c r="AS117" s="2">
        <v>1.3999999999999997</v>
      </c>
      <c r="AT117" s="8">
        <v>53</v>
      </c>
      <c r="AU117" s="8">
        <v>62</v>
      </c>
      <c r="AV117" s="8">
        <v>396</v>
      </c>
      <c r="AW117" s="8">
        <v>48843</v>
      </c>
      <c r="AX117" s="2">
        <v>63.4</v>
      </c>
      <c r="AY117" s="2">
        <v>72.7</v>
      </c>
      <c r="AZ117" s="2">
        <v>32.200000000000003</v>
      </c>
      <c r="BA117" s="8">
        <v>414.33333333333331</v>
      </c>
      <c r="BB117" s="8">
        <v>29322</v>
      </c>
      <c r="BC117" s="8" t="e">
        <v>#N/A</v>
      </c>
      <c r="BD117" s="8">
        <v>25310</v>
      </c>
      <c r="BE117" s="8">
        <v>682</v>
      </c>
      <c r="BF117" s="8">
        <v>2174</v>
      </c>
      <c r="BG117" s="8">
        <v>1658</v>
      </c>
    </row>
    <row r="118" spans="1:59" x14ac:dyDescent="0.25">
      <c r="A118" t="s">
        <v>686</v>
      </c>
      <c r="B118" s="8">
        <v>6018</v>
      </c>
      <c r="C118" s="8">
        <v>23452</v>
      </c>
      <c r="D118" s="8">
        <v>29470</v>
      </c>
      <c r="E118" s="8">
        <v>5564</v>
      </c>
      <c r="F118" s="8">
        <v>23906</v>
      </c>
      <c r="G118" s="2">
        <v>20.399999999999999</v>
      </c>
      <c r="H118" s="2">
        <v>79.599999999999994</v>
      </c>
      <c r="I118" s="2">
        <v>18.899999999999999</v>
      </c>
      <c r="J118" s="2">
        <v>81.099999999999994</v>
      </c>
      <c r="K118" s="8">
        <v>61</v>
      </c>
      <c r="L118" s="8">
        <v>195</v>
      </c>
      <c r="M118" s="8">
        <v>284</v>
      </c>
      <c r="N118" s="8">
        <v>1269</v>
      </c>
      <c r="O118" s="8">
        <v>1628</v>
      </c>
      <c r="P118" s="8">
        <v>1444</v>
      </c>
      <c r="Q118" s="8">
        <v>360</v>
      </c>
      <c r="R118" s="8">
        <v>774</v>
      </c>
      <c r="S118" s="8">
        <v>32221</v>
      </c>
      <c r="T118" s="8">
        <v>379</v>
      </c>
      <c r="U118" s="8">
        <v>69</v>
      </c>
      <c r="V118" s="8">
        <v>2973</v>
      </c>
      <c r="W118" s="8">
        <v>88</v>
      </c>
      <c r="X118" s="8">
        <v>157</v>
      </c>
      <c r="Y118" s="8">
        <v>2350</v>
      </c>
      <c r="Z118" s="8">
        <v>5053</v>
      </c>
      <c r="AA118" s="8">
        <v>1519</v>
      </c>
      <c r="AB118" s="8">
        <v>2026</v>
      </c>
      <c r="AC118" s="8">
        <v>1245</v>
      </c>
      <c r="AD118" s="8">
        <v>1181</v>
      </c>
      <c r="AE118" s="8">
        <v>465</v>
      </c>
      <c r="AF118" s="8">
        <v>2307</v>
      </c>
      <c r="AG118" s="8">
        <v>2588</v>
      </c>
      <c r="AH118" s="8">
        <v>1771</v>
      </c>
      <c r="AI118" s="8">
        <v>2585</v>
      </c>
      <c r="AJ118" s="8">
        <v>3616</v>
      </c>
      <c r="AK118" s="8">
        <v>870</v>
      </c>
      <c r="AL118" s="8">
        <v>817</v>
      </c>
      <c r="AM118" s="8">
        <v>161</v>
      </c>
      <c r="AN118" s="8">
        <v>26204</v>
      </c>
      <c r="AO118" s="8">
        <v>706</v>
      </c>
      <c r="AP118" s="8">
        <v>1650</v>
      </c>
      <c r="AQ118" s="2">
        <v>5.3</v>
      </c>
      <c r="AR118" s="2">
        <v>5.0999999999999996</v>
      </c>
      <c r="AS118" s="2">
        <v>1.7333333333333332</v>
      </c>
      <c r="AT118" s="8">
        <v>66</v>
      </c>
      <c r="AU118" s="8">
        <v>65</v>
      </c>
      <c r="AV118" s="8">
        <v>391</v>
      </c>
      <c r="AW118" s="8">
        <v>48962</v>
      </c>
      <c r="AX118" s="2">
        <v>63.5</v>
      </c>
      <c r="AY118" s="2">
        <v>72.7</v>
      </c>
      <c r="AZ118" s="2">
        <v>32.1</v>
      </c>
      <c r="BA118" s="8">
        <v>421.66666666666669</v>
      </c>
      <c r="BB118" s="8">
        <v>29420</v>
      </c>
      <c r="BC118" s="8" t="e">
        <v>#N/A</v>
      </c>
      <c r="BD118" s="8">
        <v>25380</v>
      </c>
      <c r="BE118" s="8">
        <v>694</v>
      </c>
      <c r="BF118" s="8">
        <v>2176</v>
      </c>
      <c r="BG118" s="8">
        <v>1650</v>
      </c>
    </row>
    <row r="119" spans="1:59" x14ac:dyDescent="0.25">
      <c r="A119" t="s">
        <v>687</v>
      </c>
      <c r="B119" s="8">
        <v>6023</v>
      </c>
      <c r="C119" s="8">
        <v>23591</v>
      </c>
      <c r="D119" s="8">
        <v>29614</v>
      </c>
      <c r="E119" s="8">
        <v>5553</v>
      </c>
      <c r="F119" s="8">
        <v>24061</v>
      </c>
      <c r="G119" s="2">
        <v>20.3</v>
      </c>
      <c r="H119" s="2">
        <v>79.7</v>
      </c>
      <c r="I119" s="2">
        <v>18.8</v>
      </c>
      <c r="J119" s="2">
        <v>81.2</v>
      </c>
      <c r="K119" s="8">
        <v>59</v>
      </c>
      <c r="L119" s="8">
        <v>195</v>
      </c>
      <c r="M119" s="8">
        <v>284</v>
      </c>
      <c r="N119" s="8">
        <v>1257</v>
      </c>
      <c r="O119" s="8">
        <v>1634</v>
      </c>
      <c r="P119" s="8">
        <v>1447</v>
      </c>
      <c r="Q119" s="8">
        <v>354</v>
      </c>
      <c r="R119" s="8">
        <v>792</v>
      </c>
      <c r="S119" s="8">
        <v>32259</v>
      </c>
      <c r="T119" s="8">
        <v>376</v>
      </c>
      <c r="U119" s="8">
        <v>67</v>
      </c>
      <c r="V119" s="8">
        <v>2931</v>
      </c>
      <c r="W119" s="8">
        <v>85</v>
      </c>
      <c r="X119" s="8">
        <v>160</v>
      </c>
      <c r="Y119" s="8">
        <v>2329</v>
      </c>
      <c r="Z119" s="8">
        <v>5081</v>
      </c>
      <c r="AA119" s="8">
        <v>1528</v>
      </c>
      <c r="AB119" s="8">
        <v>2043</v>
      </c>
      <c r="AC119" s="8">
        <v>1235</v>
      </c>
      <c r="AD119" s="8">
        <v>1185</v>
      </c>
      <c r="AE119" s="8">
        <v>470</v>
      </c>
      <c r="AF119" s="8">
        <v>2308</v>
      </c>
      <c r="AG119" s="8">
        <v>2607</v>
      </c>
      <c r="AH119" s="8">
        <v>1767</v>
      </c>
      <c r="AI119" s="8">
        <v>2595</v>
      </c>
      <c r="AJ119" s="8">
        <v>3626</v>
      </c>
      <c r="AK119" s="8">
        <v>865</v>
      </c>
      <c r="AL119" s="8">
        <v>827</v>
      </c>
      <c r="AM119" s="8">
        <v>171</v>
      </c>
      <c r="AN119" s="8">
        <v>26309</v>
      </c>
      <c r="AO119" s="8">
        <v>685</v>
      </c>
      <c r="AP119" s="8">
        <v>1608</v>
      </c>
      <c r="AQ119" s="2">
        <v>5.2</v>
      </c>
      <c r="AR119" s="2">
        <v>4.3</v>
      </c>
      <c r="AS119" s="2">
        <v>1.0999999999999999</v>
      </c>
      <c r="AT119" s="8">
        <v>48</v>
      </c>
      <c r="AU119" s="8">
        <v>67</v>
      </c>
      <c r="AV119" s="8">
        <v>384</v>
      </c>
      <c r="AW119" s="8">
        <v>49079</v>
      </c>
      <c r="AX119" s="2">
        <v>63.5</v>
      </c>
      <c r="AY119" s="2">
        <v>72.900000000000006</v>
      </c>
      <c r="AZ119" s="2">
        <v>31.9</v>
      </c>
      <c r="BA119" s="8">
        <v>423.66666666666669</v>
      </c>
      <c r="BB119" s="8">
        <v>29576</v>
      </c>
      <c r="BC119" s="8" t="e">
        <v>#N/A</v>
      </c>
      <c r="BD119" s="8">
        <v>25521</v>
      </c>
      <c r="BE119" s="8">
        <v>729</v>
      </c>
      <c r="BF119" s="8">
        <v>2175</v>
      </c>
      <c r="BG119" s="8">
        <v>1608</v>
      </c>
    </row>
    <row r="120" spans="1:59" x14ac:dyDescent="0.25">
      <c r="A120" t="s">
        <v>688</v>
      </c>
      <c r="B120" s="8">
        <v>5997</v>
      </c>
      <c r="C120" s="8">
        <v>23709</v>
      </c>
      <c r="D120" s="8">
        <v>29706</v>
      </c>
      <c r="E120" s="8">
        <v>5545</v>
      </c>
      <c r="F120" s="8">
        <v>24161</v>
      </c>
      <c r="G120" s="2">
        <v>20.2</v>
      </c>
      <c r="H120" s="2">
        <v>79.8</v>
      </c>
      <c r="I120" s="2">
        <v>18.7</v>
      </c>
      <c r="J120" s="2">
        <v>81.3</v>
      </c>
      <c r="K120" s="8">
        <v>56</v>
      </c>
      <c r="L120" s="8">
        <v>193</v>
      </c>
      <c r="M120" s="8">
        <v>286</v>
      </c>
      <c r="N120" s="8">
        <v>1234</v>
      </c>
      <c r="O120" s="8">
        <v>1630</v>
      </c>
      <c r="P120" s="8">
        <v>1451</v>
      </c>
      <c r="Q120" s="8">
        <v>359</v>
      </c>
      <c r="R120" s="8">
        <v>793</v>
      </c>
      <c r="S120" s="8">
        <v>32277</v>
      </c>
      <c r="T120" s="8">
        <v>387</v>
      </c>
      <c r="U120" s="8">
        <v>68</v>
      </c>
      <c r="V120" s="8">
        <v>2907</v>
      </c>
      <c r="W120" s="8">
        <v>86</v>
      </c>
      <c r="X120" s="8">
        <v>165</v>
      </c>
      <c r="Y120" s="8">
        <v>2306</v>
      </c>
      <c r="Z120" s="8">
        <v>5106</v>
      </c>
      <c r="AA120" s="8">
        <v>1514</v>
      </c>
      <c r="AB120" s="8">
        <v>2036</v>
      </c>
      <c r="AC120" s="8">
        <v>1223</v>
      </c>
      <c r="AD120" s="8">
        <v>1201</v>
      </c>
      <c r="AE120" s="8">
        <v>470</v>
      </c>
      <c r="AF120" s="8">
        <v>2318</v>
      </c>
      <c r="AG120" s="8">
        <v>2618</v>
      </c>
      <c r="AH120" s="8">
        <v>1750</v>
      </c>
      <c r="AI120" s="8">
        <v>2601</v>
      </c>
      <c r="AJ120" s="8">
        <v>3653</v>
      </c>
      <c r="AK120" s="8">
        <v>876</v>
      </c>
      <c r="AL120" s="8">
        <v>823</v>
      </c>
      <c r="AM120" s="8">
        <v>169</v>
      </c>
      <c r="AN120" s="8">
        <v>26359</v>
      </c>
      <c r="AO120" s="8">
        <v>674</v>
      </c>
      <c r="AP120" s="8">
        <v>1622</v>
      </c>
      <c r="AQ120" s="2">
        <v>5.2</v>
      </c>
      <c r="AR120" s="2">
        <v>4.7</v>
      </c>
      <c r="AS120" s="2">
        <v>0.6</v>
      </c>
      <c r="AT120" s="8">
        <v>54</v>
      </c>
      <c r="AU120" s="8">
        <v>63</v>
      </c>
      <c r="AV120" s="8">
        <v>398</v>
      </c>
      <c r="AW120" s="8">
        <v>49197</v>
      </c>
      <c r="AX120" s="2">
        <v>63.6</v>
      </c>
      <c r="AY120" s="2">
        <v>73</v>
      </c>
      <c r="AZ120" s="2">
        <v>32.200000000000003</v>
      </c>
      <c r="BA120" s="8">
        <v>434</v>
      </c>
      <c r="BB120" s="8">
        <v>29684</v>
      </c>
      <c r="BC120" s="8" t="e">
        <v>#N/A</v>
      </c>
      <c r="BD120" s="8">
        <v>25582</v>
      </c>
      <c r="BE120" s="8">
        <v>705</v>
      </c>
      <c r="BF120" s="8">
        <v>2225</v>
      </c>
      <c r="BG120" s="8">
        <v>1622</v>
      </c>
    </row>
    <row r="121" spans="1:59" x14ac:dyDescent="0.25">
      <c r="A121" t="s">
        <v>689</v>
      </c>
      <c r="B121" s="8">
        <v>6019</v>
      </c>
      <c r="C121" s="8">
        <v>23677</v>
      </c>
      <c r="D121" s="8">
        <v>29696</v>
      </c>
      <c r="E121" s="8">
        <v>5558</v>
      </c>
      <c r="F121" s="8">
        <v>24138</v>
      </c>
      <c r="G121" s="2">
        <v>20.3</v>
      </c>
      <c r="H121" s="2">
        <v>79.7</v>
      </c>
      <c r="I121" s="2">
        <v>18.7</v>
      </c>
      <c r="J121" s="2">
        <v>81.3</v>
      </c>
      <c r="K121" s="8">
        <v>55</v>
      </c>
      <c r="L121" s="8">
        <v>193</v>
      </c>
      <c r="M121" s="8">
        <v>286</v>
      </c>
      <c r="N121" s="8">
        <v>1226</v>
      </c>
      <c r="O121" s="8">
        <v>1637</v>
      </c>
      <c r="P121" s="8">
        <v>1463</v>
      </c>
      <c r="Q121" s="8">
        <v>359</v>
      </c>
      <c r="R121" s="8">
        <v>799</v>
      </c>
      <c r="S121" s="8">
        <v>32347</v>
      </c>
      <c r="T121" s="8">
        <v>400</v>
      </c>
      <c r="U121" s="8">
        <v>67</v>
      </c>
      <c r="V121" s="8">
        <v>2884</v>
      </c>
      <c r="W121" s="8">
        <v>86</v>
      </c>
      <c r="X121" s="8">
        <v>170</v>
      </c>
      <c r="Y121" s="8">
        <v>2300</v>
      </c>
      <c r="Z121" s="8">
        <v>5094</v>
      </c>
      <c r="AA121" s="8">
        <v>1522</v>
      </c>
      <c r="AB121" s="8">
        <v>2042</v>
      </c>
      <c r="AC121" s="8">
        <v>1234</v>
      </c>
      <c r="AD121" s="8">
        <v>1200</v>
      </c>
      <c r="AE121" s="8">
        <v>478</v>
      </c>
      <c r="AF121" s="8">
        <v>2333</v>
      </c>
      <c r="AG121" s="8">
        <v>2625</v>
      </c>
      <c r="AH121" s="8">
        <v>1743</v>
      </c>
      <c r="AI121" s="8">
        <v>2609</v>
      </c>
      <c r="AJ121" s="8">
        <v>3691</v>
      </c>
      <c r="AK121" s="8">
        <v>896</v>
      </c>
      <c r="AL121" s="8">
        <v>818</v>
      </c>
      <c r="AM121" s="8">
        <v>154</v>
      </c>
      <c r="AN121" s="8">
        <v>26440</v>
      </c>
      <c r="AO121" s="8">
        <v>661.66666666666663</v>
      </c>
      <c r="AP121" s="8">
        <v>1680</v>
      </c>
      <c r="AQ121" s="2">
        <v>5.4</v>
      </c>
      <c r="AR121" s="2">
        <v>4.8</v>
      </c>
      <c r="AS121" s="2">
        <v>-0.26666666666666666</v>
      </c>
      <c r="AT121" s="8">
        <v>58</v>
      </c>
      <c r="AU121" s="8">
        <v>60</v>
      </c>
      <c r="AV121" s="8">
        <v>416</v>
      </c>
      <c r="AW121" s="8">
        <v>49315</v>
      </c>
      <c r="AX121" s="2">
        <v>63.7</v>
      </c>
      <c r="AY121" s="2">
        <v>72.900000000000006</v>
      </c>
      <c r="AZ121" s="2">
        <v>31.8</v>
      </c>
      <c r="BA121" s="8">
        <v>432.33333333333331</v>
      </c>
      <c r="BB121" s="8">
        <v>29722</v>
      </c>
      <c r="BC121" s="8" t="e">
        <v>#N/A</v>
      </c>
      <c r="BD121" s="8">
        <v>25641</v>
      </c>
      <c r="BE121" s="8">
        <v>679</v>
      </c>
      <c r="BF121" s="8">
        <v>2257</v>
      </c>
      <c r="BG121" s="8">
        <v>1680</v>
      </c>
    </row>
    <row r="122" spans="1:59" x14ac:dyDescent="0.25">
      <c r="A122" t="s">
        <v>690</v>
      </c>
      <c r="B122" s="8">
        <v>6169</v>
      </c>
      <c r="C122" s="8">
        <v>23366</v>
      </c>
      <c r="D122" s="8">
        <v>29535</v>
      </c>
      <c r="E122" s="8">
        <v>5587</v>
      </c>
      <c r="F122" s="8">
        <v>23948</v>
      </c>
      <c r="G122" s="2">
        <v>20.9</v>
      </c>
      <c r="H122" s="2">
        <v>79.099999999999994</v>
      </c>
      <c r="I122" s="2">
        <v>18.899999999999999</v>
      </c>
      <c r="J122" s="2">
        <v>81.099999999999994</v>
      </c>
      <c r="K122" s="8">
        <v>56</v>
      </c>
      <c r="L122" s="8">
        <v>194</v>
      </c>
      <c r="M122" s="8">
        <v>287</v>
      </c>
      <c r="N122" s="8">
        <v>1208</v>
      </c>
      <c r="O122" s="8">
        <v>1646</v>
      </c>
      <c r="P122" s="8">
        <v>1483</v>
      </c>
      <c r="Q122" s="8">
        <v>395</v>
      </c>
      <c r="R122" s="8">
        <v>894</v>
      </c>
      <c r="S122" s="8">
        <v>32317</v>
      </c>
      <c r="T122" s="8">
        <v>390</v>
      </c>
      <c r="U122" s="8">
        <v>65</v>
      </c>
      <c r="V122" s="8">
        <v>2848</v>
      </c>
      <c r="W122" s="8">
        <v>86</v>
      </c>
      <c r="X122" s="8">
        <v>174</v>
      </c>
      <c r="Y122" s="8">
        <v>2373</v>
      </c>
      <c r="Z122" s="8">
        <v>5060</v>
      </c>
      <c r="AA122" s="8">
        <v>1521</v>
      </c>
      <c r="AB122" s="8">
        <v>2039</v>
      </c>
      <c r="AC122" s="8">
        <v>1239</v>
      </c>
      <c r="AD122" s="8">
        <v>1206</v>
      </c>
      <c r="AE122" s="8">
        <v>483</v>
      </c>
      <c r="AF122" s="8">
        <v>2327</v>
      </c>
      <c r="AG122" s="8">
        <v>2587</v>
      </c>
      <c r="AH122" s="8">
        <v>1717</v>
      </c>
      <c r="AI122" s="8">
        <v>2616</v>
      </c>
      <c r="AJ122" s="8">
        <v>3731</v>
      </c>
      <c r="AK122" s="8">
        <v>887</v>
      </c>
      <c r="AL122" s="8">
        <v>818</v>
      </c>
      <c r="AM122" s="8">
        <v>150</v>
      </c>
      <c r="AN122" s="8">
        <v>26380</v>
      </c>
      <c r="AO122" s="8">
        <v>634.66666666666663</v>
      </c>
      <c r="AP122" s="8">
        <v>1840</v>
      </c>
      <c r="AQ122" s="2">
        <v>5.9</v>
      </c>
      <c r="AR122" s="2">
        <v>6.1</v>
      </c>
      <c r="AS122" s="2">
        <v>-1.4000000000000001</v>
      </c>
      <c r="AT122" s="8">
        <v>57</v>
      </c>
      <c r="AU122" s="8">
        <v>64</v>
      </c>
      <c r="AV122" s="8">
        <v>444</v>
      </c>
      <c r="AW122" s="8">
        <v>49419</v>
      </c>
      <c r="AX122" s="2">
        <v>63.6</v>
      </c>
      <c r="AY122" s="2">
        <v>72.400000000000006</v>
      </c>
      <c r="AZ122" s="2">
        <v>32</v>
      </c>
      <c r="BA122" s="8">
        <v>433.33333333333331</v>
      </c>
      <c r="BB122" s="8">
        <v>29580</v>
      </c>
      <c r="BC122" s="8" t="e">
        <v>#N/A</v>
      </c>
      <c r="BD122" s="8">
        <v>25566</v>
      </c>
      <c r="BE122" s="8">
        <v>715</v>
      </c>
      <c r="BF122" s="8">
        <v>2219</v>
      </c>
      <c r="BG122" s="8">
        <v>1840</v>
      </c>
    </row>
    <row r="123" spans="1:59" x14ac:dyDescent="0.25">
      <c r="A123" t="s">
        <v>691</v>
      </c>
      <c r="B123" s="8">
        <v>6429</v>
      </c>
      <c r="C123" s="8">
        <v>23110</v>
      </c>
      <c r="D123" s="8">
        <v>29539</v>
      </c>
      <c r="E123" s="8">
        <v>5608</v>
      </c>
      <c r="F123" s="8">
        <v>23931</v>
      </c>
      <c r="G123" s="2">
        <v>21.8</v>
      </c>
      <c r="H123" s="2">
        <v>78.2</v>
      </c>
      <c r="I123" s="2">
        <v>19</v>
      </c>
      <c r="J123" s="2">
        <v>81</v>
      </c>
      <c r="K123" s="8">
        <v>55</v>
      </c>
      <c r="L123" s="8">
        <v>193</v>
      </c>
      <c r="M123" s="8">
        <v>289</v>
      </c>
      <c r="N123" s="8">
        <v>1210</v>
      </c>
      <c r="O123" s="8">
        <v>1649</v>
      </c>
      <c r="P123" s="8">
        <v>1503</v>
      </c>
      <c r="Q123" s="8">
        <v>395</v>
      </c>
      <c r="R123" s="8">
        <v>1132</v>
      </c>
      <c r="S123" s="8">
        <v>32130</v>
      </c>
      <c r="T123" s="8">
        <v>388</v>
      </c>
      <c r="U123" s="8">
        <v>59</v>
      </c>
      <c r="V123" s="8">
        <v>2694</v>
      </c>
      <c r="W123" s="8">
        <v>92</v>
      </c>
      <c r="X123" s="8">
        <v>177</v>
      </c>
      <c r="Y123" s="8">
        <v>2333</v>
      </c>
      <c r="Z123" s="8">
        <v>5021</v>
      </c>
      <c r="AA123" s="8">
        <v>1527</v>
      </c>
      <c r="AB123" s="8">
        <v>2027</v>
      </c>
      <c r="AC123" s="8">
        <v>1213</v>
      </c>
      <c r="AD123" s="8">
        <v>1209</v>
      </c>
      <c r="AE123" s="8">
        <v>493</v>
      </c>
      <c r="AF123" s="8">
        <v>2374</v>
      </c>
      <c r="AG123" s="8">
        <v>2480</v>
      </c>
      <c r="AH123" s="8">
        <v>1746</v>
      </c>
      <c r="AI123" s="8">
        <v>2671</v>
      </c>
      <c r="AJ123" s="8">
        <v>3761</v>
      </c>
      <c r="AK123" s="8">
        <v>894</v>
      </c>
      <c r="AL123" s="8">
        <v>838</v>
      </c>
      <c r="AM123" s="8">
        <v>133</v>
      </c>
      <c r="AN123" s="8">
        <v>26387</v>
      </c>
      <c r="AO123" s="8">
        <v>525</v>
      </c>
      <c r="AP123" s="8">
        <v>2003</v>
      </c>
      <c r="AQ123" s="2">
        <v>6.4</v>
      </c>
      <c r="AR123" s="2">
        <v>10.3</v>
      </c>
      <c r="AS123" s="2">
        <v>-2.6666666666666665</v>
      </c>
      <c r="AT123" s="8">
        <v>42</v>
      </c>
      <c r="AU123" s="8">
        <v>56</v>
      </c>
      <c r="AV123" s="8">
        <v>454</v>
      </c>
      <c r="AW123" s="8">
        <v>49517</v>
      </c>
      <c r="AX123" s="2">
        <v>63.7</v>
      </c>
      <c r="AY123" s="2">
        <v>72.2</v>
      </c>
      <c r="AZ123" s="2">
        <v>31.9</v>
      </c>
      <c r="BA123" s="8">
        <v>435</v>
      </c>
      <c r="BB123" s="8">
        <v>29528</v>
      </c>
      <c r="BC123" s="8" t="e">
        <v>#N/A</v>
      </c>
      <c r="BD123" s="8">
        <v>25507</v>
      </c>
      <c r="BE123" s="8">
        <v>770</v>
      </c>
      <c r="BF123" s="8">
        <v>2177</v>
      </c>
      <c r="BG123" s="8">
        <v>2003</v>
      </c>
    </row>
    <row r="124" spans="1:59" x14ac:dyDescent="0.25">
      <c r="A124" t="s">
        <v>692</v>
      </c>
      <c r="B124" s="8">
        <v>6429</v>
      </c>
      <c r="C124" s="8">
        <v>22843</v>
      </c>
      <c r="D124" s="8">
        <v>29272</v>
      </c>
      <c r="E124" s="8">
        <v>5612</v>
      </c>
      <c r="F124" s="8">
        <v>23660</v>
      </c>
      <c r="G124" s="2">
        <v>22</v>
      </c>
      <c r="H124" s="2">
        <v>78</v>
      </c>
      <c r="I124" s="2">
        <v>19.2</v>
      </c>
      <c r="J124" s="2">
        <v>80.8</v>
      </c>
      <c r="K124" s="8">
        <v>54</v>
      </c>
      <c r="L124" s="8">
        <v>196</v>
      </c>
      <c r="M124" s="8">
        <v>293</v>
      </c>
      <c r="N124" s="8">
        <v>1208</v>
      </c>
      <c r="O124" s="8">
        <v>1662</v>
      </c>
      <c r="P124" s="8">
        <v>1503</v>
      </c>
      <c r="Q124" s="8">
        <v>395</v>
      </c>
      <c r="R124" s="8">
        <v>1120</v>
      </c>
      <c r="S124" s="8">
        <v>31906</v>
      </c>
      <c r="T124" s="8">
        <v>383</v>
      </c>
      <c r="U124" s="8">
        <v>66</v>
      </c>
      <c r="V124" s="8">
        <v>2689</v>
      </c>
      <c r="W124" s="8">
        <v>103</v>
      </c>
      <c r="X124" s="8">
        <v>178</v>
      </c>
      <c r="Y124" s="8">
        <v>2321</v>
      </c>
      <c r="Z124" s="8">
        <v>4933</v>
      </c>
      <c r="AA124" s="8">
        <v>1521</v>
      </c>
      <c r="AB124" s="8">
        <v>1998</v>
      </c>
      <c r="AC124" s="8">
        <v>1221</v>
      </c>
      <c r="AD124" s="8">
        <v>1206</v>
      </c>
      <c r="AE124" s="8">
        <v>481</v>
      </c>
      <c r="AF124" s="8">
        <v>2392</v>
      </c>
      <c r="AG124" s="8">
        <v>2433</v>
      </c>
      <c r="AH124" s="8">
        <v>1746</v>
      </c>
      <c r="AI124" s="8">
        <v>2731</v>
      </c>
      <c r="AJ124" s="8">
        <v>3756</v>
      </c>
      <c r="AK124" s="8">
        <v>838</v>
      </c>
      <c r="AL124" s="8">
        <v>832</v>
      </c>
      <c r="AM124" s="8">
        <v>76</v>
      </c>
      <c r="AN124" s="8">
        <v>26165</v>
      </c>
      <c r="AO124" s="8">
        <v>441</v>
      </c>
      <c r="AP124" s="8">
        <v>2235</v>
      </c>
      <c r="AQ124" s="2">
        <v>7.1</v>
      </c>
      <c r="AR124" s="2">
        <v>11.8</v>
      </c>
      <c r="AS124" s="2">
        <v>-3.3666666666666667</v>
      </c>
      <c r="AT124" s="8">
        <v>59</v>
      </c>
      <c r="AU124" s="8">
        <v>50</v>
      </c>
      <c r="AV124" s="8">
        <v>508</v>
      </c>
      <c r="AW124" s="8">
        <v>49615</v>
      </c>
      <c r="AX124" s="2">
        <v>63.7</v>
      </c>
      <c r="AY124" s="2">
        <v>71.7</v>
      </c>
      <c r="AZ124" s="2">
        <v>31.5</v>
      </c>
      <c r="BA124" s="8">
        <v>418.66666666666669</v>
      </c>
      <c r="BB124" s="8">
        <v>29366</v>
      </c>
      <c r="BC124" s="8" t="e">
        <v>#N/A</v>
      </c>
      <c r="BD124" s="8">
        <v>25335</v>
      </c>
      <c r="BE124" s="8">
        <v>875</v>
      </c>
      <c r="BF124" s="8">
        <v>2163</v>
      </c>
      <c r="BG124" s="8">
        <v>2235</v>
      </c>
    </row>
    <row r="125" spans="1:59" x14ac:dyDescent="0.25">
      <c r="A125" t="s">
        <v>693</v>
      </c>
      <c r="B125" s="8">
        <v>6439</v>
      </c>
      <c r="C125" s="8">
        <v>22579</v>
      </c>
      <c r="D125" s="8">
        <v>29018</v>
      </c>
      <c r="E125" s="8">
        <v>5621</v>
      </c>
      <c r="F125" s="8">
        <v>23397</v>
      </c>
      <c r="G125" s="2">
        <v>22.2</v>
      </c>
      <c r="H125" s="2">
        <v>77.8</v>
      </c>
      <c r="I125" s="2">
        <v>19.399999999999999</v>
      </c>
      <c r="J125" s="2">
        <v>80.599999999999994</v>
      </c>
      <c r="K125" s="8">
        <v>54</v>
      </c>
      <c r="L125" s="8">
        <v>197</v>
      </c>
      <c r="M125" s="8">
        <v>294</v>
      </c>
      <c r="N125" s="8">
        <v>1208</v>
      </c>
      <c r="O125" s="8">
        <v>1657</v>
      </c>
      <c r="P125" s="8">
        <v>1530</v>
      </c>
      <c r="Q125" s="8">
        <v>394</v>
      </c>
      <c r="R125" s="8">
        <v>1108</v>
      </c>
      <c r="S125" s="8">
        <v>31728</v>
      </c>
      <c r="T125" s="8">
        <v>390</v>
      </c>
      <c r="U125" s="8">
        <v>61</v>
      </c>
      <c r="V125" s="8">
        <v>2657</v>
      </c>
      <c r="W125" s="8">
        <v>108</v>
      </c>
      <c r="X125" s="8">
        <v>166</v>
      </c>
      <c r="Y125" s="8">
        <v>2243</v>
      </c>
      <c r="Z125" s="8">
        <v>4927</v>
      </c>
      <c r="AA125" s="8">
        <v>1505</v>
      </c>
      <c r="AB125" s="8">
        <v>1989</v>
      </c>
      <c r="AC125" s="8">
        <v>1215</v>
      </c>
      <c r="AD125" s="8">
        <v>1193</v>
      </c>
      <c r="AE125" s="8">
        <v>490</v>
      </c>
      <c r="AF125" s="8">
        <v>2367</v>
      </c>
      <c r="AG125" s="8">
        <v>2388</v>
      </c>
      <c r="AH125" s="8">
        <v>1757</v>
      </c>
      <c r="AI125" s="8">
        <v>2721</v>
      </c>
      <c r="AJ125" s="8">
        <v>3796</v>
      </c>
      <c r="AK125" s="8">
        <v>843</v>
      </c>
      <c r="AL125" s="8">
        <v>828</v>
      </c>
      <c r="AM125" s="8">
        <v>83</v>
      </c>
      <c r="AN125" s="8">
        <v>26102</v>
      </c>
      <c r="AO125" s="8">
        <v>436.66666666666669</v>
      </c>
      <c r="AP125" s="8">
        <v>2448</v>
      </c>
      <c r="AQ125" s="2">
        <v>7.8</v>
      </c>
      <c r="AR125" s="2">
        <v>10.6</v>
      </c>
      <c r="AS125" s="2">
        <v>-3.6333333333333333</v>
      </c>
      <c r="AT125" s="8">
        <v>52</v>
      </c>
      <c r="AU125" s="8">
        <v>46</v>
      </c>
      <c r="AV125" s="8">
        <v>552</v>
      </c>
      <c r="AW125" s="8">
        <v>49712</v>
      </c>
      <c r="AX125" s="2">
        <v>63.4</v>
      </c>
      <c r="AY125" s="2">
        <v>70.8</v>
      </c>
      <c r="AZ125" s="2">
        <v>31.7</v>
      </c>
      <c r="BA125" s="8">
        <v>434</v>
      </c>
      <c r="BB125" s="8">
        <v>29087</v>
      </c>
      <c r="BC125" s="8" t="e">
        <v>#N/A</v>
      </c>
      <c r="BD125" s="8">
        <v>25043</v>
      </c>
      <c r="BE125" s="8">
        <v>963</v>
      </c>
      <c r="BF125" s="8">
        <v>2237</v>
      </c>
      <c r="BG125" s="8">
        <v>2448</v>
      </c>
    </row>
    <row r="126" spans="1:59" x14ac:dyDescent="0.25">
      <c r="A126" t="s">
        <v>694</v>
      </c>
      <c r="B126" s="8">
        <v>6463</v>
      </c>
      <c r="C126" s="8">
        <v>22621</v>
      </c>
      <c r="D126" s="8">
        <v>29084</v>
      </c>
      <c r="E126" s="8">
        <v>5646</v>
      </c>
      <c r="F126" s="8">
        <v>23438</v>
      </c>
      <c r="G126" s="2">
        <v>22.2</v>
      </c>
      <c r="H126" s="2">
        <v>77.8</v>
      </c>
      <c r="I126" s="2">
        <v>19.399999999999999</v>
      </c>
      <c r="J126" s="2">
        <v>80.599999999999994</v>
      </c>
      <c r="K126" s="8">
        <v>51</v>
      </c>
      <c r="L126" s="8">
        <v>199</v>
      </c>
      <c r="M126" s="8">
        <v>296</v>
      </c>
      <c r="N126" s="8">
        <v>1220</v>
      </c>
      <c r="O126" s="8">
        <v>1656</v>
      </c>
      <c r="P126" s="8">
        <v>1546</v>
      </c>
      <c r="Q126" s="8">
        <v>407</v>
      </c>
      <c r="R126" s="8">
        <v>1092</v>
      </c>
      <c r="S126" s="8">
        <v>31613</v>
      </c>
      <c r="T126" s="8">
        <v>399</v>
      </c>
      <c r="U126" s="8">
        <v>63</v>
      </c>
      <c r="V126" s="8">
        <v>2639</v>
      </c>
      <c r="W126" s="8">
        <v>118</v>
      </c>
      <c r="X126" s="8">
        <v>168</v>
      </c>
      <c r="Y126" s="8">
        <v>2185</v>
      </c>
      <c r="Z126" s="8">
        <v>4874</v>
      </c>
      <c r="AA126" s="8">
        <v>1509</v>
      </c>
      <c r="AB126" s="8">
        <v>1965</v>
      </c>
      <c r="AC126" s="8">
        <v>1186</v>
      </c>
      <c r="AD126" s="8">
        <v>1149</v>
      </c>
      <c r="AE126" s="8">
        <v>496</v>
      </c>
      <c r="AF126" s="8">
        <v>2405</v>
      </c>
      <c r="AG126" s="8">
        <v>2346</v>
      </c>
      <c r="AH126" s="8">
        <v>1764</v>
      </c>
      <c r="AI126" s="8">
        <v>2729</v>
      </c>
      <c r="AJ126" s="8">
        <v>3860</v>
      </c>
      <c r="AK126" s="8">
        <v>842</v>
      </c>
      <c r="AL126" s="8">
        <v>835</v>
      </c>
      <c r="AM126" s="8">
        <v>80</v>
      </c>
      <c r="AN126" s="8">
        <v>26040</v>
      </c>
      <c r="AO126" s="8">
        <v>453</v>
      </c>
      <c r="AP126" s="8">
        <v>2475</v>
      </c>
      <c r="AQ126" s="2">
        <v>7.8</v>
      </c>
      <c r="AR126" s="2">
        <v>8.1999999999999993</v>
      </c>
      <c r="AS126" s="2">
        <v>-3.7666666666666671</v>
      </c>
      <c r="AT126" s="8">
        <v>49</v>
      </c>
      <c r="AU126" s="8">
        <v>52</v>
      </c>
      <c r="AV126" s="8">
        <v>631</v>
      </c>
      <c r="AW126" s="8">
        <v>49820</v>
      </c>
      <c r="AX126" s="2">
        <v>63.3</v>
      </c>
      <c r="AY126" s="2">
        <v>70.599999999999994</v>
      </c>
      <c r="AZ126" s="2">
        <v>31.5</v>
      </c>
      <c r="BA126" s="8">
        <v>431.66666666666669</v>
      </c>
      <c r="BB126" s="8">
        <v>29069</v>
      </c>
      <c r="BC126" s="8" t="e">
        <v>#N/A</v>
      </c>
      <c r="BD126" s="8">
        <v>25002</v>
      </c>
      <c r="BE126" s="8">
        <v>1001</v>
      </c>
      <c r="BF126" s="8">
        <v>2346</v>
      </c>
      <c r="BG126" s="8">
        <v>2475</v>
      </c>
    </row>
    <row r="127" spans="1:59" x14ac:dyDescent="0.25">
      <c r="A127" t="s">
        <v>695</v>
      </c>
      <c r="B127" s="8">
        <v>6460</v>
      </c>
      <c r="C127" s="8">
        <v>22597</v>
      </c>
      <c r="D127" s="8">
        <v>29057</v>
      </c>
      <c r="E127" s="8">
        <v>5658</v>
      </c>
      <c r="F127" s="8">
        <v>23399</v>
      </c>
      <c r="G127" s="2">
        <v>22.2</v>
      </c>
      <c r="H127" s="2">
        <v>77.8</v>
      </c>
      <c r="I127" s="2">
        <v>19.5</v>
      </c>
      <c r="J127" s="2">
        <v>80.5</v>
      </c>
      <c r="K127" s="8">
        <v>51</v>
      </c>
      <c r="L127" s="8">
        <v>199</v>
      </c>
      <c r="M127" s="8">
        <v>295</v>
      </c>
      <c r="N127" s="8">
        <v>1213</v>
      </c>
      <c r="O127" s="8">
        <v>1673</v>
      </c>
      <c r="P127" s="8">
        <v>1552</v>
      </c>
      <c r="Q127" s="8">
        <v>404</v>
      </c>
      <c r="R127" s="8">
        <v>1070</v>
      </c>
      <c r="S127" s="8">
        <v>31478</v>
      </c>
      <c r="T127" s="8">
        <v>381</v>
      </c>
      <c r="U127" s="8">
        <v>62</v>
      </c>
      <c r="V127" s="8">
        <v>2621</v>
      </c>
      <c r="W127" s="8">
        <v>114</v>
      </c>
      <c r="X127" s="8">
        <v>169</v>
      </c>
      <c r="Y127" s="8">
        <v>2158</v>
      </c>
      <c r="Z127" s="8">
        <v>4823</v>
      </c>
      <c r="AA127" s="8">
        <v>1486</v>
      </c>
      <c r="AB127" s="8">
        <v>1960</v>
      </c>
      <c r="AC127" s="8">
        <v>1193</v>
      </c>
      <c r="AD127" s="8">
        <v>1128</v>
      </c>
      <c r="AE127" s="8">
        <v>480</v>
      </c>
      <c r="AF127" s="8">
        <v>2409</v>
      </c>
      <c r="AG127" s="8">
        <v>2370</v>
      </c>
      <c r="AH127" s="8">
        <v>1765</v>
      </c>
      <c r="AI127" s="8">
        <v>2745</v>
      </c>
      <c r="AJ127" s="8">
        <v>3867</v>
      </c>
      <c r="AK127" s="8">
        <v>818</v>
      </c>
      <c r="AL127" s="8">
        <v>851</v>
      </c>
      <c r="AM127" s="8">
        <v>77</v>
      </c>
      <c r="AN127" s="8">
        <v>25971</v>
      </c>
      <c r="AO127" s="8">
        <v>453.33333333333331</v>
      </c>
      <c r="AP127" s="8">
        <v>2453</v>
      </c>
      <c r="AQ127" s="2">
        <v>7.8</v>
      </c>
      <c r="AR127" s="2">
        <v>6.7</v>
      </c>
      <c r="AS127" s="2">
        <v>-3.6</v>
      </c>
      <c r="AT127" s="8">
        <v>47</v>
      </c>
      <c r="AU127" s="8">
        <v>49</v>
      </c>
      <c r="AV127" s="8">
        <v>663</v>
      </c>
      <c r="AW127" s="8">
        <v>49932</v>
      </c>
      <c r="AX127" s="2">
        <v>63.2</v>
      </c>
      <c r="AY127" s="2">
        <v>70.599999999999994</v>
      </c>
      <c r="AZ127" s="2">
        <v>31.5</v>
      </c>
      <c r="BA127" s="8">
        <v>433</v>
      </c>
      <c r="BB127" s="8">
        <v>29102</v>
      </c>
      <c r="BC127" s="8" t="e">
        <v>#N/A</v>
      </c>
      <c r="BD127" s="8">
        <v>24988</v>
      </c>
      <c r="BE127" s="8">
        <v>1038</v>
      </c>
      <c r="BF127" s="8">
        <v>2420</v>
      </c>
      <c r="BG127" s="8">
        <v>2453</v>
      </c>
    </row>
    <row r="128" spans="1:59" x14ac:dyDescent="0.25">
      <c r="A128" t="s">
        <v>696</v>
      </c>
      <c r="B128" s="8">
        <v>6446</v>
      </c>
      <c r="C128" s="8">
        <v>22602</v>
      </c>
      <c r="D128" s="8">
        <v>29048</v>
      </c>
      <c r="E128" s="8">
        <v>5652</v>
      </c>
      <c r="F128" s="8">
        <v>23396</v>
      </c>
      <c r="G128" s="2">
        <v>22.2</v>
      </c>
      <c r="H128" s="2">
        <v>77.8</v>
      </c>
      <c r="I128" s="2">
        <v>19.5</v>
      </c>
      <c r="J128" s="2">
        <v>80.5</v>
      </c>
      <c r="K128" s="8">
        <v>51</v>
      </c>
      <c r="L128" s="8">
        <v>199</v>
      </c>
      <c r="M128" s="8">
        <v>295</v>
      </c>
      <c r="N128" s="8">
        <v>1213</v>
      </c>
      <c r="O128" s="8">
        <v>1671</v>
      </c>
      <c r="P128" s="8">
        <v>1557</v>
      </c>
      <c r="Q128" s="8">
        <v>399</v>
      </c>
      <c r="R128" s="8">
        <v>1064</v>
      </c>
      <c r="S128" s="8">
        <v>31476</v>
      </c>
      <c r="T128" s="8">
        <v>398</v>
      </c>
      <c r="U128" s="8">
        <v>61</v>
      </c>
      <c r="V128" s="8">
        <v>2572</v>
      </c>
      <c r="W128" s="8">
        <v>130</v>
      </c>
      <c r="X128" s="8">
        <v>173</v>
      </c>
      <c r="Y128" s="8">
        <v>2065</v>
      </c>
      <c r="Z128" s="8">
        <v>4814</v>
      </c>
      <c r="AA128" s="8">
        <v>1460</v>
      </c>
      <c r="AB128" s="8">
        <v>1964</v>
      </c>
      <c r="AC128" s="8">
        <v>1168</v>
      </c>
      <c r="AD128" s="8">
        <v>1107</v>
      </c>
      <c r="AE128" s="8">
        <v>480</v>
      </c>
      <c r="AF128" s="8">
        <v>2441</v>
      </c>
      <c r="AG128" s="8">
        <v>2446</v>
      </c>
      <c r="AH128" s="8">
        <v>1762</v>
      </c>
      <c r="AI128" s="8">
        <v>2753</v>
      </c>
      <c r="AJ128" s="8">
        <v>3933</v>
      </c>
      <c r="AK128" s="8">
        <v>840</v>
      </c>
      <c r="AL128" s="8">
        <v>845</v>
      </c>
      <c r="AM128" s="8">
        <v>67</v>
      </c>
      <c r="AN128" s="8">
        <v>26077</v>
      </c>
      <c r="AO128" s="8">
        <v>441.66666666666669</v>
      </c>
      <c r="AP128" s="8">
        <v>2526</v>
      </c>
      <c r="AQ128" s="2">
        <v>8</v>
      </c>
      <c r="AR128" s="2">
        <v>7.1</v>
      </c>
      <c r="AS128" s="2">
        <v>-2.9</v>
      </c>
      <c r="AT128" s="8">
        <v>43</v>
      </c>
      <c r="AU128" s="8">
        <v>43</v>
      </c>
      <c r="AV128" s="8">
        <v>768</v>
      </c>
      <c r="AW128" s="8">
        <v>50043</v>
      </c>
      <c r="AX128" s="2">
        <v>63</v>
      </c>
      <c r="AY128" s="2">
        <v>70.2</v>
      </c>
      <c r="AZ128" s="2">
        <v>31.6</v>
      </c>
      <c r="BA128" s="8">
        <v>436.33333333333331</v>
      </c>
      <c r="BB128" s="8">
        <v>29013</v>
      </c>
      <c r="BC128" s="8" t="e">
        <v>#N/A</v>
      </c>
      <c r="BD128" s="8">
        <v>24844</v>
      </c>
      <c r="BE128" s="8">
        <v>1071</v>
      </c>
      <c r="BF128" s="8">
        <v>2408</v>
      </c>
      <c r="BG128" s="8">
        <v>2526</v>
      </c>
    </row>
    <row r="129" spans="1:59" x14ac:dyDescent="0.25">
      <c r="A129" t="s">
        <v>697</v>
      </c>
      <c r="B129" s="8">
        <v>6436</v>
      </c>
      <c r="C129" s="8">
        <v>22889</v>
      </c>
      <c r="D129" s="8">
        <v>29325</v>
      </c>
      <c r="E129" s="8">
        <v>5633</v>
      </c>
      <c r="F129" s="8">
        <v>23692</v>
      </c>
      <c r="G129" s="2">
        <v>21.9</v>
      </c>
      <c r="H129" s="2">
        <v>78.099999999999994</v>
      </c>
      <c r="I129" s="2">
        <v>19.2</v>
      </c>
      <c r="J129" s="2">
        <v>80.8</v>
      </c>
      <c r="K129" s="8">
        <v>49</v>
      </c>
      <c r="L129" s="8">
        <v>197</v>
      </c>
      <c r="M129" s="8">
        <v>292</v>
      </c>
      <c r="N129" s="8">
        <v>1200</v>
      </c>
      <c r="O129" s="8">
        <v>1688</v>
      </c>
      <c r="P129" s="8">
        <v>1559</v>
      </c>
      <c r="Q129" s="8">
        <v>398</v>
      </c>
      <c r="R129" s="8">
        <v>1055</v>
      </c>
      <c r="S129" s="8">
        <v>31558</v>
      </c>
      <c r="T129" s="8">
        <v>419</v>
      </c>
      <c r="U129" s="8">
        <v>61</v>
      </c>
      <c r="V129" s="8">
        <v>2570</v>
      </c>
      <c r="W129" s="8">
        <v>134</v>
      </c>
      <c r="X129" s="8">
        <v>177</v>
      </c>
      <c r="Y129" s="8">
        <v>2107</v>
      </c>
      <c r="Z129" s="8">
        <v>4836</v>
      </c>
      <c r="AA129" s="8">
        <v>1463</v>
      </c>
      <c r="AB129" s="8">
        <v>1949</v>
      </c>
      <c r="AC129" s="8">
        <v>1172</v>
      </c>
      <c r="AD129" s="8">
        <v>1125</v>
      </c>
      <c r="AE129" s="8">
        <v>486</v>
      </c>
      <c r="AF129" s="8">
        <v>2420</v>
      </c>
      <c r="AG129" s="8">
        <v>2426</v>
      </c>
      <c r="AH129" s="8">
        <v>1739</v>
      </c>
      <c r="AI129" s="8">
        <v>2772</v>
      </c>
      <c r="AJ129" s="8">
        <v>3936</v>
      </c>
      <c r="AK129" s="8">
        <v>855</v>
      </c>
      <c r="AL129" s="8">
        <v>832</v>
      </c>
      <c r="AM129" s="8">
        <v>78</v>
      </c>
      <c r="AN129" s="8">
        <v>26090</v>
      </c>
      <c r="AO129" s="8">
        <v>490.66666666666669</v>
      </c>
      <c r="AP129" s="8">
        <v>2488</v>
      </c>
      <c r="AQ129" s="2">
        <v>7.9</v>
      </c>
      <c r="AR129" s="2">
        <v>6.1</v>
      </c>
      <c r="AS129" s="2">
        <v>-2.3333333333333335</v>
      </c>
      <c r="AT129" s="8">
        <v>57</v>
      </c>
      <c r="AU129" s="8">
        <v>52</v>
      </c>
      <c r="AV129" s="8">
        <v>803</v>
      </c>
      <c r="AW129" s="8">
        <v>50155</v>
      </c>
      <c r="AX129" s="2">
        <v>63.2</v>
      </c>
      <c r="AY129" s="2">
        <v>70.400000000000006</v>
      </c>
      <c r="AZ129" s="2">
        <v>31.6</v>
      </c>
      <c r="BA129" s="8">
        <v>434.33333333333331</v>
      </c>
      <c r="BB129" s="8">
        <v>29192</v>
      </c>
      <c r="BC129" s="8" t="e">
        <v>#N/A</v>
      </c>
      <c r="BD129" s="8">
        <v>25019</v>
      </c>
      <c r="BE129" s="8">
        <v>1076</v>
      </c>
      <c r="BF129" s="8">
        <v>2369</v>
      </c>
      <c r="BG129" s="8">
        <v>2488</v>
      </c>
    </row>
    <row r="130" spans="1:59" x14ac:dyDescent="0.25">
      <c r="A130" t="s">
        <v>698</v>
      </c>
      <c r="B130" s="8">
        <v>6382</v>
      </c>
      <c r="C130" s="8">
        <v>22926</v>
      </c>
      <c r="D130" s="8">
        <v>29308</v>
      </c>
      <c r="E130" s="8">
        <v>5578</v>
      </c>
      <c r="F130" s="8">
        <v>23730</v>
      </c>
      <c r="G130" s="2">
        <v>21.8</v>
      </c>
      <c r="H130" s="2">
        <v>78.2</v>
      </c>
      <c r="I130" s="2">
        <v>19</v>
      </c>
      <c r="J130" s="2">
        <v>81</v>
      </c>
      <c r="K130" s="8">
        <v>49</v>
      </c>
      <c r="L130" s="8">
        <v>196</v>
      </c>
      <c r="M130" s="8">
        <v>290</v>
      </c>
      <c r="N130" s="8">
        <v>1181</v>
      </c>
      <c r="O130" s="8">
        <v>1664</v>
      </c>
      <c r="P130" s="8">
        <v>1551</v>
      </c>
      <c r="Q130" s="8">
        <v>398</v>
      </c>
      <c r="R130" s="8">
        <v>1053</v>
      </c>
      <c r="S130" s="8">
        <v>31514</v>
      </c>
      <c r="T130" s="8">
        <v>410</v>
      </c>
      <c r="U130" s="8">
        <v>64</v>
      </c>
      <c r="V130" s="8">
        <v>2565</v>
      </c>
      <c r="W130" s="8">
        <v>122</v>
      </c>
      <c r="X130" s="8">
        <v>180</v>
      </c>
      <c r="Y130" s="8">
        <v>2086</v>
      </c>
      <c r="Z130" s="8">
        <v>4846</v>
      </c>
      <c r="AA130" s="8">
        <v>1459</v>
      </c>
      <c r="AB130" s="8">
        <v>1952</v>
      </c>
      <c r="AC130" s="8">
        <v>1195</v>
      </c>
      <c r="AD130" s="8">
        <v>1115</v>
      </c>
      <c r="AE130" s="8">
        <v>473</v>
      </c>
      <c r="AF130" s="8">
        <v>2393</v>
      </c>
      <c r="AG130" s="8">
        <v>2434</v>
      </c>
      <c r="AH130" s="8">
        <v>1725</v>
      </c>
      <c r="AI130" s="8">
        <v>2763</v>
      </c>
      <c r="AJ130" s="8">
        <v>3951</v>
      </c>
      <c r="AK130" s="8">
        <v>880</v>
      </c>
      <c r="AL130" s="8">
        <v>819</v>
      </c>
      <c r="AM130" s="8">
        <v>84</v>
      </c>
      <c r="AN130" s="8">
        <v>26087</v>
      </c>
      <c r="AO130" s="8">
        <v>470.33333333333331</v>
      </c>
      <c r="AP130" s="8">
        <v>2470</v>
      </c>
      <c r="AQ130" s="2">
        <v>7.8</v>
      </c>
      <c r="AR130" s="2">
        <v>5.8</v>
      </c>
      <c r="AS130" s="2">
        <v>-1.6000000000000003</v>
      </c>
      <c r="AT130" s="8">
        <v>68</v>
      </c>
      <c r="AU130" s="8">
        <v>47</v>
      </c>
      <c r="AV130" s="8">
        <v>823</v>
      </c>
      <c r="AW130" s="8">
        <v>50268</v>
      </c>
      <c r="AX130" s="2">
        <v>63.4</v>
      </c>
      <c r="AY130" s="2">
        <v>70.7</v>
      </c>
      <c r="AZ130" s="2">
        <v>31.6</v>
      </c>
      <c r="BA130" s="8">
        <v>438.66666666666669</v>
      </c>
      <c r="BB130" s="8">
        <v>29385</v>
      </c>
      <c r="BC130" s="8" t="e">
        <v>#N/A</v>
      </c>
      <c r="BD130" s="8">
        <v>25106</v>
      </c>
      <c r="BE130" s="8">
        <v>1153</v>
      </c>
      <c r="BF130" s="8">
        <v>2413</v>
      </c>
      <c r="BG130" s="8">
        <v>2470</v>
      </c>
    </row>
    <row r="131" spans="1:59" x14ac:dyDescent="0.25">
      <c r="A131" t="s">
        <v>699</v>
      </c>
      <c r="B131" s="8">
        <v>6341</v>
      </c>
      <c r="C131" s="8">
        <v>23050</v>
      </c>
      <c r="D131" s="8">
        <v>29391</v>
      </c>
      <c r="E131" s="8">
        <v>5547</v>
      </c>
      <c r="F131" s="8">
        <v>23844</v>
      </c>
      <c r="G131" s="2">
        <v>21.6</v>
      </c>
      <c r="H131" s="2">
        <v>78.400000000000006</v>
      </c>
      <c r="I131" s="2">
        <v>18.899999999999999</v>
      </c>
      <c r="J131" s="2">
        <v>81.099999999999994</v>
      </c>
      <c r="K131" s="8">
        <v>47</v>
      </c>
      <c r="L131" s="8">
        <v>196</v>
      </c>
      <c r="M131" s="8">
        <v>286</v>
      </c>
      <c r="N131" s="8">
        <v>1175</v>
      </c>
      <c r="O131" s="8">
        <v>1658</v>
      </c>
      <c r="P131" s="8">
        <v>1545</v>
      </c>
      <c r="Q131" s="8">
        <v>391</v>
      </c>
      <c r="R131" s="8">
        <v>1040</v>
      </c>
      <c r="S131" s="8">
        <v>31567</v>
      </c>
      <c r="T131" s="8">
        <v>439</v>
      </c>
      <c r="U131" s="8">
        <v>65</v>
      </c>
      <c r="V131" s="8">
        <v>2567</v>
      </c>
      <c r="W131" s="8">
        <v>121</v>
      </c>
      <c r="X131" s="8">
        <v>180</v>
      </c>
      <c r="Y131" s="8">
        <v>2055</v>
      </c>
      <c r="Z131" s="8">
        <v>4869</v>
      </c>
      <c r="AA131" s="8">
        <v>1460</v>
      </c>
      <c r="AB131" s="8">
        <v>1943</v>
      </c>
      <c r="AC131" s="8">
        <v>1193</v>
      </c>
      <c r="AD131" s="8">
        <v>1116</v>
      </c>
      <c r="AE131" s="8">
        <v>450</v>
      </c>
      <c r="AF131" s="8">
        <v>2407</v>
      </c>
      <c r="AG131" s="8">
        <v>2461</v>
      </c>
      <c r="AH131" s="8">
        <v>1705</v>
      </c>
      <c r="AI131" s="8">
        <v>2737</v>
      </c>
      <c r="AJ131" s="8">
        <v>4011</v>
      </c>
      <c r="AK131" s="8">
        <v>884</v>
      </c>
      <c r="AL131" s="8">
        <v>835</v>
      </c>
      <c r="AM131" s="8">
        <v>70</v>
      </c>
      <c r="AN131" s="8">
        <v>26142</v>
      </c>
      <c r="AO131" s="8">
        <v>483.33333333333331</v>
      </c>
      <c r="AP131" s="8">
        <v>2503</v>
      </c>
      <c r="AQ131" s="2">
        <v>7.9</v>
      </c>
      <c r="AR131" s="2">
        <v>5.9</v>
      </c>
      <c r="AS131" s="2">
        <v>-1.2</v>
      </c>
      <c r="AT131" s="8">
        <v>50</v>
      </c>
      <c r="AU131" s="8">
        <v>49</v>
      </c>
      <c r="AV131" s="8">
        <v>838</v>
      </c>
      <c r="AW131" s="8">
        <v>50383</v>
      </c>
      <c r="AX131" s="2">
        <v>63.2</v>
      </c>
      <c r="AY131" s="2">
        <v>70.400000000000006</v>
      </c>
      <c r="AZ131" s="2">
        <v>31.8</v>
      </c>
      <c r="BA131" s="8">
        <v>440</v>
      </c>
      <c r="BB131" s="8">
        <v>29324</v>
      </c>
      <c r="BC131" s="8" t="e">
        <v>#N/A</v>
      </c>
      <c r="BD131" s="8">
        <v>25098</v>
      </c>
      <c r="BE131" s="8">
        <v>1192</v>
      </c>
      <c r="BF131" s="8">
        <v>2406</v>
      </c>
      <c r="BG131" s="8">
        <v>2503</v>
      </c>
    </row>
    <row r="132" spans="1:59" x14ac:dyDescent="0.25">
      <c r="A132" t="s">
        <v>700</v>
      </c>
      <c r="B132" s="8">
        <v>6316</v>
      </c>
      <c r="C132" s="8">
        <v>23120</v>
      </c>
      <c r="D132" s="8">
        <v>29436</v>
      </c>
      <c r="E132" s="8">
        <v>5526</v>
      </c>
      <c r="F132" s="8">
        <v>23910</v>
      </c>
      <c r="G132" s="2">
        <v>21.5</v>
      </c>
      <c r="H132" s="2">
        <v>78.5</v>
      </c>
      <c r="I132" s="2">
        <v>18.8</v>
      </c>
      <c r="J132" s="2">
        <v>81.2</v>
      </c>
      <c r="K132" s="8">
        <v>46</v>
      </c>
      <c r="L132" s="8">
        <v>194</v>
      </c>
      <c r="M132" s="8">
        <v>282</v>
      </c>
      <c r="N132" s="8">
        <v>1164</v>
      </c>
      <c r="O132" s="8">
        <v>1659</v>
      </c>
      <c r="P132" s="8">
        <v>1539</v>
      </c>
      <c r="Q132" s="8">
        <v>390</v>
      </c>
      <c r="R132" s="8">
        <v>1042</v>
      </c>
      <c r="S132" s="8">
        <v>31634</v>
      </c>
      <c r="T132" s="8">
        <v>403</v>
      </c>
      <c r="U132" s="8">
        <v>62</v>
      </c>
      <c r="V132" s="8">
        <v>2562</v>
      </c>
      <c r="W132" s="8">
        <v>131</v>
      </c>
      <c r="X132" s="8">
        <v>190</v>
      </c>
      <c r="Y132" s="8">
        <v>2061</v>
      </c>
      <c r="Z132" s="8">
        <v>4849</v>
      </c>
      <c r="AA132" s="8">
        <v>1500</v>
      </c>
      <c r="AB132" s="8">
        <v>1937</v>
      </c>
      <c r="AC132" s="8">
        <v>1225</v>
      </c>
      <c r="AD132" s="8">
        <v>1129</v>
      </c>
      <c r="AE132" s="8">
        <v>465</v>
      </c>
      <c r="AF132" s="8">
        <v>2404</v>
      </c>
      <c r="AG132" s="8">
        <v>2462</v>
      </c>
      <c r="AH132" s="8">
        <v>1687</v>
      </c>
      <c r="AI132" s="8">
        <v>2767</v>
      </c>
      <c r="AJ132" s="8">
        <v>4010</v>
      </c>
      <c r="AK132" s="8">
        <v>876</v>
      </c>
      <c r="AL132" s="8">
        <v>842</v>
      </c>
      <c r="AM132" s="8">
        <v>73</v>
      </c>
      <c r="AN132" s="8">
        <v>26226</v>
      </c>
      <c r="AO132" s="8">
        <v>459</v>
      </c>
      <c r="AP132" s="8">
        <v>2483</v>
      </c>
      <c r="AQ132" s="2">
        <v>7.8</v>
      </c>
      <c r="AR132" s="2">
        <v>4.9000000000000004</v>
      </c>
      <c r="AS132" s="2">
        <v>-0.83333333333333337</v>
      </c>
      <c r="AT132" s="8">
        <v>57</v>
      </c>
      <c r="AU132" s="8">
        <v>45</v>
      </c>
      <c r="AV132" s="8">
        <v>859</v>
      </c>
      <c r="AW132" s="8">
        <v>50497</v>
      </c>
      <c r="AX132" s="2">
        <v>63.2</v>
      </c>
      <c r="AY132" s="2">
        <v>70.5</v>
      </c>
      <c r="AZ132" s="2">
        <v>31.7</v>
      </c>
      <c r="BA132" s="8">
        <v>448.66666666666669</v>
      </c>
      <c r="BB132" s="8">
        <v>29441</v>
      </c>
      <c r="BC132" s="8" t="e">
        <v>#N/A</v>
      </c>
      <c r="BD132" s="8">
        <v>25235</v>
      </c>
      <c r="BE132" s="8">
        <v>1188</v>
      </c>
      <c r="BF132" s="8">
        <v>2394</v>
      </c>
      <c r="BG132" s="8">
        <v>2483</v>
      </c>
    </row>
    <row r="133" spans="1:59" x14ac:dyDescent="0.25">
      <c r="A133" t="s">
        <v>701</v>
      </c>
      <c r="B133" s="8">
        <v>6238</v>
      </c>
      <c r="C133" s="8">
        <v>23107</v>
      </c>
      <c r="D133" s="8">
        <v>29345</v>
      </c>
      <c r="E133" s="8">
        <v>5454</v>
      </c>
      <c r="F133" s="8">
        <v>23891</v>
      </c>
      <c r="G133" s="2">
        <v>21.3</v>
      </c>
      <c r="H133" s="2">
        <v>78.7</v>
      </c>
      <c r="I133" s="2">
        <v>18.600000000000001</v>
      </c>
      <c r="J133" s="2">
        <v>81.400000000000006</v>
      </c>
      <c r="K133" s="8">
        <v>45</v>
      </c>
      <c r="L133" s="8">
        <v>193</v>
      </c>
      <c r="M133" s="8">
        <v>277</v>
      </c>
      <c r="N133" s="8">
        <v>1120</v>
      </c>
      <c r="O133" s="8">
        <v>1662</v>
      </c>
      <c r="P133" s="8">
        <v>1531</v>
      </c>
      <c r="Q133" s="8">
        <v>385</v>
      </c>
      <c r="R133" s="8">
        <v>1027</v>
      </c>
      <c r="S133" s="8">
        <v>31557</v>
      </c>
      <c r="T133" s="8">
        <v>404</v>
      </c>
      <c r="U133" s="8">
        <v>61</v>
      </c>
      <c r="V133" s="8">
        <v>2564</v>
      </c>
      <c r="W133" s="8">
        <v>121</v>
      </c>
      <c r="X133" s="8">
        <v>190</v>
      </c>
      <c r="Y133" s="8">
        <v>2062</v>
      </c>
      <c r="Z133" s="8">
        <v>4807</v>
      </c>
      <c r="AA133" s="8">
        <v>1493</v>
      </c>
      <c r="AB133" s="8">
        <v>1989</v>
      </c>
      <c r="AC133" s="8">
        <v>1230</v>
      </c>
      <c r="AD133" s="8">
        <v>1132</v>
      </c>
      <c r="AE133" s="8">
        <v>467</v>
      </c>
      <c r="AF133" s="8">
        <v>2429</v>
      </c>
      <c r="AG133" s="8">
        <v>2445</v>
      </c>
      <c r="AH133" s="8">
        <v>1636</v>
      </c>
      <c r="AI133" s="8">
        <v>2752</v>
      </c>
      <c r="AJ133" s="8">
        <v>3992</v>
      </c>
      <c r="AK133" s="8">
        <v>872</v>
      </c>
      <c r="AL133" s="8">
        <v>835</v>
      </c>
      <c r="AM133" s="8">
        <v>76</v>
      </c>
      <c r="AN133" s="8">
        <v>26155</v>
      </c>
      <c r="AO133" s="8">
        <v>467.66666666666669</v>
      </c>
      <c r="AP133" s="8">
        <v>2540</v>
      </c>
      <c r="AQ133" s="2">
        <v>7.9</v>
      </c>
      <c r="AR133" s="2">
        <v>6.2</v>
      </c>
      <c r="AS133" s="2">
        <v>-0.6333333333333333</v>
      </c>
      <c r="AT133" s="8">
        <v>59</v>
      </c>
      <c r="AU133" s="8">
        <v>47</v>
      </c>
      <c r="AV133" s="8">
        <v>846</v>
      </c>
      <c r="AW133" s="8">
        <v>50611</v>
      </c>
      <c r="AX133" s="2">
        <v>63.2</v>
      </c>
      <c r="AY133" s="2">
        <v>70.5</v>
      </c>
      <c r="AZ133" s="2">
        <v>31.3</v>
      </c>
      <c r="BA133" s="8">
        <v>445.33333333333331</v>
      </c>
      <c r="BB133" s="8">
        <v>29447</v>
      </c>
      <c r="BC133" s="8" t="e">
        <v>#N/A</v>
      </c>
      <c r="BD133" s="8">
        <v>25247</v>
      </c>
      <c r="BE133" s="8">
        <v>1270</v>
      </c>
      <c r="BF133" s="8">
        <v>2316</v>
      </c>
      <c r="BG133" s="8">
        <v>2540</v>
      </c>
    </row>
    <row r="134" spans="1:59" x14ac:dyDescent="0.25">
      <c r="A134" t="s">
        <v>702</v>
      </c>
      <c r="B134" s="8">
        <v>6200</v>
      </c>
      <c r="C134" s="8">
        <v>23106</v>
      </c>
      <c r="D134" s="8">
        <v>29306</v>
      </c>
      <c r="E134" s="8">
        <v>5420</v>
      </c>
      <c r="F134" s="8">
        <v>23886</v>
      </c>
      <c r="G134" s="2">
        <v>21.2</v>
      </c>
      <c r="H134" s="2">
        <v>78.8</v>
      </c>
      <c r="I134" s="2">
        <v>18.5</v>
      </c>
      <c r="J134" s="2">
        <v>81.5</v>
      </c>
      <c r="K134" s="8">
        <v>44</v>
      </c>
      <c r="L134" s="8">
        <v>191</v>
      </c>
      <c r="M134" s="8">
        <v>273</v>
      </c>
      <c r="N134" s="8">
        <v>1109</v>
      </c>
      <c r="O134" s="8">
        <v>1668</v>
      </c>
      <c r="P134" s="8">
        <v>1523</v>
      </c>
      <c r="Q134" s="8">
        <v>378</v>
      </c>
      <c r="R134" s="8">
        <v>1015</v>
      </c>
      <c r="S134" s="8">
        <v>31785</v>
      </c>
      <c r="T134" s="8">
        <v>434</v>
      </c>
      <c r="U134" s="8">
        <v>64</v>
      </c>
      <c r="V134" s="8">
        <v>2566</v>
      </c>
      <c r="W134" s="8">
        <v>122</v>
      </c>
      <c r="X134" s="8">
        <v>187</v>
      </c>
      <c r="Y134" s="8">
        <v>2087</v>
      </c>
      <c r="Z134" s="8">
        <v>4820</v>
      </c>
      <c r="AA134" s="8">
        <v>1488</v>
      </c>
      <c r="AB134" s="8">
        <v>2011</v>
      </c>
      <c r="AC134" s="8">
        <v>1233</v>
      </c>
      <c r="AD134" s="8">
        <v>1127</v>
      </c>
      <c r="AE134" s="8">
        <v>480</v>
      </c>
      <c r="AF134" s="8">
        <v>2462</v>
      </c>
      <c r="AG134" s="8">
        <v>2516</v>
      </c>
      <c r="AH134" s="8">
        <v>1616</v>
      </c>
      <c r="AI134" s="8">
        <v>2759</v>
      </c>
      <c r="AJ134" s="8">
        <v>3999</v>
      </c>
      <c r="AK134" s="8">
        <v>878</v>
      </c>
      <c r="AL134" s="8">
        <v>853</v>
      </c>
      <c r="AM134" s="8">
        <v>80</v>
      </c>
      <c r="AN134" s="8">
        <v>26323</v>
      </c>
      <c r="AO134" s="8">
        <v>477.66666666666669</v>
      </c>
      <c r="AP134" s="8">
        <v>2661</v>
      </c>
      <c r="AQ134" s="2">
        <v>8.3000000000000007</v>
      </c>
      <c r="AR134" s="2">
        <v>5.9</v>
      </c>
      <c r="AS134" s="2">
        <v>-0.6</v>
      </c>
      <c r="AT134" s="8">
        <v>57</v>
      </c>
      <c r="AU134" s="8">
        <v>48</v>
      </c>
      <c r="AV134" s="8">
        <v>878</v>
      </c>
      <c r="AW134" s="8">
        <v>50704</v>
      </c>
      <c r="AX134" s="2">
        <v>63</v>
      </c>
      <c r="AY134" s="2">
        <v>70.099999999999994</v>
      </c>
      <c r="AZ134" s="2">
        <v>31.7</v>
      </c>
      <c r="BA134" s="8">
        <v>448</v>
      </c>
      <c r="BB134" s="8">
        <v>29284</v>
      </c>
      <c r="BC134" s="8" t="e">
        <v>#N/A</v>
      </c>
      <c r="BD134" s="8">
        <v>24972</v>
      </c>
      <c r="BE134" s="8">
        <v>1275</v>
      </c>
      <c r="BF134" s="8">
        <v>2289</v>
      </c>
      <c r="BG134" s="8">
        <v>2661</v>
      </c>
    </row>
    <row r="135" spans="1:59" x14ac:dyDescent="0.25">
      <c r="A135" t="s">
        <v>703</v>
      </c>
      <c r="B135" s="8">
        <v>6162</v>
      </c>
      <c r="C135" s="8">
        <v>23196</v>
      </c>
      <c r="D135" s="8">
        <v>29358</v>
      </c>
      <c r="E135" s="8">
        <v>5388</v>
      </c>
      <c r="F135" s="8">
        <v>23970</v>
      </c>
      <c r="G135" s="2">
        <v>21</v>
      </c>
      <c r="H135" s="2">
        <v>79</v>
      </c>
      <c r="I135" s="2">
        <v>18.399999999999999</v>
      </c>
      <c r="J135" s="2">
        <v>81.599999999999994</v>
      </c>
      <c r="K135" s="8">
        <v>45</v>
      </c>
      <c r="L135" s="8">
        <v>190</v>
      </c>
      <c r="M135" s="8">
        <v>270</v>
      </c>
      <c r="N135" s="8">
        <v>1093</v>
      </c>
      <c r="O135" s="8">
        <v>1664</v>
      </c>
      <c r="P135" s="8">
        <v>1515</v>
      </c>
      <c r="Q135" s="8">
        <v>380</v>
      </c>
      <c r="R135" s="8">
        <v>1002</v>
      </c>
      <c r="S135" s="8">
        <v>31803</v>
      </c>
      <c r="T135" s="8">
        <v>434</v>
      </c>
      <c r="U135" s="8">
        <v>67</v>
      </c>
      <c r="V135" s="8">
        <v>2539</v>
      </c>
      <c r="W135" s="8">
        <v>121</v>
      </c>
      <c r="X135" s="8">
        <v>188</v>
      </c>
      <c r="Y135" s="8">
        <v>2095</v>
      </c>
      <c r="Z135" s="8">
        <v>4835</v>
      </c>
      <c r="AA135" s="8">
        <v>1494</v>
      </c>
      <c r="AB135" s="8">
        <v>1995</v>
      </c>
      <c r="AC135" s="8">
        <v>1227</v>
      </c>
      <c r="AD135" s="8">
        <v>1119</v>
      </c>
      <c r="AE135" s="8">
        <v>484</v>
      </c>
      <c r="AF135" s="8">
        <v>2481</v>
      </c>
      <c r="AG135" s="8">
        <v>2562</v>
      </c>
      <c r="AH135" s="8">
        <v>1597</v>
      </c>
      <c r="AI135" s="8">
        <v>2757</v>
      </c>
      <c r="AJ135" s="8">
        <v>4003</v>
      </c>
      <c r="AK135" s="8">
        <v>880</v>
      </c>
      <c r="AL135" s="8">
        <v>855</v>
      </c>
      <c r="AM135" s="8">
        <v>69</v>
      </c>
      <c r="AN135" s="8">
        <v>26357</v>
      </c>
      <c r="AO135" s="8">
        <v>467.33333333333331</v>
      </c>
      <c r="AP135" s="8">
        <v>2688</v>
      </c>
      <c r="AQ135" s="2">
        <v>8.4</v>
      </c>
      <c r="AR135" s="2">
        <v>6.6</v>
      </c>
      <c r="AS135" s="2">
        <v>-0.93333333333333324</v>
      </c>
      <c r="AT135" s="8">
        <v>61</v>
      </c>
      <c r="AU135" s="8">
        <v>55</v>
      </c>
      <c r="AV135" s="8">
        <v>867</v>
      </c>
      <c r="AW135" s="8">
        <v>50788</v>
      </c>
      <c r="AX135" s="2">
        <v>63.1</v>
      </c>
      <c r="AY135" s="2">
        <v>70.2</v>
      </c>
      <c r="AZ135" s="2">
        <v>31.6</v>
      </c>
      <c r="BA135" s="8">
        <v>449.66666666666669</v>
      </c>
      <c r="BB135" s="8">
        <v>29352</v>
      </c>
      <c r="BC135" s="8" t="e">
        <v>#N/A</v>
      </c>
      <c r="BD135" s="8">
        <v>25016</v>
      </c>
      <c r="BE135" s="8">
        <v>1363</v>
      </c>
      <c r="BF135" s="8">
        <v>2305</v>
      </c>
      <c r="BG135" s="8">
        <v>2688</v>
      </c>
    </row>
    <row r="136" spans="1:59" x14ac:dyDescent="0.25">
      <c r="A136" t="s">
        <v>704</v>
      </c>
      <c r="B136" s="8">
        <v>6123</v>
      </c>
      <c r="C136" s="8">
        <v>23387</v>
      </c>
      <c r="D136" s="8">
        <v>29510</v>
      </c>
      <c r="E136" s="8">
        <v>5353</v>
      </c>
      <c r="F136" s="8">
        <v>24157</v>
      </c>
      <c r="G136" s="2">
        <v>20.7</v>
      </c>
      <c r="H136" s="2">
        <v>79.3</v>
      </c>
      <c r="I136" s="2">
        <v>18.100000000000001</v>
      </c>
      <c r="J136" s="2">
        <v>81.900000000000006</v>
      </c>
      <c r="K136" s="8">
        <v>44</v>
      </c>
      <c r="L136" s="8">
        <v>187</v>
      </c>
      <c r="M136" s="8">
        <v>268</v>
      </c>
      <c r="N136" s="8">
        <v>1080</v>
      </c>
      <c r="O136" s="8">
        <v>1683</v>
      </c>
      <c r="P136" s="8">
        <v>1507</v>
      </c>
      <c r="Q136" s="8">
        <v>367</v>
      </c>
      <c r="R136" s="8">
        <v>988</v>
      </c>
      <c r="S136" s="8">
        <v>32147</v>
      </c>
      <c r="T136" s="8">
        <v>429</v>
      </c>
      <c r="U136" s="8">
        <v>73</v>
      </c>
      <c r="V136" s="8">
        <v>2580</v>
      </c>
      <c r="W136" s="8">
        <v>122</v>
      </c>
      <c r="X136" s="8">
        <v>191</v>
      </c>
      <c r="Y136" s="8">
        <v>2090</v>
      </c>
      <c r="Z136" s="8">
        <v>4924</v>
      </c>
      <c r="AA136" s="8">
        <v>1514</v>
      </c>
      <c r="AB136" s="8">
        <v>2041</v>
      </c>
      <c r="AC136" s="8">
        <v>1230</v>
      </c>
      <c r="AD136" s="8">
        <v>1155</v>
      </c>
      <c r="AE136" s="8">
        <v>493</v>
      </c>
      <c r="AF136" s="8">
        <v>2490</v>
      </c>
      <c r="AG136" s="8">
        <v>2583</v>
      </c>
      <c r="AH136" s="8">
        <v>1579</v>
      </c>
      <c r="AI136" s="8">
        <v>2805</v>
      </c>
      <c r="AJ136" s="8">
        <v>4040</v>
      </c>
      <c r="AK136" s="8">
        <v>902</v>
      </c>
      <c r="AL136" s="8">
        <v>834</v>
      </c>
      <c r="AM136" s="8">
        <v>71</v>
      </c>
      <c r="AN136" s="8">
        <v>26664</v>
      </c>
      <c r="AO136" s="8">
        <v>444</v>
      </c>
      <c r="AP136" s="8">
        <v>2633</v>
      </c>
      <c r="AQ136" s="2">
        <v>8.1999999999999993</v>
      </c>
      <c r="AR136" s="2">
        <v>6.9</v>
      </c>
      <c r="AS136" s="2">
        <v>-1.0333333333333334</v>
      </c>
      <c r="AT136" s="8">
        <v>70</v>
      </c>
      <c r="AU136" s="8">
        <v>50</v>
      </c>
      <c r="AV136" s="8">
        <v>887</v>
      </c>
      <c r="AW136" s="8">
        <v>50873</v>
      </c>
      <c r="AX136" s="2">
        <v>63.1</v>
      </c>
      <c r="AY136" s="2">
        <v>70.5</v>
      </c>
      <c r="AZ136" s="2">
        <v>31.7</v>
      </c>
      <c r="BA136" s="8">
        <v>450.66666666666669</v>
      </c>
      <c r="BB136" s="8">
        <v>29470</v>
      </c>
      <c r="BC136" s="8" t="e">
        <v>#N/A</v>
      </c>
      <c r="BD136" s="8">
        <v>25042</v>
      </c>
      <c r="BE136" s="8">
        <v>1414</v>
      </c>
      <c r="BF136" s="8">
        <v>2371</v>
      </c>
      <c r="BG136" s="8">
        <v>2633</v>
      </c>
    </row>
    <row r="137" spans="1:59" x14ac:dyDescent="0.25">
      <c r="A137" t="s">
        <v>705</v>
      </c>
      <c r="B137" s="8">
        <v>6082</v>
      </c>
      <c r="C137" s="8">
        <v>23686</v>
      </c>
      <c r="D137" s="8">
        <v>29768</v>
      </c>
      <c r="E137" s="8">
        <v>5318</v>
      </c>
      <c r="F137" s="8">
        <v>24450</v>
      </c>
      <c r="G137" s="2">
        <v>20.399999999999999</v>
      </c>
      <c r="H137" s="2">
        <v>79.599999999999994</v>
      </c>
      <c r="I137" s="2">
        <v>17.899999999999999</v>
      </c>
      <c r="J137" s="2">
        <v>82.1</v>
      </c>
      <c r="K137" s="8">
        <v>46</v>
      </c>
      <c r="L137" s="8">
        <v>186</v>
      </c>
      <c r="M137" s="8">
        <v>266</v>
      </c>
      <c r="N137" s="8">
        <v>1078</v>
      </c>
      <c r="O137" s="8">
        <v>1663</v>
      </c>
      <c r="P137" s="8">
        <v>1504</v>
      </c>
      <c r="Q137" s="8">
        <v>362</v>
      </c>
      <c r="R137" s="8">
        <v>981</v>
      </c>
      <c r="S137" s="8">
        <v>32093</v>
      </c>
      <c r="T137" s="8">
        <v>426</v>
      </c>
      <c r="U137" s="8">
        <v>77</v>
      </c>
      <c r="V137" s="8">
        <v>2603</v>
      </c>
      <c r="W137" s="8">
        <v>123</v>
      </c>
      <c r="X137" s="8">
        <v>195</v>
      </c>
      <c r="Y137" s="8">
        <v>2072</v>
      </c>
      <c r="Z137" s="8">
        <v>4878</v>
      </c>
      <c r="AA137" s="8">
        <v>1511</v>
      </c>
      <c r="AB137" s="8">
        <v>2043</v>
      </c>
      <c r="AC137" s="8">
        <v>1226</v>
      </c>
      <c r="AD137" s="8">
        <v>1145</v>
      </c>
      <c r="AE137" s="8">
        <v>495</v>
      </c>
      <c r="AF137" s="8">
        <v>2531</v>
      </c>
      <c r="AG137" s="8">
        <v>2636</v>
      </c>
      <c r="AH137" s="8">
        <v>1577</v>
      </c>
      <c r="AI137" s="8">
        <v>2771</v>
      </c>
      <c r="AJ137" s="8">
        <v>3998</v>
      </c>
      <c r="AK137" s="8">
        <v>897</v>
      </c>
      <c r="AL137" s="8">
        <v>822</v>
      </c>
      <c r="AM137" s="8">
        <v>65</v>
      </c>
      <c r="AN137" s="8">
        <v>26596</v>
      </c>
      <c r="AO137" s="8">
        <v>482.33333333333331</v>
      </c>
      <c r="AP137" s="8">
        <v>2575</v>
      </c>
      <c r="AQ137" s="2">
        <v>8</v>
      </c>
      <c r="AR137" s="2">
        <v>6</v>
      </c>
      <c r="AS137" s="2">
        <v>-1.1000000000000001</v>
      </c>
      <c r="AT137" s="8">
        <v>70</v>
      </c>
      <c r="AU137" s="8">
        <v>45</v>
      </c>
      <c r="AV137" s="8">
        <v>888</v>
      </c>
      <c r="AW137" s="8">
        <v>50957</v>
      </c>
      <c r="AX137" s="2">
        <v>63.3</v>
      </c>
      <c r="AY137" s="2">
        <v>70.900000000000006</v>
      </c>
      <c r="AZ137" s="2">
        <v>31.7</v>
      </c>
      <c r="BA137" s="8">
        <v>453.66666666666669</v>
      </c>
      <c r="BB137" s="8">
        <v>29689</v>
      </c>
      <c r="BC137" s="8" t="e">
        <v>#N/A</v>
      </c>
      <c r="BD137" s="8">
        <v>25187</v>
      </c>
      <c r="BE137" s="8">
        <v>1427</v>
      </c>
      <c r="BF137" s="8">
        <v>2418</v>
      </c>
      <c r="BG137" s="8">
        <v>2575</v>
      </c>
    </row>
    <row r="138" spans="1:59" x14ac:dyDescent="0.25">
      <c r="A138" t="s">
        <v>706</v>
      </c>
      <c r="B138" s="8">
        <v>6058</v>
      </c>
      <c r="C138" s="8">
        <v>23718</v>
      </c>
      <c r="D138" s="8">
        <v>29776</v>
      </c>
      <c r="E138" s="8">
        <v>5299</v>
      </c>
      <c r="F138" s="8">
        <v>24477</v>
      </c>
      <c r="G138" s="2">
        <v>20.3</v>
      </c>
      <c r="H138" s="2">
        <v>79.7</v>
      </c>
      <c r="I138" s="2">
        <v>17.8</v>
      </c>
      <c r="J138" s="2">
        <v>82.2</v>
      </c>
      <c r="K138" s="8">
        <v>46</v>
      </c>
      <c r="L138" s="8">
        <v>183</v>
      </c>
      <c r="M138" s="8">
        <v>264</v>
      </c>
      <c r="N138" s="8">
        <v>1070</v>
      </c>
      <c r="O138" s="8">
        <v>1660</v>
      </c>
      <c r="P138" s="8">
        <v>1502</v>
      </c>
      <c r="Q138" s="8">
        <v>356</v>
      </c>
      <c r="R138" s="8">
        <v>978</v>
      </c>
      <c r="S138" s="8">
        <v>32035</v>
      </c>
      <c r="T138" s="8">
        <v>404</v>
      </c>
      <c r="U138" s="8">
        <v>78</v>
      </c>
      <c r="V138" s="8">
        <v>2587</v>
      </c>
      <c r="W138" s="8">
        <v>126</v>
      </c>
      <c r="X138" s="8">
        <v>194</v>
      </c>
      <c r="Y138" s="8">
        <v>2070</v>
      </c>
      <c r="Z138" s="8">
        <v>4836</v>
      </c>
      <c r="AA138" s="8">
        <v>1513</v>
      </c>
      <c r="AB138" s="8">
        <v>2041</v>
      </c>
      <c r="AC138" s="8">
        <v>1238</v>
      </c>
      <c r="AD138" s="8">
        <v>1128</v>
      </c>
      <c r="AE138" s="8">
        <v>509</v>
      </c>
      <c r="AF138" s="8">
        <v>2500</v>
      </c>
      <c r="AG138" s="8">
        <v>2664</v>
      </c>
      <c r="AH138" s="8">
        <v>1564</v>
      </c>
      <c r="AI138" s="8">
        <v>2774</v>
      </c>
      <c r="AJ138" s="8">
        <v>4018</v>
      </c>
      <c r="AK138" s="8">
        <v>915</v>
      </c>
      <c r="AL138" s="8">
        <v>809</v>
      </c>
      <c r="AM138" s="8">
        <v>69</v>
      </c>
      <c r="AN138" s="8">
        <v>26577</v>
      </c>
      <c r="AO138" s="8">
        <v>501</v>
      </c>
      <c r="AP138" s="8">
        <v>2537</v>
      </c>
      <c r="AQ138" s="2">
        <v>7.8</v>
      </c>
      <c r="AR138" s="2">
        <v>5.0999999999999996</v>
      </c>
      <c r="AS138" s="2">
        <v>-0.66666666666666663</v>
      </c>
      <c r="AT138" s="8">
        <v>67</v>
      </c>
      <c r="AU138" s="8">
        <v>52</v>
      </c>
      <c r="AV138" s="8">
        <v>902</v>
      </c>
      <c r="AW138" s="8">
        <v>51045</v>
      </c>
      <c r="AX138" s="2">
        <v>63.3</v>
      </c>
      <c r="AY138" s="2">
        <v>71.099999999999994</v>
      </c>
      <c r="AZ138" s="2">
        <v>32</v>
      </c>
      <c r="BA138" s="8">
        <v>455.66666666666669</v>
      </c>
      <c r="BB138" s="8">
        <v>29788</v>
      </c>
      <c r="BC138" s="8" t="e">
        <v>#N/A</v>
      </c>
      <c r="BD138" s="8">
        <v>25255</v>
      </c>
      <c r="BE138" s="8">
        <v>1412</v>
      </c>
      <c r="BF138" s="8">
        <v>2365</v>
      </c>
      <c r="BG138" s="8">
        <v>2537</v>
      </c>
    </row>
    <row r="139" spans="1:59" x14ac:dyDescent="0.25">
      <c r="A139" t="s">
        <v>707</v>
      </c>
      <c r="B139" s="8">
        <v>6044</v>
      </c>
      <c r="C139" s="8">
        <v>23886</v>
      </c>
      <c r="D139" s="8">
        <v>29930</v>
      </c>
      <c r="E139" s="8">
        <v>5284</v>
      </c>
      <c r="F139" s="8">
        <v>24646</v>
      </c>
      <c r="G139" s="2">
        <v>20.2</v>
      </c>
      <c r="H139" s="2">
        <v>79.8</v>
      </c>
      <c r="I139" s="2">
        <v>17.7</v>
      </c>
      <c r="J139" s="2">
        <v>82.3</v>
      </c>
      <c r="K139" s="8">
        <v>46</v>
      </c>
      <c r="L139" s="8">
        <v>179</v>
      </c>
      <c r="M139" s="8">
        <v>263</v>
      </c>
      <c r="N139" s="8">
        <v>1069</v>
      </c>
      <c r="O139" s="8">
        <v>1659</v>
      </c>
      <c r="P139" s="8">
        <v>1505</v>
      </c>
      <c r="Q139" s="8">
        <v>351</v>
      </c>
      <c r="R139" s="8">
        <v>970</v>
      </c>
      <c r="S139" s="8">
        <v>31990</v>
      </c>
      <c r="T139" s="8">
        <v>380</v>
      </c>
      <c r="U139" s="8">
        <v>73</v>
      </c>
      <c r="V139" s="8">
        <v>2547</v>
      </c>
      <c r="W139" s="8">
        <v>120</v>
      </c>
      <c r="X139" s="8">
        <v>194</v>
      </c>
      <c r="Y139" s="8">
        <v>2053</v>
      </c>
      <c r="Z139" s="8">
        <v>4859</v>
      </c>
      <c r="AA139" s="8">
        <v>1517</v>
      </c>
      <c r="AB139" s="8">
        <v>2007</v>
      </c>
      <c r="AC139" s="8">
        <v>1264</v>
      </c>
      <c r="AD139" s="8">
        <v>1144</v>
      </c>
      <c r="AE139" s="8">
        <v>505</v>
      </c>
      <c r="AF139" s="8">
        <v>2575</v>
      </c>
      <c r="AG139" s="8">
        <v>2565</v>
      </c>
      <c r="AH139" s="8">
        <v>1562</v>
      </c>
      <c r="AI139" s="8">
        <v>2765</v>
      </c>
      <c r="AJ139" s="8">
        <v>4055</v>
      </c>
      <c r="AK139" s="8">
        <v>899</v>
      </c>
      <c r="AL139" s="8">
        <v>831</v>
      </c>
      <c r="AM139" s="8">
        <v>75</v>
      </c>
      <c r="AN139" s="8">
        <v>26624</v>
      </c>
      <c r="AO139" s="8">
        <v>503.66666666666669</v>
      </c>
      <c r="AP139" s="8">
        <v>2534</v>
      </c>
      <c r="AQ139" s="2">
        <v>7.8</v>
      </c>
      <c r="AR139" s="2">
        <v>5.8</v>
      </c>
      <c r="AS139" s="2">
        <v>-0.6</v>
      </c>
      <c r="AT139" s="8">
        <v>73</v>
      </c>
      <c r="AU139" s="8">
        <v>54</v>
      </c>
      <c r="AV139" s="8">
        <v>885</v>
      </c>
      <c r="AW139" s="8">
        <v>51135</v>
      </c>
      <c r="AX139" s="2">
        <v>63.5</v>
      </c>
      <c r="AY139" s="2">
        <v>71.400000000000006</v>
      </c>
      <c r="AZ139" s="2">
        <v>31.9</v>
      </c>
      <c r="BA139" s="8">
        <v>454.66666666666669</v>
      </c>
      <c r="BB139" s="8">
        <v>29945</v>
      </c>
      <c r="BC139" s="8" t="e">
        <v>#N/A</v>
      </c>
      <c r="BD139" s="8">
        <v>25369</v>
      </c>
      <c r="BE139" s="8">
        <v>1392</v>
      </c>
      <c r="BF139" s="8">
        <v>2344</v>
      </c>
      <c r="BG139" s="8">
        <v>2534</v>
      </c>
    </row>
    <row r="140" spans="1:59" x14ac:dyDescent="0.25">
      <c r="A140" t="s">
        <v>708</v>
      </c>
      <c r="B140" s="8">
        <v>6024</v>
      </c>
      <c r="C140" s="8">
        <v>23906</v>
      </c>
      <c r="D140" s="8">
        <v>29930</v>
      </c>
      <c r="E140" s="8">
        <v>5280</v>
      </c>
      <c r="F140" s="8">
        <v>24650</v>
      </c>
      <c r="G140" s="2">
        <v>20.100000000000001</v>
      </c>
      <c r="H140" s="2">
        <v>79.900000000000006</v>
      </c>
      <c r="I140" s="2">
        <v>17.600000000000001</v>
      </c>
      <c r="J140" s="2">
        <v>82.4</v>
      </c>
      <c r="K140" s="8">
        <v>45</v>
      </c>
      <c r="L140" s="8">
        <v>178</v>
      </c>
      <c r="M140" s="8">
        <v>261</v>
      </c>
      <c r="N140" s="8">
        <v>1072</v>
      </c>
      <c r="O140" s="8">
        <v>1659</v>
      </c>
      <c r="P140" s="8">
        <v>1508</v>
      </c>
      <c r="Q140" s="8">
        <v>347</v>
      </c>
      <c r="R140" s="8">
        <v>956</v>
      </c>
      <c r="S140" s="8">
        <v>32173</v>
      </c>
      <c r="T140" s="8">
        <v>373</v>
      </c>
      <c r="U140" s="8">
        <v>71</v>
      </c>
      <c r="V140" s="8">
        <v>2546</v>
      </c>
      <c r="W140" s="8">
        <v>126</v>
      </c>
      <c r="X140" s="8">
        <v>196</v>
      </c>
      <c r="Y140" s="8">
        <v>2049</v>
      </c>
      <c r="Z140" s="8">
        <v>4900</v>
      </c>
      <c r="AA140" s="8">
        <v>1501</v>
      </c>
      <c r="AB140" s="8">
        <v>1997</v>
      </c>
      <c r="AC140" s="8">
        <v>1268</v>
      </c>
      <c r="AD140" s="8">
        <v>1139</v>
      </c>
      <c r="AE140" s="8">
        <v>510</v>
      </c>
      <c r="AF140" s="8">
        <v>2604</v>
      </c>
      <c r="AG140" s="8">
        <v>2602</v>
      </c>
      <c r="AH140" s="8">
        <v>1562</v>
      </c>
      <c r="AI140" s="8">
        <v>2787</v>
      </c>
      <c r="AJ140" s="8">
        <v>4122</v>
      </c>
      <c r="AK140" s="8">
        <v>902</v>
      </c>
      <c r="AL140" s="8">
        <v>845</v>
      </c>
      <c r="AM140" s="8">
        <v>75</v>
      </c>
      <c r="AN140" s="8">
        <v>26813</v>
      </c>
      <c r="AO140" s="8">
        <v>482.66666666666669</v>
      </c>
      <c r="AP140" s="8">
        <v>2540</v>
      </c>
      <c r="AQ140" s="2">
        <v>7.8</v>
      </c>
      <c r="AR140" s="2">
        <v>5.6</v>
      </c>
      <c r="AS140" s="2">
        <v>-0.56666666666666676</v>
      </c>
      <c r="AT140" s="8">
        <v>57</v>
      </c>
      <c r="AU140" s="8">
        <v>55</v>
      </c>
      <c r="AV140" s="8">
        <v>907</v>
      </c>
      <c r="AW140" s="8">
        <v>51225</v>
      </c>
      <c r="AX140" s="2">
        <v>63.3</v>
      </c>
      <c r="AY140" s="2">
        <v>71.2</v>
      </c>
      <c r="AZ140" s="2">
        <v>32</v>
      </c>
      <c r="BA140" s="8">
        <v>452.66666666666669</v>
      </c>
      <c r="BB140" s="8">
        <v>29884</v>
      </c>
      <c r="BC140" s="8" t="e">
        <v>#N/A</v>
      </c>
      <c r="BD140" s="8">
        <v>25398</v>
      </c>
      <c r="BE140" s="8">
        <v>1418</v>
      </c>
      <c r="BF140" s="8">
        <v>2327</v>
      </c>
      <c r="BG140" s="8">
        <v>2540</v>
      </c>
    </row>
    <row r="141" spans="1:59" x14ac:dyDescent="0.25">
      <c r="A141" t="s">
        <v>709</v>
      </c>
      <c r="B141" s="8">
        <v>6024</v>
      </c>
      <c r="C141" s="8">
        <v>24025</v>
      </c>
      <c r="D141" s="8">
        <v>30049</v>
      </c>
      <c r="E141" s="8">
        <v>5285</v>
      </c>
      <c r="F141" s="8">
        <v>24764</v>
      </c>
      <c r="G141" s="2">
        <v>20</v>
      </c>
      <c r="H141" s="2">
        <v>80</v>
      </c>
      <c r="I141" s="2">
        <v>17.600000000000001</v>
      </c>
      <c r="J141" s="2">
        <v>82.4</v>
      </c>
      <c r="K141" s="8">
        <v>44</v>
      </c>
      <c r="L141" s="8">
        <v>175</v>
      </c>
      <c r="M141" s="8">
        <v>261</v>
      </c>
      <c r="N141" s="8">
        <v>1072</v>
      </c>
      <c r="O141" s="8">
        <v>1683</v>
      </c>
      <c r="P141" s="8">
        <v>1505</v>
      </c>
      <c r="Q141" s="8">
        <v>343</v>
      </c>
      <c r="R141" s="8">
        <v>944</v>
      </c>
      <c r="S141" s="8">
        <v>32236</v>
      </c>
      <c r="T141" s="8">
        <v>380</v>
      </c>
      <c r="U141" s="8">
        <v>69</v>
      </c>
      <c r="V141" s="8">
        <v>2560</v>
      </c>
      <c r="W141" s="8">
        <v>122</v>
      </c>
      <c r="X141" s="8">
        <v>189</v>
      </c>
      <c r="Y141" s="8">
        <v>2045</v>
      </c>
      <c r="Z141" s="8">
        <v>4850</v>
      </c>
      <c r="AA141" s="8">
        <v>1489</v>
      </c>
      <c r="AB141" s="8">
        <v>2089</v>
      </c>
      <c r="AC141" s="8">
        <v>1269</v>
      </c>
      <c r="AD141" s="8">
        <v>1118</v>
      </c>
      <c r="AE141" s="8">
        <v>542</v>
      </c>
      <c r="AF141" s="8">
        <v>2630</v>
      </c>
      <c r="AG141" s="8">
        <v>2595</v>
      </c>
      <c r="AH141" s="8">
        <v>1560</v>
      </c>
      <c r="AI141" s="8">
        <v>2818</v>
      </c>
      <c r="AJ141" s="8">
        <v>4099</v>
      </c>
      <c r="AK141" s="8">
        <v>909</v>
      </c>
      <c r="AL141" s="8">
        <v>836</v>
      </c>
      <c r="AM141" s="8">
        <v>69</v>
      </c>
      <c r="AN141" s="8">
        <v>26873</v>
      </c>
      <c r="AO141" s="8">
        <v>542</v>
      </c>
      <c r="AP141" s="8">
        <v>2515</v>
      </c>
      <c r="AQ141" s="2">
        <v>7.7</v>
      </c>
      <c r="AR141" s="2">
        <v>4.9000000000000004</v>
      </c>
      <c r="AS141" s="2">
        <v>-0.53333333333333333</v>
      </c>
      <c r="AT141" s="8">
        <v>52</v>
      </c>
      <c r="AU141" s="8">
        <v>37</v>
      </c>
      <c r="AV141" s="8">
        <v>913</v>
      </c>
      <c r="AW141" s="8">
        <v>51316</v>
      </c>
      <c r="AX141" s="2">
        <v>63.3</v>
      </c>
      <c r="AY141" s="2">
        <v>71.3</v>
      </c>
      <c r="AZ141" s="2">
        <v>32</v>
      </c>
      <c r="BA141" s="8">
        <v>465</v>
      </c>
      <c r="BB141" s="8">
        <v>29990</v>
      </c>
      <c r="BC141" s="8" t="e">
        <v>#N/A</v>
      </c>
      <c r="BD141" s="8">
        <v>25462</v>
      </c>
      <c r="BE141" s="8">
        <v>1455</v>
      </c>
      <c r="BF141" s="8">
        <v>2300</v>
      </c>
      <c r="BG141" s="8">
        <v>2515</v>
      </c>
    </row>
    <row r="142" spans="1:59" x14ac:dyDescent="0.25">
      <c r="A142" t="s">
        <v>710</v>
      </c>
      <c r="B142" s="8">
        <v>6028</v>
      </c>
      <c r="C142" s="8">
        <v>24252</v>
      </c>
      <c r="D142" s="8">
        <v>30280</v>
      </c>
      <c r="E142" s="8">
        <v>5300</v>
      </c>
      <c r="F142" s="8">
        <v>24980</v>
      </c>
      <c r="G142" s="2">
        <v>19.899999999999999</v>
      </c>
      <c r="H142" s="2">
        <v>80.099999999999994</v>
      </c>
      <c r="I142" s="2">
        <v>17.5</v>
      </c>
      <c r="J142" s="2">
        <v>82.5</v>
      </c>
      <c r="K142" s="8">
        <v>44</v>
      </c>
      <c r="L142" s="8">
        <v>174</v>
      </c>
      <c r="M142" s="8">
        <v>259</v>
      </c>
      <c r="N142" s="8">
        <v>1073</v>
      </c>
      <c r="O142" s="8">
        <v>1693</v>
      </c>
      <c r="P142" s="8">
        <v>1512</v>
      </c>
      <c r="Q142" s="8">
        <v>341</v>
      </c>
      <c r="R142" s="8">
        <v>936</v>
      </c>
      <c r="S142" s="8">
        <v>32464</v>
      </c>
      <c r="T142" s="8">
        <v>374</v>
      </c>
      <c r="U142" s="8">
        <v>68</v>
      </c>
      <c r="V142" s="8">
        <v>2575</v>
      </c>
      <c r="W142" s="8">
        <v>121</v>
      </c>
      <c r="X142" s="8">
        <v>193</v>
      </c>
      <c r="Y142" s="8">
        <v>2073</v>
      </c>
      <c r="Z142" s="8">
        <v>4850</v>
      </c>
      <c r="AA142" s="8">
        <v>1506</v>
      </c>
      <c r="AB142" s="8">
        <v>2113</v>
      </c>
      <c r="AC142" s="8">
        <v>1276</v>
      </c>
      <c r="AD142" s="8">
        <v>1107</v>
      </c>
      <c r="AE142" s="8">
        <v>546</v>
      </c>
      <c r="AF142" s="8">
        <v>2670</v>
      </c>
      <c r="AG142" s="8">
        <v>2615</v>
      </c>
      <c r="AH142" s="8">
        <v>1553</v>
      </c>
      <c r="AI142" s="8">
        <v>2846</v>
      </c>
      <c r="AJ142" s="8">
        <v>4114</v>
      </c>
      <c r="AK142" s="8">
        <v>915</v>
      </c>
      <c r="AL142" s="8">
        <v>888</v>
      </c>
      <c r="AM142" s="8">
        <v>63</v>
      </c>
      <c r="AN142" s="8">
        <v>27061</v>
      </c>
      <c r="AO142" s="8">
        <v>560.66666666666663</v>
      </c>
      <c r="AP142" s="8">
        <v>2483</v>
      </c>
      <c r="AQ142" s="2">
        <v>7.6</v>
      </c>
      <c r="AR142" s="2">
        <v>4.9000000000000004</v>
      </c>
      <c r="AS142" s="2">
        <v>-0.56666666666666665</v>
      </c>
      <c r="AT142" s="8">
        <v>67</v>
      </c>
      <c r="AU142" s="8">
        <v>54</v>
      </c>
      <c r="AV142" s="8">
        <v>893</v>
      </c>
      <c r="AW142" s="8">
        <v>51412</v>
      </c>
      <c r="AX142" s="2">
        <v>63.5</v>
      </c>
      <c r="AY142" s="2">
        <v>71.599999999999994</v>
      </c>
      <c r="AZ142" s="2">
        <v>32.200000000000003</v>
      </c>
      <c r="BA142" s="8">
        <v>460</v>
      </c>
      <c r="BB142" s="8">
        <v>30163</v>
      </c>
      <c r="BC142" s="8" t="e">
        <v>#N/A</v>
      </c>
      <c r="BD142" s="8">
        <v>25579</v>
      </c>
      <c r="BE142" s="8">
        <v>1462</v>
      </c>
      <c r="BF142" s="8">
        <v>2341</v>
      </c>
      <c r="BG142" s="8">
        <v>2483</v>
      </c>
    </row>
    <row r="143" spans="1:59" x14ac:dyDescent="0.25">
      <c r="A143" t="s">
        <v>711</v>
      </c>
      <c r="B143" s="8">
        <v>5858</v>
      </c>
      <c r="C143" s="8">
        <v>24532</v>
      </c>
      <c r="D143" s="8">
        <v>30390</v>
      </c>
      <c r="E143" s="8">
        <v>5287</v>
      </c>
      <c r="F143" s="8">
        <v>25103</v>
      </c>
      <c r="G143" s="2">
        <v>19.3</v>
      </c>
      <c r="H143" s="2">
        <v>80.7</v>
      </c>
      <c r="I143" s="2">
        <v>17.399999999999999</v>
      </c>
      <c r="J143" s="2">
        <v>82.6</v>
      </c>
      <c r="K143" s="8">
        <v>43</v>
      </c>
      <c r="L143" s="8">
        <v>169</v>
      </c>
      <c r="M143" s="8">
        <v>258</v>
      </c>
      <c r="N143" s="8">
        <v>1061</v>
      </c>
      <c r="O143" s="8">
        <v>1699</v>
      </c>
      <c r="P143" s="8">
        <v>1516</v>
      </c>
      <c r="Q143" s="8">
        <v>337</v>
      </c>
      <c r="R143" s="8">
        <v>772</v>
      </c>
      <c r="S143" s="8">
        <v>32836</v>
      </c>
      <c r="T143" s="8">
        <v>414</v>
      </c>
      <c r="U143" s="8">
        <v>72</v>
      </c>
      <c r="V143" s="8">
        <v>2576</v>
      </c>
      <c r="W143" s="8">
        <v>122</v>
      </c>
      <c r="X143" s="8">
        <v>198</v>
      </c>
      <c r="Y143" s="8">
        <v>2113</v>
      </c>
      <c r="Z143" s="8">
        <v>4901</v>
      </c>
      <c r="AA143" s="8">
        <v>1505</v>
      </c>
      <c r="AB143" s="8">
        <v>2135</v>
      </c>
      <c r="AC143" s="8">
        <v>1309</v>
      </c>
      <c r="AD143" s="8">
        <v>1115</v>
      </c>
      <c r="AE143" s="8">
        <v>547</v>
      </c>
      <c r="AF143" s="8">
        <v>2733</v>
      </c>
      <c r="AG143" s="8">
        <v>2671</v>
      </c>
      <c r="AH143" s="8">
        <v>1540</v>
      </c>
      <c r="AI143" s="8">
        <v>2862</v>
      </c>
      <c r="AJ143" s="8">
        <v>4133</v>
      </c>
      <c r="AK143" s="8">
        <v>919</v>
      </c>
      <c r="AL143" s="8">
        <v>892</v>
      </c>
      <c r="AM143" s="8">
        <v>78</v>
      </c>
      <c r="AN143" s="8">
        <v>27341</v>
      </c>
      <c r="AO143" s="8">
        <v>574.66666666666663</v>
      </c>
      <c r="AP143" s="8">
        <v>2358</v>
      </c>
      <c r="AQ143" s="2">
        <v>7.2</v>
      </c>
      <c r="AR143" s="2">
        <v>4.3</v>
      </c>
      <c r="AS143" s="2">
        <v>-0.23333333333333331</v>
      </c>
      <c r="AT143" s="8">
        <v>81</v>
      </c>
      <c r="AU143" s="8">
        <v>60</v>
      </c>
      <c r="AV143" s="8">
        <v>847</v>
      </c>
      <c r="AW143" s="8">
        <v>51511</v>
      </c>
      <c r="AX143" s="2">
        <v>63.5</v>
      </c>
      <c r="AY143" s="2">
        <v>72</v>
      </c>
      <c r="AZ143" s="2">
        <v>32</v>
      </c>
      <c r="BA143" s="8">
        <v>461</v>
      </c>
      <c r="BB143" s="8">
        <v>30350</v>
      </c>
      <c r="BC143" s="8" t="e">
        <v>#N/A</v>
      </c>
      <c r="BD143" s="8">
        <v>25615</v>
      </c>
      <c r="BE143" s="8">
        <v>1430</v>
      </c>
      <c r="BF143" s="8">
        <v>2315</v>
      </c>
      <c r="BG143" s="8">
        <v>2358</v>
      </c>
    </row>
    <row r="144" spans="1:59" x14ac:dyDescent="0.25">
      <c r="A144" t="s">
        <v>712</v>
      </c>
      <c r="B144" s="8">
        <v>5749</v>
      </c>
      <c r="C144" s="8">
        <v>24956</v>
      </c>
      <c r="D144" s="8">
        <v>30705</v>
      </c>
      <c r="E144" s="8">
        <v>5280</v>
      </c>
      <c r="F144" s="8">
        <v>25425</v>
      </c>
      <c r="G144" s="2">
        <v>18.7</v>
      </c>
      <c r="H144" s="2">
        <v>81.3</v>
      </c>
      <c r="I144" s="2">
        <v>17.2</v>
      </c>
      <c r="J144" s="2">
        <v>82.8</v>
      </c>
      <c r="K144" s="8">
        <v>43</v>
      </c>
      <c r="L144" s="8">
        <v>166</v>
      </c>
      <c r="M144" s="8">
        <v>257</v>
      </c>
      <c r="N144" s="8">
        <v>1059</v>
      </c>
      <c r="O144" s="8">
        <v>1699</v>
      </c>
      <c r="P144" s="8">
        <v>1523</v>
      </c>
      <c r="Q144" s="8">
        <v>333</v>
      </c>
      <c r="R144" s="8">
        <v>668</v>
      </c>
      <c r="S144" s="8">
        <v>33134</v>
      </c>
      <c r="T144" s="8">
        <v>447</v>
      </c>
      <c r="U144" s="8">
        <v>67</v>
      </c>
      <c r="V144" s="8">
        <v>2580</v>
      </c>
      <c r="W144" s="8">
        <v>120</v>
      </c>
      <c r="X144" s="8">
        <v>196</v>
      </c>
      <c r="Y144" s="8">
        <v>2120</v>
      </c>
      <c r="Z144" s="8">
        <v>4878</v>
      </c>
      <c r="AA144" s="8">
        <v>1515</v>
      </c>
      <c r="AB144" s="8">
        <v>2148</v>
      </c>
      <c r="AC144" s="8">
        <v>1345</v>
      </c>
      <c r="AD144" s="8">
        <v>1124</v>
      </c>
      <c r="AE144" s="8">
        <v>552</v>
      </c>
      <c r="AF144" s="8">
        <v>2783</v>
      </c>
      <c r="AG144" s="8">
        <v>2710</v>
      </c>
      <c r="AH144" s="8">
        <v>1540</v>
      </c>
      <c r="AI144" s="8">
        <v>2878</v>
      </c>
      <c r="AJ144" s="8">
        <v>4197</v>
      </c>
      <c r="AK144" s="8">
        <v>944</v>
      </c>
      <c r="AL144" s="8">
        <v>901</v>
      </c>
      <c r="AM144" s="8">
        <v>86</v>
      </c>
      <c r="AN144" s="8">
        <v>27603</v>
      </c>
      <c r="AO144" s="8">
        <v>592.33333333333337</v>
      </c>
      <c r="AP144" s="8">
        <v>2212</v>
      </c>
      <c r="AQ144" s="2">
        <v>6.7</v>
      </c>
      <c r="AR144" s="2">
        <v>4.9000000000000004</v>
      </c>
      <c r="AS144" s="2">
        <v>0.3666666666666667</v>
      </c>
      <c r="AT144" s="8">
        <v>72</v>
      </c>
      <c r="AU144" s="8">
        <v>62</v>
      </c>
      <c r="AV144" s="8">
        <v>817</v>
      </c>
      <c r="AW144" s="8">
        <v>51610</v>
      </c>
      <c r="AX144" s="2">
        <v>63.6</v>
      </c>
      <c r="AY144" s="2">
        <v>72.5</v>
      </c>
      <c r="AZ144" s="2">
        <v>32.1</v>
      </c>
      <c r="BA144" s="8">
        <v>461.33333333333331</v>
      </c>
      <c r="BB144" s="8">
        <v>30595</v>
      </c>
      <c r="BC144" s="8" t="e">
        <v>#N/A</v>
      </c>
      <c r="BD144" s="8">
        <v>25706</v>
      </c>
      <c r="BE144" s="8">
        <v>1419</v>
      </c>
      <c r="BF144" s="8">
        <v>2307</v>
      </c>
      <c r="BG144" s="8">
        <v>2212</v>
      </c>
    </row>
    <row r="145" spans="1:59" x14ac:dyDescent="0.25">
      <c r="A145" t="s">
        <v>713</v>
      </c>
      <c r="B145" s="8">
        <v>5737</v>
      </c>
      <c r="C145" s="8">
        <v>25033</v>
      </c>
      <c r="D145" s="8">
        <v>30770</v>
      </c>
      <c r="E145" s="8">
        <v>5271</v>
      </c>
      <c r="F145" s="8">
        <v>25499</v>
      </c>
      <c r="G145" s="2">
        <v>18.600000000000001</v>
      </c>
      <c r="H145" s="2">
        <v>81.400000000000006</v>
      </c>
      <c r="I145" s="2">
        <v>17.100000000000001</v>
      </c>
      <c r="J145" s="2">
        <v>82.9</v>
      </c>
      <c r="K145" s="8">
        <v>43</v>
      </c>
      <c r="L145" s="8">
        <v>164</v>
      </c>
      <c r="M145" s="8">
        <v>256</v>
      </c>
      <c r="N145" s="8">
        <v>1059</v>
      </c>
      <c r="O145" s="8">
        <v>1694</v>
      </c>
      <c r="P145" s="8">
        <v>1528</v>
      </c>
      <c r="Q145" s="8">
        <v>322</v>
      </c>
      <c r="R145" s="8">
        <v>668</v>
      </c>
      <c r="S145" s="8">
        <v>33446</v>
      </c>
      <c r="T145" s="8">
        <v>437</v>
      </c>
      <c r="U145" s="8">
        <v>66</v>
      </c>
      <c r="V145" s="8">
        <v>2621</v>
      </c>
      <c r="W145" s="8">
        <v>115</v>
      </c>
      <c r="X145" s="8">
        <v>197</v>
      </c>
      <c r="Y145" s="8">
        <v>2125</v>
      </c>
      <c r="Z145" s="8">
        <v>4936</v>
      </c>
      <c r="AA145" s="8">
        <v>1511</v>
      </c>
      <c r="AB145" s="8">
        <v>2193</v>
      </c>
      <c r="AC145" s="8">
        <v>1355</v>
      </c>
      <c r="AD145" s="8">
        <v>1132</v>
      </c>
      <c r="AE145" s="8">
        <v>550</v>
      </c>
      <c r="AF145" s="8">
        <v>2826</v>
      </c>
      <c r="AG145" s="8">
        <v>2818</v>
      </c>
      <c r="AH145" s="8">
        <v>1540</v>
      </c>
      <c r="AI145" s="8">
        <v>2887</v>
      </c>
      <c r="AJ145" s="8">
        <v>4203</v>
      </c>
      <c r="AK145" s="8">
        <v>946</v>
      </c>
      <c r="AL145" s="8">
        <v>893</v>
      </c>
      <c r="AM145" s="8">
        <v>95</v>
      </c>
      <c r="AN145" s="8">
        <v>27885</v>
      </c>
      <c r="AO145" s="8">
        <v>669.33333333333337</v>
      </c>
      <c r="AP145" s="8">
        <v>2061</v>
      </c>
      <c r="AQ145" s="2">
        <v>6.3</v>
      </c>
      <c r="AR145" s="2">
        <v>4.4000000000000004</v>
      </c>
      <c r="AS145" s="2">
        <v>0.6333333333333333</v>
      </c>
      <c r="AT145" s="8">
        <v>72</v>
      </c>
      <c r="AU145" s="8">
        <v>52</v>
      </c>
      <c r="AV145" s="8">
        <v>740</v>
      </c>
      <c r="AW145" s="8">
        <v>51710</v>
      </c>
      <c r="AX145" s="2">
        <v>63.5</v>
      </c>
      <c r="AY145" s="2">
        <v>72.8</v>
      </c>
      <c r="AZ145" s="2">
        <v>32.200000000000003</v>
      </c>
      <c r="BA145" s="8">
        <v>465.33333333333331</v>
      </c>
      <c r="BB145" s="8">
        <v>30771</v>
      </c>
      <c r="BC145" s="8" t="e">
        <v>#N/A</v>
      </c>
      <c r="BD145" s="8">
        <v>25858</v>
      </c>
      <c r="BE145" s="8">
        <v>1347</v>
      </c>
      <c r="BF145" s="8">
        <v>2303</v>
      </c>
      <c r="BG145" s="8">
        <v>2061</v>
      </c>
    </row>
    <row r="146" spans="1:59" x14ac:dyDescent="0.25">
      <c r="A146" t="s">
        <v>714</v>
      </c>
      <c r="B146" s="8">
        <v>5722</v>
      </c>
      <c r="C146" s="8">
        <v>25192</v>
      </c>
      <c r="D146" s="8">
        <v>30914</v>
      </c>
      <c r="E146" s="8">
        <v>5258</v>
      </c>
      <c r="F146" s="8">
        <v>25656</v>
      </c>
      <c r="G146" s="2">
        <v>18.5</v>
      </c>
      <c r="H146" s="2">
        <v>81.5</v>
      </c>
      <c r="I146" s="2">
        <v>17</v>
      </c>
      <c r="J146" s="2">
        <v>83</v>
      </c>
      <c r="K146" s="8">
        <v>43</v>
      </c>
      <c r="L146" s="8">
        <v>163</v>
      </c>
      <c r="M146" s="8">
        <v>256</v>
      </c>
      <c r="N146" s="8">
        <v>1053</v>
      </c>
      <c r="O146" s="8">
        <v>1689</v>
      </c>
      <c r="P146" s="8">
        <v>1534</v>
      </c>
      <c r="Q146" s="8">
        <v>319</v>
      </c>
      <c r="R146" s="8">
        <v>663</v>
      </c>
      <c r="S146" s="8">
        <v>33575</v>
      </c>
      <c r="T146" s="8">
        <v>444</v>
      </c>
      <c r="U146" s="8">
        <v>68</v>
      </c>
      <c r="V146" s="8">
        <v>2640</v>
      </c>
      <c r="W146" s="8">
        <v>121</v>
      </c>
      <c r="X146" s="8">
        <v>195</v>
      </c>
      <c r="Y146" s="8">
        <v>2134</v>
      </c>
      <c r="Z146" s="8">
        <v>4961</v>
      </c>
      <c r="AA146" s="8">
        <v>1534</v>
      </c>
      <c r="AB146" s="8">
        <v>2197</v>
      </c>
      <c r="AC146" s="8">
        <v>1361</v>
      </c>
      <c r="AD146" s="8">
        <v>1128</v>
      </c>
      <c r="AE146" s="8">
        <v>539</v>
      </c>
      <c r="AF146" s="8">
        <v>2813</v>
      </c>
      <c r="AG146" s="8">
        <v>2842</v>
      </c>
      <c r="AH146" s="8">
        <v>1530</v>
      </c>
      <c r="AI146" s="8">
        <v>2884</v>
      </c>
      <c r="AJ146" s="8">
        <v>4222</v>
      </c>
      <c r="AK146" s="8">
        <v>970</v>
      </c>
      <c r="AL146" s="8">
        <v>908</v>
      </c>
      <c r="AM146" s="8">
        <v>84</v>
      </c>
      <c r="AN146" s="8">
        <v>27973</v>
      </c>
      <c r="AO146" s="8">
        <v>699.66666666666663</v>
      </c>
      <c r="AP146" s="8">
        <v>1962</v>
      </c>
      <c r="AQ146" s="2">
        <v>6</v>
      </c>
      <c r="AR146" s="2">
        <v>3.5</v>
      </c>
      <c r="AS146" s="2">
        <v>1.3666666666666669</v>
      </c>
      <c r="AT146" s="8">
        <v>72</v>
      </c>
      <c r="AU146" s="8">
        <v>58</v>
      </c>
      <c r="AV146" s="8">
        <v>690</v>
      </c>
      <c r="AW146" s="8">
        <v>51807</v>
      </c>
      <c r="AX146" s="2">
        <v>63.4</v>
      </c>
      <c r="AY146" s="2">
        <v>73</v>
      </c>
      <c r="AZ146" s="2">
        <v>32.200000000000003</v>
      </c>
      <c r="BA146" s="8">
        <v>465</v>
      </c>
      <c r="BB146" s="8">
        <v>30899</v>
      </c>
      <c r="BC146" s="8">
        <v>26831411.666666668</v>
      </c>
      <c r="BD146" s="8">
        <v>26058</v>
      </c>
      <c r="BE146" s="8">
        <v>1336</v>
      </c>
      <c r="BF146" s="8">
        <v>2279</v>
      </c>
      <c r="BG146" s="8">
        <v>1962</v>
      </c>
    </row>
    <row r="147" spans="1:59" x14ac:dyDescent="0.25">
      <c r="A147" t="s">
        <v>715</v>
      </c>
      <c r="B147" s="8">
        <v>5711</v>
      </c>
      <c r="C147" s="8">
        <v>25356</v>
      </c>
      <c r="D147" s="8">
        <v>31067</v>
      </c>
      <c r="E147" s="8">
        <v>5254</v>
      </c>
      <c r="F147" s="8">
        <v>25813</v>
      </c>
      <c r="G147" s="2">
        <v>18.399999999999999</v>
      </c>
      <c r="H147" s="2">
        <v>81.599999999999994</v>
      </c>
      <c r="I147" s="2">
        <v>16.899999999999999</v>
      </c>
      <c r="J147" s="2">
        <v>83.1</v>
      </c>
      <c r="K147" s="8">
        <v>42</v>
      </c>
      <c r="L147" s="8">
        <v>162</v>
      </c>
      <c r="M147" s="8">
        <v>255</v>
      </c>
      <c r="N147" s="8">
        <v>1045</v>
      </c>
      <c r="O147" s="8">
        <v>1691</v>
      </c>
      <c r="P147" s="8">
        <v>1538</v>
      </c>
      <c r="Q147" s="8">
        <v>314</v>
      </c>
      <c r="R147" s="8">
        <v>663</v>
      </c>
      <c r="S147" s="8">
        <v>33686</v>
      </c>
      <c r="T147" s="8">
        <v>420</v>
      </c>
      <c r="U147" s="8">
        <v>70</v>
      </c>
      <c r="V147" s="8">
        <v>2631</v>
      </c>
      <c r="W147" s="8">
        <v>125</v>
      </c>
      <c r="X147" s="8">
        <v>194</v>
      </c>
      <c r="Y147" s="8">
        <v>2153</v>
      </c>
      <c r="Z147" s="8">
        <v>4979</v>
      </c>
      <c r="AA147" s="8">
        <v>1560</v>
      </c>
      <c r="AB147" s="8">
        <v>2204</v>
      </c>
      <c r="AC147" s="8">
        <v>1365</v>
      </c>
      <c r="AD147" s="8">
        <v>1113</v>
      </c>
      <c r="AE147" s="8">
        <v>566</v>
      </c>
      <c r="AF147" s="8">
        <v>2840</v>
      </c>
      <c r="AG147" s="8">
        <v>2894</v>
      </c>
      <c r="AH147" s="8">
        <v>1519</v>
      </c>
      <c r="AI147" s="8">
        <v>2902</v>
      </c>
      <c r="AJ147" s="8">
        <v>4223</v>
      </c>
      <c r="AK147" s="8">
        <v>943</v>
      </c>
      <c r="AL147" s="8">
        <v>904</v>
      </c>
      <c r="AM147" s="8">
        <v>79</v>
      </c>
      <c r="AN147" s="8">
        <v>28094</v>
      </c>
      <c r="AO147" s="8">
        <v>709.66666666666663</v>
      </c>
      <c r="AP147" s="8">
        <v>1870</v>
      </c>
      <c r="AQ147" s="2">
        <v>5.7</v>
      </c>
      <c r="AR147" s="2">
        <v>4.0999999999999996</v>
      </c>
      <c r="AS147" s="2">
        <v>1.7</v>
      </c>
      <c r="AT147" s="8">
        <v>67</v>
      </c>
      <c r="AU147" s="8">
        <v>55</v>
      </c>
      <c r="AV147" s="8">
        <v>638</v>
      </c>
      <c r="AW147" s="8">
        <v>51903</v>
      </c>
      <c r="AX147" s="2">
        <v>63.3</v>
      </c>
      <c r="AY147" s="2">
        <v>73.2</v>
      </c>
      <c r="AZ147" s="2">
        <v>32.200000000000003</v>
      </c>
      <c r="BA147" s="8">
        <v>472.33333333333331</v>
      </c>
      <c r="BB147" s="8">
        <v>31008</v>
      </c>
      <c r="BC147" s="8">
        <v>26969892.333333332</v>
      </c>
      <c r="BD147" s="8">
        <v>26216</v>
      </c>
      <c r="BE147" s="8">
        <v>1310</v>
      </c>
      <c r="BF147" s="8">
        <v>2280</v>
      </c>
      <c r="BG147" s="8">
        <v>1870</v>
      </c>
    </row>
    <row r="148" spans="1:59" x14ac:dyDescent="0.25">
      <c r="A148" t="s">
        <v>716</v>
      </c>
      <c r="B148" s="8">
        <v>5689</v>
      </c>
      <c r="C148" s="8">
        <v>25501</v>
      </c>
      <c r="D148" s="8">
        <v>31190</v>
      </c>
      <c r="E148" s="8">
        <v>5244</v>
      </c>
      <c r="F148" s="8">
        <v>25946</v>
      </c>
      <c r="G148" s="2">
        <v>18.2</v>
      </c>
      <c r="H148" s="2">
        <v>81.8</v>
      </c>
      <c r="I148" s="2">
        <v>16.8</v>
      </c>
      <c r="J148" s="2">
        <v>83.2</v>
      </c>
      <c r="K148" s="8">
        <v>40</v>
      </c>
      <c r="L148" s="8">
        <v>160</v>
      </c>
      <c r="M148" s="8">
        <v>255</v>
      </c>
      <c r="N148" s="8">
        <v>1034</v>
      </c>
      <c r="O148" s="8">
        <v>1688</v>
      </c>
      <c r="P148" s="8">
        <v>1545</v>
      </c>
      <c r="Q148" s="8">
        <v>308</v>
      </c>
      <c r="R148" s="8">
        <v>656</v>
      </c>
      <c r="S148" s="8">
        <v>33806</v>
      </c>
      <c r="T148" s="8">
        <v>390</v>
      </c>
      <c r="U148" s="8">
        <v>75</v>
      </c>
      <c r="V148" s="8">
        <v>2650</v>
      </c>
      <c r="W148" s="8">
        <v>132</v>
      </c>
      <c r="X148" s="8">
        <v>195</v>
      </c>
      <c r="Y148" s="8">
        <v>2141</v>
      </c>
      <c r="Z148" s="8">
        <v>5032</v>
      </c>
      <c r="AA148" s="8">
        <v>1544</v>
      </c>
      <c r="AB148" s="8">
        <v>2209</v>
      </c>
      <c r="AC148" s="8">
        <v>1388</v>
      </c>
      <c r="AD148" s="8">
        <v>1118</v>
      </c>
      <c r="AE148" s="8">
        <v>556</v>
      </c>
      <c r="AF148" s="8">
        <v>2891</v>
      </c>
      <c r="AG148" s="8">
        <v>2870</v>
      </c>
      <c r="AH148" s="8">
        <v>1503</v>
      </c>
      <c r="AI148" s="8">
        <v>2936</v>
      </c>
      <c r="AJ148" s="8">
        <v>4223</v>
      </c>
      <c r="AK148" s="8">
        <v>955</v>
      </c>
      <c r="AL148" s="8">
        <v>932</v>
      </c>
      <c r="AM148" s="8">
        <v>66</v>
      </c>
      <c r="AN148" s="8">
        <v>28223</v>
      </c>
      <c r="AO148" s="8">
        <v>707</v>
      </c>
      <c r="AP148" s="8">
        <v>1826</v>
      </c>
      <c r="AQ148" s="2">
        <v>5.5</v>
      </c>
      <c r="AR148" s="2">
        <v>4.2</v>
      </c>
      <c r="AS148" s="2">
        <v>1.5333333333333332</v>
      </c>
      <c r="AT148" s="8">
        <v>69</v>
      </c>
      <c r="AU148" s="8">
        <v>65</v>
      </c>
      <c r="AV148" s="8">
        <v>589</v>
      </c>
      <c r="AW148" s="8">
        <v>52000</v>
      </c>
      <c r="AX148" s="2">
        <v>63.5</v>
      </c>
      <c r="AY148" s="2">
        <v>73.400000000000006</v>
      </c>
      <c r="AZ148" s="2">
        <v>32.1</v>
      </c>
      <c r="BA148" s="8">
        <v>474</v>
      </c>
      <c r="BB148" s="8">
        <v>31218</v>
      </c>
      <c r="BC148" s="8">
        <v>27222743.666666668</v>
      </c>
      <c r="BD148" s="8">
        <v>26409</v>
      </c>
      <c r="BE148" s="8">
        <v>1325</v>
      </c>
      <c r="BF148" s="8">
        <v>2309</v>
      </c>
      <c r="BG148" s="8">
        <v>1826</v>
      </c>
    </row>
    <row r="149" spans="1:59" x14ac:dyDescent="0.25">
      <c r="A149" t="s">
        <v>717</v>
      </c>
      <c r="B149" s="8">
        <v>5671</v>
      </c>
      <c r="C149" s="8">
        <v>25576</v>
      </c>
      <c r="D149" s="8">
        <v>31247</v>
      </c>
      <c r="E149" s="8">
        <v>5228</v>
      </c>
      <c r="F149" s="8">
        <v>26019</v>
      </c>
      <c r="G149" s="2">
        <v>18.100000000000001</v>
      </c>
      <c r="H149" s="2">
        <v>81.900000000000006</v>
      </c>
      <c r="I149" s="2">
        <v>16.7</v>
      </c>
      <c r="J149" s="2">
        <v>83.3</v>
      </c>
      <c r="K149" s="8">
        <v>40</v>
      </c>
      <c r="L149" s="8">
        <v>159</v>
      </c>
      <c r="M149" s="8">
        <v>254</v>
      </c>
      <c r="N149" s="8">
        <v>1020</v>
      </c>
      <c r="O149" s="8">
        <v>1689</v>
      </c>
      <c r="P149" s="8">
        <v>1551</v>
      </c>
      <c r="Q149" s="8">
        <v>305</v>
      </c>
      <c r="R149" s="8">
        <v>655</v>
      </c>
      <c r="S149" s="8">
        <v>33892</v>
      </c>
      <c r="T149" s="8">
        <v>388</v>
      </c>
      <c r="U149" s="8">
        <v>74</v>
      </c>
      <c r="V149" s="8">
        <v>2641</v>
      </c>
      <c r="W149" s="8">
        <v>133</v>
      </c>
      <c r="X149" s="8">
        <v>200</v>
      </c>
      <c r="Y149" s="8">
        <v>2121</v>
      </c>
      <c r="Z149" s="8">
        <v>5010</v>
      </c>
      <c r="AA149" s="8">
        <v>1611</v>
      </c>
      <c r="AB149" s="8">
        <v>2241</v>
      </c>
      <c r="AC149" s="8">
        <v>1384</v>
      </c>
      <c r="AD149" s="8">
        <v>1112</v>
      </c>
      <c r="AE149" s="8">
        <v>569</v>
      </c>
      <c r="AF149" s="8">
        <v>2914</v>
      </c>
      <c r="AG149" s="8">
        <v>2851</v>
      </c>
      <c r="AH149" s="8">
        <v>1491</v>
      </c>
      <c r="AI149" s="8">
        <v>2952</v>
      </c>
      <c r="AJ149" s="8">
        <v>4242</v>
      </c>
      <c r="AK149" s="8">
        <v>988</v>
      </c>
      <c r="AL149" s="8">
        <v>901</v>
      </c>
      <c r="AM149" s="8">
        <v>68</v>
      </c>
      <c r="AN149" s="8">
        <v>28335</v>
      </c>
      <c r="AO149" s="8">
        <v>737</v>
      </c>
      <c r="AP149" s="8">
        <v>1848</v>
      </c>
      <c r="AQ149" s="2">
        <v>5.6</v>
      </c>
      <c r="AR149" s="2">
        <v>4.3</v>
      </c>
      <c r="AS149" s="2">
        <v>1.6333333333333335</v>
      </c>
      <c r="AT149" s="8">
        <v>81</v>
      </c>
      <c r="AU149" s="8">
        <v>65</v>
      </c>
      <c r="AV149" s="8">
        <v>577</v>
      </c>
      <c r="AW149" s="8">
        <v>52096</v>
      </c>
      <c r="AX149" s="2">
        <v>63.4</v>
      </c>
      <c r="AY149" s="2">
        <v>73.400000000000006</v>
      </c>
      <c r="AZ149" s="2">
        <v>32.1</v>
      </c>
      <c r="BA149" s="8">
        <v>478.66666666666669</v>
      </c>
      <c r="BB149" s="8">
        <v>31170</v>
      </c>
      <c r="BC149" s="8">
        <v>27400929.666666668</v>
      </c>
      <c r="BD149" s="8">
        <v>26385</v>
      </c>
      <c r="BE149" s="8">
        <v>1291</v>
      </c>
      <c r="BF149" s="8">
        <v>2337</v>
      </c>
      <c r="BG149" s="8">
        <v>1848</v>
      </c>
    </row>
    <row r="150" spans="1:59" x14ac:dyDescent="0.25">
      <c r="A150" t="s">
        <v>718</v>
      </c>
      <c r="B150" s="8">
        <v>5659</v>
      </c>
      <c r="C150" s="8">
        <v>25838</v>
      </c>
      <c r="D150" s="8">
        <v>31497</v>
      </c>
      <c r="E150" s="8">
        <v>5216</v>
      </c>
      <c r="F150" s="8">
        <v>26281</v>
      </c>
      <c r="G150" s="2">
        <v>18</v>
      </c>
      <c r="H150" s="2">
        <v>82</v>
      </c>
      <c r="I150" s="2">
        <v>16.600000000000001</v>
      </c>
      <c r="J150" s="2">
        <v>83.4</v>
      </c>
      <c r="K150" s="8">
        <v>38</v>
      </c>
      <c r="L150" s="8">
        <v>159</v>
      </c>
      <c r="M150" s="8">
        <v>252</v>
      </c>
      <c r="N150" s="8">
        <v>1016</v>
      </c>
      <c r="O150" s="8">
        <v>1682</v>
      </c>
      <c r="P150" s="8">
        <v>1559</v>
      </c>
      <c r="Q150" s="8">
        <v>302</v>
      </c>
      <c r="R150" s="8">
        <v>652</v>
      </c>
      <c r="S150" s="8">
        <v>34083</v>
      </c>
      <c r="T150" s="8">
        <v>428</v>
      </c>
      <c r="U150" s="8">
        <v>67</v>
      </c>
      <c r="V150" s="8">
        <v>2620</v>
      </c>
      <c r="W150" s="8">
        <v>134</v>
      </c>
      <c r="X150" s="8">
        <v>201</v>
      </c>
      <c r="Y150" s="8">
        <v>2183</v>
      </c>
      <c r="Z150" s="8">
        <v>5024</v>
      </c>
      <c r="AA150" s="8">
        <v>1615</v>
      </c>
      <c r="AB150" s="8">
        <v>2267</v>
      </c>
      <c r="AC150" s="8">
        <v>1381</v>
      </c>
      <c r="AD150" s="8">
        <v>1109</v>
      </c>
      <c r="AE150" s="8">
        <v>564</v>
      </c>
      <c r="AF150" s="8">
        <v>2949</v>
      </c>
      <c r="AG150" s="8">
        <v>2919</v>
      </c>
      <c r="AH150" s="8">
        <v>1478</v>
      </c>
      <c r="AI150" s="8">
        <v>2957</v>
      </c>
      <c r="AJ150" s="8">
        <v>4222</v>
      </c>
      <c r="AK150" s="8">
        <v>983</v>
      </c>
      <c r="AL150" s="8">
        <v>923</v>
      </c>
      <c r="AM150" s="8">
        <v>58</v>
      </c>
      <c r="AN150" s="8">
        <v>28451</v>
      </c>
      <c r="AO150" s="8">
        <v>755</v>
      </c>
      <c r="AP150" s="8">
        <v>1760</v>
      </c>
      <c r="AQ150" s="2">
        <v>5.3</v>
      </c>
      <c r="AR150" s="2">
        <v>4.2</v>
      </c>
      <c r="AS150" s="2">
        <v>2.2999999999999998</v>
      </c>
      <c r="AT150" s="8">
        <v>72</v>
      </c>
      <c r="AU150" s="8">
        <v>63</v>
      </c>
      <c r="AV150" s="8">
        <v>516</v>
      </c>
      <c r="AW150" s="8">
        <v>52196</v>
      </c>
      <c r="AX150" s="2">
        <v>63.5</v>
      </c>
      <c r="AY150" s="2">
        <v>73.7</v>
      </c>
      <c r="AZ150" s="2">
        <v>31.9</v>
      </c>
      <c r="BA150" s="8">
        <v>480.66666666666669</v>
      </c>
      <c r="BB150" s="8">
        <v>31393</v>
      </c>
      <c r="BC150" s="8">
        <v>27564737</v>
      </c>
      <c r="BD150" s="8">
        <v>26554</v>
      </c>
      <c r="BE150" s="8">
        <v>1255</v>
      </c>
      <c r="BF150" s="8">
        <v>2261</v>
      </c>
      <c r="BG150" s="8">
        <v>1760</v>
      </c>
    </row>
    <row r="151" spans="1:59" x14ac:dyDescent="0.25">
      <c r="A151" t="s">
        <v>719</v>
      </c>
      <c r="B151" s="8">
        <v>5665</v>
      </c>
      <c r="C151" s="8">
        <v>25938</v>
      </c>
      <c r="D151" s="8">
        <v>31603</v>
      </c>
      <c r="E151" s="8">
        <v>5225</v>
      </c>
      <c r="F151" s="8">
        <v>26378</v>
      </c>
      <c r="G151" s="2">
        <v>17.899999999999999</v>
      </c>
      <c r="H151" s="2">
        <v>82.1</v>
      </c>
      <c r="I151" s="2">
        <v>16.5</v>
      </c>
      <c r="J151" s="2">
        <v>83.5</v>
      </c>
      <c r="K151" s="8">
        <v>38</v>
      </c>
      <c r="L151" s="8">
        <v>159</v>
      </c>
      <c r="M151" s="8">
        <v>250</v>
      </c>
      <c r="N151" s="8">
        <v>1015</v>
      </c>
      <c r="O151" s="8">
        <v>1681</v>
      </c>
      <c r="P151" s="8">
        <v>1571</v>
      </c>
      <c r="Q151" s="8">
        <v>300</v>
      </c>
      <c r="R151" s="8">
        <v>650</v>
      </c>
      <c r="S151" s="8">
        <v>34157</v>
      </c>
      <c r="T151" s="8">
        <v>417</v>
      </c>
      <c r="U151" s="8">
        <v>65</v>
      </c>
      <c r="V151" s="8">
        <v>2626</v>
      </c>
      <c r="W151" s="8">
        <v>140</v>
      </c>
      <c r="X151" s="8">
        <v>194</v>
      </c>
      <c r="Y151" s="8">
        <v>2183</v>
      </c>
      <c r="Z151" s="8">
        <v>5020</v>
      </c>
      <c r="AA151" s="8">
        <v>1657</v>
      </c>
      <c r="AB151" s="8">
        <v>2281</v>
      </c>
      <c r="AC151" s="8">
        <v>1376</v>
      </c>
      <c r="AD151" s="8">
        <v>1110</v>
      </c>
      <c r="AE151" s="8">
        <v>568</v>
      </c>
      <c r="AF151" s="8">
        <v>2967</v>
      </c>
      <c r="AG151" s="8">
        <v>2911</v>
      </c>
      <c r="AH151" s="8">
        <v>1478</v>
      </c>
      <c r="AI151" s="8">
        <v>2969</v>
      </c>
      <c r="AJ151" s="8">
        <v>4232</v>
      </c>
      <c r="AK151" s="8">
        <v>981</v>
      </c>
      <c r="AL151" s="8">
        <v>916</v>
      </c>
      <c r="AM151" s="8">
        <v>64</v>
      </c>
      <c r="AN151" s="8">
        <v>28531</v>
      </c>
      <c r="AO151" s="8">
        <v>747</v>
      </c>
      <c r="AP151" s="8">
        <v>1688</v>
      </c>
      <c r="AQ151" s="2">
        <v>5.0999999999999996</v>
      </c>
      <c r="AR151" s="2">
        <v>3.7</v>
      </c>
      <c r="AS151" s="2">
        <v>2.3333333333333335</v>
      </c>
      <c r="AT151" s="8">
        <v>79</v>
      </c>
      <c r="AU151" s="8">
        <v>64</v>
      </c>
      <c r="AV151" s="8">
        <v>490</v>
      </c>
      <c r="AW151" s="8">
        <v>52299</v>
      </c>
      <c r="AX151" s="2">
        <v>63.7</v>
      </c>
      <c r="AY151" s="2">
        <v>74.099999999999994</v>
      </c>
      <c r="AZ151" s="2">
        <v>32.299999999999997</v>
      </c>
      <c r="BA151" s="8">
        <v>481.66666666666669</v>
      </c>
      <c r="BB151" s="8">
        <v>31602</v>
      </c>
      <c r="BC151" s="8">
        <v>27692784.666666668</v>
      </c>
      <c r="BD151" s="8">
        <v>26666</v>
      </c>
      <c r="BE151" s="8">
        <v>1236</v>
      </c>
      <c r="BF151" s="8">
        <v>2250</v>
      </c>
      <c r="BG151" s="8">
        <v>1688</v>
      </c>
    </row>
    <row r="152" spans="1:59" x14ac:dyDescent="0.25">
      <c r="A152" t="s">
        <v>720</v>
      </c>
      <c r="B152" s="8">
        <v>5661</v>
      </c>
      <c r="C152" s="8">
        <v>26007</v>
      </c>
      <c r="D152" s="8">
        <v>31668</v>
      </c>
      <c r="E152" s="8">
        <v>5224</v>
      </c>
      <c r="F152" s="8">
        <v>26444</v>
      </c>
      <c r="G152" s="2">
        <v>17.899999999999999</v>
      </c>
      <c r="H152" s="2">
        <v>82.1</v>
      </c>
      <c r="I152" s="2">
        <v>16.5</v>
      </c>
      <c r="J152" s="2">
        <v>83.5</v>
      </c>
      <c r="K152" s="8">
        <v>39</v>
      </c>
      <c r="L152" s="8">
        <v>158</v>
      </c>
      <c r="M152" s="8">
        <v>248</v>
      </c>
      <c r="N152" s="8">
        <v>1010</v>
      </c>
      <c r="O152" s="8">
        <v>1680</v>
      </c>
      <c r="P152" s="8">
        <v>1579</v>
      </c>
      <c r="Q152" s="8">
        <v>294</v>
      </c>
      <c r="R152" s="8">
        <v>652</v>
      </c>
      <c r="S152" s="8">
        <v>34369</v>
      </c>
      <c r="T152" s="8">
        <v>402</v>
      </c>
      <c r="U152" s="8">
        <v>63</v>
      </c>
      <c r="V152" s="8">
        <v>2636</v>
      </c>
      <c r="W152" s="8">
        <v>146</v>
      </c>
      <c r="X152" s="8">
        <v>201</v>
      </c>
      <c r="Y152" s="8">
        <v>2229</v>
      </c>
      <c r="Z152" s="8">
        <v>5019</v>
      </c>
      <c r="AA152" s="8">
        <v>1690</v>
      </c>
      <c r="AB152" s="8">
        <v>2278</v>
      </c>
      <c r="AC152" s="8">
        <v>1387</v>
      </c>
      <c r="AD152" s="8">
        <v>1119</v>
      </c>
      <c r="AE152" s="8">
        <v>556</v>
      </c>
      <c r="AF152" s="8">
        <v>3008</v>
      </c>
      <c r="AG152" s="8">
        <v>2944</v>
      </c>
      <c r="AH152" s="8">
        <v>1484</v>
      </c>
      <c r="AI152" s="8">
        <v>2960</v>
      </c>
      <c r="AJ152" s="8">
        <v>4284</v>
      </c>
      <c r="AK152" s="8">
        <v>964</v>
      </c>
      <c r="AL152" s="8">
        <v>927</v>
      </c>
      <c r="AM152" s="8">
        <v>71</v>
      </c>
      <c r="AN152" s="8">
        <v>28691</v>
      </c>
      <c r="AO152" s="8">
        <v>724.66666666666663</v>
      </c>
      <c r="AP152" s="8">
        <v>1688</v>
      </c>
      <c r="AQ152" s="2">
        <v>5.0999999999999996</v>
      </c>
      <c r="AR152" s="2">
        <v>4.2</v>
      </c>
      <c r="AS152" s="2">
        <v>1.6333333333333335</v>
      </c>
      <c r="AT152" s="8">
        <v>72</v>
      </c>
      <c r="AU152" s="8">
        <v>68</v>
      </c>
      <c r="AV152" s="8">
        <v>468</v>
      </c>
      <c r="AW152" s="8">
        <v>52401</v>
      </c>
      <c r="AX152" s="2">
        <v>63.6</v>
      </c>
      <c r="AY152" s="2">
        <v>74.099999999999994</v>
      </c>
      <c r="AZ152" s="2">
        <v>32.1</v>
      </c>
      <c r="BA152" s="8">
        <v>485.33333333333331</v>
      </c>
      <c r="BB152" s="8">
        <v>31636</v>
      </c>
      <c r="BC152" s="8">
        <v>27794742</v>
      </c>
      <c r="BD152" s="8">
        <v>26665</v>
      </c>
      <c r="BE152" s="8">
        <v>1198</v>
      </c>
      <c r="BF152" s="8">
        <v>2196</v>
      </c>
      <c r="BG152" s="8">
        <v>1688</v>
      </c>
    </row>
    <row r="153" spans="1:59" x14ac:dyDescent="0.25">
      <c r="A153" t="s">
        <v>721</v>
      </c>
      <c r="B153" s="8">
        <v>5649</v>
      </c>
      <c r="C153" s="8">
        <v>26196</v>
      </c>
      <c r="D153" s="8">
        <v>31845</v>
      </c>
      <c r="E153" s="8">
        <v>5218</v>
      </c>
      <c r="F153" s="8">
        <v>26627</v>
      </c>
      <c r="G153" s="2">
        <v>17.7</v>
      </c>
      <c r="H153" s="2">
        <v>82.3</v>
      </c>
      <c r="I153" s="2">
        <v>16.399999999999999</v>
      </c>
      <c r="J153" s="2">
        <v>83.6</v>
      </c>
      <c r="K153" s="8">
        <v>39</v>
      </c>
      <c r="L153" s="8">
        <v>158</v>
      </c>
      <c r="M153" s="8">
        <v>247</v>
      </c>
      <c r="N153" s="8">
        <v>1003</v>
      </c>
      <c r="O153" s="8">
        <v>1676</v>
      </c>
      <c r="P153" s="8">
        <v>1589</v>
      </c>
      <c r="Q153" s="8">
        <v>293</v>
      </c>
      <c r="R153" s="8">
        <v>645</v>
      </c>
      <c r="S153" s="8">
        <v>34562</v>
      </c>
      <c r="T153" s="8">
        <v>385</v>
      </c>
      <c r="U153" s="8">
        <v>62</v>
      </c>
      <c r="V153" s="8">
        <v>2655</v>
      </c>
      <c r="W153" s="8">
        <v>141</v>
      </c>
      <c r="X153" s="8">
        <v>199</v>
      </c>
      <c r="Y153" s="8">
        <v>2239</v>
      </c>
      <c r="Z153" s="8">
        <v>5038</v>
      </c>
      <c r="AA153" s="8">
        <v>1716</v>
      </c>
      <c r="AB153" s="8">
        <v>2340</v>
      </c>
      <c r="AC153" s="8">
        <v>1423</v>
      </c>
      <c r="AD153" s="8">
        <v>1120</v>
      </c>
      <c r="AE153" s="8">
        <v>581</v>
      </c>
      <c r="AF153" s="8">
        <v>3022</v>
      </c>
      <c r="AG153" s="8">
        <v>2955</v>
      </c>
      <c r="AH153" s="8">
        <v>1480</v>
      </c>
      <c r="AI153" s="8">
        <v>2960</v>
      </c>
      <c r="AJ153" s="8">
        <v>4285</v>
      </c>
      <c r="AK153" s="8">
        <v>965</v>
      </c>
      <c r="AL153" s="8">
        <v>920</v>
      </c>
      <c r="AM153" s="8">
        <v>76</v>
      </c>
      <c r="AN153" s="8">
        <v>28881</v>
      </c>
      <c r="AO153" s="8">
        <v>754</v>
      </c>
      <c r="AP153" s="8">
        <v>1645</v>
      </c>
      <c r="AQ153" s="2">
        <v>4.9000000000000004</v>
      </c>
      <c r="AR153" s="2">
        <v>4.2</v>
      </c>
      <c r="AS153" s="2">
        <v>1.4000000000000001</v>
      </c>
      <c r="AT153" s="8">
        <v>68</v>
      </c>
      <c r="AU153" s="8">
        <v>64</v>
      </c>
      <c r="AV153" s="8">
        <v>447</v>
      </c>
      <c r="AW153" s="8">
        <v>52504</v>
      </c>
      <c r="AX153" s="2">
        <v>63.7</v>
      </c>
      <c r="AY153" s="2">
        <v>74.400000000000006</v>
      </c>
      <c r="AZ153" s="2">
        <v>32</v>
      </c>
      <c r="BA153" s="8">
        <v>491</v>
      </c>
      <c r="BB153" s="8">
        <v>31813</v>
      </c>
      <c r="BC153" s="8">
        <v>27868714.333333332</v>
      </c>
      <c r="BD153" s="8">
        <v>26757</v>
      </c>
      <c r="BE153" s="8">
        <v>1154</v>
      </c>
      <c r="BF153" s="8">
        <v>2191</v>
      </c>
      <c r="BG153" s="8">
        <v>1645</v>
      </c>
    </row>
    <row r="154" spans="1:59" x14ac:dyDescent="0.25">
      <c r="A154" t="s">
        <v>722</v>
      </c>
      <c r="B154" s="8">
        <v>5647</v>
      </c>
      <c r="C154" s="8">
        <v>26216</v>
      </c>
      <c r="D154" s="8">
        <v>31863</v>
      </c>
      <c r="E154" s="8">
        <v>5218</v>
      </c>
      <c r="F154" s="8">
        <v>26645</v>
      </c>
      <c r="G154" s="2">
        <v>17.7</v>
      </c>
      <c r="H154" s="2">
        <v>82.3</v>
      </c>
      <c r="I154" s="2">
        <v>16.399999999999999</v>
      </c>
      <c r="J154" s="2">
        <v>83.6</v>
      </c>
      <c r="K154" s="8">
        <v>38</v>
      </c>
      <c r="L154" s="8">
        <v>158</v>
      </c>
      <c r="M154" s="8">
        <v>247</v>
      </c>
      <c r="N154" s="8">
        <v>1002</v>
      </c>
      <c r="O154" s="8">
        <v>1678</v>
      </c>
      <c r="P154" s="8">
        <v>1596</v>
      </c>
      <c r="Q154" s="8">
        <v>286</v>
      </c>
      <c r="R154" s="8">
        <v>643</v>
      </c>
      <c r="S154" s="8">
        <v>34595</v>
      </c>
      <c r="T154" s="8">
        <v>404</v>
      </c>
      <c r="U154" s="8">
        <v>62</v>
      </c>
      <c r="V154" s="8">
        <v>2626</v>
      </c>
      <c r="W154" s="8">
        <v>137</v>
      </c>
      <c r="X154" s="8">
        <v>207</v>
      </c>
      <c r="Y154" s="8">
        <v>2206</v>
      </c>
      <c r="Z154" s="8">
        <v>5001</v>
      </c>
      <c r="AA154" s="8">
        <v>1737</v>
      </c>
      <c r="AB154" s="8">
        <v>2374</v>
      </c>
      <c r="AC154" s="8">
        <v>1417</v>
      </c>
      <c r="AD154" s="8">
        <v>1138</v>
      </c>
      <c r="AE154" s="8">
        <v>557</v>
      </c>
      <c r="AF154" s="8">
        <v>3053</v>
      </c>
      <c r="AG154" s="8">
        <v>2948</v>
      </c>
      <c r="AH154" s="8">
        <v>1475</v>
      </c>
      <c r="AI154" s="8">
        <v>2959</v>
      </c>
      <c r="AJ154" s="8">
        <v>4273</v>
      </c>
      <c r="AK154" s="8">
        <v>1007</v>
      </c>
      <c r="AL154" s="8">
        <v>920</v>
      </c>
      <c r="AM154" s="8">
        <v>92</v>
      </c>
      <c r="AN154" s="8">
        <v>28952</v>
      </c>
      <c r="AO154" s="8">
        <v>769</v>
      </c>
      <c r="AP154" s="8">
        <v>1619</v>
      </c>
      <c r="AQ154" s="2">
        <v>4.8</v>
      </c>
      <c r="AR154" s="2">
        <v>4.3</v>
      </c>
      <c r="AS154" s="2">
        <v>1.3</v>
      </c>
      <c r="AT154" s="8">
        <v>64</v>
      </c>
      <c r="AU154" s="8">
        <v>56</v>
      </c>
      <c r="AV154" s="8">
        <v>434</v>
      </c>
      <c r="AW154" s="8">
        <v>52585</v>
      </c>
      <c r="AX154" s="2">
        <v>63.7</v>
      </c>
      <c r="AY154" s="2">
        <v>74.400000000000006</v>
      </c>
      <c r="AZ154" s="2">
        <v>32</v>
      </c>
      <c r="BA154" s="8">
        <v>493</v>
      </c>
      <c r="BB154" s="8">
        <v>31878</v>
      </c>
      <c r="BC154" s="8">
        <v>27965514.333333332</v>
      </c>
      <c r="BD154" s="8">
        <v>26826</v>
      </c>
      <c r="BE154" s="8">
        <v>1144</v>
      </c>
      <c r="BF154" s="8">
        <v>2231</v>
      </c>
      <c r="BG154" s="8">
        <v>1619</v>
      </c>
    </row>
    <row r="155" spans="1:59" x14ac:dyDescent="0.25">
      <c r="A155" t="s">
        <v>723</v>
      </c>
      <c r="B155" s="8">
        <v>5634</v>
      </c>
      <c r="C155" s="8">
        <v>26284</v>
      </c>
      <c r="D155" s="8">
        <v>31918</v>
      </c>
      <c r="E155" s="8">
        <v>5208</v>
      </c>
      <c r="F155" s="8">
        <v>26710</v>
      </c>
      <c r="G155" s="2">
        <v>17.7</v>
      </c>
      <c r="H155" s="2">
        <v>82.3</v>
      </c>
      <c r="I155" s="2">
        <v>16.3</v>
      </c>
      <c r="J155" s="2">
        <v>83.7</v>
      </c>
      <c r="K155" s="8">
        <v>39</v>
      </c>
      <c r="L155" s="8">
        <v>158</v>
      </c>
      <c r="M155" s="8">
        <v>246</v>
      </c>
      <c r="N155" s="8">
        <v>1003</v>
      </c>
      <c r="O155" s="8">
        <v>1671</v>
      </c>
      <c r="P155" s="8">
        <v>1601</v>
      </c>
      <c r="Q155" s="8">
        <v>280</v>
      </c>
      <c r="R155" s="8">
        <v>635</v>
      </c>
      <c r="S155" s="8">
        <v>34669</v>
      </c>
      <c r="T155" s="8">
        <v>413</v>
      </c>
      <c r="U155" s="8">
        <v>61</v>
      </c>
      <c r="V155" s="8">
        <v>2634</v>
      </c>
      <c r="W155" s="8">
        <v>145</v>
      </c>
      <c r="X155" s="8">
        <v>213</v>
      </c>
      <c r="Y155" s="8">
        <v>2250</v>
      </c>
      <c r="Z155" s="8">
        <v>4991</v>
      </c>
      <c r="AA155" s="8">
        <v>1724</v>
      </c>
      <c r="AB155" s="8">
        <v>2369</v>
      </c>
      <c r="AC155" s="8">
        <v>1433</v>
      </c>
      <c r="AD155" s="8">
        <v>1121</v>
      </c>
      <c r="AE155" s="8">
        <v>553</v>
      </c>
      <c r="AF155" s="8">
        <v>3053</v>
      </c>
      <c r="AG155" s="8">
        <v>2977</v>
      </c>
      <c r="AH155" s="8">
        <v>1470</v>
      </c>
      <c r="AI155" s="8">
        <v>2969</v>
      </c>
      <c r="AJ155" s="8">
        <v>4283</v>
      </c>
      <c r="AK155" s="8">
        <v>1024</v>
      </c>
      <c r="AL155" s="8">
        <v>914</v>
      </c>
      <c r="AM155" s="8">
        <v>71</v>
      </c>
      <c r="AN155" s="8">
        <v>28954</v>
      </c>
      <c r="AO155" s="8">
        <v>755</v>
      </c>
      <c r="AP155" s="8">
        <v>1587</v>
      </c>
      <c r="AQ155" s="2">
        <v>4.7</v>
      </c>
      <c r="AR155" s="2">
        <v>4.5</v>
      </c>
      <c r="AS155" s="2">
        <v>1.1000000000000001</v>
      </c>
      <c r="AT155" s="8">
        <v>76</v>
      </c>
      <c r="AU155" s="8">
        <v>51</v>
      </c>
      <c r="AV155" s="8">
        <v>404</v>
      </c>
      <c r="AW155" s="8">
        <v>52654</v>
      </c>
      <c r="AX155" s="2">
        <v>63.6</v>
      </c>
      <c r="AY155" s="2">
        <v>74.5</v>
      </c>
      <c r="AZ155" s="2">
        <v>32.1</v>
      </c>
      <c r="BA155" s="8">
        <v>494.66666666666669</v>
      </c>
      <c r="BB155" s="8">
        <v>31914</v>
      </c>
      <c r="BC155" s="8">
        <v>28051698.666666668</v>
      </c>
      <c r="BD155" s="8">
        <v>26836</v>
      </c>
      <c r="BE155" s="8">
        <v>1116</v>
      </c>
      <c r="BF155" s="8">
        <v>2189</v>
      </c>
      <c r="BG155" s="8">
        <v>1587</v>
      </c>
    </row>
    <row r="156" spans="1:59" x14ac:dyDescent="0.25">
      <c r="A156" t="s">
        <v>724</v>
      </c>
      <c r="B156" s="8">
        <v>5636</v>
      </c>
      <c r="C156" s="8">
        <v>26391</v>
      </c>
      <c r="D156" s="8">
        <v>32027</v>
      </c>
      <c r="E156" s="8">
        <v>5210</v>
      </c>
      <c r="F156" s="8">
        <v>26817</v>
      </c>
      <c r="G156" s="2">
        <v>17.600000000000001</v>
      </c>
      <c r="H156" s="2">
        <v>82.4</v>
      </c>
      <c r="I156" s="2">
        <v>16.3</v>
      </c>
      <c r="J156" s="2">
        <v>83.7</v>
      </c>
      <c r="K156" s="8">
        <v>40</v>
      </c>
      <c r="L156" s="8">
        <v>157</v>
      </c>
      <c r="M156" s="8">
        <v>245</v>
      </c>
      <c r="N156" s="8">
        <v>1005</v>
      </c>
      <c r="O156" s="8">
        <v>1668</v>
      </c>
      <c r="P156" s="8">
        <v>1613</v>
      </c>
      <c r="Q156" s="8">
        <v>277</v>
      </c>
      <c r="R156" s="8">
        <v>629</v>
      </c>
      <c r="S156" s="8">
        <v>34846</v>
      </c>
      <c r="T156" s="8">
        <v>421</v>
      </c>
      <c r="U156" s="8">
        <v>56</v>
      </c>
      <c r="V156" s="8">
        <v>2649</v>
      </c>
      <c r="W156" s="8">
        <v>144</v>
      </c>
      <c r="X156" s="8">
        <v>216</v>
      </c>
      <c r="Y156" s="8">
        <v>2328</v>
      </c>
      <c r="Z156" s="8">
        <v>5004</v>
      </c>
      <c r="AA156" s="8">
        <v>1732</v>
      </c>
      <c r="AB156" s="8">
        <v>2373</v>
      </c>
      <c r="AC156" s="8">
        <v>1463</v>
      </c>
      <c r="AD156" s="8">
        <v>1115</v>
      </c>
      <c r="AE156" s="8">
        <v>582</v>
      </c>
      <c r="AF156" s="8">
        <v>3037</v>
      </c>
      <c r="AG156" s="8">
        <v>2989</v>
      </c>
      <c r="AH156" s="8">
        <v>1466</v>
      </c>
      <c r="AI156" s="8">
        <v>2941</v>
      </c>
      <c r="AJ156" s="8">
        <v>4334</v>
      </c>
      <c r="AK156" s="8">
        <v>1013</v>
      </c>
      <c r="AL156" s="8">
        <v>914</v>
      </c>
      <c r="AM156" s="8">
        <v>66</v>
      </c>
      <c r="AN156" s="8">
        <v>29030</v>
      </c>
      <c r="AO156" s="8">
        <v>747</v>
      </c>
      <c r="AP156" s="8">
        <v>1530</v>
      </c>
      <c r="AQ156" s="2">
        <v>4.5999999999999996</v>
      </c>
      <c r="AR156" s="2">
        <v>3.5</v>
      </c>
      <c r="AS156" s="2">
        <v>1.2999999999999998</v>
      </c>
      <c r="AT156" s="8">
        <v>74</v>
      </c>
      <c r="AU156" s="8">
        <v>58</v>
      </c>
      <c r="AV156" s="8">
        <v>385</v>
      </c>
      <c r="AW156" s="8">
        <v>52724</v>
      </c>
      <c r="AX156" s="2">
        <v>63.6</v>
      </c>
      <c r="AY156" s="2">
        <v>74.7</v>
      </c>
      <c r="AZ156" s="2">
        <v>32.200000000000003</v>
      </c>
      <c r="BA156" s="8">
        <v>496.66666666666669</v>
      </c>
      <c r="BB156" s="8">
        <v>32017</v>
      </c>
      <c r="BC156" s="8">
        <v>28132759</v>
      </c>
      <c r="BD156" s="8">
        <v>26937</v>
      </c>
      <c r="BE156" s="8">
        <v>1026</v>
      </c>
      <c r="BF156" s="8">
        <v>2117</v>
      </c>
      <c r="BG156" s="8">
        <v>1530</v>
      </c>
    </row>
    <row r="157" spans="1:59" x14ac:dyDescent="0.25">
      <c r="A157" t="s">
        <v>725</v>
      </c>
      <c r="B157" s="8">
        <v>5638</v>
      </c>
      <c r="C157" s="8">
        <v>26568</v>
      </c>
      <c r="D157" s="8">
        <v>32206</v>
      </c>
      <c r="E157" s="8">
        <v>5219</v>
      </c>
      <c r="F157" s="8">
        <v>26987</v>
      </c>
      <c r="G157" s="2">
        <v>17.5</v>
      </c>
      <c r="H157" s="2">
        <v>82.5</v>
      </c>
      <c r="I157" s="2">
        <v>16.2</v>
      </c>
      <c r="J157" s="2">
        <v>83.8</v>
      </c>
      <c r="K157" s="8">
        <v>39</v>
      </c>
      <c r="L157" s="8">
        <v>156</v>
      </c>
      <c r="M157" s="8">
        <v>245</v>
      </c>
      <c r="N157" s="8">
        <v>1012</v>
      </c>
      <c r="O157" s="8">
        <v>1662</v>
      </c>
      <c r="P157" s="8">
        <v>1623</v>
      </c>
      <c r="Q157" s="8">
        <v>273</v>
      </c>
      <c r="R157" s="8">
        <v>629</v>
      </c>
      <c r="S157" s="8">
        <v>34856</v>
      </c>
      <c r="T157" s="8">
        <v>407</v>
      </c>
      <c r="U157" s="8">
        <v>59</v>
      </c>
      <c r="V157" s="8">
        <v>2680</v>
      </c>
      <c r="W157" s="8">
        <v>147</v>
      </c>
      <c r="X157" s="8">
        <v>218</v>
      </c>
      <c r="Y157" s="8">
        <v>2322</v>
      </c>
      <c r="Z157" s="8">
        <v>5019</v>
      </c>
      <c r="AA157" s="8">
        <v>1725</v>
      </c>
      <c r="AB157" s="8">
        <v>2402</v>
      </c>
      <c r="AC157" s="8">
        <v>1503</v>
      </c>
      <c r="AD157" s="8">
        <v>1120</v>
      </c>
      <c r="AE157" s="8">
        <v>557</v>
      </c>
      <c r="AF157" s="8">
        <v>2990</v>
      </c>
      <c r="AG157" s="8">
        <v>2983</v>
      </c>
      <c r="AH157" s="8">
        <v>1487</v>
      </c>
      <c r="AI157" s="8">
        <v>2922</v>
      </c>
      <c r="AJ157" s="8">
        <v>4360</v>
      </c>
      <c r="AK157" s="8">
        <v>989</v>
      </c>
      <c r="AL157" s="8">
        <v>905</v>
      </c>
      <c r="AM157" s="8">
        <v>63</v>
      </c>
      <c r="AN157" s="8">
        <v>29025</v>
      </c>
      <c r="AO157" s="8">
        <v>795.33333333333337</v>
      </c>
      <c r="AP157" s="8">
        <v>1488</v>
      </c>
      <c r="AQ157" s="2">
        <v>4.4000000000000004</v>
      </c>
      <c r="AR157" s="2">
        <v>4.0999999999999996</v>
      </c>
      <c r="AS157" s="2">
        <v>1.8</v>
      </c>
      <c r="AT157" s="8">
        <v>71</v>
      </c>
      <c r="AU157" s="8">
        <v>65</v>
      </c>
      <c r="AV157" s="8">
        <v>373</v>
      </c>
      <c r="AW157" s="8">
        <v>52793</v>
      </c>
      <c r="AX157" s="2">
        <v>63.7</v>
      </c>
      <c r="AY157" s="2">
        <v>75</v>
      </c>
      <c r="AZ157" s="2">
        <v>32.299999999999997</v>
      </c>
      <c r="BA157" s="8">
        <v>503.33333333333331</v>
      </c>
      <c r="BB157" s="8">
        <v>32138</v>
      </c>
      <c r="BC157" s="8">
        <v>28244308.333333332</v>
      </c>
      <c r="BD157" s="8">
        <v>27075</v>
      </c>
      <c r="BE157" s="8">
        <v>1025</v>
      </c>
      <c r="BF157" s="8">
        <v>2045</v>
      </c>
      <c r="BG157" s="8">
        <v>1488</v>
      </c>
    </row>
    <row r="158" spans="1:59" x14ac:dyDescent="0.25">
      <c r="A158" t="s">
        <v>726</v>
      </c>
      <c r="B158" s="8">
        <v>5629</v>
      </c>
      <c r="C158" s="8">
        <v>26536</v>
      </c>
      <c r="D158" s="8">
        <v>32165</v>
      </c>
      <c r="E158" s="8">
        <v>5216</v>
      </c>
      <c r="F158" s="8">
        <v>26949</v>
      </c>
      <c r="G158" s="2">
        <v>17.5</v>
      </c>
      <c r="H158" s="2">
        <v>82.5</v>
      </c>
      <c r="I158" s="2">
        <v>16.2</v>
      </c>
      <c r="J158" s="2">
        <v>83.8</v>
      </c>
      <c r="K158" s="8">
        <v>38</v>
      </c>
      <c r="L158" s="8">
        <v>156</v>
      </c>
      <c r="M158" s="8">
        <v>245</v>
      </c>
      <c r="N158" s="8">
        <v>1017</v>
      </c>
      <c r="O158" s="8">
        <v>1650</v>
      </c>
      <c r="P158" s="8">
        <v>1629</v>
      </c>
      <c r="Q158" s="8">
        <v>273</v>
      </c>
      <c r="R158" s="8">
        <v>626</v>
      </c>
      <c r="S158" s="8">
        <v>34960</v>
      </c>
      <c r="T158" s="8">
        <v>416</v>
      </c>
      <c r="U158" s="8">
        <v>57</v>
      </c>
      <c r="V158" s="8">
        <v>2693</v>
      </c>
      <c r="W158" s="8">
        <v>144</v>
      </c>
      <c r="X158" s="8">
        <v>221</v>
      </c>
      <c r="Y158" s="8">
        <v>2349</v>
      </c>
      <c r="Z158" s="8">
        <v>4976</v>
      </c>
      <c r="AA158" s="8">
        <v>1697</v>
      </c>
      <c r="AB158" s="8">
        <v>2390</v>
      </c>
      <c r="AC158" s="8">
        <v>1487</v>
      </c>
      <c r="AD158" s="8">
        <v>1106</v>
      </c>
      <c r="AE158" s="8">
        <v>573</v>
      </c>
      <c r="AF158" s="8">
        <v>3025</v>
      </c>
      <c r="AG158" s="8">
        <v>3063</v>
      </c>
      <c r="AH158" s="8">
        <v>1484</v>
      </c>
      <c r="AI158" s="8">
        <v>2928</v>
      </c>
      <c r="AJ158" s="8">
        <v>4332</v>
      </c>
      <c r="AK158" s="8">
        <v>1041</v>
      </c>
      <c r="AL158" s="8">
        <v>906</v>
      </c>
      <c r="AM158" s="8">
        <v>71</v>
      </c>
      <c r="AN158" s="8">
        <v>29080</v>
      </c>
      <c r="AO158" s="8">
        <v>817.33333333333337</v>
      </c>
      <c r="AP158" s="8">
        <v>1432</v>
      </c>
      <c r="AQ158" s="2">
        <v>4.3</v>
      </c>
      <c r="AR158" s="2">
        <v>3.8</v>
      </c>
      <c r="AS158" s="2">
        <v>2.0499999999999998</v>
      </c>
      <c r="AT158" s="8">
        <v>74</v>
      </c>
      <c r="AU158" s="8">
        <v>67</v>
      </c>
      <c r="AV158" s="8">
        <v>391</v>
      </c>
      <c r="AW158" s="8">
        <v>52862</v>
      </c>
      <c r="AX158" s="2">
        <v>63.5</v>
      </c>
      <c r="AY158" s="2">
        <v>74.900000000000006</v>
      </c>
      <c r="AZ158" s="2">
        <v>32</v>
      </c>
      <c r="BA158" s="8">
        <v>505.33333333333331</v>
      </c>
      <c r="BB158" s="8">
        <v>32134</v>
      </c>
      <c r="BC158" s="8">
        <v>28337622.333333332</v>
      </c>
      <c r="BD158" s="8">
        <v>27074</v>
      </c>
      <c r="BE158" s="8">
        <v>1045</v>
      </c>
      <c r="BF158" s="8">
        <v>2027</v>
      </c>
      <c r="BG158" s="8">
        <v>1432</v>
      </c>
    </row>
    <row r="159" spans="1:59" x14ac:dyDescent="0.25">
      <c r="A159" t="s">
        <v>727</v>
      </c>
      <c r="B159" s="8">
        <v>5497</v>
      </c>
      <c r="C159" s="8">
        <v>26813</v>
      </c>
      <c r="D159" s="8">
        <v>32310</v>
      </c>
      <c r="E159" s="8">
        <v>5222</v>
      </c>
      <c r="F159" s="8">
        <v>27088</v>
      </c>
      <c r="G159" s="2">
        <v>17</v>
      </c>
      <c r="H159" s="2">
        <v>83</v>
      </c>
      <c r="I159" s="2">
        <v>16.2</v>
      </c>
      <c r="J159" s="2">
        <v>83.8</v>
      </c>
      <c r="K159" s="8">
        <v>37</v>
      </c>
      <c r="L159" s="8">
        <v>156</v>
      </c>
      <c r="M159" s="8">
        <v>246</v>
      </c>
      <c r="N159" s="8">
        <v>1017</v>
      </c>
      <c r="O159" s="8">
        <v>1644</v>
      </c>
      <c r="P159" s="8">
        <v>1639</v>
      </c>
      <c r="Q159" s="8">
        <v>230</v>
      </c>
      <c r="R159" s="8">
        <v>525</v>
      </c>
      <c r="S159" s="8">
        <v>34874</v>
      </c>
      <c r="T159" s="8">
        <v>419</v>
      </c>
      <c r="U159" s="8">
        <v>59</v>
      </c>
      <c r="V159" s="8">
        <v>2699</v>
      </c>
      <c r="W159" s="8">
        <v>144</v>
      </c>
      <c r="X159" s="8">
        <v>228</v>
      </c>
      <c r="Y159" s="8">
        <v>2330</v>
      </c>
      <c r="Z159" s="8">
        <v>4995</v>
      </c>
      <c r="AA159" s="8">
        <v>1697</v>
      </c>
      <c r="AB159" s="8">
        <v>2348</v>
      </c>
      <c r="AC159" s="8">
        <v>1468</v>
      </c>
      <c r="AD159" s="8">
        <v>1114</v>
      </c>
      <c r="AE159" s="8">
        <v>589</v>
      </c>
      <c r="AF159" s="8">
        <v>3026</v>
      </c>
      <c r="AG159" s="8">
        <v>3015</v>
      </c>
      <c r="AH159" s="8">
        <v>1482</v>
      </c>
      <c r="AI159" s="8">
        <v>2915</v>
      </c>
      <c r="AJ159" s="8">
        <v>4361</v>
      </c>
      <c r="AK159" s="8">
        <v>1018</v>
      </c>
      <c r="AL159" s="8">
        <v>911</v>
      </c>
      <c r="AM159" s="8">
        <v>56</v>
      </c>
      <c r="AN159" s="8">
        <v>28994</v>
      </c>
      <c r="AO159" s="8">
        <v>818.66666666666663</v>
      </c>
      <c r="AP159" s="8">
        <v>1467</v>
      </c>
      <c r="AQ159" s="2">
        <v>4.4000000000000004</v>
      </c>
      <c r="AR159" s="2">
        <v>3.9</v>
      </c>
      <c r="AS159" s="2">
        <v>2.4000000000000004</v>
      </c>
      <c r="AT159" s="8">
        <v>75</v>
      </c>
      <c r="AU159" s="8">
        <v>71</v>
      </c>
      <c r="AV159" s="8">
        <v>368</v>
      </c>
      <c r="AW159" s="8">
        <v>52930</v>
      </c>
      <c r="AX159" s="2">
        <v>63.6</v>
      </c>
      <c r="AY159" s="2">
        <v>75.099999999999994</v>
      </c>
      <c r="AZ159" s="2">
        <v>31.9</v>
      </c>
      <c r="BA159" s="8">
        <v>508.33333333333331</v>
      </c>
      <c r="BB159" s="8">
        <v>32222</v>
      </c>
      <c r="BC159" s="8">
        <v>28437622.666666668</v>
      </c>
      <c r="BD159" s="8">
        <v>27174</v>
      </c>
      <c r="BE159" s="8">
        <v>996</v>
      </c>
      <c r="BF159" s="8">
        <v>2018</v>
      </c>
      <c r="BG159" s="8">
        <v>1467</v>
      </c>
    </row>
    <row r="160" spans="1:59" x14ac:dyDescent="0.25">
      <c r="A160" t="s">
        <v>728</v>
      </c>
      <c r="B160" s="8">
        <v>5498</v>
      </c>
      <c r="C160" s="8">
        <v>26957</v>
      </c>
      <c r="D160" s="8">
        <v>32455</v>
      </c>
      <c r="E160" s="8">
        <v>5230</v>
      </c>
      <c r="F160" s="8">
        <v>27225</v>
      </c>
      <c r="G160" s="2">
        <v>16.899999999999999</v>
      </c>
      <c r="H160" s="2">
        <v>83.1</v>
      </c>
      <c r="I160" s="2">
        <v>16.100000000000001</v>
      </c>
      <c r="J160" s="2">
        <v>83.9</v>
      </c>
      <c r="K160" s="8">
        <v>35</v>
      </c>
      <c r="L160" s="8">
        <v>155</v>
      </c>
      <c r="M160" s="8">
        <v>246</v>
      </c>
      <c r="N160" s="8">
        <v>1022</v>
      </c>
      <c r="O160" s="8">
        <v>1644</v>
      </c>
      <c r="P160" s="8">
        <v>1642</v>
      </c>
      <c r="Q160" s="8">
        <v>228</v>
      </c>
      <c r="R160" s="8">
        <v>527</v>
      </c>
      <c r="S160" s="8">
        <v>34946</v>
      </c>
      <c r="T160" s="8">
        <v>413</v>
      </c>
      <c r="U160" s="8">
        <v>62</v>
      </c>
      <c r="V160" s="8">
        <v>2696</v>
      </c>
      <c r="W160" s="8">
        <v>147</v>
      </c>
      <c r="X160" s="8">
        <v>226</v>
      </c>
      <c r="Y160" s="8">
        <v>2316</v>
      </c>
      <c r="Z160" s="8">
        <v>4999</v>
      </c>
      <c r="AA160" s="8">
        <v>1695</v>
      </c>
      <c r="AB160" s="8">
        <v>2397</v>
      </c>
      <c r="AC160" s="8">
        <v>1474</v>
      </c>
      <c r="AD160" s="8">
        <v>1125</v>
      </c>
      <c r="AE160" s="8">
        <v>591</v>
      </c>
      <c r="AF160" s="8">
        <v>3026</v>
      </c>
      <c r="AG160" s="8">
        <v>2999</v>
      </c>
      <c r="AH160" s="8">
        <v>1485</v>
      </c>
      <c r="AI160" s="8">
        <v>2940</v>
      </c>
      <c r="AJ160" s="8">
        <v>4353</v>
      </c>
      <c r="AK160" s="8">
        <v>1005</v>
      </c>
      <c r="AL160" s="8">
        <v>941</v>
      </c>
      <c r="AM160" s="8">
        <v>59</v>
      </c>
      <c r="AN160" s="8">
        <v>29086</v>
      </c>
      <c r="AO160" s="8">
        <v>791</v>
      </c>
      <c r="AP160" s="8">
        <v>1422</v>
      </c>
      <c r="AQ160" s="2">
        <v>4.2</v>
      </c>
      <c r="AR160" s="2">
        <v>3.5</v>
      </c>
      <c r="AS160" s="2">
        <v>2.6</v>
      </c>
      <c r="AT160" s="8">
        <v>69</v>
      </c>
      <c r="AU160" s="8">
        <v>60</v>
      </c>
      <c r="AV160" s="8">
        <v>358</v>
      </c>
      <c r="AW160" s="8">
        <v>52997</v>
      </c>
      <c r="AX160" s="2">
        <v>63.8</v>
      </c>
      <c r="AY160" s="2">
        <v>75.5</v>
      </c>
      <c r="AZ160" s="2">
        <v>31.9</v>
      </c>
      <c r="BA160" s="8">
        <v>511</v>
      </c>
      <c r="BB160" s="8">
        <v>32410</v>
      </c>
      <c r="BC160" s="8">
        <v>28494361.666666668</v>
      </c>
      <c r="BD160" s="8">
        <v>27425</v>
      </c>
      <c r="BE160" s="8">
        <v>1011</v>
      </c>
      <c r="BF160" s="8">
        <v>1996</v>
      </c>
      <c r="BG160" s="8">
        <v>1422</v>
      </c>
    </row>
    <row r="161" spans="1:59" x14ac:dyDescent="0.25">
      <c r="A161" t="s">
        <v>729</v>
      </c>
      <c r="B161" s="8">
        <v>5496</v>
      </c>
      <c r="C161" s="8">
        <v>26975</v>
      </c>
      <c r="D161" s="8">
        <v>32471</v>
      </c>
      <c r="E161" s="8">
        <v>5244</v>
      </c>
      <c r="F161" s="8">
        <v>27227</v>
      </c>
      <c r="G161" s="2">
        <v>16.899999999999999</v>
      </c>
      <c r="H161" s="2">
        <v>83.1</v>
      </c>
      <c r="I161" s="2">
        <v>16.100000000000001</v>
      </c>
      <c r="J161" s="2">
        <v>83.9</v>
      </c>
      <c r="K161" s="8">
        <v>35</v>
      </c>
      <c r="L161" s="8">
        <v>154</v>
      </c>
      <c r="M161" s="8">
        <v>247</v>
      </c>
      <c r="N161" s="8">
        <v>1028</v>
      </c>
      <c r="O161" s="8">
        <v>1644</v>
      </c>
      <c r="P161" s="8">
        <v>1650</v>
      </c>
      <c r="Q161" s="8">
        <v>223</v>
      </c>
      <c r="R161" s="8">
        <v>518</v>
      </c>
      <c r="S161" s="8">
        <v>34972</v>
      </c>
      <c r="T161" s="8">
        <v>409</v>
      </c>
      <c r="U161" s="8">
        <v>63</v>
      </c>
      <c r="V161" s="8">
        <v>2715</v>
      </c>
      <c r="W161" s="8">
        <v>150</v>
      </c>
      <c r="X161" s="8">
        <v>227</v>
      </c>
      <c r="Y161" s="8">
        <v>2311</v>
      </c>
      <c r="Z161" s="8">
        <v>4992</v>
      </c>
      <c r="AA161" s="8">
        <v>1727</v>
      </c>
      <c r="AB161" s="8">
        <v>2435</v>
      </c>
      <c r="AC161" s="8">
        <v>1473</v>
      </c>
      <c r="AD161" s="8">
        <v>1111</v>
      </c>
      <c r="AE161" s="8">
        <v>567</v>
      </c>
      <c r="AF161" s="8">
        <v>3029</v>
      </c>
      <c r="AG161" s="8">
        <v>3006</v>
      </c>
      <c r="AH161" s="8">
        <v>1492</v>
      </c>
      <c r="AI161" s="8">
        <v>2935</v>
      </c>
      <c r="AJ161" s="8">
        <v>4332</v>
      </c>
      <c r="AK161" s="8">
        <v>1006</v>
      </c>
      <c r="AL161" s="8">
        <v>926</v>
      </c>
      <c r="AM161" s="8">
        <v>66</v>
      </c>
      <c r="AN161" s="8">
        <v>29098</v>
      </c>
      <c r="AO161" s="8">
        <v>842.66666666666663</v>
      </c>
      <c r="AP161" s="8">
        <v>1367</v>
      </c>
      <c r="AQ161" s="2">
        <v>4</v>
      </c>
      <c r="AR161" s="2">
        <v>3.6</v>
      </c>
      <c r="AS161" s="2">
        <v>2.5</v>
      </c>
      <c r="AT161" s="8">
        <v>71</v>
      </c>
      <c r="AU161" s="8">
        <v>63</v>
      </c>
      <c r="AV161" s="8">
        <v>354</v>
      </c>
      <c r="AW161" s="8">
        <v>53065</v>
      </c>
      <c r="AX161" s="2">
        <v>63.7</v>
      </c>
      <c r="AY161" s="2">
        <v>75.400000000000006</v>
      </c>
      <c r="AZ161" s="2">
        <v>31.9</v>
      </c>
      <c r="BA161" s="8">
        <v>515</v>
      </c>
      <c r="BB161" s="8">
        <v>32451</v>
      </c>
      <c r="BC161" s="8">
        <v>28562109.333333332</v>
      </c>
      <c r="BD161" s="8">
        <v>27452</v>
      </c>
      <c r="BE161" s="8">
        <v>975</v>
      </c>
      <c r="BF161" s="8">
        <v>1941</v>
      </c>
      <c r="BG161" s="8">
        <v>1367</v>
      </c>
    </row>
    <row r="162" spans="1:59" x14ac:dyDescent="0.25">
      <c r="A162" t="s">
        <v>730</v>
      </c>
      <c r="B162" s="8">
        <v>5490</v>
      </c>
      <c r="C162" s="8">
        <v>27070</v>
      </c>
      <c r="D162" s="8">
        <v>32560</v>
      </c>
      <c r="E162" s="8">
        <v>5255</v>
      </c>
      <c r="F162" s="8">
        <v>27305</v>
      </c>
      <c r="G162" s="2">
        <v>16.899999999999999</v>
      </c>
      <c r="H162" s="2">
        <v>83.1</v>
      </c>
      <c r="I162" s="2">
        <v>16.100000000000001</v>
      </c>
      <c r="J162" s="2">
        <v>83.9</v>
      </c>
      <c r="K162" s="8">
        <v>34</v>
      </c>
      <c r="L162" s="8">
        <v>153</v>
      </c>
      <c r="M162" s="8">
        <v>247</v>
      </c>
      <c r="N162" s="8">
        <v>1033</v>
      </c>
      <c r="O162" s="8">
        <v>1636</v>
      </c>
      <c r="P162" s="8">
        <v>1663</v>
      </c>
      <c r="Q162" s="8">
        <v>215</v>
      </c>
      <c r="R162" s="8">
        <v>511</v>
      </c>
      <c r="S162" s="8">
        <v>35075</v>
      </c>
      <c r="T162" s="8">
        <v>411</v>
      </c>
      <c r="U162" s="8">
        <v>61</v>
      </c>
      <c r="V162" s="8">
        <v>2700</v>
      </c>
      <c r="W162" s="8">
        <v>154</v>
      </c>
      <c r="X162" s="8">
        <v>227</v>
      </c>
      <c r="Y162" s="8">
        <v>2321</v>
      </c>
      <c r="Z162" s="8">
        <v>4994</v>
      </c>
      <c r="AA162" s="8">
        <v>1740</v>
      </c>
      <c r="AB162" s="8">
        <v>2421</v>
      </c>
      <c r="AC162" s="8">
        <v>1460</v>
      </c>
      <c r="AD162" s="8">
        <v>1124</v>
      </c>
      <c r="AE162" s="8">
        <v>587</v>
      </c>
      <c r="AF162" s="8">
        <v>3083</v>
      </c>
      <c r="AG162" s="8">
        <v>3036</v>
      </c>
      <c r="AH162" s="8">
        <v>1495</v>
      </c>
      <c r="AI162" s="8">
        <v>2934</v>
      </c>
      <c r="AJ162" s="8">
        <v>4352</v>
      </c>
      <c r="AK162" s="8">
        <v>1000</v>
      </c>
      <c r="AL162" s="8">
        <v>917</v>
      </c>
      <c r="AM162" s="8">
        <v>57</v>
      </c>
      <c r="AN162" s="8">
        <v>29201</v>
      </c>
      <c r="AO162" s="8">
        <v>864</v>
      </c>
      <c r="AP162" s="8">
        <v>1382</v>
      </c>
      <c r="AQ162" s="2">
        <v>4.0999999999999996</v>
      </c>
      <c r="AR162" s="2">
        <v>3.1</v>
      </c>
      <c r="AS162" s="2">
        <v>2.7</v>
      </c>
      <c r="AT162" s="8">
        <v>75</v>
      </c>
      <c r="AU162" s="8">
        <v>72</v>
      </c>
      <c r="AV162" s="8">
        <v>368</v>
      </c>
      <c r="AW162" s="8">
        <v>53141</v>
      </c>
      <c r="AX162" s="2">
        <v>63.8</v>
      </c>
      <c r="AY162" s="2">
        <v>75.400000000000006</v>
      </c>
      <c r="AZ162" s="2">
        <v>32.200000000000003</v>
      </c>
      <c r="BA162" s="8">
        <v>521.33333333333337</v>
      </c>
      <c r="BB162" s="8">
        <v>32497</v>
      </c>
      <c r="BC162" s="8">
        <v>28652576</v>
      </c>
      <c r="BD162" s="8">
        <v>27510</v>
      </c>
      <c r="BE162" s="8">
        <v>912</v>
      </c>
      <c r="BF162" s="8">
        <v>1896</v>
      </c>
      <c r="BG162" s="8">
        <v>1382</v>
      </c>
    </row>
    <row r="163" spans="1:59" x14ac:dyDescent="0.25">
      <c r="A163" t="s">
        <v>731</v>
      </c>
      <c r="B163" s="8">
        <v>5507</v>
      </c>
      <c r="C163" s="8">
        <v>27279</v>
      </c>
      <c r="D163" s="8">
        <v>32786</v>
      </c>
      <c r="E163" s="8">
        <v>5269</v>
      </c>
      <c r="F163" s="8">
        <v>27517</v>
      </c>
      <c r="G163" s="2">
        <v>16.8</v>
      </c>
      <c r="H163" s="2">
        <v>83.2</v>
      </c>
      <c r="I163" s="2">
        <v>16.100000000000001</v>
      </c>
      <c r="J163" s="2">
        <v>83.9</v>
      </c>
      <c r="K163" s="8">
        <v>35</v>
      </c>
      <c r="L163" s="8">
        <v>153</v>
      </c>
      <c r="M163" s="8">
        <v>247</v>
      </c>
      <c r="N163" s="8">
        <v>1038</v>
      </c>
      <c r="O163" s="8">
        <v>1637</v>
      </c>
      <c r="P163" s="8">
        <v>1671</v>
      </c>
      <c r="Q163" s="8">
        <v>214</v>
      </c>
      <c r="R163" s="8">
        <v>507</v>
      </c>
      <c r="S163" s="8">
        <v>35244</v>
      </c>
      <c r="T163" s="8">
        <v>380</v>
      </c>
      <c r="U163" s="8">
        <v>59</v>
      </c>
      <c r="V163" s="8">
        <v>2683</v>
      </c>
      <c r="W163" s="8">
        <v>148</v>
      </c>
      <c r="X163" s="8">
        <v>224</v>
      </c>
      <c r="Y163" s="8">
        <v>2352</v>
      </c>
      <c r="Z163" s="8">
        <v>5008</v>
      </c>
      <c r="AA163" s="8">
        <v>1806</v>
      </c>
      <c r="AB163" s="8">
        <v>2454</v>
      </c>
      <c r="AC163" s="8">
        <v>1479</v>
      </c>
      <c r="AD163" s="8">
        <v>1123</v>
      </c>
      <c r="AE163" s="8">
        <v>591</v>
      </c>
      <c r="AF163" s="8">
        <v>3126</v>
      </c>
      <c r="AG163" s="8">
        <v>3009</v>
      </c>
      <c r="AH163" s="8">
        <v>1505</v>
      </c>
      <c r="AI163" s="8">
        <v>2947</v>
      </c>
      <c r="AJ163" s="8">
        <v>4348</v>
      </c>
      <c r="AK163" s="8">
        <v>1018</v>
      </c>
      <c r="AL163" s="8">
        <v>938</v>
      </c>
      <c r="AM163" s="8">
        <v>45</v>
      </c>
      <c r="AN163" s="8">
        <v>29397</v>
      </c>
      <c r="AO163" s="8">
        <v>852.66666666666663</v>
      </c>
      <c r="AP163" s="8">
        <v>1369</v>
      </c>
      <c r="AQ163" s="2">
        <v>4</v>
      </c>
      <c r="AR163" s="2">
        <v>3.3</v>
      </c>
      <c r="AS163" s="2">
        <v>3.0999999999999996</v>
      </c>
      <c r="AT163" s="8">
        <v>81</v>
      </c>
      <c r="AU163" s="8">
        <v>70</v>
      </c>
      <c r="AV163" s="8">
        <v>350</v>
      </c>
      <c r="AW163" s="8">
        <v>53221</v>
      </c>
      <c r="AX163" s="2">
        <v>64</v>
      </c>
      <c r="AY163" s="2">
        <v>75.7</v>
      </c>
      <c r="AZ163" s="2">
        <v>32</v>
      </c>
      <c r="BA163" s="8">
        <v>527.33333333333337</v>
      </c>
      <c r="BB163" s="8">
        <v>32669</v>
      </c>
      <c r="BC163" s="8">
        <v>28741884.666666668</v>
      </c>
      <c r="BD163" s="8">
        <v>27590</v>
      </c>
      <c r="BE163" s="8">
        <v>892</v>
      </c>
      <c r="BF163" s="8">
        <v>1839</v>
      </c>
      <c r="BG163" s="8">
        <v>1369</v>
      </c>
    </row>
    <row r="164" spans="1:59" x14ac:dyDescent="0.25">
      <c r="A164" t="s">
        <v>732</v>
      </c>
      <c r="B164" s="8">
        <v>5519</v>
      </c>
      <c r="C164" s="8">
        <v>27325</v>
      </c>
      <c r="D164" s="8">
        <v>32844</v>
      </c>
      <c r="E164" s="8">
        <v>5285</v>
      </c>
      <c r="F164" s="8">
        <v>27559</v>
      </c>
      <c r="G164" s="2">
        <v>16.8</v>
      </c>
      <c r="H164" s="2">
        <v>83.2</v>
      </c>
      <c r="I164" s="2">
        <v>16.100000000000001</v>
      </c>
      <c r="J164" s="2">
        <v>83.9</v>
      </c>
      <c r="K164" s="8">
        <v>36</v>
      </c>
      <c r="L164" s="8">
        <v>153</v>
      </c>
      <c r="M164" s="8">
        <v>249</v>
      </c>
      <c r="N164" s="8">
        <v>1049</v>
      </c>
      <c r="O164" s="8">
        <v>1635</v>
      </c>
      <c r="P164" s="8">
        <v>1682</v>
      </c>
      <c r="Q164" s="8">
        <v>213</v>
      </c>
      <c r="R164" s="8">
        <v>500</v>
      </c>
      <c r="S164" s="8">
        <v>35438</v>
      </c>
      <c r="T164" s="8">
        <v>387</v>
      </c>
      <c r="U164" s="8">
        <v>62</v>
      </c>
      <c r="V164" s="8">
        <v>2705</v>
      </c>
      <c r="W164" s="8">
        <v>141</v>
      </c>
      <c r="X164" s="8">
        <v>228</v>
      </c>
      <c r="Y164" s="8">
        <v>2361</v>
      </c>
      <c r="Z164" s="8">
        <v>5033</v>
      </c>
      <c r="AA164" s="8">
        <v>1781</v>
      </c>
      <c r="AB164" s="8">
        <v>2466</v>
      </c>
      <c r="AC164" s="8">
        <v>1489</v>
      </c>
      <c r="AD164" s="8">
        <v>1132</v>
      </c>
      <c r="AE164" s="8">
        <v>579</v>
      </c>
      <c r="AF164" s="8">
        <v>3180</v>
      </c>
      <c r="AG164" s="8">
        <v>3015</v>
      </c>
      <c r="AH164" s="8">
        <v>1510</v>
      </c>
      <c r="AI164" s="8">
        <v>2954</v>
      </c>
      <c r="AJ164" s="8">
        <v>4378</v>
      </c>
      <c r="AK164" s="8">
        <v>1031</v>
      </c>
      <c r="AL164" s="8">
        <v>954</v>
      </c>
      <c r="AM164" s="8">
        <v>54</v>
      </c>
      <c r="AN164" s="8">
        <v>29555</v>
      </c>
      <c r="AO164" s="8">
        <v>819.66666666666663</v>
      </c>
      <c r="AP164" s="8">
        <v>1304</v>
      </c>
      <c r="AQ164" s="2">
        <v>3.8</v>
      </c>
      <c r="AR164" s="2">
        <v>3.3</v>
      </c>
      <c r="AS164" s="2">
        <v>3.25</v>
      </c>
      <c r="AT164" s="8">
        <v>79</v>
      </c>
      <c r="AU164" s="8">
        <v>70</v>
      </c>
      <c r="AV164" s="8">
        <v>345</v>
      </c>
      <c r="AW164" s="8">
        <v>53301</v>
      </c>
      <c r="AX164" s="2">
        <v>63.9</v>
      </c>
      <c r="AY164" s="2">
        <v>75.900000000000006</v>
      </c>
      <c r="AZ164" s="2">
        <v>32.299999999999997</v>
      </c>
      <c r="BA164" s="8">
        <v>527.33333333333337</v>
      </c>
      <c r="BB164" s="8">
        <v>32773</v>
      </c>
      <c r="BC164" s="8">
        <v>28835089.333333332</v>
      </c>
      <c r="BD164" s="8">
        <v>27692</v>
      </c>
      <c r="BE164" s="8">
        <v>911</v>
      </c>
      <c r="BF164" s="8">
        <v>1862</v>
      </c>
      <c r="BG164" s="8">
        <v>1304</v>
      </c>
    </row>
    <row r="165" spans="1:59" x14ac:dyDescent="0.25">
      <c r="A165" t="s">
        <v>733</v>
      </c>
      <c r="B165" s="8">
        <v>5536</v>
      </c>
      <c r="C165" s="8">
        <v>27370</v>
      </c>
      <c r="D165" s="8">
        <v>32906</v>
      </c>
      <c r="E165" s="8">
        <v>5305</v>
      </c>
      <c r="F165" s="8">
        <v>27601</v>
      </c>
      <c r="G165" s="2">
        <v>16.8</v>
      </c>
      <c r="H165" s="2">
        <v>83.2</v>
      </c>
      <c r="I165" s="2">
        <v>16.100000000000001</v>
      </c>
      <c r="J165" s="2">
        <v>83.9</v>
      </c>
      <c r="K165" s="8">
        <v>36</v>
      </c>
      <c r="L165" s="8">
        <v>153</v>
      </c>
      <c r="M165" s="8">
        <v>249</v>
      </c>
      <c r="N165" s="8">
        <v>1053</v>
      </c>
      <c r="O165" s="8">
        <v>1636</v>
      </c>
      <c r="P165" s="8">
        <v>1695</v>
      </c>
      <c r="Q165" s="8">
        <v>216</v>
      </c>
      <c r="R165" s="8">
        <v>502</v>
      </c>
      <c r="S165" s="8">
        <v>35546</v>
      </c>
      <c r="T165" s="8">
        <v>398</v>
      </c>
      <c r="U165" s="8">
        <v>60</v>
      </c>
      <c r="V165" s="8">
        <v>2689</v>
      </c>
      <c r="W165" s="8">
        <v>141</v>
      </c>
      <c r="X165" s="8">
        <v>223</v>
      </c>
      <c r="Y165" s="8">
        <v>2339</v>
      </c>
      <c r="Z165" s="8">
        <v>5017</v>
      </c>
      <c r="AA165" s="8">
        <v>1814</v>
      </c>
      <c r="AB165" s="8">
        <v>2512</v>
      </c>
      <c r="AC165" s="8">
        <v>1494</v>
      </c>
      <c r="AD165" s="8">
        <v>1135</v>
      </c>
      <c r="AE165" s="8">
        <v>591</v>
      </c>
      <c r="AF165" s="8">
        <v>3216</v>
      </c>
      <c r="AG165" s="8">
        <v>3016</v>
      </c>
      <c r="AH165" s="8">
        <v>1511</v>
      </c>
      <c r="AI165" s="8">
        <v>2939</v>
      </c>
      <c r="AJ165" s="8">
        <v>4414</v>
      </c>
      <c r="AK165" s="8">
        <v>1027</v>
      </c>
      <c r="AL165" s="8">
        <v>949</v>
      </c>
      <c r="AM165" s="8">
        <v>60</v>
      </c>
      <c r="AN165" s="8">
        <v>29695</v>
      </c>
      <c r="AO165" s="8">
        <v>837</v>
      </c>
      <c r="AP165" s="8">
        <v>1331</v>
      </c>
      <c r="AQ165" s="2">
        <v>3.9</v>
      </c>
      <c r="AR165" s="2">
        <v>3.7</v>
      </c>
      <c r="AS165" s="2">
        <v>3.1</v>
      </c>
      <c r="AT165" s="8">
        <v>70</v>
      </c>
      <c r="AU165" s="8">
        <v>58</v>
      </c>
      <c r="AV165" s="8">
        <v>339</v>
      </c>
      <c r="AW165" s="8">
        <v>53381</v>
      </c>
      <c r="AX165" s="2">
        <v>64.2</v>
      </c>
      <c r="AY165" s="2">
        <v>76.099999999999994</v>
      </c>
      <c r="AZ165" s="2">
        <v>32.1</v>
      </c>
      <c r="BA165" s="8">
        <v>536</v>
      </c>
      <c r="BB165" s="8">
        <v>32965</v>
      </c>
      <c r="BC165" s="8">
        <v>28899830.333333332</v>
      </c>
      <c r="BD165" s="8">
        <v>27812</v>
      </c>
      <c r="BE165" s="8">
        <v>925</v>
      </c>
      <c r="BF165" s="8">
        <v>1840</v>
      </c>
      <c r="BG165" s="8">
        <v>1331</v>
      </c>
    </row>
    <row r="166" spans="1:59" x14ac:dyDescent="0.25">
      <c r="A166" t="s">
        <v>734</v>
      </c>
      <c r="B166" s="8">
        <v>5561</v>
      </c>
      <c r="C166" s="8">
        <v>27344</v>
      </c>
      <c r="D166" s="8">
        <v>32905</v>
      </c>
      <c r="E166" s="8">
        <v>5329</v>
      </c>
      <c r="F166" s="8">
        <v>27576</v>
      </c>
      <c r="G166" s="2">
        <v>16.899999999999999</v>
      </c>
      <c r="H166" s="2">
        <v>83.1</v>
      </c>
      <c r="I166" s="2">
        <v>16.2</v>
      </c>
      <c r="J166" s="2">
        <v>83.8</v>
      </c>
      <c r="K166" s="8">
        <v>35</v>
      </c>
      <c r="L166" s="8">
        <v>154</v>
      </c>
      <c r="M166" s="8">
        <v>252</v>
      </c>
      <c r="N166" s="8">
        <v>1057</v>
      </c>
      <c r="O166" s="8">
        <v>1630</v>
      </c>
      <c r="P166" s="8">
        <v>1711</v>
      </c>
      <c r="Q166" s="8">
        <v>213</v>
      </c>
      <c r="R166" s="8">
        <v>511</v>
      </c>
      <c r="S166" s="8">
        <v>35615</v>
      </c>
      <c r="T166" s="8">
        <v>403</v>
      </c>
      <c r="U166" s="8">
        <v>61</v>
      </c>
      <c r="V166" s="8">
        <v>2694</v>
      </c>
      <c r="W166" s="8">
        <v>139</v>
      </c>
      <c r="X166" s="8">
        <v>220</v>
      </c>
      <c r="Y166" s="8">
        <v>2308</v>
      </c>
      <c r="Z166" s="8">
        <v>5001</v>
      </c>
      <c r="AA166" s="8">
        <v>1803</v>
      </c>
      <c r="AB166" s="8">
        <v>2506</v>
      </c>
      <c r="AC166" s="8">
        <v>1505</v>
      </c>
      <c r="AD166" s="8">
        <v>1143</v>
      </c>
      <c r="AE166" s="8">
        <v>612</v>
      </c>
      <c r="AF166" s="8">
        <v>3205</v>
      </c>
      <c r="AG166" s="8">
        <v>3054</v>
      </c>
      <c r="AH166" s="8">
        <v>1524</v>
      </c>
      <c r="AI166" s="8">
        <v>2948</v>
      </c>
      <c r="AJ166" s="8">
        <v>4432</v>
      </c>
      <c r="AK166" s="8">
        <v>1039</v>
      </c>
      <c r="AL166" s="8">
        <v>968</v>
      </c>
      <c r="AM166" s="8">
        <v>51</v>
      </c>
      <c r="AN166" s="8">
        <v>29791</v>
      </c>
      <c r="AO166" s="8">
        <v>836.66666666666663</v>
      </c>
      <c r="AP166" s="8">
        <v>1326</v>
      </c>
      <c r="AQ166" s="2">
        <v>3.9</v>
      </c>
      <c r="AR166" s="2">
        <v>4.3</v>
      </c>
      <c r="AS166" s="2">
        <v>3</v>
      </c>
      <c r="AT166" s="8">
        <v>79</v>
      </c>
      <c r="AU166" s="8">
        <v>71</v>
      </c>
      <c r="AV166" s="8">
        <v>311</v>
      </c>
      <c r="AW166" s="8">
        <v>53435</v>
      </c>
      <c r="AX166" s="2">
        <v>64</v>
      </c>
      <c r="AY166" s="2">
        <v>76</v>
      </c>
      <c r="AZ166" s="2">
        <v>32</v>
      </c>
      <c r="BA166" s="8">
        <v>542</v>
      </c>
      <c r="BB166" s="8">
        <v>32894</v>
      </c>
      <c r="BC166" s="8">
        <v>28932834.333333332</v>
      </c>
      <c r="BD166" s="8">
        <v>27762</v>
      </c>
      <c r="BE166" s="8">
        <v>881</v>
      </c>
      <c r="BF166" s="8">
        <v>1880</v>
      </c>
      <c r="BG166" s="8">
        <v>1326</v>
      </c>
    </row>
    <row r="167" spans="1:59" x14ac:dyDescent="0.25">
      <c r="A167" t="s">
        <v>735</v>
      </c>
      <c r="B167" s="8">
        <v>5577</v>
      </c>
      <c r="C167" s="8">
        <v>27526</v>
      </c>
      <c r="D167" s="8">
        <v>33103</v>
      </c>
      <c r="E167" s="8">
        <v>5344</v>
      </c>
      <c r="F167" s="8">
        <v>27759</v>
      </c>
      <c r="G167" s="2">
        <v>16.8</v>
      </c>
      <c r="H167" s="2">
        <v>83.2</v>
      </c>
      <c r="I167" s="2">
        <v>16.100000000000001</v>
      </c>
      <c r="J167" s="2">
        <v>83.9</v>
      </c>
      <c r="K167" s="8">
        <v>35</v>
      </c>
      <c r="L167" s="8">
        <v>154</v>
      </c>
      <c r="M167" s="8">
        <v>253</v>
      </c>
      <c r="N167" s="8">
        <v>1065</v>
      </c>
      <c r="O167" s="8">
        <v>1624</v>
      </c>
      <c r="P167" s="8">
        <v>1727</v>
      </c>
      <c r="Q167" s="8">
        <v>212</v>
      </c>
      <c r="R167" s="8">
        <v>504</v>
      </c>
      <c r="S167" s="8">
        <v>35661</v>
      </c>
      <c r="T167" s="8">
        <v>405</v>
      </c>
      <c r="U167" s="8">
        <v>62</v>
      </c>
      <c r="V167" s="8">
        <v>2675</v>
      </c>
      <c r="W167" s="8">
        <v>146</v>
      </c>
      <c r="X167" s="8">
        <v>219</v>
      </c>
      <c r="Y167" s="8">
        <v>2325</v>
      </c>
      <c r="Z167" s="8">
        <v>4971</v>
      </c>
      <c r="AA167" s="8">
        <v>1806</v>
      </c>
      <c r="AB167" s="8">
        <v>2512</v>
      </c>
      <c r="AC167" s="8">
        <v>1533</v>
      </c>
      <c r="AD167" s="8">
        <v>1131</v>
      </c>
      <c r="AE167" s="8">
        <v>633</v>
      </c>
      <c r="AF167" s="8">
        <v>3179</v>
      </c>
      <c r="AG167" s="8">
        <v>3045</v>
      </c>
      <c r="AH167" s="8">
        <v>1534</v>
      </c>
      <c r="AI167" s="8">
        <v>2959</v>
      </c>
      <c r="AJ167" s="8">
        <v>4441</v>
      </c>
      <c r="AK167" s="8">
        <v>1050</v>
      </c>
      <c r="AL167" s="8">
        <v>981</v>
      </c>
      <c r="AM167" s="8">
        <v>53</v>
      </c>
      <c r="AN167" s="8">
        <v>29829</v>
      </c>
      <c r="AO167" s="8">
        <v>804</v>
      </c>
      <c r="AP167" s="8">
        <v>1285</v>
      </c>
      <c r="AQ167" s="2">
        <v>3.7</v>
      </c>
      <c r="AR167" s="2">
        <v>4</v>
      </c>
      <c r="AS167" s="2">
        <v>2.8</v>
      </c>
      <c r="AT167" s="8">
        <v>77</v>
      </c>
      <c r="AU167" s="8">
        <v>72</v>
      </c>
      <c r="AV167" s="8">
        <v>294</v>
      </c>
      <c r="AW167" s="8">
        <v>53475</v>
      </c>
      <c r="AX167" s="2">
        <v>64.2</v>
      </c>
      <c r="AY167" s="2">
        <v>76.400000000000006</v>
      </c>
      <c r="AZ167" s="2">
        <v>31.8</v>
      </c>
      <c r="BA167" s="8">
        <v>541</v>
      </c>
      <c r="BB167" s="8">
        <v>33055</v>
      </c>
      <c r="BC167" s="8">
        <v>28982203.666666668</v>
      </c>
      <c r="BD167" s="8">
        <v>27855</v>
      </c>
      <c r="BE167" s="8">
        <v>919</v>
      </c>
      <c r="BF167" s="8">
        <v>1914</v>
      </c>
      <c r="BG167" s="8">
        <v>1285</v>
      </c>
    </row>
    <row r="168" spans="1:59" x14ac:dyDescent="0.25">
      <c r="A168" t="s">
        <v>736</v>
      </c>
      <c r="B168" s="8">
        <v>5605</v>
      </c>
      <c r="C168" s="8">
        <v>27215</v>
      </c>
      <c r="D168" s="8">
        <v>32820</v>
      </c>
      <c r="E168" s="8">
        <v>5369</v>
      </c>
      <c r="F168" s="8">
        <v>27451</v>
      </c>
      <c r="G168" s="2">
        <v>17.100000000000001</v>
      </c>
      <c r="H168" s="2">
        <v>82.9</v>
      </c>
      <c r="I168" s="2">
        <v>16.399999999999999</v>
      </c>
      <c r="J168" s="2">
        <v>83.6</v>
      </c>
      <c r="K168" s="8">
        <v>36</v>
      </c>
      <c r="L168" s="8">
        <v>155</v>
      </c>
      <c r="M168" s="8">
        <v>258</v>
      </c>
      <c r="N168" s="8">
        <v>1067</v>
      </c>
      <c r="O168" s="8">
        <v>1622</v>
      </c>
      <c r="P168" s="8">
        <v>1744</v>
      </c>
      <c r="Q168" s="8">
        <v>210</v>
      </c>
      <c r="R168" s="8">
        <v>512</v>
      </c>
      <c r="S168" s="8">
        <v>35609</v>
      </c>
      <c r="T168" s="8">
        <v>384</v>
      </c>
      <c r="U168" s="8">
        <v>68</v>
      </c>
      <c r="V168" s="8">
        <v>2676</v>
      </c>
      <c r="W168" s="8">
        <v>147</v>
      </c>
      <c r="X168" s="8">
        <v>219</v>
      </c>
      <c r="Y168" s="8">
        <v>2293</v>
      </c>
      <c r="Z168" s="8">
        <v>4938</v>
      </c>
      <c r="AA168" s="8">
        <v>1802</v>
      </c>
      <c r="AB168" s="8">
        <v>2519</v>
      </c>
      <c r="AC168" s="8">
        <v>1554</v>
      </c>
      <c r="AD168" s="8">
        <v>1137</v>
      </c>
      <c r="AE168" s="8">
        <v>641</v>
      </c>
      <c r="AF168" s="8">
        <v>3220</v>
      </c>
      <c r="AG168" s="8">
        <v>3037</v>
      </c>
      <c r="AH168" s="8">
        <v>1546</v>
      </c>
      <c r="AI168" s="8">
        <v>2958</v>
      </c>
      <c r="AJ168" s="8">
        <v>4450</v>
      </c>
      <c r="AK168" s="8">
        <v>1032</v>
      </c>
      <c r="AL168" s="8">
        <v>931</v>
      </c>
      <c r="AM168" s="8">
        <v>58</v>
      </c>
      <c r="AN168" s="8">
        <v>29823</v>
      </c>
      <c r="AO168" s="8">
        <v>770</v>
      </c>
      <c r="AP168" s="8">
        <v>1411</v>
      </c>
      <c r="AQ168" s="2">
        <v>4.0999999999999996</v>
      </c>
      <c r="AR168" s="2">
        <v>3.8</v>
      </c>
      <c r="AS168" s="2">
        <v>2.2999999999999998</v>
      </c>
      <c r="AT168" s="8">
        <v>77</v>
      </c>
      <c r="AU168" s="8">
        <v>72</v>
      </c>
      <c r="AV168" s="8">
        <v>311</v>
      </c>
      <c r="AW168" s="8">
        <v>53515</v>
      </c>
      <c r="AX168" s="2">
        <v>64.2</v>
      </c>
      <c r="AY168" s="2">
        <v>75.900000000000006</v>
      </c>
      <c r="AZ168" s="2">
        <v>31.2</v>
      </c>
      <c r="BA168" s="8">
        <v>538.33333333333337</v>
      </c>
      <c r="BB168" s="8">
        <v>32972</v>
      </c>
      <c r="BC168" s="8">
        <v>29035590.666666668</v>
      </c>
      <c r="BD168" s="8">
        <v>27879</v>
      </c>
      <c r="BE168" s="8">
        <v>895</v>
      </c>
      <c r="BF168" s="8">
        <v>1954</v>
      </c>
      <c r="BG168" s="8">
        <v>1411</v>
      </c>
    </row>
    <row r="169" spans="1:59" x14ac:dyDescent="0.25">
      <c r="A169" t="s">
        <v>737</v>
      </c>
      <c r="B169" s="8">
        <v>5692</v>
      </c>
      <c r="C169" s="8">
        <v>26886</v>
      </c>
      <c r="D169" s="8">
        <v>32578</v>
      </c>
      <c r="E169" s="8">
        <v>5413</v>
      </c>
      <c r="F169" s="8">
        <v>27165</v>
      </c>
      <c r="G169" s="2">
        <v>17.5</v>
      </c>
      <c r="H169" s="2">
        <v>82.5</v>
      </c>
      <c r="I169" s="2">
        <v>16.600000000000001</v>
      </c>
      <c r="J169" s="2">
        <v>83.4</v>
      </c>
      <c r="K169" s="8">
        <v>36</v>
      </c>
      <c r="L169" s="8">
        <v>157</v>
      </c>
      <c r="M169" s="8">
        <v>261</v>
      </c>
      <c r="N169" s="8">
        <v>1071</v>
      </c>
      <c r="O169" s="8">
        <v>1618</v>
      </c>
      <c r="P169" s="8">
        <v>1783</v>
      </c>
      <c r="Q169" s="8">
        <v>208</v>
      </c>
      <c r="R169" s="8">
        <v>561</v>
      </c>
      <c r="S169" s="8">
        <v>35135</v>
      </c>
      <c r="T169" s="8">
        <v>377</v>
      </c>
      <c r="U169" s="8">
        <v>61</v>
      </c>
      <c r="V169" s="8">
        <v>2618</v>
      </c>
      <c r="W169" s="8">
        <v>146</v>
      </c>
      <c r="X169" s="8">
        <v>218</v>
      </c>
      <c r="Y169" s="8">
        <v>2276</v>
      </c>
      <c r="Z169" s="8">
        <v>4976</v>
      </c>
      <c r="AA169" s="8">
        <v>1802</v>
      </c>
      <c r="AB169" s="8">
        <v>2347</v>
      </c>
      <c r="AC169" s="8">
        <v>1526</v>
      </c>
      <c r="AD169" s="8">
        <v>1129</v>
      </c>
      <c r="AE169" s="8">
        <v>626</v>
      </c>
      <c r="AF169" s="8">
        <v>3127</v>
      </c>
      <c r="AG169" s="8">
        <v>2928</v>
      </c>
      <c r="AH169" s="8">
        <v>1561</v>
      </c>
      <c r="AI169" s="8">
        <v>2964</v>
      </c>
      <c r="AJ169" s="8">
        <v>4490</v>
      </c>
      <c r="AK169" s="8">
        <v>985</v>
      </c>
      <c r="AL169" s="8">
        <v>935</v>
      </c>
      <c r="AM169" s="8">
        <v>42</v>
      </c>
      <c r="AN169" s="8">
        <v>29439</v>
      </c>
      <c r="AO169" s="8">
        <v>345.33333333333331</v>
      </c>
      <c r="AP169" s="8">
        <v>1388</v>
      </c>
      <c r="AQ169" s="2">
        <v>4.0999999999999996</v>
      </c>
      <c r="AR169" s="2">
        <v>4.8</v>
      </c>
      <c r="AS169" s="2">
        <v>4.9999999999999989E-2</v>
      </c>
      <c r="AT169" s="8">
        <v>67</v>
      </c>
      <c r="AU169" s="8">
        <v>65</v>
      </c>
      <c r="AV169" s="8">
        <v>245</v>
      </c>
      <c r="AW169" s="8">
        <v>53555</v>
      </c>
      <c r="AX169" s="2">
        <v>63.5</v>
      </c>
      <c r="AY169" s="2">
        <v>75.400000000000006</v>
      </c>
      <c r="AZ169" s="2">
        <v>25.9</v>
      </c>
      <c r="BA169" s="8">
        <v>523.33333333333337</v>
      </c>
      <c r="BB169" s="8">
        <v>32636</v>
      </c>
      <c r="BC169" s="8">
        <v>28441490.333333332</v>
      </c>
      <c r="BD169" s="8">
        <v>27833</v>
      </c>
      <c r="BE169" s="8">
        <v>912</v>
      </c>
      <c r="BF169" s="8">
        <v>2233</v>
      </c>
      <c r="BG169" s="8">
        <v>1388</v>
      </c>
    </row>
    <row r="170" spans="1:59" x14ac:dyDescent="0.25">
      <c r="A170" t="s">
        <v>738</v>
      </c>
      <c r="B170" s="8">
        <v>5698</v>
      </c>
      <c r="C170" s="8">
        <v>26622</v>
      </c>
      <c r="D170" s="8">
        <v>32320</v>
      </c>
      <c r="E170" s="8">
        <v>5420</v>
      </c>
      <c r="F170" s="8">
        <v>26900</v>
      </c>
      <c r="G170" s="2">
        <v>17.600000000000001</v>
      </c>
      <c r="H170" s="2">
        <v>82.4</v>
      </c>
      <c r="I170" s="2">
        <v>16.8</v>
      </c>
      <c r="J170" s="2">
        <v>83.2</v>
      </c>
      <c r="K170" s="8">
        <v>36</v>
      </c>
      <c r="L170" s="8">
        <v>157</v>
      </c>
      <c r="M170" s="8">
        <v>263</v>
      </c>
      <c r="N170" s="8">
        <v>1081</v>
      </c>
      <c r="O170" s="8">
        <v>1623</v>
      </c>
      <c r="P170" s="8">
        <v>1778</v>
      </c>
      <c r="Q170" s="8">
        <v>210</v>
      </c>
      <c r="R170" s="8">
        <v>554</v>
      </c>
      <c r="S170" s="8">
        <v>34594</v>
      </c>
      <c r="T170" s="8">
        <v>417</v>
      </c>
      <c r="U170" s="8">
        <v>54</v>
      </c>
      <c r="V170" s="8">
        <v>2570</v>
      </c>
      <c r="W170" s="8">
        <v>143</v>
      </c>
      <c r="X170" s="8">
        <v>223</v>
      </c>
      <c r="Y170" s="8">
        <v>2143</v>
      </c>
      <c r="Z170" s="8">
        <v>4842</v>
      </c>
      <c r="AA170" s="8">
        <v>1785</v>
      </c>
      <c r="AB170" s="8">
        <v>2285</v>
      </c>
      <c r="AC170" s="8">
        <v>1517</v>
      </c>
      <c r="AD170" s="8">
        <v>1115</v>
      </c>
      <c r="AE170" s="8">
        <v>614</v>
      </c>
      <c r="AF170" s="8">
        <v>3116</v>
      </c>
      <c r="AG170" s="8">
        <v>2927</v>
      </c>
      <c r="AH170" s="8">
        <v>1564</v>
      </c>
      <c r="AI170" s="8">
        <v>2952</v>
      </c>
      <c r="AJ170" s="8">
        <v>4457</v>
      </c>
      <c r="AK170" s="8">
        <v>931</v>
      </c>
      <c r="AL170" s="8">
        <v>889</v>
      </c>
      <c r="AM170" s="8">
        <v>50</v>
      </c>
      <c r="AN170" s="8">
        <v>29043</v>
      </c>
      <c r="AO170" s="8">
        <v>508</v>
      </c>
      <c r="AP170" s="8">
        <v>1691</v>
      </c>
      <c r="AQ170" s="2">
        <v>5</v>
      </c>
      <c r="AR170" s="2">
        <v>11.4</v>
      </c>
      <c r="AS170" s="2">
        <v>-2.1500000000000004</v>
      </c>
      <c r="AT170" s="8">
        <v>65</v>
      </c>
      <c r="AU170" s="8">
        <v>59</v>
      </c>
      <c r="AV170" s="8">
        <v>349</v>
      </c>
      <c r="AW170" s="8">
        <v>53618</v>
      </c>
      <c r="AX170" s="2">
        <v>63.5</v>
      </c>
      <c r="AY170" s="2">
        <v>74.599999999999994</v>
      </c>
      <c r="AZ170" s="2">
        <v>28.2</v>
      </c>
      <c r="BA170" s="8">
        <v>547</v>
      </c>
      <c r="BB170" s="8">
        <v>32352</v>
      </c>
      <c r="BC170" s="8">
        <v>28258515.333333332</v>
      </c>
      <c r="BD170" s="8">
        <v>27799</v>
      </c>
      <c r="BE170" s="8">
        <v>909</v>
      </c>
      <c r="BF170" s="8">
        <v>2037</v>
      </c>
      <c r="BG170" s="8">
        <v>1691</v>
      </c>
    </row>
    <row r="171" spans="1:59" x14ac:dyDescent="0.25">
      <c r="A171" t="s">
        <v>739</v>
      </c>
      <c r="B171" s="8">
        <v>5733</v>
      </c>
      <c r="C171" s="8">
        <v>26539</v>
      </c>
      <c r="D171" s="8">
        <v>32272</v>
      </c>
      <c r="E171" s="8">
        <v>5450</v>
      </c>
      <c r="F171" s="8">
        <v>26822</v>
      </c>
      <c r="G171" s="2">
        <v>17.8</v>
      </c>
      <c r="H171" s="2">
        <v>82.2</v>
      </c>
      <c r="I171" s="2">
        <v>16.899999999999999</v>
      </c>
      <c r="J171" s="2">
        <v>83.1</v>
      </c>
      <c r="K171" s="8">
        <v>35</v>
      </c>
      <c r="L171" s="8">
        <v>159</v>
      </c>
      <c r="M171" s="8">
        <v>264</v>
      </c>
      <c r="N171" s="8">
        <v>1096</v>
      </c>
      <c r="O171" s="8">
        <v>1623</v>
      </c>
      <c r="P171" s="8">
        <v>1792</v>
      </c>
      <c r="Q171" s="8">
        <v>210</v>
      </c>
      <c r="R171" s="8">
        <v>550</v>
      </c>
      <c r="S171" s="8">
        <v>34522</v>
      </c>
      <c r="T171" s="8">
        <v>380</v>
      </c>
      <c r="U171" s="8">
        <v>53</v>
      </c>
      <c r="V171" s="8">
        <v>2556</v>
      </c>
      <c r="W171" s="8">
        <v>146</v>
      </c>
      <c r="X171" s="8">
        <v>223</v>
      </c>
      <c r="Y171" s="8">
        <v>2154</v>
      </c>
      <c r="Z171" s="8">
        <v>4831</v>
      </c>
      <c r="AA171" s="8">
        <v>1754</v>
      </c>
      <c r="AB171" s="8">
        <v>2195</v>
      </c>
      <c r="AC171" s="8">
        <v>1510</v>
      </c>
      <c r="AD171" s="8">
        <v>1143</v>
      </c>
      <c r="AE171" s="8">
        <v>645</v>
      </c>
      <c r="AF171" s="8">
        <v>3140</v>
      </c>
      <c r="AG171" s="8">
        <v>2920</v>
      </c>
      <c r="AH171" s="8">
        <v>1587</v>
      </c>
      <c r="AI171" s="8">
        <v>2939</v>
      </c>
      <c r="AJ171" s="8">
        <v>4502</v>
      </c>
      <c r="AK171" s="8">
        <v>917</v>
      </c>
      <c r="AL171" s="8">
        <v>883</v>
      </c>
      <c r="AM171" s="8">
        <v>46</v>
      </c>
      <c r="AN171" s="8">
        <v>29011</v>
      </c>
      <c r="AO171" s="8">
        <v>590.33333333333337</v>
      </c>
      <c r="AP171" s="8">
        <v>1794</v>
      </c>
      <c r="AQ171" s="2">
        <v>5.3</v>
      </c>
      <c r="AR171" s="2">
        <v>12.7</v>
      </c>
      <c r="AS171" s="2">
        <v>-2.4500000000000002</v>
      </c>
      <c r="AT171" s="8">
        <v>57</v>
      </c>
      <c r="AU171" s="8">
        <v>54</v>
      </c>
      <c r="AV171" s="8">
        <v>388</v>
      </c>
      <c r="AW171" s="8">
        <v>53692</v>
      </c>
      <c r="AX171" s="2">
        <v>63.4</v>
      </c>
      <c r="AY171" s="2">
        <v>74.3</v>
      </c>
      <c r="AZ171" s="2">
        <v>30.2</v>
      </c>
      <c r="BA171" s="8">
        <v>566</v>
      </c>
      <c r="BB171" s="8">
        <v>32266</v>
      </c>
      <c r="BC171" s="8">
        <v>28126981</v>
      </c>
      <c r="BD171" s="8">
        <v>27845</v>
      </c>
      <c r="BE171" s="8">
        <v>1036</v>
      </c>
      <c r="BF171" s="8">
        <v>2014</v>
      </c>
      <c r="BG171" s="8">
        <v>1794</v>
      </c>
    </row>
    <row r="172" spans="1:59" x14ac:dyDescent="0.25">
      <c r="A172" t="s">
        <v>740</v>
      </c>
      <c r="B172" s="8">
        <v>5812</v>
      </c>
      <c r="C172" s="8">
        <v>26501</v>
      </c>
      <c r="D172" s="8">
        <v>32313</v>
      </c>
      <c r="E172" s="8">
        <v>5530</v>
      </c>
      <c r="F172" s="8">
        <v>26783</v>
      </c>
      <c r="G172" s="2">
        <v>18</v>
      </c>
      <c r="H172" s="2">
        <v>82</v>
      </c>
      <c r="I172" s="2">
        <v>17.100000000000001</v>
      </c>
      <c r="J172" s="2">
        <v>82.9</v>
      </c>
      <c r="K172" s="8">
        <v>35</v>
      </c>
      <c r="L172" s="8">
        <v>160</v>
      </c>
      <c r="M172" s="8">
        <v>268</v>
      </c>
      <c r="N172" s="8">
        <v>1126</v>
      </c>
      <c r="O172" s="8">
        <v>1621</v>
      </c>
      <c r="P172" s="8">
        <v>1835</v>
      </c>
      <c r="Q172" s="8">
        <v>211</v>
      </c>
      <c r="R172" s="8">
        <v>552</v>
      </c>
      <c r="S172" s="8">
        <v>34734</v>
      </c>
      <c r="T172" s="8">
        <v>375</v>
      </c>
      <c r="U172" s="8">
        <v>53</v>
      </c>
      <c r="V172" s="8">
        <v>2537</v>
      </c>
      <c r="W172" s="8">
        <v>145</v>
      </c>
      <c r="X172" s="8">
        <v>218</v>
      </c>
      <c r="Y172" s="8">
        <v>2171</v>
      </c>
      <c r="Z172" s="8">
        <v>4809</v>
      </c>
      <c r="AA172" s="8">
        <v>1825</v>
      </c>
      <c r="AB172" s="8">
        <v>2235</v>
      </c>
      <c r="AC172" s="8">
        <v>1517</v>
      </c>
      <c r="AD172" s="8">
        <v>1155</v>
      </c>
      <c r="AE172" s="8">
        <v>637</v>
      </c>
      <c r="AF172" s="8">
        <v>3159</v>
      </c>
      <c r="AG172" s="8">
        <v>2935</v>
      </c>
      <c r="AH172" s="8">
        <v>1611</v>
      </c>
      <c r="AI172" s="8">
        <v>2934</v>
      </c>
      <c r="AJ172" s="8">
        <v>4568</v>
      </c>
      <c r="AK172" s="8">
        <v>894</v>
      </c>
      <c r="AL172" s="8">
        <v>905</v>
      </c>
      <c r="AM172" s="8">
        <v>52</v>
      </c>
      <c r="AN172" s="8">
        <v>29235</v>
      </c>
      <c r="AO172" s="8">
        <v>602.33333333333337</v>
      </c>
      <c r="AP172" s="8">
        <v>1667</v>
      </c>
      <c r="AQ172" s="2">
        <v>4.9000000000000004</v>
      </c>
      <c r="AR172" s="2">
        <v>5.5</v>
      </c>
      <c r="AS172" s="2">
        <v>-2.4500000000000002</v>
      </c>
      <c r="AT172" s="8">
        <v>65</v>
      </c>
      <c r="AU172" s="8">
        <v>63</v>
      </c>
      <c r="AV172" s="8">
        <v>397</v>
      </c>
      <c r="AW172" s="8">
        <v>53767</v>
      </c>
      <c r="AX172" s="2">
        <v>63.2</v>
      </c>
      <c r="AY172" s="2">
        <v>74.400000000000006</v>
      </c>
      <c r="AZ172" s="2">
        <v>29.5</v>
      </c>
      <c r="BA172" s="8">
        <v>559.66666666666663</v>
      </c>
      <c r="BB172" s="8">
        <v>32308</v>
      </c>
      <c r="BC172" s="8">
        <v>28175534.333333332</v>
      </c>
      <c r="BD172" s="8">
        <v>27945</v>
      </c>
      <c r="BE172" s="8">
        <v>1027</v>
      </c>
      <c r="BF172" s="8">
        <v>1947</v>
      </c>
      <c r="BG172" s="8">
        <v>1667</v>
      </c>
    </row>
    <row r="173" spans="1:59" x14ac:dyDescent="0.25">
      <c r="A173" t="s">
        <v>741</v>
      </c>
      <c r="B173" s="8">
        <v>5816</v>
      </c>
      <c r="C173" s="8">
        <v>26709</v>
      </c>
      <c r="D173" s="8">
        <v>32525</v>
      </c>
      <c r="E173" s="8">
        <v>5541</v>
      </c>
      <c r="F173" s="8">
        <v>26984</v>
      </c>
      <c r="G173" s="2">
        <v>17.899999999999999</v>
      </c>
      <c r="H173" s="2">
        <v>82.1</v>
      </c>
      <c r="I173" s="2">
        <v>17</v>
      </c>
      <c r="J173" s="2">
        <v>83</v>
      </c>
      <c r="K173" s="8">
        <v>34</v>
      </c>
      <c r="L173" s="8">
        <v>160</v>
      </c>
      <c r="M173" s="8">
        <v>269</v>
      </c>
      <c r="N173" s="8">
        <v>1119</v>
      </c>
      <c r="O173" s="8">
        <v>1625</v>
      </c>
      <c r="P173" s="8">
        <v>1847</v>
      </c>
      <c r="Q173" s="8">
        <v>209</v>
      </c>
      <c r="R173" s="8">
        <v>553</v>
      </c>
      <c r="S173" s="8">
        <v>35072</v>
      </c>
      <c r="T173" s="8">
        <v>374</v>
      </c>
      <c r="U173" s="8">
        <v>54</v>
      </c>
      <c r="V173" s="8">
        <v>2544</v>
      </c>
      <c r="W173" s="8">
        <v>147</v>
      </c>
      <c r="X173" s="8">
        <v>230</v>
      </c>
      <c r="Y173" s="8">
        <v>2241</v>
      </c>
      <c r="Z173" s="8">
        <v>4771</v>
      </c>
      <c r="AA173" s="8">
        <v>1811</v>
      </c>
      <c r="AB173" s="8">
        <v>2370</v>
      </c>
      <c r="AC173" s="8">
        <v>1495</v>
      </c>
      <c r="AD173" s="8">
        <v>1162</v>
      </c>
      <c r="AE173" s="8">
        <v>633</v>
      </c>
      <c r="AF173" s="8">
        <v>3166</v>
      </c>
      <c r="AG173" s="8">
        <v>2996</v>
      </c>
      <c r="AH173" s="8">
        <v>1612</v>
      </c>
      <c r="AI173" s="8">
        <v>2942</v>
      </c>
      <c r="AJ173" s="8">
        <v>4584</v>
      </c>
      <c r="AK173" s="8">
        <v>959</v>
      </c>
      <c r="AL173" s="8">
        <v>918</v>
      </c>
      <c r="AM173" s="8">
        <v>63</v>
      </c>
      <c r="AN173" s="8">
        <v>29481</v>
      </c>
      <c r="AO173" s="8">
        <v>887.33333333333337</v>
      </c>
      <c r="AP173" s="8">
        <v>1588</v>
      </c>
      <c r="AQ173" s="2">
        <v>4.7</v>
      </c>
      <c r="AR173" s="2">
        <v>3.6</v>
      </c>
      <c r="AS173" s="2">
        <v>-0.8</v>
      </c>
      <c r="AT173" s="8">
        <v>71</v>
      </c>
      <c r="AU173" s="8">
        <v>69</v>
      </c>
      <c r="AV173" s="8">
        <v>448</v>
      </c>
      <c r="AW173" s="8">
        <v>53842</v>
      </c>
      <c r="AX173" s="2">
        <v>63.2</v>
      </c>
      <c r="AY173" s="2">
        <v>74.7</v>
      </c>
      <c r="AZ173" s="2">
        <v>31</v>
      </c>
      <c r="BA173" s="8">
        <v>577.33333333333337</v>
      </c>
      <c r="BB173" s="8">
        <v>32454</v>
      </c>
      <c r="BC173" s="8">
        <v>28505794.333333332</v>
      </c>
      <c r="BD173" s="8">
        <v>28080</v>
      </c>
      <c r="BE173" s="8">
        <v>995</v>
      </c>
      <c r="BF173" s="8">
        <v>1836</v>
      </c>
      <c r="BG173" s="8">
        <v>1588</v>
      </c>
    </row>
    <row r="174" spans="1:59" x14ac:dyDescent="0.25">
      <c r="A174" t="s">
        <v>742</v>
      </c>
      <c r="B174" s="8">
        <v>5836</v>
      </c>
      <c r="C174" s="8">
        <v>26854</v>
      </c>
      <c r="D174" s="8">
        <v>32690</v>
      </c>
      <c r="E174" s="8">
        <v>5558</v>
      </c>
      <c r="F174" s="8">
        <v>27132</v>
      </c>
      <c r="G174" s="2">
        <v>17.899999999999999</v>
      </c>
      <c r="H174" s="2">
        <v>82.1</v>
      </c>
      <c r="I174" s="2">
        <v>17</v>
      </c>
      <c r="J174" s="2">
        <v>83</v>
      </c>
      <c r="K174" s="8">
        <v>35</v>
      </c>
      <c r="L174" s="8">
        <v>160</v>
      </c>
      <c r="M174" s="8">
        <v>271</v>
      </c>
      <c r="N174" s="8">
        <v>1127</v>
      </c>
      <c r="O174" s="8">
        <v>1628</v>
      </c>
      <c r="P174" s="8">
        <v>1850</v>
      </c>
      <c r="Q174" s="8">
        <v>212</v>
      </c>
      <c r="R174" s="8">
        <v>555</v>
      </c>
      <c r="S174" s="8">
        <v>35286</v>
      </c>
      <c r="T174" s="8">
        <v>367</v>
      </c>
      <c r="U174" s="8">
        <v>52</v>
      </c>
      <c r="V174" s="8">
        <v>2537</v>
      </c>
      <c r="W174" s="8">
        <v>146</v>
      </c>
      <c r="X174" s="8">
        <v>235</v>
      </c>
      <c r="Y174" s="8">
        <v>2225</v>
      </c>
      <c r="Z174" s="8">
        <v>4823</v>
      </c>
      <c r="AA174" s="8">
        <v>1817</v>
      </c>
      <c r="AB174" s="8">
        <v>2464</v>
      </c>
      <c r="AC174" s="8">
        <v>1533</v>
      </c>
      <c r="AD174" s="8">
        <v>1161</v>
      </c>
      <c r="AE174" s="8">
        <v>639</v>
      </c>
      <c r="AF174" s="8">
        <v>3185</v>
      </c>
      <c r="AG174" s="8">
        <v>2985</v>
      </c>
      <c r="AH174" s="8">
        <v>1612</v>
      </c>
      <c r="AI174" s="8">
        <v>2944</v>
      </c>
      <c r="AJ174" s="8">
        <v>4599</v>
      </c>
      <c r="AK174" s="8">
        <v>978</v>
      </c>
      <c r="AL174" s="8">
        <v>919</v>
      </c>
      <c r="AM174" s="8">
        <v>64</v>
      </c>
      <c r="AN174" s="8">
        <v>29723</v>
      </c>
      <c r="AO174" s="8">
        <v>1142.6666666666667</v>
      </c>
      <c r="AP174" s="8">
        <v>1500</v>
      </c>
      <c r="AQ174" s="2">
        <v>4.4000000000000004</v>
      </c>
      <c r="AR174" s="2">
        <v>3.8</v>
      </c>
      <c r="AS174" s="2">
        <v>2.8499999999999996</v>
      </c>
      <c r="AT174" s="8">
        <v>80</v>
      </c>
      <c r="AU174" s="8">
        <v>75</v>
      </c>
      <c r="AV174" s="8">
        <v>471</v>
      </c>
      <c r="AW174" s="8">
        <v>53949</v>
      </c>
      <c r="AX174" s="2">
        <v>63.4</v>
      </c>
      <c r="AY174" s="2">
        <v>75</v>
      </c>
      <c r="AZ174" s="2">
        <v>31.6</v>
      </c>
      <c r="BA174" s="8">
        <v>583.66666666666663</v>
      </c>
      <c r="BB174" s="8">
        <v>32712</v>
      </c>
      <c r="BC174" s="8">
        <v>28931090.333333332</v>
      </c>
      <c r="BD174" s="8">
        <v>28328</v>
      </c>
      <c r="BE174" s="8">
        <v>1000</v>
      </c>
      <c r="BF174" s="8">
        <v>1780</v>
      </c>
      <c r="BG174" s="8">
        <v>1500</v>
      </c>
    </row>
    <row r="175" spans="1:59" x14ac:dyDescent="0.25">
      <c r="A175" t="s">
        <v>743</v>
      </c>
      <c r="B175" s="8">
        <v>5858</v>
      </c>
      <c r="C175" s="8">
        <v>26882</v>
      </c>
      <c r="D175" s="8">
        <v>32740</v>
      </c>
      <c r="E175" s="8">
        <v>5577</v>
      </c>
      <c r="F175" s="8">
        <v>27163</v>
      </c>
      <c r="G175" s="2">
        <v>17.899999999999999</v>
      </c>
      <c r="H175" s="2">
        <v>82.1</v>
      </c>
      <c r="I175" s="2">
        <v>17</v>
      </c>
      <c r="J175" s="2">
        <v>83</v>
      </c>
      <c r="K175" s="8">
        <v>35</v>
      </c>
      <c r="L175" s="8">
        <v>159</v>
      </c>
      <c r="M175" s="8">
        <v>270</v>
      </c>
      <c r="N175" s="8">
        <v>1132</v>
      </c>
      <c r="O175" s="8">
        <v>1630</v>
      </c>
      <c r="P175" s="8">
        <v>1862</v>
      </c>
      <c r="Q175" s="8">
        <v>211</v>
      </c>
      <c r="R175" s="8">
        <v>555</v>
      </c>
      <c r="S175" s="8">
        <v>35328</v>
      </c>
      <c r="T175" s="8">
        <v>348</v>
      </c>
      <c r="U175" s="8">
        <v>51</v>
      </c>
      <c r="V175" s="8">
        <v>2553</v>
      </c>
      <c r="W175" s="8">
        <v>140</v>
      </c>
      <c r="X175" s="8">
        <v>231</v>
      </c>
      <c r="Y175" s="8">
        <v>2223</v>
      </c>
      <c r="Z175" s="8">
        <v>4760</v>
      </c>
      <c r="AA175" s="8">
        <v>1824</v>
      </c>
      <c r="AB175" s="8">
        <v>2495</v>
      </c>
      <c r="AC175" s="8">
        <v>1564</v>
      </c>
      <c r="AD175" s="8">
        <v>1143</v>
      </c>
      <c r="AE175" s="8">
        <v>618</v>
      </c>
      <c r="AF175" s="8">
        <v>3208</v>
      </c>
      <c r="AG175" s="8">
        <v>3027</v>
      </c>
      <c r="AH175" s="8">
        <v>1618</v>
      </c>
      <c r="AI175" s="8">
        <v>2977</v>
      </c>
      <c r="AJ175" s="8">
        <v>4589</v>
      </c>
      <c r="AK175" s="8">
        <v>987</v>
      </c>
      <c r="AL175" s="8">
        <v>915</v>
      </c>
      <c r="AM175" s="8">
        <v>57</v>
      </c>
      <c r="AN175" s="8">
        <v>29782</v>
      </c>
      <c r="AO175" s="8">
        <v>1227.3333333333333</v>
      </c>
      <c r="AP175" s="8">
        <v>1430</v>
      </c>
      <c r="AQ175" s="2">
        <v>4.2</v>
      </c>
      <c r="AR175" s="2">
        <v>2.6</v>
      </c>
      <c r="AS175" s="2">
        <v>4</v>
      </c>
      <c r="AT175" s="8">
        <v>81</v>
      </c>
      <c r="AU175" s="8">
        <v>75</v>
      </c>
      <c r="AV175" s="8">
        <v>434</v>
      </c>
      <c r="AW175" s="8">
        <v>54073</v>
      </c>
      <c r="AX175" s="2">
        <v>63.2</v>
      </c>
      <c r="AY175" s="2">
        <v>75.099999999999994</v>
      </c>
      <c r="AZ175" s="2">
        <v>31.7</v>
      </c>
      <c r="BA175" s="8">
        <v>594.66666666666663</v>
      </c>
      <c r="BB175" s="8">
        <v>32729</v>
      </c>
      <c r="BC175" s="8">
        <v>29165772.333333332</v>
      </c>
      <c r="BD175" s="8">
        <v>28419</v>
      </c>
      <c r="BE175" s="8">
        <v>912</v>
      </c>
      <c r="BF175" s="8">
        <v>1742</v>
      </c>
      <c r="BG175" s="8">
        <v>1430</v>
      </c>
    </row>
    <row r="176" spans="1:59" x14ac:dyDescent="0.25">
      <c r="A176" t="s">
        <v>744</v>
      </c>
      <c r="B176" s="8">
        <v>5873</v>
      </c>
      <c r="C176" s="8">
        <v>27003</v>
      </c>
      <c r="D176" s="8">
        <v>32876</v>
      </c>
      <c r="E176" s="8">
        <v>5596</v>
      </c>
      <c r="F176" s="8">
        <v>27280</v>
      </c>
      <c r="G176" s="2">
        <v>17.899999999999999</v>
      </c>
      <c r="H176" s="2">
        <v>82.1</v>
      </c>
      <c r="I176" s="2">
        <v>17</v>
      </c>
      <c r="J176" s="2">
        <v>83</v>
      </c>
      <c r="K176" s="8">
        <v>35</v>
      </c>
      <c r="L176" s="8">
        <v>159</v>
      </c>
      <c r="M176" s="8">
        <v>272</v>
      </c>
      <c r="N176" s="8">
        <v>1143</v>
      </c>
      <c r="O176" s="8">
        <v>1632</v>
      </c>
      <c r="P176" s="8">
        <v>1874</v>
      </c>
      <c r="Q176" s="8">
        <v>212</v>
      </c>
      <c r="R176" s="8">
        <v>547</v>
      </c>
      <c r="S176" s="8">
        <v>35712</v>
      </c>
      <c r="T176" s="8">
        <v>345</v>
      </c>
      <c r="U176" s="8">
        <v>51</v>
      </c>
      <c r="V176" s="8">
        <v>2612</v>
      </c>
      <c r="W176" s="8">
        <v>129</v>
      </c>
      <c r="X176" s="8">
        <v>239</v>
      </c>
      <c r="Y176" s="8">
        <v>2255</v>
      </c>
      <c r="Z176" s="8">
        <v>4797</v>
      </c>
      <c r="AA176" s="8">
        <v>1823</v>
      </c>
      <c r="AB176" s="8">
        <v>2558</v>
      </c>
      <c r="AC176" s="8">
        <v>1577</v>
      </c>
      <c r="AD176" s="8">
        <v>1114</v>
      </c>
      <c r="AE176" s="8">
        <v>629</v>
      </c>
      <c r="AF176" s="8">
        <v>3273</v>
      </c>
      <c r="AG176" s="8">
        <v>3071</v>
      </c>
      <c r="AH176" s="8">
        <v>1638</v>
      </c>
      <c r="AI176" s="8">
        <v>3023</v>
      </c>
      <c r="AJ176" s="8">
        <v>4618</v>
      </c>
      <c r="AK176" s="8">
        <v>989</v>
      </c>
      <c r="AL176" s="8">
        <v>915</v>
      </c>
      <c r="AM176" s="8">
        <v>55</v>
      </c>
      <c r="AN176" s="8">
        <v>30080</v>
      </c>
      <c r="AO176" s="8">
        <v>1258.6666666666667</v>
      </c>
      <c r="AP176" s="8">
        <v>1290</v>
      </c>
      <c r="AQ176" s="2">
        <v>3.8</v>
      </c>
      <c r="AR176" s="2">
        <v>2.5</v>
      </c>
      <c r="AS176" s="2">
        <v>4</v>
      </c>
      <c r="AT176" s="8">
        <v>81</v>
      </c>
      <c r="AU176" s="8">
        <v>76</v>
      </c>
      <c r="AV176" s="8">
        <v>376</v>
      </c>
      <c r="AW176" s="8">
        <v>54198</v>
      </c>
      <c r="AX176" s="2">
        <v>62.9</v>
      </c>
      <c r="AY176" s="2">
        <v>75.099999999999994</v>
      </c>
      <c r="AZ176" s="2">
        <v>31.8</v>
      </c>
      <c r="BA176" s="8">
        <v>605.33333333333337</v>
      </c>
      <c r="BB176" s="8">
        <v>32784</v>
      </c>
      <c r="BC176" s="8">
        <v>29407980</v>
      </c>
      <c r="BD176" s="8">
        <v>28424</v>
      </c>
      <c r="BE176" s="8">
        <v>895</v>
      </c>
      <c r="BF176" s="8">
        <v>1812</v>
      </c>
      <c r="BG176" s="8">
        <v>1290</v>
      </c>
    </row>
    <row r="177" spans="1:59" x14ac:dyDescent="0.25">
      <c r="A177" t="s">
        <v>745</v>
      </c>
      <c r="B177" s="8">
        <v>5880</v>
      </c>
      <c r="C177" s="8">
        <v>27038</v>
      </c>
      <c r="D177" s="8">
        <v>32918</v>
      </c>
      <c r="E177" s="8">
        <v>5609</v>
      </c>
      <c r="F177" s="8">
        <v>27309</v>
      </c>
      <c r="G177" s="2">
        <v>17.899999999999999</v>
      </c>
      <c r="H177" s="2">
        <v>82.1</v>
      </c>
      <c r="I177" s="2">
        <v>17</v>
      </c>
      <c r="J177" s="2">
        <v>83</v>
      </c>
      <c r="K177" s="8">
        <v>34</v>
      </c>
      <c r="L177" s="8">
        <v>157</v>
      </c>
      <c r="M177" s="8">
        <v>272</v>
      </c>
      <c r="N177" s="8">
        <v>1143</v>
      </c>
      <c r="O177" s="8">
        <v>1632</v>
      </c>
      <c r="P177" s="8">
        <v>1884</v>
      </c>
      <c r="Q177" s="8">
        <v>213</v>
      </c>
      <c r="R177" s="8">
        <v>547</v>
      </c>
      <c r="S177" s="8">
        <v>35920</v>
      </c>
      <c r="T177" s="8">
        <v>368</v>
      </c>
      <c r="U177" s="8">
        <v>51</v>
      </c>
      <c r="V177" s="8">
        <v>2612</v>
      </c>
      <c r="W177" s="8">
        <v>131</v>
      </c>
      <c r="X177" s="8">
        <v>237</v>
      </c>
      <c r="Y177" s="8">
        <v>2251</v>
      </c>
      <c r="Z177" s="8">
        <v>4751</v>
      </c>
      <c r="AA177" s="8">
        <v>1843</v>
      </c>
      <c r="AB177" s="8">
        <v>2595</v>
      </c>
      <c r="AC177" s="8">
        <v>1608</v>
      </c>
      <c r="AD177" s="8">
        <v>1094</v>
      </c>
      <c r="AE177" s="8">
        <v>652</v>
      </c>
      <c r="AF177" s="8">
        <v>3261</v>
      </c>
      <c r="AG177" s="8">
        <v>3136</v>
      </c>
      <c r="AH177" s="8">
        <v>1628</v>
      </c>
      <c r="AI177" s="8">
        <v>3057</v>
      </c>
      <c r="AJ177" s="8">
        <v>4636</v>
      </c>
      <c r="AK177" s="8">
        <v>1019</v>
      </c>
      <c r="AL177" s="8">
        <v>935</v>
      </c>
      <c r="AM177" s="8">
        <v>56</v>
      </c>
      <c r="AN177" s="8">
        <v>30270</v>
      </c>
      <c r="AO177" s="8">
        <v>1320.3333333333333</v>
      </c>
      <c r="AP177" s="8">
        <v>1296</v>
      </c>
      <c r="AQ177" s="2">
        <v>3.8</v>
      </c>
      <c r="AR177" s="2">
        <v>1.9</v>
      </c>
      <c r="AS177" s="2">
        <v>4</v>
      </c>
      <c r="AT177" s="8">
        <v>80</v>
      </c>
      <c r="AU177" s="8">
        <v>72</v>
      </c>
      <c r="AV177" s="8">
        <v>360</v>
      </c>
      <c r="AW177" s="8">
        <v>54322</v>
      </c>
      <c r="AX177" s="2">
        <v>63.1</v>
      </c>
      <c r="AY177" s="2">
        <v>75.099999999999994</v>
      </c>
      <c r="AZ177" s="2">
        <v>31.7</v>
      </c>
      <c r="BA177" s="8">
        <v>611.33333333333337</v>
      </c>
      <c r="BB177" s="8">
        <v>33007</v>
      </c>
      <c r="BC177" s="8">
        <v>29553547</v>
      </c>
      <c r="BD177" s="8">
        <v>28619</v>
      </c>
      <c r="BE177" s="8">
        <v>830</v>
      </c>
      <c r="BF177" s="8">
        <v>1842</v>
      </c>
      <c r="BG177" s="8">
        <v>1296</v>
      </c>
    </row>
    <row r="178" spans="1:59" x14ac:dyDescent="0.25">
      <c r="A178" t="s">
        <v>746</v>
      </c>
      <c r="B178" s="8">
        <v>5900</v>
      </c>
      <c r="C178" s="8">
        <v>27068</v>
      </c>
      <c r="D178" s="8">
        <v>32968</v>
      </c>
      <c r="E178" s="8">
        <v>5625</v>
      </c>
      <c r="F178" s="8">
        <v>27343</v>
      </c>
      <c r="G178" s="2">
        <v>17.899999999999999</v>
      </c>
      <c r="H178" s="2">
        <v>82.1</v>
      </c>
      <c r="I178" s="2">
        <v>17.100000000000001</v>
      </c>
      <c r="J178" s="2">
        <v>82.9</v>
      </c>
      <c r="K178" s="8">
        <v>34</v>
      </c>
      <c r="L178" s="8">
        <v>156</v>
      </c>
      <c r="M178" s="8">
        <v>274</v>
      </c>
      <c r="N178" s="8">
        <v>1148</v>
      </c>
      <c r="O178" s="8">
        <v>1624</v>
      </c>
      <c r="P178" s="8">
        <v>1899</v>
      </c>
      <c r="Q178" s="8">
        <v>212</v>
      </c>
      <c r="R178" s="8">
        <v>554</v>
      </c>
      <c r="S178" s="8">
        <v>35985</v>
      </c>
      <c r="T178" s="8">
        <v>362</v>
      </c>
      <c r="U178" s="8">
        <v>52</v>
      </c>
      <c r="V178" s="8">
        <v>2617</v>
      </c>
      <c r="W178" s="8">
        <v>123</v>
      </c>
      <c r="X178" s="8">
        <v>240</v>
      </c>
      <c r="Y178" s="8">
        <v>2201</v>
      </c>
      <c r="Z178" s="8">
        <v>4749</v>
      </c>
      <c r="AA178" s="8">
        <v>1877</v>
      </c>
      <c r="AB178" s="8">
        <v>2670</v>
      </c>
      <c r="AC178" s="8">
        <v>1624</v>
      </c>
      <c r="AD178" s="8">
        <v>1087</v>
      </c>
      <c r="AE178" s="8">
        <v>662</v>
      </c>
      <c r="AF178" s="8">
        <v>3276</v>
      </c>
      <c r="AG178" s="8">
        <v>3128</v>
      </c>
      <c r="AH178" s="8">
        <v>1638</v>
      </c>
      <c r="AI178" s="8">
        <v>3009</v>
      </c>
      <c r="AJ178" s="8">
        <v>4647</v>
      </c>
      <c r="AK178" s="8">
        <v>1023</v>
      </c>
      <c r="AL178" s="8">
        <v>944</v>
      </c>
      <c r="AM178" s="8">
        <v>55</v>
      </c>
      <c r="AN178" s="8">
        <v>30390</v>
      </c>
      <c r="AO178" s="8">
        <v>1253.6666666666667</v>
      </c>
      <c r="AP178" s="8">
        <v>1278</v>
      </c>
      <c r="AQ178" s="2">
        <v>3.7</v>
      </c>
      <c r="AR178" s="2">
        <v>2.7</v>
      </c>
      <c r="AS178" s="2">
        <v>4</v>
      </c>
      <c r="AT178" s="8">
        <v>80</v>
      </c>
      <c r="AU178" s="8">
        <v>73</v>
      </c>
      <c r="AV178" s="8">
        <v>324</v>
      </c>
      <c r="AW178" s="8">
        <v>54472</v>
      </c>
      <c r="AX178" s="2">
        <v>62.8</v>
      </c>
      <c r="AY178" s="2">
        <v>74.900000000000006</v>
      </c>
      <c r="AZ178" s="2">
        <v>31.8</v>
      </c>
      <c r="BA178" s="8">
        <v>622</v>
      </c>
      <c r="BB178" s="8">
        <v>32904</v>
      </c>
      <c r="BC178" s="8">
        <v>29708006.333333332</v>
      </c>
      <c r="BD178" s="8">
        <v>28522</v>
      </c>
      <c r="BE178" s="8">
        <v>809</v>
      </c>
      <c r="BF178" s="8">
        <v>1807</v>
      </c>
      <c r="BG178" s="8">
        <v>1278</v>
      </c>
    </row>
    <row r="179" spans="1:59" x14ac:dyDescent="0.25">
      <c r="A179" t="s">
        <v>747</v>
      </c>
      <c r="B179" s="8">
        <v>5930</v>
      </c>
      <c r="C179" s="8">
        <v>27234</v>
      </c>
      <c r="D179" s="8">
        <v>33164</v>
      </c>
      <c r="E179" s="8">
        <v>5653</v>
      </c>
      <c r="F179" s="8">
        <v>27511</v>
      </c>
      <c r="G179" s="2">
        <v>17.899999999999999</v>
      </c>
      <c r="H179" s="2">
        <v>82.1</v>
      </c>
      <c r="I179" s="2">
        <v>17</v>
      </c>
      <c r="J179" s="2">
        <v>83</v>
      </c>
      <c r="K179" s="8">
        <v>34</v>
      </c>
      <c r="L179" s="8">
        <v>154</v>
      </c>
      <c r="M179" s="8">
        <v>276</v>
      </c>
      <c r="N179" s="8">
        <v>1153</v>
      </c>
      <c r="O179" s="8">
        <v>1628</v>
      </c>
      <c r="P179" s="8">
        <v>1916</v>
      </c>
      <c r="Q179" s="8">
        <v>211</v>
      </c>
      <c r="R179" s="8">
        <v>555</v>
      </c>
      <c r="S179" s="8">
        <v>36181</v>
      </c>
      <c r="T179" s="8">
        <v>350</v>
      </c>
      <c r="U179" s="8">
        <v>53</v>
      </c>
      <c r="V179" s="8">
        <v>2621</v>
      </c>
      <c r="W179" s="8">
        <v>121</v>
      </c>
      <c r="X179" s="8">
        <v>241</v>
      </c>
      <c r="Y179" s="8">
        <v>2225</v>
      </c>
      <c r="Z179" s="8">
        <v>4743</v>
      </c>
      <c r="AA179" s="8">
        <v>1890</v>
      </c>
      <c r="AB179" s="8">
        <v>2713</v>
      </c>
      <c r="AC179" s="8">
        <v>1624</v>
      </c>
      <c r="AD179" s="8">
        <v>1119</v>
      </c>
      <c r="AE179" s="8">
        <v>682</v>
      </c>
      <c r="AF179" s="8">
        <v>3353</v>
      </c>
      <c r="AG179" s="8">
        <v>3099</v>
      </c>
      <c r="AH179" s="8">
        <v>1644</v>
      </c>
      <c r="AI179" s="8">
        <v>2993</v>
      </c>
      <c r="AJ179" s="8">
        <v>4679</v>
      </c>
      <c r="AK179" s="8">
        <v>1029</v>
      </c>
      <c r="AL179" s="8">
        <v>951</v>
      </c>
      <c r="AM179" s="8">
        <v>51</v>
      </c>
      <c r="AN179" s="8">
        <v>30570</v>
      </c>
      <c r="AO179" s="8">
        <v>1136.6666666666667</v>
      </c>
      <c r="AP179" s="8">
        <v>1355</v>
      </c>
      <c r="AQ179" s="2">
        <v>3.9</v>
      </c>
      <c r="AR179" s="2">
        <v>3.4</v>
      </c>
      <c r="AS179" s="2">
        <v>3</v>
      </c>
      <c r="AT179" s="8">
        <v>85</v>
      </c>
      <c r="AU179" s="8">
        <v>79</v>
      </c>
      <c r="AV179" s="8">
        <v>285</v>
      </c>
      <c r="AW179" s="8">
        <v>54636</v>
      </c>
      <c r="AX179" s="2">
        <v>63.1</v>
      </c>
      <c r="AY179" s="2">
        <v>75.099999999999994</v>
      </c>
      <c r="AZ179" s="2">
        <v>31.7</v>
      </c>
      <c r="BA179" s="8">
        <v>634.33333333333337</v>
      </c>
      <c r="BB179" s="8">
        <v>33114</v>
      </c>
      <c r="BC179" s="8">
        <v>29874572.666666668</v>
      </c>
      <c r="BD179" s="8">
        <v>28676</v>
      </c>
      <c r="BE179" s="8">
        <v>803</v>
      </c>
      <c r="BF179" s="8">
        <v>1798</v>
      </c>
      <c r="BG179" s="8">
        <v>1355</v>
      </c>
    </row>
    <row r="180" spans="1:59" x14ac:dyDescent="0.25">
      <c r="A180" t="s">
        <v>748</v>
      </c>
      <c r="B180" s="8">
        <v>5966</v>
      </c>
      <c r="C180" s="8">
        <v>27510</v>
      </c>
      <c r="D180" s="8">
        <v>33476</v>
      </c>
      <c r="E180" s="8">
        <v>5689</v>
      </c>
      <c r="F180" s="8">
        <v>27787</v>
      </c>
      <c r="G180" s="2">
        <v>17.8</v>
      </c>
      <c r="H180" s="2">
        <v>82.2</v>
      </c>
      <c r="I180" s="2">
        <v>17</v>
      </c>
      <c r="J180" s="2">
        <v>83</v>
      </c>
      <c r="K180" s="8">
        <v>34</v>
      </c>
      <c r="L180" s="8">
        <v>153</v>
      </c>
      <c r="M180" s="8">
        <v>280</v>
      </c>
      <c r="N180" s="8">
        <v>1159</v>
      </c>
      <c r="O180" s="8">
        <v>1634</v>
      </c>
      <c r="P180" s="8">
        <v>1938</v>
      </c>
      <c r="Q180" s="8">
        <v>210</v>
      </c>
      <c r="R180" s="8">
        <v>555</v>
      </c>
      <c r="S180" s="8">
        <v>36537</v>
      </c>
      <c r="T180" s="8">
        <v>367</v>
      </c>
      <c r="U180" s="8">
        <v>57</v>
      </c>
      <c r="V180" s="8">
        <v>2613</v>
      </c>
      <c r="W180" s="8">
        <v>121</v>
      </c>
      <c r="X180" s="8">
        <v>251</v>
      </c>
      <c r="Y180" s="8">
        <v>2258</v>
      </c>
      <c r="Z180" s="8">
        <v>4775</v>
      </c>
      <c r="AA180" s="8">
        <v>1896</v>
      </c>
      <c r="AB180" s="8">
        <v>2699</v>
      </c>
      <c r="AC180" s="8">
        <v>1656</v>
      </c>
      <c r="AD180" s="8">
        <v>1140</v>
      </c>
      <c r="AE180" s="8">
        <v>704</v>
      </c>
      <c r="AF180" s="8">
        <v>3419</v>
      </c>
      <c r="AG180" s="8">
        <v>3102</v>
      </c>
      <c r="AH180" s="8">
        <v>1663</v>
      </c>
      <c r="AI180" s="8">
        <v>3019</v>
      </c>
      <c r="AJ180" s="8">
        <v>4767</v>
      </c>
      <c r="AK180" s="8">
        <v>1035</v>
      </c>
      <c r="AL180" s="8">
        <v>944</v>
      </c>
      <c r="AM180" s="8">
        <v>51</v>
      </c>
      <c r="AN180" s="8">
        <v>30870</v>
      </c>
      <c r="AO180" s="8">
        <v>1093.3333333333333</v>
      </c>
      <c r="AP180" s="8">
        <v>1386</v>
      </c>
      <c r="AQ180" s="2">
        <v>4</v>
      </c>
      <c r="AR180" s="2">
        <v>2.8</v>
      </c>
      <c r="AS180" s="2">
        <v>2</v>
      </c>
      <c r="AT180" s="8">
        <v>83</v>
      </c>
      <c r="AU180" s="8">
        <v>80</v>
      </c>
      <c r="AV180" s="8">
        <v>327</v>
      </c>
      <c r="AW180" s="8">
        <v>54799</v>
      </c>
      <c r="AX180" s="2">
        <v>63.3</v>
      </c>
      <c r="AY180" s="2">
        <v>75.3</v>
      </c>
      <c r="AZ180" s="2">
        <v>31.7</v>
      </c>
      <c r="BA180" s="8">
        <v>643.33333333333337</v>
      </c>
      <c r="BB180" s="8">
        <v>33320</v>
      </c>
      <c r="BC180" s="8">
        <v>30009950</v>
      </c>
      <c r="BD180" s="8">
        <v>28766</v>
      </c>
      <c r="BE180" s="8">
        <v>838</v>
      </c>
      <c r="BF180" s="8">
        <v>1852</v>
      </c>
      <c r="BG180" s="8">
        <v>1386</v>
      </c>
    </row>
    <row r="181" spans="1:59" x14ac:dyDescent="0.25">
      <c r="A181" t="s">
        <v>749</v>
      </c>
      <c r="B181" s="8">
        <v>6000</v>
      </c>
      <c r="C181" s="8">
        <v>27283</v>
      </c>
      <c r="D181" s="8">
        <v>33283</v>
      </c>
      <c r="E181" s="8">
        <v>5728</v>
      </c>
      <c r="F181" s="8">
        <v>27555</v>
      </c>
      <c r="G181" s="2">
        <v>18</v>
      </c>
      <c r="H181" s="2">
        <v>82</v>
      </c>
      <c r="I181" s="2">
        <v>17.2</v>
      </c>
      <c r="J181" s="2">
        <v>82.8</v>
      </c>
      <c r="K181" s="8">
        <v>33</v>
      </c>
      <c r="L181" s="8">
        <v>151</v>
      </c>
      <c r="M181" s="8">
        <v>280</v>
      </c>
      <c r="N181" s="8">
        <v>1175</v>
      </c>
      <c r="O181" s="8">
        <v>1637</v>
      </c>
      <c r="P181" s="8">
        <v>1963</v>
      </c>
      <c r="Q181" s="8">
        <v>212</v>
      </c>
      <c r="R181" s="8">
        <v>552</v>
      </c>
      <c r="S181" s="8">
        <v>36304</v>
      </c>
      <c r="T181" s="8">
        <v>338</v>
      </c>
      <c r="U181" s="8">
        <v>50</v>
      </c>
      <c r="V181" s="8">
        <v>2576</v>
      </c>
      <c r="W181" s="8">
        <v>127</v>
      </c>
      <c r="X181" s="8">
        <v>250</v>
      </c>
      <c r="Y181" s="8">
        <v>2260</v>
      </c>
      <c r="Z181" s="8">
        <v>4713</v>
      </c>
      <c r="AA181" s="8">
        <v>1846</v>
      </c>
      <c r="AB181" s="8">
        <v>2701</v>
      </c>
      <c r="AC181" s="8">
        <v>1646</v>
      </c>
      <c r="AD181" s="8">
        <v>1137</v>
      </c>
      <c r="AE181" s="8">
        <v>685</v>
      </c>
      <c r="AF181" s="8">
        <v>3359</v>
      </c>
      <c r="AG181" s="8">
        <v>3138</v>
      </c>
      <c r="AH181" s="8">
        <v>1678</v>
      </c>
      <c r="AI181" s="8">
        <v>3025</v>
      </c>
      <c r="AJ181" s="8">
        <v>4775</v>
      </c>
      <c r="AK181" s="8">
        <v>1049</v>
      </c>
      <c r="AL181" s="8">
        <v>894</v>
      </c>
      <c r="AM181" s="8">
        <v>57</v>
      </c>
      <c r="AN181" s="8">
        <v>30703</v>
      </c>
      <c r="AO181" s="8">
        <v>1059.6666666666667</v>
      </c>
      <c r="AP181" s="8">
        <v>1470</v>
      </c>
      <c r="AQ181" s="2">
        <v>4.2</v>
      </c>
      <c r="AR181" s="2">
        <v>3.8</v>
      </c>
      <c r="AS181" s="2">
        <v>2</v>
      </c>
      <c r="AT181" s="8">
        <v>84</v>
      </c>
      <c r="AU181" s="8">
        <v>77</v>
      </c>
      <c r="AV181" s="8">
        <v>300</v>
      </c>
      <c r="AW181" s="8">
        <v>54963</v>
      </c>
      <c r="AX181" s="2">
        <v>63.4</v>
      </c>
      <c r="AY181" s="2">
        <v>75.2</v>
      </c>
      <c r="AZ181" s="2">
        <v>31.7</v>
      </c>
      <c r="BA181" s="8">
        <v>658.66666666666663</v>
      </c>
      <c r="BB181" s="8">
        <v>33356</v>
      </c>
      <c r="BC181" s="8">
        <v>30137612.333333332</v>
      </c>
      <c r="BD181" s="8">
        <v>28852</v>
      </c>
      <c r="BE181" s="8">
        <v>818</v>
      </c>
      <c r="BF181" s="8">
        <v>1769</v>
      </c>
      <c r="BG181" s="8">
        <v>1470</v>
      </c>
    </row>
    <row r="182" spans="1:59" x14ac:dyDescent="0.25">
      <c r="A182" t="s">
        <v>750</v>
      </c>
      <c r="B182" s="8">
        <v>6055</v>
      </c>
      <c r="C182" s="8">
        <v>27306</v>
      </c>
      <c r="D182" s="8">
        <v>33361</v>
      </c>
      <c r="E182" s="8">
        <v>5777</v>
      </c>
      <c r="F182" s="8">
        <v>27584</v>
      </c>
      <c r="G182" s="2">
        <v>18.100000000000001</v>
      </c>
      <c r="H182" s="2">
        <v>81.900000000000006</v>
      </c>
      <c r="I182" s="2">
        <v>17.3</v>
      </c>
      <c r="J182" s="2">
        <v>82.7</v>
      </c>
      <c r="K182" s="8">
        <v>34</v>
      </c>
      <c r="L182" s="8">
        <v>150</v>
      </c>
      <c r="M182" s="8">
        <v>281</v>
      </c>
      <c r="N182" s="8">
        <v>1184</v>
      </c>
      <c r="O182" s="8">
        <v>1657</v>
      </c>
      <c r="P182" s="8">
        <v>1983</v>
      </c>
      <c r="Q182" s="8">
        <v>209</v>
      </c>
      <c r="R182" s="8">
        <v>559</v>
      </c>
      <c r="S182" s="8">
        <v>36429</v>
      </c>
      <c r="T182" s="8">
        <v>377</v>
      </c>
      <c r="U182" s="8">
        <v>51</v>
      </c>
      <c r="V182" s="8">
        <v>2599</v>
      </c>
      <c r="W182" s="8">
        <v>126</v>
      </c>
      <c r="X182" s="8">
        <v>242</v>
      </c>
      <c r="Y182" s="8">
        <v>2247</v>
      </c>
      <c r="Z182" s="8">
        <v>4761</v>
      </c>
      <c r="AA182" s="8">
        <v>1848</v>
      </c>
      <c r="AB182" s="8">
        <v>2680</v>
      </c>
      <c r="AC182" s="8">
        <v>1589</v>
      </c>
      <c r="AD182" s="8">
        <v>1131</v>
      </c>
      <c r="AE182" s="8">
        <v>695</v>
      </c>
      <c r="AF182" s="8">
        <v>3439</v>
      </c>
      <c r="AG182" s="8">
        <v>3070</v>
      </c>
      <c r="AH182" s="8">
        <v>1677</v>
      </c>
      <c r="AI182" s="8">
        <v>3025</v>
      </c>
      <c r="AJ182" s="8">
        <v>4822</v>
      </c>
      <c r="AK182" s="8">
        <v>1078</v>
      </c>
      <c r="AL182" s="8">
        <v>904</v>
      </c>
      <c r="AM182" s="8">
        <v>66</v>
      </c>
      <c r="AN182" s="8">
        <v>30788</v>
      </c>
      <c r="AO182" s="8">
        <v>1002</v>
      </c>
      <c r="AP182" s="8">
        <v>1430</v>
      </c>
      <c r="AQ182" s="2">
        <v>4.0999999999999996</v>
      </c>
      <c r="AR182" s="2">
        <v>2.6</v>
      </c>
      <c r="AS182" s="2">
        <v>2</v>
      </c>
      <c r="AT182" s="8">
        <v>77</v>
      </c>
      <c r="AU182" s="8">
        <v>70</v>
      </c>
      <c r="AV182" s="8">
        <v>252</v>
      </c>
      <c r="AW182" s="8">
        <v>55126</v>
      </c>
      <c r="AX182" s="2">
        <v>63</v>
      </c>
      <c r="AY182" s="2">
        <v>74.8</v>
      </c>
      <c r="AZ182" s="2">
        <v>31.5</v>
      </c>
      <c r="BA182" s="8">
        <v>670</v>
      </c>
      <c r="BB182" s="8">
        <v>33326</v>
      </c>
      <c r="BC182" s="8">
        <v>30202564.333333332</v>
      </c>
      <c r="BD182" s="8">
        <v>28829</v>
      </c>
      <c r="BE182" s="8">
        <v>805</v>
      </c>
      <c r="BF182" s="8">
        <v>1802</v>
      </c>
      <c r="BG182" s="8">
        <v>1430</v>
      </c>
    </row>
    <row r="183" spans="1:59" x14ac:dyDescent="0.25">
      <c r="A183" t="s">
        <v>751</v>
      </c>
      <c r="B183" s="8">
        <v>6090</v>
      </c>
      <c r="C183" s="8">
        <v>27233</v>
      </c>
      <c r="D183" s="8">
        <v>33323</v>
      </c>
      <c r="E183" s="8">
        <v>5809</v>
      </c>
      <c r="F183" s="8">
        <v>27514</v>
      </c>
      <c r="G183" s="2">
        <v>18.3</v>
      </c>
      <c r="H183" s="2">
        <v>81.7</v>
      </c>
      <c r="I183" s="2">
        <v>17.399999999999999</v>
      </c>
      <c r="J183" s="2">
        <v>82.6</v>
      </c>
      <c r="K183" s="8">
        <v>34</v>
      </c>
      <c r="L183" s="8">
        <v>149</v>
      </c>
      <c r="M183" s="8">
        <v>281</v>
      </c>
      <c r="N183" s="8">
        <v>1196</v>
      </c>
      <c r="O183" s="8">
        <v>1656</v>
      </c>
      <c r="P183" s="8">
        <v>2004</v>
      </c>
      <c r="Q183" s="8">
        <v>208</v>
      </c>
      <c r="R183" s="8">
        <v>562</v>
      </c>
      <c r="S183" s="8">
        <v>36506</v>
      </c>
      <c r="T183" s="8">
        <v>403</v>
      </c>
      <c r="U183" s="8">
        <v>50</v>
      </c>
      <c r="V183" s="8">
        <v>2599</v>
      </c>
      <c r="W183" s="8">
        <v>130</v>
      </c>
      <c r="X183" s="8">
        <v>240</v>
      </c>
      <c r="Y183" s="8">
        <v>2213</v>
      </c>
      <c r="Z183" s="8">
        <v>4766</v>
      </c>
      <c r="AA183" s="8">
        <v>1909</v>
      </c>
      <c r="AB183" s="8">
        <v>2643</v>
      </c>
      <c r="AC183" s="8">
        <v>1633</v>
      </c>
      <c r="AD183" s="8">
        <v>1164</v>
      </c>
      <c r="AE183" s="8">
        <v>693</v>
      </c>
      <c r="AF183" s="8">
        <v>3378</v>
      </c>
      <c r="AG183" s="8">
        <v>3011</v>
      </c>
      <c r="AH183" s="8">
        <v>1689</v>
      </c>
      <c r="AI183" s="8">
        <v>3065</v>
      </c>
      <c r="AJ183" s="8">
        <v>4880</v>
      </c>
      <c r="AK183" s="8">
        <v>1084</v>
      </c>
      <c r="AL183" s="8">
        <v>902</v>
      </c>
      <c r="AM183" s="8">
        <v>53</v>
      </c>
      <c r="AN183" s="8">
        <v>30870</v>
      </c>
      <c r="AO183" s="8">
        <v>912</v>
      </c>
      <c r="AP183" s="8">
        <v>1344</v>
      </c>
      <c r="AQ183" s="2">
        <v>3.9</v>
      </c>
      <c r="AR183" s="2">
        <v>3.9</v>
      </c>
      <c r="AS183" s="2">
        <v>2</v>
      </c>
      <c r="AT183" s="8">
        <v>79</v>
      </c>
      <c r="AU183" s="8">
        <v>75</v>
      </c>
      <c r="AV183" s="8">
        <v>266</v>
      </c>
      <c r="AW183" s="8">
        <v>55290</v>
      </c>
      <c r="AX183" s="2">
        <v>62.8</v>
      </c>
      <c r="AY183" s="2">
        <v>74.8</v>
      </c>
      <c r="AZ183" s="2">
        <v>31.6</v>
      </c>
      <c r="BA183" s="8">
        <v>670.66666666666663</v>
      </c>
      <c r="BB183" s="8">
        <v>33377</v>
      </c>
      <c r="BC183" s="8">
        <v>30303824.666666668</v>
      </c>
      <c r="BD183" s="8">
        <v>28819</v>
      </c>
      <c r="BE183" s="8">
        <v>825</v>
      </c>
      <c r="BF183" s="8">
        <v>1888</v>
      </c>
      <c r="BG183" s="8">
        <v>1344</v>
      </c>
    </row>
    <row r="184" spans="1:59" x14ac:dyDescent="0.25">
      <c r="A184" t="s">
        <v>752</v>
      </c>
      <c r="B184" s="8">
        <v>6116</v>
      </c>
      <c r="C184" s="8">
        <v>27232</v>
      </c>
      <c r="D184" s="8">
        <v>33348</v>
      </c>
      <c r="E184" s="8">
        <v>5835</v>
      </c>
      <c r="F184" s="8">
        <v>27513</v>
      </c>
      <c r="G184" s="2">
        <v>18.3</v>
      </c>
      <c r="H184" s="2">
        <v>81.7</v>
      </c>
      <c r="I184" s="2">
        <v>17.5</v>
      </c>
      <c r="J184" s="2">
        <v>82.5</v>
      </c>
      <c r="K184" s="8">
        <v>35</v>
      </c>
      <c r="L184" s="8">
        <v>149</v>
      </c>
      <c r="M184" s="8">
        <v>282</v>
      </c>
      <c r="N184" s="8">
        <v>1208</v>
      </c>
      <c r="O184" s="8">
        <v>1654</v>
      </c>
      <c r="P184" s="8">
        <v>2017</v>
      </c>
      <c r="Q184" s="8">
        <v>206</v>
      </c>
      <c r="R184" s="8">
        <v>563</v>
      </c>
      <c r="S184" s="8">
        <v>36791</v>
      </c>
      <c r="T184" s="8">
        <v>372</v>
      </c>
      <c r="U184" s="8">
        <v>48</v>
      </c>
      <c r="V184" s="8">
        <v>2579</v>
      </c>
      <c r="W184" s="8">
        <v>131</v>
      </c>
      <c r="X184" s="8">
        <v>246</v>
      </c>
      <c r="Y184" s="8">
        <v>2234</v>
      </c>
      <c r="Z184" s="8">
        <v>4776</v>
      </c>
      <c r="AA184" s="8">
        <v>1907</v>
      </c>
      <c r="AB184" s="8">
        <v>2666</v>
      </c>
      <c r="AC184" s="8">
        <v>1623</v>
      </c>
      <c r="AD184" s="8">
        <v>1156</v>
      </c>
      <c r="AE184" s="8">
        <v>702</v>
      </c>
      <c r="AF184" s="8">
        <v>3448</v>
      </c>
      <c r="AG184" s="8">
        <v>2999</v>
      </c>
      <c r="AH184" s="8">
        <v>1706</v>
      </c>
      <c r="AI184" s="8">
        <v>3070</v>
      </c>
      <c r="AJ184" s="8">
        <v>4970</v>
      </c>
      <c r="AK184" s="8">
        <v>1117</v>
      </c>
      <c r="AL184" s="8">
        <v>970</v>
      </c>
      <c r="AM184" s="8">
        <v>70</v>
      </c>
      <c r="AN184" s="8">
        <v>31181</v>
      </c>
      <c r="AO184" s="8">
        <v>899.33333333333337</v>
      </c>
      <c r="AP184" s="8">
        <v>1510</v>
      </c>
      <c r="AQ184" s="2">
        <v>4.3</v>
      </c>
      <c r="AR184" s="2">
        <v>3.1</v>
      </c>
      <c r="AS184" s="2">
        <v>2</v>
      </c>
      <c r="AT184" s="8">
        <v>69</v>
      </c>
      <c r="AU184" s="8">
        <v>65</v>
      </c>
      <c r="AV184" s="8">
        <v>341</v>
      </c>
      <c r="AW184" s="8">
        <v>55454</v>
      </c>
      <c r="AX184" s="2">
        <v>62.8</v>
      </c>
      <c r="AY184" s="2">
        <v>74.5</v>
      </c>
      <c r="AZ184" s="2">
        <v>32</v>
      </c>
      <c r="BA184" s="8">
        <v>682.33333333333337</v>
      </c>
      <c r="BB184" s="8">
        <v>33331</v>
      </c>
      <c r="BC184" s="8">
        <v>30368827.666666668</v>
      </c>
      <c r="BD184" s="8">
        <v>28927</v>
      </c>
      <c r="BE184" s="8">
        <v>783</v>
      </c>
      <c r="BF184" s="8">
        <v>1748</v>
      </c>
      <c r="BG184" s="8">
        <v>1510</v>
      </c>
    </row>
    <row r="185" spans="1:59" x14ac:dyDescent="0.25">
      <c r="A185" t="s">
        <v>753</v>
      </c>
      <c r="B185" s="8">
        <v>6092</v>
      </c>
      <c r="C185" s="8">
        <v>27505</v>
      </c>
      <c r="D185" s="8">
        <v>33597</v>
      </c>
      <c r="E185" s="8">
        <v>5860</v>
      </c>
      <c r="F185" s="8">
        <v>27737</v>
      </c>
      <c r="G185" s="2">
        <v>18.100000000000001</v>
      </c>
      <c r="H185" s="2">
        <v>81.900000000000006</v>
      </c>
      <c r="I185" s="2">
        <v>17.399999999999999</v>
      </c>
      <c r="J185" s="2">
        <v>82.6</v>
      </c>
      <c r="K185" s="8">
        <v>35</v>
      </c>
      <c r="L185" s="8">
        <v>147</v>
      </c>
      <c r="M185" s="8">
        <v>282</v>
      </c>
      <c r="N185" s="8">
        <v>1216</v>
      </c>
      <c r="O185" s="8">
        <v>1654</v>
      </c>
      <c r="P185" s="8">
        <v>2028</v>
      </c>
      <c r="Q185" s="8">
        <v>205</v>
      </c>
      <c r="R185" s="8">
        <v>527</v>
      </c>
      <c r="S185" s="8">
        <v>36720</v>
      </c>
      <c r="T185" s="8">
        <v>350</v>
      </c>
      <c r="U185" s="8">
        <v>50</v>
      </c>
      <c r="V185" s="8">
        <v>2572</v>
      </c>
      <c r="W185" s="8">
        <v>137</v>
      </c>
      <c r="X185" s="8">
        <v>242</v>
      </c>
      <c r="Y185" s="8">
        <v>2158</v>
      </c>
      <c r="Z185" s="8">
        <v>4752</v>
      </c>
      <c r="AA185" s="8">
        <v>1882</v>
      </c>
      <c r="AB185" s="8">
        <v>2683</v>
      </c>
      <c r="AC185" s="8">
        <v>1615</v>
      </c>
      <c r="AD185" s="8">
        <v>1168</v>
      </c>
      <c r="AE185" s="8">
        <v>704</v>
      </c>
      <c r="AF185" s="8">
        <v>3477</v>
      </c>
      <c r="AG185" s="8">
        <v>2983</v>
      </c>
      <c r="AH185" s="8">
        <v>1720</v>
      </c>
      <c r="AI185" s="8">
        <v>3063</v>
      </c>
      <c r="AJ185" s="8">
        <v>5053</v>
      </c>
      <c r="AK185" s="8">
        <v>1116</v>
      </c>
      <c r="AL185" s="8">
        <v>933</v>
      </c>
      <c r="AM185" s="8">
        <v>64</v>
      </c>
      <c r="AN185" s="8">
        <v>31211</v>
      </c>
      <c r="AO185" s="8">
        <v>900</v>
      </c>
      <c r="AP185" s="8">
        <v>1465</v>
      </c>
      <c r="AQ185" s="2">
        <v>4.2</v>
      </c>
      <c r="AR185" s="2">
        <v>3.8</v>
      </c>
      <c r="AS185" s="2">
        <v>2</v>
      </c>
      <c r="AT185" s="8">
        <v>79</v>
      </c>
      <c r="AU185" s="8">
        <v>74</v>
      </c>
      <c r="AV185" s="8">
        <v>340</v>
      </c>
      <c r="AW185" s="8">
        <v>55617</v>
      </c>
      <c r="AX185" s="2">
        <v>62.9</v>
      </c>
      <c r="AY185" s="2">
        <v>74.599999999999994</v>
      </c>
      <c r="AZ185" s="2">
        <v>32</v>
      </c>
      <c r="BA185" s="8">
        <v>692</v>
      </c>
      <c r="BB185" s="8">
        <v>33496</v>
      </c>
      <c r="BC185" s="8">
        <v>30400654.666666668</v>
      </c>
      <c r="BD185" s="8">
        <v>29023</v>
      </c>
      <c r="BE185" s="8">
        <v>874</v>
      </c>
      <c r="BF185" s="8">
        <v>1820</v>
      </c>
      <c r="BG185" s="8">
        <v>1465</v>
      </c>
    </row>
    <row r="186" spans="1:59" x14ac:dyDescent="0.25">
      <c r="A186" t="s">
        <v>754</v>
      </c>
      <c r="B186" s="8">
        <v>6118</v>
      </c>
      <c r="C186" s="8">
        <v>27652</v>
      </c>
      <c r="D186" s="8">
        <v>33770</v>
      </c>
      <c r="E186" s="8">
        <v>5875</v>
      </c>
      <c r="F186" s="8">
        <v>27895</v>
      </c>
      <c r="G186" s="2">
        <v>18.100000000000001</v>
      </c>
      <c r="H186" s="2">
        <v>81.900000000000006</v>
      </c>
      <c r="I186" s="2">
        <v>17.399999999999999</v>
      </c>
      <c r="J186" s="2">
        <v>82.6</v>
      </c>
      <c r="K186" s="8">
        <v>35</v>
      </c>
      <c r="L186" s="8">
        <v>147</v>
      </c>
      <c r="M186" s="8">
        <v>282</v>
      </c>
      <c r="N186" s="8">
        <v>1220</v>
      </c>
      <c r="O186" s="8">
        <v>1658</v>
      </c>
      <c r="P186" s="8">
        <v>2040</v>
      </c>
      <c r="Q186" s="8">
        <v>204</v>
      </c>
      <c r="R186" s="8">
        <v>530</v>
      </c>
      <c r="S186" s="8">
        <v>36793</v>
      </c>
      <c r="T186" s="8">
        <v>361</v>
      </c>
      <c r="U186" s="8">
        <v>46</v>
      </c>
      <c r="V186" s="8">
        <v>2580</v>
      </c>
      <c r="W186" s="8">
        <v>141</v>
      </c>
      <c r="X186" s="8">
        <v>242</v>
      </c>
      <c r="Y186" s="8">
        <v>2227</v>
      </c>
      <c r="Z186" s="8">
        <v>4741</v>
      </c>
      <c r="AA186" s="8">
        <v>1883</v>
      </c>
      <c r="AB186" s="8">
        <v>2702</v>
      </c>
      <c r="AC186" s="8">
        <v>1638</v>
      </c>
      <c r="AD186" s="8">
        <v>1183</v>
      </c>
      <c r="AE186" s="8">
        <v>680</v>
      </c>
      <c r="AF186" s="8">
        <v>3511</v>
      </c>
      <c r="AG186" s="8">
        <v>2958</v>
      </c>
      <c r="AH186" s="8">
        <v>1722</v>
      </c>
      <c r="AI186" s="8">
        <v>3065</v>
      </c>
      <c r="AJ186" s="8">
        <v>5046</v>
      </c>
      <c r="AK186" s="8">
        <v>1100</v>
      </c>
      <c r="AL186" s="8">
        <v>928</v>
      </c>
      <c r="AM186" s="8">
        <v>38</v>
      </c>
      <c r="AN186" s="8">
        <v>31195</v>
      </c>
      <c r="AO186" s="8">
        <v>854.33333333333337</v>
      </c>
      <c r="AP186" s="8">
        <v>1509</v>
      </c>
      <c r="AQ186" s="2">
        <v>4.3</v>
      </c>
      <c r="AR186" s="2">
        <v>3.2</v>
      </c>
      <c r="AS186" s="2">
        <v>1</v>
      </c>
      <c r="AT186" s="8">
        <v>81</v>
      </c>
      <c r="AU186" s="8">
        <v>74</v>
      </c>
      <c r="AV186" s="8">
        <v>341</v>
      </c>
      <c r="AW186" s="8">
        <v>55771</v>
      </c>
      <c r="AX186" s="2">
        <v>63.2</v>
      </c>
      <c r="AY186" s="2">
        <v>74.900000000000006</v>
      </c>
      <c r="AZ186" s="2">
        <v>32.1</v>
      </c>
      <c r="BA186" s="8">
        <v>701</v>
      </c>
      <c r="BB186" s="8">
        <v>33749</v>
      </c>
      <c r="BC186" s="8">
        <v>30395653.333333332</v>
      </c>
      <c r="BD186" s="8">
        <v>29239</v>
      </c>
      <c r="BE186" s="8">
        <v>907</v>
      </c>
      <c r="BF186" s="8">
        <v>1912</v>
      </c>
      <c r="BG186" s="8">
        <v>1509</v>
      </c>
    </row>
    <row r="187" spans="1:59" x14ac:dyDescent="0.25">
      <c r="A187" t="s">
        <v>1354</v>
      </c>
      <c r="AT187" s="8">
        <v>81</v>
      </c>
      <c r="AU187" s="8">
        <v>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D8A5-EAFC-48BB-AF33-AC7EE44712B6}">
  <dimension ref="A1:J94"/>
  <sheetViews>
    <sheetView workbookViewId="0">
      <pane xSplit="1" ySplit="6" topLeftCell="B19" activePane="bottomRight" state="frozen"/>
      <selection pane="topRight" activeCell="B1" sqref="B1"/>
      <selection pane="bottomLeft" activeCell="A7" sqref="A7"/>
      <selection pane="bottomRight" activeCell="B7" sqref="B7"/>
    </sheetView>
  </sheetViews>
  <sheetFormatPr defaultRowHeight="15" x14ac:dyDescent="0.25"/>
  <sheetData>
    <row r="1" spans="1:10" x14ac:dyDescent="0.25">
      <c r="B1" t="str">
        <f>DataQ!F1</f>
        <v>JAN008L.db</v>
      </c>
      <c r="C1" t="str">
        <f>DataQ!G1</f>
        <v>JAN008L.db</v>
      </c>
      <c r="D1" t="str">
        <f>DataQ!H1</f>
        <v>JAN008L.db</v>
      </c>
      <c r="E1" t="str">
        <f>DataQ!I1</f>
        <v>JAN008L.db</v>
      </c>
      <c r="F1" t="str">
        <f>DataQ!J1</f>
        <v>JAN008L.db</v>
      </c>
      <c r="G1" t="str">
        <f>DataQ!K1</f>
        <v>JAN008L.db</v>
      </c>
      <c r="H1" t="str">
        <f>DataQ!L1</f>
        <v>JAN008L.db</v>
      </c>
      <c r="I1" t="str">
        <f>DataQ!M1</f>
        <v>JAN008L.db</v>
      </c>
      <c r="J1" t="str">
        <f>DataQ!N1</f>
        <v>JAN008L.db</v>
      </c>
    </row>
    <row r="2" spans="1:10" x14ac:dyDescent="0.25">
      <c r="B2" t="str">
        <f>DataQ!F2</f>
        <v>UK</v>
      </c>
      <c r="C2" t="str">
        <f>DataQ!G2</f>
        <v>UK</v>
      </c>
      <c r="D2" t="str">
        <f>DataQ!H2</f>
        <v>UK</v>
      </c>
      <c r="E2" t="str">
        <f>DataQ!I2</f>
        <v>UK</v>
      </c>
      <c r="F2" t="str">
        <f>DataQ!J2</f>
        <v>UK</v>
      </c>
      <c r="G2" t="str">
        <f>DataQ!K2</f>
        <v>UK</v>
      </c>
      <c r="H2" t="str">
        <f>DataQ!L2</f>
        <v>UK</v>
      </c>
      <c r="I2" t="str">
        <f>DataQ!M2</f>
        <v>UK</v>
      </c>
      <c r="J2" t="str">
        <f>DataQ!N2</f>
        <v>UK</v>
      </c>
    </row>
    <row r="3" spans="1:10" x14ac:dyDescent="0.25">
      <c r="B3" t="str">
        <f>DataQ!F3</f>
        <v>WC</v>
      </c>
      <c r="C3" t="str">
        <f>DataQ!G3</f>
        <v>TP</v>
      </c>
      <c r="D3" t="str">
        <f>DataQ!H3</f>
        <v>WAGEWKLY</v>
      </c>
      <c r="E3" t="str">
        <f>DataQ!I3</f>
        <v>COGTP</v>
      </c>
      <c r="F3" t="str">
        <f>DataQ!J3</f>
        <v>GDP!</v>
      </c>
      <c r="G3" t="str">
        <f>DataQ!K3</f>
        <v>PEWFP</v>
      </c>
      <c r="H3" t="str">
        <f>DataQ!L3</f>
        <v>PEDY!</v>
      </c>
      <c r="I3" t="str">
        <f>DataQ!M3</f>
        <v>PEDY</v>
      </c>
      <c r="J3" t="str">
        <f>DataQ!N3</f>
        <v>PC</v>
      </c>
    </row>
    <row r="4" spans="1:10" x14ac:dyDescent="0.25">
      <c r="B4" t="str">
        <f>DataQ!F4</f>
        <v>GBR</v>
      </c>
      <c r="C4" t="str">
        <f>DataQ!G4</f>
        <v>GBR</v>
      </c>
      <c r="D4" t="str">
        <f>DataQ!H4</f>
        <v>GBR</v>
      </c>
      <c r="E4" t="str">
        <f>DataQ!I4</f>
        <v>GBR</v>
      </c>
      <c r="F4" t="str">
        <f>DataQ!J4</f>
        <v>GBR</v>
      </c>
      <c r="G4" t="str">
        <f>DataQ!K4</f>
        <v>GBR</v>
      </c>
      <c r="H4" t="str">
        <f>DataQ!L4</f>
        <v>GBR</v>
      </c>
      <c r="I4" t="str">
        <f>DataQ!M4</f>
        <v>GBR</v>
      </c>
      <c r="J4" t="str">
        <f>DataQ!N4</f>
        <v>GBR</v>
      </c>
    </row>
    <row r="5" spans="1:10" x14ac:dyDescent="0.25">
      <c r="B5" t="str">
        <f>DataQ!F5</f>
        <v>L</v>
      </c>
      <c r="C5" t="str">
        <f>DataQ!G5</f>
        <v>L</v>
      </c>
      <c r="D5" t="str">
        <f>DataQ!H5</f>
        <v>L</v>
      </c>
      <c r="E5" t="str">
        <f>DataQ!I5</f>
        <v>L</v>
      </c>
      <c r="F5" t="str">
        <f>DataQ!J5</f>
        <v>L</v>
      </c>
      <c r="G5" t="str">
        <f>DataQ!K5</f>
        <v>L</v>
      </c>
      <c r="H5" t="str">
        <f>DataQ!L5</f>
        <v>L</v>
      </c>
      <c r="I5" t="str">
        <f>DataQ!M5</f>
        <v>L</v>
      </c>
      <c r="J5" t="str">
        <f>DataQ!N5</f>
        <v>L</v>
      </c>
    </row>
    <row r="6" spans="1:10" x14ac:dyDescent="0.25">
      <c r="B6" t="str">
        <f>DataQ!F6</f>
        <v>202403</v>
      </c>
      <c r="C6" t="str">
        <f>DataQ!G6</f>
        <v>202403</v>
      </c>
      <c r="D6" t="str">
        <f>DataQ!H6</f>
        <v>202403</v>
      </c>
      <c r="E6" t="str">
        <f>DataQ!I6</f>
        <v>202403</v>
      </c>
      <c r="F6" t="str">
        <f>DataQ!J6</f>
        <v>202403</v>
      </c>
      <c r="G6" t="str">
        <f>DataQ!K6</f>
        <v>202403</v>
      </c>
      <c r="H6" t="str">
        <f>DataQ!L6</f>
        <v>202403</v>
      </c>
      <c r="I6" t="str">
        <f>DataQ!M6</f>
        <v>202403</v>
      </c>
      <c r="J6" t="str">
        <f>DataQ!N6</f>
        <v>202403</v>
      </c>
    </row>
    <row r="7" spans="1:10" x14ac:dyDescent="0.25">
      <c r="A7">
        <v>1973</v>
      </c>
      <c r="B7">
        <f>AVERAGEIF(DataQ!$B:$B,DataA!$A7,DataQ!F:F)</f>
        <v>11.970672499999999</v>
      </c>
      <c r="C7">
        <f>SUMIF(DataQ!$B:$B,DataA!$A7,DataQ!G:G)</f>
        <v>2309.3418999999994</v>
      </c>
      <c r="D7">
        <f>AVERAGEIF(DataQ!$B:$B,DataA!$A7,DataQ!H:H)</f>
        <v>15.940814999999999</v>
      </c>
      <c r="E7">
        <f>SUMIF(DataQ!$B:$B,DataA!$A7,DataQ!I:I)</f>
        <v>17908</v>
      </c>
      <c r="F7">
        <f>SUMIF(DataQ!$B:$B,DataA!$A7,DataQ!J:J)</f>
        <v>81793</v>
      </c>
      <c r="G7">
        <f>SUMIF(DataQ!$B:$B,DataA!$A7,DataQ!K:K)</f>
        <v>39478</v>
      </c>
      <c r="H7">
        <f>SUMIF(DataQ!$B:$B,DataA!$A7,DataQ!L:L)</f>
        <v>52432</v>
      </c>
      <c r="I7">
        <f>SUMIF(DataQ!$B:$B,DataA!$A7,DataQ!M:M)</f>
        <v>560418</v>
      </c>
      <c r="J7">
        <f>AVERAGEIF(DataQ!$B:$B,DataA!$A7,DataQ!N:N)</f>
        <v>9.5139817499999992</v>
      </c>
    </row>
    <row r="8" spans="1:10" x14ac:dyDescent="0.25">
      <c r="A8">
        <v>1974</v>
      </c>
      <c r="B8">
        <f>AVERAGEIF(DataQ!$B:$B,DataA!$A8,DataQ!F:F)</f>
        <v>14.6685075</v>
      </c>
      <c r="C8">
        <f>SUMIF(DataQ!$B:$B,DataA!$A8,DataQ!G:G)</f>
        <v>3137.9616000000001</v>
      </c>
      <c r="D8">
        <f>AVERAGEIF(DataQ!$B:$B,DataA!$A8,DataQ!H:H)</f>
        <v>19.300352499999999</v>
      </c>
      <c r="E8">
        <f>SUMIF(DataQ!$B:$B,DataA!$A8,DataQ!I:I)</f>
        <v>16624</v>
      </c>
      <c r="F8">
        <f>SUMIF(DataQ!$B:$B,DataA!$A8,DataQ!J:J)</f>
        <v>92673</v>
      </c>
      <c r="G8">
        <f>SUMIF(DataQ!$B:$B,DataA!$A8,DataQ!K:K)</f>
        <v>46712</v>
      </c>
      <c r="H8">
        <f>SUMIF(DataQ!$B:$B,DataA!$A8,DataQ!L:L)</f>
        <v>61570</v>
      </c>
      <c r="I8">
        <f>SUMIF(DataQ!$B:$B,DataA!$A8,DataQ!M:M)</f>
        <v>555668</v>
      </c>
      <c r="J8">
        <f>AVERAGEIF(DataQ!$B:$B,DataA!$A8,DataQ!N:N)</f>
        <v>11.254465000000001</v>
      </c>
    </row>
    <row r="9" spans="1:10" x14ac:dyDescent="0.25">
      <c r="A9">
        <v>1975</v>
      </c>
      <c r="B9">
        <f>AVERAGEIF(DataQ!$B:$B,DataA!$A9,DataQ!F:F)</f>
        <v>19.486995</v>
      </c>
      <c r="C9">
        <f>SUMIF(DataQ!$B:$B,DataA!$A9,DataQ!G:G)</f>
        <v>4573.7110000000002</v>
      </c>
      <c r="D9">
        <f>AVERAGEIF(DataQ!$B:$B,DataA!$A9,DataQ!H:H)</f>
        <v>25.941457499999999</v>
      </c>
      <c r="E9">
        <f>SUMIF(DataQ!$B:$B,DataA!$A9,DataQ!I:I)</f>
        <v>17697</v>
      </c>
      <c r="F9">
        <f>SUMIF(DataQ!$B:$B,DataA!$A9,DataQ!J:J)</f>
        <v>115093</v>
      </c>
      <c r="G9">
        <f>SUMIF(DataQ!$B:$B,DataA!$A9,DataQ!K:K)</f>
        <v>60461</v>
      </c>
      <c r="H9">
        <f>SUMIF(DataQ!$B:$B,DataA!$A9,DataQ!L:L)</f>
        <v>76602</v>
      </c>
      <c r="I9">
        <f>SUMIF(DataQ!$B:$B,DataA!$A9,DataQ!M:M)</f>
        <v>560371</v>
      </c>
      <c r="J9">
        <f>AVERAGEIF(DataQ!$B:$B,DataA!$A9,DataQ!N:N)</f>
        <v>13.8866025</v>
      </c>
    </row>
    <row r="10" spans="1:10" x14ac:dyDescent="0.25">
      <c r="A10">
        <v>1976</v>
      </c>
      <c r="B10">
        <f>AVERAGEIF(DataQ!$B:$B,DataA!$A10,DataQ!F:F)</f>
        <v>21.511142500000002</v>
      </c>
      <c r="C10">
        <f>SUMIF(DataQ!$B:$B,DataA!$A10,DataQ!G:G)</f>
        <v>5695.777</v>
      </c>
      <c r="D10">
        <f>AVERAGEIF(DataQ!$B:$B,DataA!$A10,DataQ!H:H)</f>
        <v>31.409385</v>
      </c>
      <c r="E10">
        <f>SUMIF(DataQ!$B:$B,DataA!$A10,DataQ!I:I)</f>
        <v>22080</v>
      </c>
      <c r="F10">
        <f>SUMIF(DataQ!$B:$B,DataA!$A10,DataQ!J:J)</f>
        <v>136999</v>
      </c>
      <c r="G10">
        <f>SUMIF(DataQ!$B:$B,DataA!$A10,DataQ!K:K)</f>
        <v>67888</v>
      </c>
      <c r="H10">
        <f>SUMIF(DataQ!$B:$B,DataA!$A10,DataQ!L:L)</f>
        <v>89189</v>
      </c>
      <c r="I10">
        <f>SUMIF(DataQ!$B:$B,DataA!$A10,DataQ!M:M)</f>
        <v>559606</v>
      </c>
      <c r="J10">
        <f>AVERAGEIF(DataQ!$B:$B,DataA!$A10,DataQ!N:N)</f>
        <v>16.170227499999999</v>
      </c>
    </row>
    <row r="11" spans="1:10" x14ac:dyDescent="0.25">
      <c r="A11">
        <v>1977</v>
      </c>
      <c r="B11">
        <f>AVERAGEIF(DataQ!$B:$B,DataA!$A11,DataQ!F:F)</f>
        <v>23.278237500000003</v>
      </c>
      <c r="C11">
        <f>SUMIF(DataQ!$B:$B,DataA!$A11,DataQ!G:G)</f>
        <v>6401.8469999999998</v>
      </c>
      <c r="D11">
        <f>AVERAGEIF(DataQ!$B:$B,DataA!$A11,DataQ!H:H)</f>
        <v>35.091777499999999</v>
      </c>
      <c r="E11">
        <f>SUMIF(DataQ!$B:$B,DataA!$A11,DataQ!I:I)</f>
        <v>31652</v>
      </c>
      <c r="F11">
        <f>SUMIF(DataQ!$B:$B,DataA!$A11,DataQ!J:J)</f>
        <v>159786</v>
      </c>
      <c r="G11">
        <f>SUMIF(DataQ!$B:$B,DataA!$A11,DataQ!K:K)</f>
        <v>75102</v>
      </c>
      <c r="H11">
        <f>SUMIF(DataQ!$B:$B,DataA!$A11,DataQ!L:L)</f>
        <v>100772</v>
      </c>
      <c r="I11">
        <f>SUMIF(DataQ!$B:$B,DataA!$A11,DataQ!M:M)</f>
        <v>549407</v>
      </c>
      <c r="J11">
        <f>AVERAGEIF(DataQ!$B:$B,DataA!$A11,DataQ!N:N)</f>
        <v>18.6086925</v>
      </c>
    </row>
    <row r="12" spans="1:10" x14ac:dyDescent="0.25">
      <c r="A12">
        <v>1978</v>
      </c>
      <c r="B12">
        <f>AVERAGEIF(DataQ!$B:$B,DataA!$A12,DataQ!F:F)</f>
        <v>25.498162499999999</v>
      </c>
      <c r="C12">
        <f>SUMIF(DataQ!$B:$B,DataA!$A12,DataQ!G:G)</f>
        <v>6823.4650000000001</v>
      </c>
      <c r="D12">
        <f>AVERAGEIF(DataQ!$B:$B,DataA!$A12,DataQ!H:H)</f>
        <v>40.728302499999998</v>
      </c>
      <c r="E12">
        <f>SUMIF(DataQ!$B:$B,DataA!$A12,DataQ!I:I)</f>
        <v>38107</v>
      </c>
      <c r="F12">
        <f>SUMIF(DataQ!$B:$B,DataA!$A12,DataQ!J:J)</f>
        <v>186158</v>
      </c>
      <c r="G12">
        <f>SUMIF(DataQ!$B:$B,DataA!$A12,DataQ!K:K)</f>
        <v>85868</v>
      </c>
      <c r="H12">
        <f>SUMIF(DataQ!$B:$B,DataA!$A12,DataQ!L:L)</f>
        <v>118869</v>
      </c>
      <c r="I12">
        <f>SUMIF(DataQ!$B:$B,DataA!$A12,DataQ!M:M)</f>
        <v>589523</v>
      </c>
      <c r="J12">
        <f>AVERAGEIF(DataQ!$B:$B,DataA!$A12,DataQ!N:N)</f>
        <v>20.4712675</v>
      </c>
    </row>
    <row r="13" spans="1:10" x14ac:dyDescent="0.25">
      <c r="A13">
        <v>1979</v>
      </c>
      <c r="B13">
        <f>AVERAGEIF(DataQ!$B:$B,DataA!$A13,DataQ!F:F)</f>
        <v>28.840082500000001</v>
      </c>
      <c r="C13">
        <f>SUMIF(DataQ!$B:$B,DataA!$A13,DataQ!G:G)</f>
        <v>7745.402</v>
      </c>
      <c r="D13">
        <f>AVERAGEIF(DataQ!$B:$B,DataA!$A13,DataQ!H:H)</f>
        <v>48.393659999999997</v>
      </c>
      <c r="E13">
        <f>SUMIF(DataQ!$B:$B,DataA!$A13,DataQ!I:I)</f>
        <v>44855</v>
      </c>
      <c r="F13">
        <f>SUMIF(DataQ!$B:$B,DataA!$A13,DataQ!J:J)</f>
        <v>220981</v>
      </c>
      <c r="G13">
        <f>SUMIF(DataQ!$B:$B,DataA!$A13,DataQ!K:K)</f>
        <v>100636</v>
      </c>
      <c r="H13">
        <f>SUMIF(DataQ!$B:$B,DataA!$A13,DataQ!L:L)</f>
        <v>143321</v>
      </c>
      <c r="I13">
        <f>SUMIF(DataQ!$B:$B,DataA!$A13,DataQ!M:M)</f>
        <v>624803</v>
      </c>
      <c r="J13">
        <f>AVERAGEIF(DataQ!$B:$B,DataA!$A13,DataQ!N:N)</f>
        <v>23.295020000000001</v>
      </c>
    </row>
    <row r="14" spans="1:10" x14ac:dyDescent="0.25">
      <c r="A14">
        <v>1980</v>
      </c>
      <c r="B14">
        <f>AVERAGEIF(DataQ!$B:$B,DataA!$A14,DataQ!F:F)</f>
        <v>35.068722500000007</v>
      </c>
      <c r="C14">
        <f>SUMIF(DataQ!$B:$B,DataA!$A14,DataQ!G:G)</f>
        <v>9230.621000000001</v>
      </c>
      <c r="D14">
        <f>AVERAGEIF(DataQ!$B:$B,DataA!$A14,DataQ!H:H)</f>
        <v>61.122669999999992</v>
      </c>
      <c r="E14">
        <f>SUMIF(DataQ!$B:$B,DataA!$A14,DataQ!I:I)</f>
        <v>49635</v>
      </c>
      <c r="F14">
        <f>SUMIF(DataQ!$B:$B,DataA!$A14,DataQ!J:J)</f>
        <v>259970</v>
      </c>
      <c r="G14">
        <f>SUMIF(DataQ!$B:$B,DataA!$A14,DataQ!K:K)</f>
        <v>119333</v>
      </c>
      <c r="H14">
        <f>SUMIF(DataQ!$B:$B,DataA!$A14,DataQ!L:L)</f>
        <v>170405</v>
      </c>
      <c r="I14">
        <f>SUMIF(DataQ!$B:$B,DataA!$A14,DataQ!M:M)</f>
        <v>635239</v>
      </c>
      <c r="J14">
        <f>AVERAGEIF(DataQ!$B:$B,DataA!$A14,DataQ!N:N)</f>
        <v>27.2289925</v>
      </c>
    </row>
    <row r="15" spans="1:10" x14ac:dyDescent="0.25">
      <c r="A15">
        <v>1981</v>
      </c>
      <c r="B15">
        <f>AVERAGEIF(DataQ!$B:$B,DataA!$A15,DataQ!F:F)</f>
        <v>38.409097500000001</v>
      </c>
      <c r="C15">
        <f>SUMIF(DataQ!$B:$B,DataA!$A15,DataQ!G:G)</f>
        <v>9909.7079999999987</v>
      </c>
      <c r="D15">
        <f>AVERAGEIF(DataQ!$B:$B,DataA!$A15,DataQ!H:H)</f>
        <v>71.618052500000005</v>
      </c>
      <c r="E15">
        <f>SUMIF(DataQ!$B:$B,DataA!$A15,DataQ!I:I)</f>
        <v>55572</v>
      </c>
      <c r="F15">
        <f>SUMIF(DataQ!$B:$B,DataA!$A15,DataQ!J:J)</f>
        <v>290180</v>
      </c>
      <c r="G15">
        <f>SUMIF(DataQ!$B:$B,DataA!$A15,DataQ!K:K)</f>
        <v>127973</v>
      </c>
      <c r="H15">
        <f>SUMIF(DataQ!$B:$B,DataA!$A15,DataQ!L:L)</f>
        <v>191355</v>
      </c>
      <c r="I15">
        <f>SUMIF(DataQ!$B:$B,DataA!$A15,DataQ!M:M)</f>
        <v>634794</v>
      </c>
      <c r="J15">
        <f>AVERAGEIF(DataQ!$B:$B,DataA!$A15,DataQ!N:N)</f>
        <v>30.594297500000003</v>
      </c>
    </row>
    <row r="16" spans="1:10" x14ac:dyDescent="0.25">
      <c r="A16">
        <v>1982</v>
      </c>
      <c r="B16">
        <f>AVERAGEIF(DataQ!$B:$B,DataA!$A16,DataQ!F:F)</f>
        <v>40.033452500000003</v>
      </c>
      <c r="C16">
        <f>SUMIF(DataQ!$B:$B,DataA!$A16,DataQ!G:G)</f>
        <v>10505.595000000001</v>
      </c>
      <c r="D16">
        <f>AVERAGEIF(DataQ!$B:$B,DataA!$A16,DataQ!H:H)</f>
        <v>80.275882499999994</v>
      </c>
      <c r="E16">
        <f>SUMIF(DataQ!$B:$B,DataA!$A16,DataQ!I:I)</f>
        <v>65451</v>
      </c>
      <c r="F16">
        <f>SUMIF(DataQ!$B:$B,DataA!$A16,DataQ!J:J)</f>
        <v>319558</v>
      </c>
      <c r="G16">
        <f>SUMIF(DataQ!$B:$B,DataA!$A16,DataQ!K:K)</f>
        <v>136108</v>
      </c>
      <c r="H16">
        <f>SUMIF(DataQ!$B:$B,DataA!$A16,DataQ!L:L)</f>
        <v>209792</v>
      </c>
      <c r="I16">
        <f>SUMIF(DataQ!$B:$B,DataA!$A16,DataQ!M:M)</f>
        <v>637451</v>
      </c>
      <c r="J16">
        <f>AVERAGEIF(DataQ!$B:$B,DataA!$A16,DataQ!N:N)</f>
        <v>33.4176875</v>
      </c>
    </row>
    <row r="17" spans="1:10" x14ac:dyDescent="0.25">
      <c r="A17">
        <v>1983</v>
      </c>
      <c r="B17">
        <f>AVERAGEIF(DataQ!$B:$B,DataA!$A17,DataQ!F:F)</f>
        <v>41.082815000000004</v>
      </c>
      <c r="C17">
        <f>SUMIF(DataQ!$B:$B,DataA!$A17,DataQ!G:G)</f>
        <v>11845.776</v>
      </c>
      <c r="D17">
        <f>AVERAGEIF(DataQ!$B:$B,DataA!$A17,DataQ!H:H)</f>
        <v>88.732820000000004</v>
      </c>
      <c r="E17">
        <f>SUMIF(DataQ!$B:$B,DataA!$A17,DataQ!I:I)</f>
        <v>77853</v>
      </c>
      <c r="F17">
        <f>SUMIF(DataQ!$B:$B,DataA!$A17,DataQ!J:J)</f>
        <v>351347</v>
      </c>
      <c r="G17">
        <f>SUMIF(DataQ!$B:$B,DataA!$A17,DataQ!K:K)</f>
        <v>145939</v>
      </c>
      <c r="H17">
        <f>SUMIF(DataQ!$B:$B,DataA!$A17,DataQ!L:L)</f>
        <v>226975</v>
      </c>
      <c r="I17">
        <f>SUMIF(DataQ!$B:$B,DataA!$A17,DataQ!M:M)</f>
        <v>651689</v>
      </c>
      <c r="J17">
        <f>AVERAGEIF(DataQ!$B:$B,DataA!$A17,DataQ!N:N)</f>
        <v>35.361420000000003</v>
      </c>
    </row>
    <row r="18" spans="1:10" x14ac:dyDescent="0.25">
      <c r="A18">
        <v>1984</v>
      </c>
      <c r="B18">
        <f>AVERAGEIF(DataQ!$B:$B,DataA!$A18,DataQ!F:F)</f>
        <v>42.960532499999999</v>
      </c>
      <c r="C18">
        <f>SUMIF(DataQ!$B:$B,DataA!$A18,DataQ!G:G)</f>
        <v>12669.9</v>
      </c>
      <c r="D18">
        <f>AVERAGEIF(DataQ!$B:$B,DataA!$A18,DataQ!H:H)</f>
        <v>95.596452499999984</v>
      </c>
      <c r="E18">
        <f>SUMIF(DataQ!$B:$B,DataA!$A18,DataQ!I:I)</f>
        <v>84738</v>
      </c>
      <c r="F18">
        <f>SUMIF(DataQ!$B:$B,DataA!$A18,DataQ!J:J)</f>
        <v>377920</v>
      </c>
      <c r="G18">
        <f>SUMIF(DataQ!$B:$B,DataA!$A18,DataQ!K:K)</f>
        <v>156357</v>
      </c>
      <c r="H18">
        <f>SUMIF(DataQ!$B:$B,DataA!$A18,DataQ!L:L)</f>
        <v>247782</v>
      </c>
      <c r="I18">
        <f>SUMIF(DataQ!$B:$B,DataA!$A18,DataQ!M:M)</f>
        <v>675496</v>
      </c>
      <c r="J18">
        <f>AVERAGEIF(DataQ!$B:$B,DataA!$A18,DataQ!N:N)</f>
        <v>37.241057500000004</v>
      </c>
    </row>
    <row r="19" spans="1:10" x14ac:dyDescent="0.25">
      <c r="A19">
        <v>1985</v>
      </c>
      <c r="B19">
        <f>AVERAGEIF(DataQ!$B:$B,DataA!$A19,DataQ!F:F)</f>
        <v>44.508555000000001</v>
      </c>
      <c r="C19">
        <f>SUMIF(DataQ!$B:$B,DataA!$A19,DataQ!G:G)</f>
        <v>13767.231000000002</v>
      </c>
      <c r="D19">
        <f>AVERAGEIF(DataQ!$B:$B,DataA!$A19,DataQ!H:H)</f>
        <v>105.47990000000001</v>
      </c>
      <c r="E19">
        <f>SUMIF(DataQ!$B:$B,DataA!$A19,DataQ!I:I)</f>
        <v>98707</v>
      </c>
      <c r="F19">
        <f>SUMIF(DataQ!$B:$B,DataA!$A19,DataQ!J:J)</f>
        <v>414630</v>
      </c>
      <c r="G19">
        <f>SUMIF(DataQ!$B:$B,DataA!$A19,DataQ!K:K)</f>
        <v>170977</v>
      </c>
      <c r="H19">
        <f>SUMIF(DataQ!$B:$B,DataA!$A19,DataQ!L:L)</f>
        <v>268993</v>
      </c>
      <c r="I19">
        <f>SUMIF(DataQ!$B:$B,DataA!$A19,DataQ!M:M)</f>
        <v>703942</v>
      </c>
      <c r="J19">
        <f>AVERAGEIF(DataQ!$B:$B,DataA!$A19,DataQ!N:N)</f>
        <v>38.781037499999996</v>
      </c>
    </row>
    <row r="20" spans="1:10" x14ac:dyDescent="0.25">
      <c r="A20">
        <v>1986</v>
      </c>
      <c r="B20">
        <f>AVERAGEIF(DataQ!$B:$B,DataA!$A20,DataQ!F:F)</f>
        <v>46.487994999999998</v>
      </c>
      <c r="C20">
        <f>SUMIF(DataQ!$B:$B,DataA!$A20,DataQ!G:G)</f>
        <v>15223.218000000001</v>
      </c>
      <c r="D20">
        <f>AVERAGEIF(DataQ!$B:$B,DataA!$A20,DataQ!H:H)</f>
        <v>116.20814999999999</v>
      </c>
      <c r="E20">
        <f>SUMIF(DataQ!$B:$B,DataA!$A20,DataQ!I:I)</f>
        <v>102934</v>
      </c>
      <c r="F20">
        <f>SUMIF(DataQ!$B:$B,DataA!$A20,DataQ!J:J)</f>
        <v>446600</v>
      </c>
      <c r="G20">
        <f>SUMIF(DataQ!$B:$B,DataA!$A20,DataQ!K:K)</f>
        <v>184468</v>
      </c>
      <c r="H20">
        <f>SUMIF(DataQ!$B:$B,DataA!$A20,DataQ!L:L)</f>
        <v>292036</v>
      </c>
      <c r="I20">
        <f>SUMIF(DataQ!$B:$B,DataA!$A20,DataQ!M:M)</f>
        <v>732897</v>
      </c>
      <c r="J20">
        <f>AVERAGEIF(DataQ!$B:$B,DataA!$A20,DataQ!N:N)</f>
        <v>40.371510000000001</v>
      </c>
    </row>
    <row r="21" spans="1:10" x14ac:dyDescent="0.25">
      <c r="A21">
        <v>1987</v>
      </c>
      <c r="B21">
        <f>AVERAGEIF(DataQ!$B:$B,DataA!$A21,DataQ!F:F)</f>
        <v>47.264912500000001</v>
      </c>
      <c r="C21">
        <f>SUMIF(DataQ!$B:$B,DataA!$A21,DataQ!G:G)</f>
        <v>17758</v>
      </c>
      <c r="D21">
        <f>AVERAGEIF(DataQ!$B:$B,DataA!$A21,DataQ!H:H)</f>
        <v>127.492625</v>
      </c>
      <c r="E21">
        <f>SUMIF(DataQ!$B:$B,DataA!$A21,DataQ!I:I)</f>
        <v>123213</v>
      </c>
      <c r="F21">
        <f>SUMIF(DataQ!$B:$B,DataA!$A21,DataQ!J:J)</f>
        <v>496809</v>
      </c>
      <c r="G21">
        <f>SUMIF(DataQ!$B:$B,DataA!$A21,DataQ!K:K)</f>
        <v>199714</v>
      </c>
      <c r="H21">
        <f>SUMIF(DataQ!$B:$B,DataA!$A21,DataQ!L:L)</f>
        <v>308812</v>
      </c>
      <c r="I21">
        <f>SUMIF(DataQ!$B:$B,DataA!$A21,DataQ!M:M)</f>
        <v>742332</v>
      </c>
      <c r="J21">
        <f>AVERAGEIF(DataQ!$B:$B,DataA!$A21,DataQ!N:N)</f>
        <v>42.122757500000006</v>
      </c>
    </row>
    <row r="22" spans="1:10" x14ac:dyDescent="0.25">
      <c r="A22">
        <v>1988</v>
      </c>
      <c r="B22">
        <f>AVERAGEIF(DataQ!$B:$B,DataA!$A22,DataQ!F:F)</f>
        <v>49.944009999999999</v>
      </c>
      <c r="C22">
        <f>SUMIF(DataQ!$B:$B,DataA!$A22,DataQ!G:G)</f>
        <v>19793</v>
      </c>
      <c r="D22">
        <f>AVERAGEIF(DataQ!$B:$B,DataA!$A22,DataQ!H:H)</f>
        <v>141.43197499999999</v>
      </c>
      <c r="E22">
        <f>SUMIF(DataQ!$B:$B,DataA!$A22,DataQ!I:I)</f>
        <v>140892</v>
      </c>
      <c r="F22">
        <f>SUMIF(DataQ!$B:$B,DataA!$A22,DataQ!J:J)</f>
        <v>555683</v>
      </c>
      <c r="G22">
        <f>SUMIF(DataQ!$B:$B,DataA!$A22,DataQ!K:K)</f>
        <v>223421</v>
      </c>
      <c r="H22">
        <f>SUMIF(DataQ!$B:$B,DataA!$A22,DataQ!L:L)</f>
        <v>341898</v>
      </c>
      <c r="I22">
        <f>SUMIF(DataQ!$B:$B,DataA!$A22,DataQ!M:M)</f>
        <v>782563</v>
      </c>
      <c r="J22">
        <f>AVERAGEIF(DataQ!$B:$B,DataA!$A22,DataQ!N:N)</f>
        <v>44.236497499999999</v>
      </c>
    </row>
    <row r="23" spans="1:10" x14ac:dyDescent="0.25">
      <c r="A23">
        <v>1989</v>
      </c>
      <c r="B23">
        <f>AVERAGEIF(DataQ!$B:$B,DataA!$A23,DataQ!F:F)</f>
        <v>54.406080000000003</v>
      </c>
      <c r="C23">
        <f>SUMIF(DataQ!$B:$B,DataA!$A23,DataQ!G:G)</f>
        <v>21500</v>
      </c>
      <c r="D23">
        <f>AVERAGEIF(DataQ!$B:$B,DataA!$A23,DataQ!H:H)</f>
        <v>158.04954999999998</v>
      </c>
      <c r="E23">
        <f>SUMIF(DataQ!$B:$B,DataA!$A23,DataQ!I:I)</f>
        <v>157363</v>
      </c>
      <c r="F23">
        <f>SUMIF(DataQ!$B:$B,DataA!$A23,DataQ!J:J)</f>
        <v>614631</v>
      </c>
      <c r="G23">
        <f>SUMIF(DataQ!$B:$B,DataA!$A23,DataQ!K:K)</f>
        <v>249240</v>
      </c>
      <c r="H23">
        <f>SUMIF(DataQ!$B:$B,DataA!$A23,DataQ!L:L)</f>
        <v>379762</v>
      </c>
      <c r="I23">
        <f>SUMIF(DataQ!$B:$B,DataA!$A23,DataQ!M:M)</f>
        <v>823265</v>
      </c>
      <c r="J23">
        <f>AVERAGEIF(DataQ!$B:$B,DataA!$A23,DataQ!N:N)</f>
        <v>46.662062499999998</v>
      </c>
    </row>
    <row r="24" spans="1:10" x14ac:dyDescent="0.25">
      <c r="A24">
        <v>1990</v>
      </c>
      <c r="B24">
        <f>AVERAGEIF(DataQ!$B:$B,DataA!$A24,DataQ!F:F)</f>
        <v>59.751525000000001</v>
      </c>
      <c r="C24">
        <f>SUMIF(DataQ!$B:$B,DataA!$A24,DataQ!G:G)</f>
        <v>23318</v>
      </c>
      <c r="D24">
        <f>AVERAGEIF(DataQ!$B:$B,DataA!$A24,DataQ!H:H)</f>
        <v>177.16129999999998</v>
      </c>
      <c r="E24">
        <f>SUMIF(DataQ!$B:$B,DataA!$A24,DataQ!I:I)</f>
        <v>166685</v>
      </c>
      <c r="F24">
        <f>SUMIF(DataQ!$B:$B,DataA!$A24,DataQ!J:J)</f>
        <v>670797</v>
      </c>
      <c r="G24">
        <f>SUMIF(DataQ!$B:$B,DataA!$A24,DataQ!K:K)</f>
        <v>275637</v>
      </c>
      <c r="H24">
        <f>SUMIF(DataQ!$B:$B,DataA!$A24,DataQ!L:L)</f>
        <v>424495</v>
      </c>
      <c r="I24">
        <f>SUMIF(DataQ!$B:$B,DataA!$A24,DataQ!M:M)</f>
        <v>855546</v>
      </c>
      <c r="J24">
        <f>AVERAGEIF(DataQ!$B:$B,DataA!$A24,DataQ!N:N)</f>
        <v>50.220087499999998</v>
      </c>
    </row>
    <row r="25" spans="1:10" x14ac:dyDescent="0.25">
      <c r="A25">
        <v>1991</v>
      </c>
      <c r="B25">
        <f>AVERAGEIF(DataQ!$B:$B,DataA!$A25,DataQ!F:F)</f>
        <v>64.591027499999996</v>
      </c>
      <c r="C25">
        <f>SUMIF(DataQ!$B:$B,DataA!$A25,DataQ!G:G)</f>
        <v>24717</v>
      </c>
      <c r="D25">
        <f>AVERAGEIF(DataQ!$B:$B,DataA!$A25,DataQ!H:H)</f>
        <v>195.23477500000001</v>
      </c>
      <c r="E25">
        <f>SUMIF(DataQ!$B:$B,DataA!$A25,DataQ!I:I)</f>
        <v>163324</v>
      </c>
      <c r="F25">
        <f>SUMIF(DataQ!$B:$B,DataA!$A25,DataQ!J:J)</f>
        <v>705884</v>
      </c>
      <c r="G25">
        <f>SUMIF(DataQ!$B:$B,DataA!$A25,DataQ!K:K)</f>
        <v>291596</v>
      </c>
      <c r="H25">
        <f>SUMIF(DataQ!$B:$B,DataA!$A25,DataQ!L:L)</f>
        <v>465426</v>
      </c>
      <c r="I25">
        <f>SUMIF(DataQ!$B:$B,DataA!$A25,DataQ!M:M)</f>
        <v>873023</v>
      </c>
      <c r="J25">
        <f>AVERAGEIF(DataQ!$B:$B,DataA!$A25,DataQ!N:N)</f>
        <v>54.081429999999997</v>
      </c>
    </row>
    <row r="26" spans="1:10" x14ac:dyDescent="0.25">
      <c r="A26">
        <v>1992</v>
      </c>
      <c r="B26">
        <f>AVERAGEIF(DataQ!$B:$B,DataA!$A26,DataQ!F:F)</f>
        <v>66.597562500000009</v>
      </c>
      <c r="C26">
        <f>SUMIF(DataQ!$B:$B,DataA!$A26,DataQ!G:G)</f>
        <v>25402</v>
      </c>
      <c r="D26">
        <f>AVERAGEIF(DataQ!$B:$B,DataA!$A26,DataQ!H:H)</f>
        <v>210.38567499999999</v>
      </c>
      <c r="E26">
        <f>SUMIF(DataQ!$B:$B,DataA!$A26,DataQ!I:I)</f>
        <v>163556</v>
      </c>
      <c r="F26">
        <f>SUMIF(DataQ!$B:$B,DataA!$A26,DataQ!J:J)</f>
        <v>730874</v>
      </c>
      <c r="G26">
        <f>SUMIF(DataQ!$B:$B,DataA!$A26,DataQ!K:K)</f>
        <v>300913</v>
      </c>
      <c r="H26">
        <f>SUMIF(DataQ!$B:$B,DataA!$A26,DataQ!L:L)</f>
        <v>497175</v>
      </c>
      <c r="I26">
        <f>SUMIF(DataQ!$B:$B,DataA!$A26,DataQ!M:M)</f>
        <v>896571</v>
      </c>
      <c r="J26">
        <f>AVERAGEIF(DataQ!$B:$B,DataA!$A26,DataQ!N:N)</f>
        <v>56.304250000000003</v>
      </c>
    </row>
    <row r="27" spans="1:10" x14ac:dyDescent="0.25">
      <c r="A27">
        <v>1993</v>
      </c>
      <c r="B27">
        <f>AVERAGEIF(DataQ!$B:$B,DataA!$A27,DataQ!F:F)</f>
        <v>67.128469999999993</v>
      </c>
      <c r="C27">
        <f>SUMIF(DataQ!$B:$B,DataA!$A27,DataQ!G:G)</f>
        <v>26847</v>
      </c>
      <c r="D27">
        <f>AVERAGEIF(DataQ!$B:$B,DataA!$A27,DataQ!H:H)</f>
        <v>219.05895000000001</v>
      </c>
      <c r="E27">
        <f>SUMIF(DataQ!$B:$B,DataA!$A27,DataQ!I:I)</f>
        <v>182607</v>
      </c>
      <c r="F27">
        <f>SUMIF(DataQ!$B:$B,DataA!$A27,DataQ!J:J)</f>
        <v>769855</v>
      </c>
      <c r="G27">
        <f>SUMIF(DataQ!$B:$B,DataA!$A27,DataQ!K:K)</f>
        <v>308445</v>
      </c>
      <c r="H27">
        <f>SUMIF(DataQ!$B:$B,DataA!$A27,DataQ!L:L)</f>
        <v>527497</v>
      </c>
      <c r="I27">
        <f>SUMIF(DataQ!$B:$B,DataA!$A27,DataQ!M:M)</f>
        <v>920167</v>
      </c>
      <c r="J27">
        <f>AVERAGEIF(DataQ!$B:$B,DataA!$A27,DataQ!N:N)</f>
        <v>58.081077499999999</v>
      </c>
    </row>
    <row r="28" spans="1:10" x14ac:dyDescent="0.25">
      <c r="A28">
        <v>1994</v>
      </c>
      <c r="B28">
        <f>AVERAGEIF(DataQ!$B:$B,DataA!$A28,DataQ!F:F)</f>
        <v>67.152280000000005</v>
      </c>
      <c r="C28">
        <f>SUMIF(DataQ!$B:$B,DataA!$A28,DataQ!G:G)</f>
        <v>27038</v>
      </c>
      <c r="D28">
        <f>AVERAGEIF(DataQ!$B:$B,DataA!$A28,DataQ!H:H)</f>
        <v>228.90707499999999</v>
      </c>
      <c r="E28">
        <f>SUMIF(DataQ!$B:$B,DataA!$A28,DataQ!I:I)</f>
        <v>199397</v>
      </c>
      <c r="F28">
        <f>SUMIF(DataQ!$B:$B,DataA!$A28,DataQ!J:J)</f>
        <v>810794</v>
      </c>
      <c r="G28">
        <f>SUMIF(DataQ!$B:$B,DataA!$A28,DataQ!K:K)</f>
        <v>319860</v>
      </c>
      <c r="H28">
        <f>SUMIF(DataQ!$B:$B,DataA!$A28,DataQ!L:L)</f>
        <v>546344</v>
      </c>
      <c r="I28">
        <f>SUMIF(DataQ!$B:$B,DataA!$A28,DataQ!M:M)</f>
        <v>937142</v>
      </c>
      <c r="J28">
        <f>AVERAGEIF(DataQ!$B:$B,DataA!$A28,DataQ!N:N)</f>
        <v>59.070397499999999</v>
      </c>
    </row>
    <row r="29" spans="1:10" x14ac:dyDescent="0.25">
      <c r="A29">
        <v>1995</v>
      </c>
      <c r="B29">
        <f>AVERAGEIF(DataQ!$B:$B,DataA!$A29,DataQ!F:F)</f>
        <v>68.548910000000006</v>
      </c>
      <c r="C29">
        <f>SUMIF(DataQ!$B:$B,DataA!$A29,DataQ!G:G)</f>
        <v>27892</v>
      </c>
      <c r="D29">
        <f>AVERAGEIF(DataQ!$B:$B,DataA!$A29,DataQ!H:H)</f>
        <v>238.136</v>
      </c>
      <c r="E29">
        <f>SUMIF(DataQ!$B:$B,DataA!$A29,DataQ!I:I)</f>
        <v>206306</v>
      </c>
      <c r="F29">
        <f>SUMIF(DataQ!$B:$B,DataA!$A29,DataQ!J:J)</f>
        <v>851845</v>
      </c>
      <c r="G29">
        <f>SUMIF(DataQ!$B:$B,DataA!$A29,DataQ!K:K)</f>
        <v>334384</v>
      </c>
      <c r="H29">
        <f>SUMIF(DataQ!$B:$B,DataA!$A29,DataQ!L:L)</f>
        <v>579299</v>
      </c>
      <c r="I29">
        <f>SUMIF(DataQ!$B:$B,DataA!$A29,DataQ!M:M)</f>
        <v>965162</v>
      </c>
      <c r="J29">
        <f>AVERAGEIF(DataQ!$B:$B,DataA!$A29,DataQ!N:N)</f>
        <v>60.807612499999998</v>
      </c>
    </row>
    <row r="30" spans="1:10" x14ac:dyDescent="0.25">
      <c r="A30">
        <v>1996</v>
      </c>
      <c r="B30">
        <f>AVERAGEIF(DataQ!$B:$B,DataA!$A30,DataQ!F:F)</f>
        <v>70.138887499999996</v>
      </c>
      <c r="C30">
        <f>SUMIF(DataQ!$B:$B,DataA!$A30,DataQ!G:G)</f>
        <v>29213</v>
      </c>
      <c r="D30">
        <f>AVERAGEIF(DataQ!$B:$B,DataA!$A30,DataQ!H:H)</f>
        <v>248.54797500000001</v>
      </c>
      <c r="E30">
        <f>SUMIF(DataQ!$B:$B,DataA!$A30,DataQ!I:I)</f>
        <v>230809</v>
      </c>
      <c r="F30">
        <f>SUMIF(DataQ!$B:$B,DataA!$A30,DataQ!J:J)</f>
        <v>909993</v>
      </c>
      <c r="G30">
        <f>SUMIF(DataQ!$B:$B,DataA!$A30,DataQ!K:K)</f>
        <v>349453</v>
      </c>
      <c r="H30">
        <f>SUMIF(DataQ!$B:$B,DataA!$A30,DataQ!L:L)</f>
        <v>615723</v>
      </c>
      <c r="I30">
        <f>SUMIF(DataQ!$B:$B,DataA!$A30,DataQ!M:M)</f>
        <v>990906</v>
      </c>
      <c r="J30">
        <f>AVERAGEIF(DataQ!$B:$B,DataA!$A30,DataQ!N:N)</f>
        <v>62.870675000000006</v>
      </c>
    </row>
    <row r="31" spans="1:10" x14ac:dyDescent="0.25">
      <c r="A31">
        <v>1997</v>
      </c>
      <c r="B31">
        <f>AVERAGEIF(DataQ!$B:$B,DataA!$A31,DataQ!F:F)</f>
        <v>72.425847500000003</v>
      </c>
      <c r="C31">
        <f>SUMIF(DataQ!$B:$B,DataA!$A31,DataQ!G:G)</f>
        <v>31038</v>
      </c>
      <c r="D31">
        <f>AVERAGEIF(DataQ!$B:$B,DataA!$A31,DataQ!H:H)</f>
        <v>261.8193</v>
      </c>
      <c r="E31">
        <f>SUMIF(DataQ!$B:$B,DataA!$A31,DataQ!I:I)</f>
        <v>234547</v>
      </c>
      <c r="F31">
        <f>SUMIF(DataQ!$B:$B,DataA!$A31,DataQ!J:J)</f>
        <v>953405</v>
      </c>
      <c r="G31">
        <f>SUMIF(DataQ!$B:$B,DataA!$A31,DataQ!K:K)</f>
        <v>378908</v>
      </c>
      <c r="H31">
        <f>SUMIF(DataQ!$B:$B,DataA!$A31,DataQ!L:L)</f>
        <v>638971</v>
      </c>
      <c r="I31">
        <f>SUMIF(DataQ!$B:$B,DataA!$A31,DataQ!M:M)</f>
        <v>1009165</v>
      </c>
      <c r="J31">
        <f>AVERAGEIF(DataQ!$B:$B,DataA!$A31,DataQ!N:N)</f>
        <v>64.162402499999999</v>
      </c>
    </row>
    <row r="32" spans="1:10" x14ac:dyDescent="0.25">
      <c r="A32">
        <v>1998</v>
      </c>
      <c r="B32">
        <f>AVERAGEIF(DataQ!$B:$B,DataA!$A32,DataQ!F:F)</f>
        <v>73.546962500000006</v>
      </c>
      <c r="C32">
        <f>SUMIF(DataQ!$B:$B,DataA!$A32,DataQ!G:G)</f>
        <v>32851</v>
      </c>
      <c r="D32">
        <f>AVERAGEIF(DataQ!$B:$B,DataA!$A32,DataQ!H:H)</f>
        <v>278.90902499999999</v>
      </c>
      <c r="E32">
        <f>SUMIF(DataQ!$B:$B,DataA!$A32,DataQ!I:I)</f>
        <v>241995</v>
      </c>
      <c r="F32">
        <f>SUMIF(DataQ!$B:$B,DataA!$A32,DataQ!J:J)</f>
        <v>998501</v>
      </c>
      <c r="G32">
        <f>SUMIF(DataQ!$B:$B,DataA!$A32,DataQ!K:K)</f>
        <v>397409</v>
      </c>
      <c r="H32">
        <f>SUMIF(DataQ!$B:$B,DataA!$A32,DataQ!L:L)</f>
        <v>653785</v>
      </c>
      <c r="I32">
        <f>SUMIF(DataQ!$B:$B,DataA!$A32,DataQ!M:M)</f>
        <v>1018309</v>
      </c>
      <c r="J32">
        <f>AVERAGEIF(DataQ!$B:$B,DataA!$A32,DataQ!N:N)</f>
        <v>65.029245000000003</v>
      </c>
    </row>
    <row r="33" spans="1:10" x14ac:dyDescent="0.25">
      <c r="A33">
        <v>1999</v>
      </c>
      <c r="B33">
        <f>AVERAGEIF(DataQ!$B:$B,DataA!$A33,DataQ!F:F)</f>
        <v>77.177779999999998</v>
      </c>
      <c r="C33">
        <f>SUMIF(DataQ!$B:$B,DataA!$A33,DataQ!G:G)</f>
        <v>35853</v>
      </c>
      <c r="D33">
        <f>AVERAGEIF(DataQ!$B:$B,DataA!$A33,DataQ!H:H)</f>
        <v>295.42552499999999</v>
      </c>
      <c r="E33">
        <f>SUMIF(DataQ!$B:$B,DataA!$A33,DataQ!I:I)</f>
        <v>229626</v>
      </c>
      <c r="F33">
        <f>SUMIF(DataQ!$B:$B,DataA!$A33,DataQ!J:J)</f>
        <v>1043248</v>
      </c>
      <c r="G33">
        <f>SUMIF(DataQ!$B:$B,DataA!$A33,DataQ!K:K)</f>
        <v>428583</v>
      </c>
      <c r="H33">
        <f>SUMIF(DataQ!$B:$B,DataA!$A33,DataQ!L:L)</f>
        <v>687177</v>
      </c>
      <c r="I33">
        <f>SUMIF(DataQ!$B:$B,DataA!$A33,DataQ!M:M)</f>
        <v>1062583</v>
      </c>
      <c r="J33">
        <f>AVERAGEIF(DataQ!$B:$B,DataA!$A33,DataQ!N:N)</f>
        <v>65.456424999999996</v>
      </c>
    </row>
    <row r="34" spans="1:10" x14ac:dyDescent="0.25">
      <c r="A34">
        <v>2000</v>
      </c>
      <c r="B34">
        <f>AVERAGEIF(DataQ!$B:$B,DataA!$A34,DataQ!F:F)</f>
        <v>79.438455000000005</v>
      </c>
      <c r="C34">
        <f>SUMIF(DataQ!$B:$B,DataA!$A34,DataQ!G:G)</f>
        <v>39195</v>
      </c>
      <c r="D34">
        <f>AVERAGEIF(DataQ!$B:$B,DataA!$A34,DataQ!H:H)</f>
        <v>312.74997500000001</v>
      </c>
      <c r="E34">
        <f>SUMIF(DataQ!$B:$B,DataA!$A34,DataQ!I:I)</f>
        <v>233989</v>
      </c>
      <c r="F34">
        <f>SUMIF(DataQ!$B:$B,DataA!$A34,DataQ!J:J)</f>
        <v>1100752</v>
      </c>
      <c r="G34">
        <f>SUMIF(DataQ!$B:$B,DataA!$A34,DataQ!K:K)</f>
        <v>456373</v>
      </c>
      <c r="H34">
        <f>SUMIF(DataQ!$B:$B,DataA!$A34,DataQ!L:L)</f>
        <v>727610</v>
      </c>
      <c r="I34">
        <f>SUMIF(DataQ!$B:$B,DataA!$A34,DataQ!M:M)</f>
        <v>1122465</v>
      </c>
      <c r="J34">
        <f>AVERAGEIF(DataQ!$B:$B,DataA!$A34,DataQ!N:N)</f>
        <v>65.530632499999996</v>
      </c>
    </row>
    <row r="35" spans="1:10" x14ac:dyDescent="0.25">
      <c r="A35">
        <v>2001</v>
      </c>
      <c r="B35">
        <f>AVERAGEIF(DataQ!$B:$B,DataA!$A35,DataQ!F:F)</f>
        <v>82.437015000000002</v>
      </c>
      <c r="C35">
        <f>SUMIF(DataQ!$B:$B,DataA!$A35,DataQ!G:G)</f>
        <v>41168</v>
      </c>
      <c r="D35">
        <f>AVERAGEIF(DataQ!$B:$B,DataA!$A35,DataQ!H:H)</f>
        <v>328.666675</v>
      </c>
      <c r="E35">
        <f>SUMIF(DataQ!$B:$B,DataA!$A35,DataQ!I:I)</f>
        <v>235052</v>
      </c>
      <c r="F35">
        <f>SUMIF(DataQ!$B:$B,DataA!$A35,DataQ!J:J)</f>
        <v>1146135</v>
      </c>
      <c r="G35">
        <f>SUMIF(DataQ!$B:$B,DataA!$A35,DataQ!K:K)</f>
        <v>485948</v>
      </c>
      <c r="H35">
        <f>SUMIF(DataQ!$B:$B,DataA!$A35,DataQ!L:L)</f>
        <v>760114</v>
      </c>
      <c r="I35">
        <f>SUMIF(DataQ!$B:$B,DataA!$A35,DataQ!M:M)</f>
        <v>1162075</v>
      </c>
      <c r="J35">
        <f>AVERAGEIF(DataQ!$B:$B,DataA!$A35,DataQ!N:N)</f>
        <v>66.019132500000012</v>
      </c>
    </row>
    <row r="36" spans="1:10" x14ac:dyDescent="0.25">
      <c r="A36">
        <v>2002</v>
      </c>
      <c r="B36">
        <f>AVERAGEIF(DataQ!$B:$B,DataA!$A36,DataQ!F:F)</f>
        <v>82.958932500000003</v>
      </c>
      <c r="C36">
        <f>SUMIF(DataQ!$B:$B,DataA!$A36,DataQ!G:G)</f>
        <v>41857</v>
      </c>
      <c r="D36">
        <f>AVERAGEIF(DataQ!$B:$B,DataA!$A36,DataQ!H:H)</f>
        <v>339.166675</v>
      </c>
      <c r="E36">
        <f>SUMIF(DataQ!$B:$B,DataA!$A36,DataQ!I:I)</f>
        <v>254657</v>
      </c>
      <c r="F36">
        <f>SUMIF(DataQ!$B:$B,DataA!$A36,DataQ!J:J)</f>
        <v>1191439</v>
      </c>
      <c r="G36">
        <f>SUMIF(DataQ!$B:$B,DataA!$A36,DataQ!K:K)</f>
        <v>498707</v>
      </c>
      <c r="H36">
        <f>SUMIF(DataQ!$B:$B,DataA!$A36,DataQ!L:L)</f>
        <v>785298</v>
      </c>
      <c r="I36">
        <f>SUMIF(DataQ!$B:$B,DataA!$A36,DataQ!M:M)</f>
        <v>1190985</v>
      </c>
      <c r="J36">
        <f>AVERAGEIF(DataQ!$B:$B,DataA!$A36,DataQ!N:N)</f>
        <v>66.437055000000001</v>
      </c>
    </row>
    <row r="37" spans="1:10" x14ac:dyDescent="0.25">
      <c r="A37">
        <v>2003</v>
      </c>
      <c r="B37">
        <f>AVERAGEIF(DataQ!$B:$B,DataA!$A37,DataQ!F:F)</f>
        <v>84.746269999999996</v>
      </c>
      <c r="C37">
        <f>SUMIF(DataQ!$B:$B,DataA!$A37,DataQ!G:G)</f>
        <v>47172</v>
      </c>
      <c r="D37">
        <f>AVERAGEIF(DataQ!$B:$B,DataA!$A37,DataQ!H:H)</f>
        <v>350.166675</v>
      </c>
      <c r="E37">
        <f>SUMIF(DataQ!$B:$B,DataA!$A37,DataQ!I:I)</f>
        <v>277633</v>
      </c>
      <c r="F37">
        <f>SUMIF(DataQ!$B:$B,DataA!$A37,DataQ!J:J)</f>
        <v>1258334</v>
      </c>
      <c r="G37">
        <f>SUMIF(DataQ!$B:$B,DataA!$A37,DataQ!K:K)</f>
        <v>521700</v>
      </c>
      <c r="H37">
        <f>SUMIF(DataQ!$B:$B,DataA!$A37,DataQ!L:L)</f>
        <v>813613</v>
      </c>
      <c r="I37">
        <f>SUMIF(DataQ!$B:$B,DataA!$A37,DataQ!M:M)</f>
        <v>1217154</v>
      </c>
      <c r="J37">
        <f>AVERAGEIF(DataQ!$B:$B,DataA!$A37,DataQ!N:N)</f>
        <v>67.262397500000006</v>
      </c>
    </row>
    <row r="38" spans="1:10" x14ac:dyDescent="0.25">
      <c r="A38">
        <v>2004</v>
      </c>
      <c r="B38">
        <f>AVERAGEIF(DataQ!$B:$B,DataA!$A38,DataQ!F:F)</f>
        <v>88.32847000000001</v>
      </c>
      <c r="C38">
        <f>SUMIF(DataQ!$B:$B,DataA!$A38,DataQ!G:G)</f>
        <v>52530</v>
      </c>
      <c r="D38">
        <f>AVERAGEIF(DataQ!$B:$B,DataA!$A38,DataQ!H:H)</f>
        <v>365.333325</v>
      </c>
      <c r="E38">
        <f>SUMIF(DataQ!$B:$B,DataA!$A38,DataQ!I:I)</f>
        <v>284786</v>
      </c>
      <c r="F38">
        <f>SUMIF(DataQ!$B:$B,DataA!$A38,DataQ!J:J)</f>
        <v>1322637</v>
      </c>
      <c r="G38">
        <f>SUMIF(DataQ!$B:$B,DataA!$A38,DataQ!K:K)</f>
        <v>552686</v>
      </c>
      <c r="H38">
        <f>SUMIF(DataQ!$B:$B,DataA!$A38,DataQ!L:L)</f>
        <v>852800</v>
      </c>
      <c r="I38">
        <f>SUMIF(DataQ!$B:$B,DataA!$A38,DataQ!M:M)</f>
        <v>1251692</v>
      </c>
      <c r="J38">
        <f>AVERAGEIF(DataQ!$B:$B,DataA!$A38,DataQ!N:N)</f>
        <v>68.509722500000009</v>
      </c>
    </row>
    <row r="39" spans="1:10" x14ac:dyDescent="0.25">
      <c r="A39">
        <v>2005</v>
      </c>
      <c r="B39">
        <f>AVERAGEIF(DataQ!$B:$B,DataA!$A39,DataQ!F:F)</f>
        <v>90.980840000000001</v>
      </c>
      <c r="C39">
        <f>SUMIF(DataQ!$B:$B,DataA!$A39,DataQ!G:G)</f>
        <v>57197</v>
      </c>
      <c r="D39">
        <f>AVERAGEIF(DataQ!$B:$B,DataA!$A39,DataQ!H:H)</f>
        <v>382.41665</v>
      </c>
      <c r="E39">
        <f>SUMIF(DataQ!$B:$B,DataA!$A39,DataQ!I:I)</f>
        <v>309416</v>
      </c>
      <c r="F39">
        <f>SUMIF(DataQ!$B:$B,DataA!$A39,DataQ!J:J)</f>
        <v>1398749</v>
      </c>
      <c r="G39">
        <f>SUMIF(DataQ!$B:$B,DataA!$A39,DataQ!K:K)</f>
        <v>578425</v>
      </c>
      <c r="H39">
        <f>SUMIF(DataQ!$B:$B,DataA!$A39,DataQ!L:L)</f>
        <v>891024</v>
      </c>
      <c r="I39">
        <f>SUMIF(DataQ!$B:$B,DataA!$A39,DataQ!M:M)</f>
        <v>1282741</v>
      </c>
      <c r="J39">
        <f>AVERAGEIF(DataQ!$B:$B,DataA!$A39,DataQ!N:N)</f>
        <v>69.761975000000007</v>
      </c>
    </row>
    <row r="40" spans="1:10" x14ac:dyDescent="0.25">
      <c r="A40">
        <v>2006</v>
      </c>
      <c r="B40">
        <f>AVERAGEIF(DataQ!$B:$B,DataA!$A40,DataQ!F:F)</f>
        <v>94.007125000000002</v>
      </c>
      <c r="C40">
        <f>SUMIF(DataQ!$B:$B,DataA!$A40,DataQ!G:G)</f>
        <v>60520</v>
      </c>
      <c r="D40">
        <f>AVERAGEIF(DataQ!$B:$B,DataA!$A40,DataQ!H:H)</f>
        <v>400.166675</v>
      </c>
      <c r="E40">
        <f>SUMIF(DataQ!$B:$B,DataA!$A40,DataQ!I:I)</f>
        <v>320607</v>
      </c>
      <c r="F40">
        <f>SUMIF(DataQ!$B:$B,DataA!$A40,DataQ!J:J)</f>
        <v>1472038</v>
      </c>
      <c r="G40">
        <f>SUMIF(DataQ!$B:$B,DataA!$A40,DataQ!K:K)</f>
        <v>610443</v>
      </c>
      <c r="H40">
        <f>SUMIF(DataQ!$B:$B,DataA!$A40,DataQ!L:L)</f>
        <v>935159</v>
      </c>
      <c r="I40">
        <f>SUMIF(DataQ!$B:$B,DataA!$A40,DataQ!M:M)</f>
        <v>1305289</v>
      </c>
      <c r="J40">
        <f>AVERAGEIF(DataQ!$B:$B,DataA!$A40,DataQ!N:N)</f>
        <v>71.833882500000001</v>
      </c>
    </row>
    <row r="41" spans="1:10" x14ac:dyDescent="0.25">
      <c r="A41">
        <v>2007</v>
      </c>
      <c r="B41">
        <f>AVERAGEIF(DataQ!$B:$B,DataA!$A41,DataQ!F:F)</f>
        <v>97.772499999999994</v>
      </c>
      <c r="C41">
        <f>SUMIF(DataQ!$B:$B,DataA!$A41,DataQ!G:G)</f>
        <v>65720</v>
      </c>
      <c r="D41">
        <f>AVERAGEIF(DataQ!$B:$B,DataA!$A41,DataQ!H:H)</f>
        <v>419.833325</v>
      </c>
      <c r="E41">
        <f>SUMIF(DataQ!$B:$B,DataA!$A41,DataQ!I:I)</f>
        <v>329551</v>
      </c>
      <c r="F41">
        <f>SUMIF(DataQ!$B:$B,DataA!$A41,DataQ!J:J)</f>
        <v>1544637</v>
      </c>
      <c r="G41">
        <f>SUMIF(DataQ!$B:$B,DataA!$A41,DataQ!K:K)</f>
        <v>651314</v>
      </c>
      <c r="H41">
        <f>SUMIF(DataQ!$B:$B,DataA!$A41,DataQ!L:L)</f>
        <v>986363</v>
      </c>
      <c r="I41">
        <f>SUMIF(DataQ!$B:$B,DataA!$A41,DataQ!M:M)</f>
        <v>1356037</v>
      </c>
      <c r="J41">
        <f>AVERAGEIF(DataQ!$B:$B,DataA!$A41,DataQ!N:N)</f>
        <v>72.825212500000006</v>
      </c>
    </row>
    <row r="42" spans="1:10" x14ac:dyDescent="0.25">
      <c r="A42">
        <v>2008</v>
      </c>
      <c r="B42">
        <f>AVERAGEIF(DataQ!$B:$B,DataA!$A42,DataQ!F:F)</f>
        <v>100.00002000000001</v>
      </c>
      <c r="C42">
        <f>SUMIF(DataQ!$B:$B,DataA!$A42,DataQ!G:G)</f>
        <v>69696</v>
      </c>
      <c r="D42">
        <f>AVERAGEIF(DataQ!$B:$B,DataA!$A42,DataQ!H:H)</f>
        <v>434.416675</v>
      </c>
      <c r="E42">
        <f>SUMIF(DataQ!$B:$B,DataA!$A42,DataQ!I:I)</f>
        <v>350899</v>
      </c>
      <c r="F42">
        <f>SUMIF(DataQ!$B:$B,DataA!$A42,DataQ!J:J)</f>
        <v>1593600</v>
      </c>
      <c r="G42">
        <f>SUMIF(DataQ!$B:$B,DataA!$A42,DataQ!K:K)</f>
        <v>665400</v>
      </c>
      <c r="H42">
        <f>SUMIF(DataQ!$B:$B,DataA!$A42,DataQ!L:L)</f>
        <v>1021020</v>
      </c>
      <c r="I42">
        <f>SUMIF(DataQ!$B:$B,DataA!$A42,DataQ!M:M)</f>
        <v>1349254</v>
      </c>
      <c r="J42">
        <f>AVERAGEIF(DataQ!$B:$B,DataA!$A42,DataQ!N:N)</f>
        <v>75.736959999999996</v>
      </c>
    </row>
    <row r="43" spans="1:10" x14ac:dyDescent="0.25">
      <c r="A43">
        <v>2009</v>
      </c>
      <c r="B43">
        <f>AVERAGEIF(DataQ!$B:$B,DataA!$A43,DataQ!F:F)</f>
        <v>103.74160000000001</v>
      </c>
      <c r="C43">
        <f>SUMIF(DataQ!$B:$B,DataA!$A43,DataQ!G:G)</f>
        <v>68795</v>
      </c>
      <c r="D43">
        <f>AVERAGEIF(DataQ!$B:$B,DataA!$A43,DataQ!H:H)</f>
        <v>434.08335</v>
      </c>
      <c r="E43">
        <f>SUMIF(DataQ!$B:$B,DataA!$A43,DataQ!I:I)</f>
        <v>340017</v>
      </c>
      <c r="F43">
        <f>SUMIF(DataQ!$B:$B,DataA!$A43,DataQ!J:J)</f>
        <v>1548802</v>
      </c>
      <c r="G43">
        <f>SUMIF(DataQ!$B:$B,DataA!$A43,DataQ!K:K)</f>
        <v>654141</v>
      </c>
      <c r="H43">
        <f>SUMIF(DataQ!$B:$B,DataA!$A43,DataQ!L:L)</f>
        <v>1047182</v>
      </c>
      <c r="I43">
        <f>SUMIF(DataQ!$B:$B,DataA!$A43,DataQ!M:M)</f>
        <v>1370568</v>
      </c>
      <c r="J43">
        <f>AVERAGEIF(DataQ!$B:$B,DataA!$A43,DataQ!N:N)</f>
        <v>76.341580000000008</v>
      </c>
    </row>
    <row r="44" spans="1:10" x14ac:dyDescent="0.25">
      <c r="A44">
        <v>2010</v>
      </c>
      <c r="B44">
        <f>AVERAGEIF(DataQ!$B:$B,DataA!$A44,DataQ!F:F)</f>
        <v>103.99664999999999</v>
      </c>
      <c r="C44">
        <f>SUMIF(DataQ!$B:$B,DataA!$A44,DataQ!G:G)</f>
        <v>71563</v>
      </c>
      <c r="D44">
        <f>AVERAGEIF(DataQ!$B:$B,DataA!$A44,DataQ!H:H)</f>
        <v>444.166675</v>
      </c>
      <c r="E44">
        <f>SUMIF(DataQ!$B:$B,DataA!$A44,DataQ!I:I)</f>
        <v>353181</v>
      </c>
      <c r="F44">
        <f>SUMIF(DataQ!$B:$B,DataA!$A44,DataQ!J:J)</f>
        <v>1608553</v>
      </c>
      <c r="G44">
        <f>SUMIF(DataQ!$B:$B,DataA!$A44,DataQ!K:K)</f>
        <v>659695</v>
      </c>
      <c r="H44">
        <f>SUMIF(DataQ!$B:$B,DataA!$A44,DataQ!L:L)</f>
        <v>1067630</v>
      </c>
      <c r="I44">
        <f>SUMIF(DataQ!$B:$B,DataA!$A44,DataQ!M:M)</f>
        <v>1383741</v>
      </c>
      <c r="J44">
        <f>AVERAGEIF(DataQ!$B:$B,DataA!$A44,DataQ!N:N)</f>
        <v>77.048077500000005</v>
      </c>
    </row>
    <row r="45" spans="1:10" x14ac:dyDescent="0.25">
      <c r="A45">
        <v>2011</v>
      </c>
      <c r="B45">
        <f>AVERAGEIF(DataQ!$B:$B,DataA!$A45,DataQ!F:F)</f>
        <v>105.0825</v>
      </c>
      <c r="C45">
        <f>SUMIF(DataQ!$B:$B,DataA!$A45,DataQ!G:G)</f>
        <v>73449</v>
      </c>
      <c r="D45">
        <f>AVERAGEIF(DataQ!$B:$B,DataA!$A45,DataQ!H:H)</f>
        <v>454.83335</v>
      </c>
      <c r="E45">
        <f>SUMIF(DataQ!$B:$B,DataA!$A45,DataQ!I:I)</f>
        <v>366700</v>
      </c>
      <c r="F45">
        <f>SUMIF(DataQ!$B:$B,DataA!$A45,DataQ!J:J)</f>
        <v>1662590</v>
      </c>
      <c r="G45">
        <f>SUMIF(DataQ!$B:$B,DataA!$A45,DataQ!K:K)</f>
        <v>676035</v>
      </c>
      <c r="H45">
        <f>SUMIF(DataQ!$B:$B,DataA!$A45,DataQ!L:L)</f>
        <v>1083670</v>
      </c>
      <c r="I45">
        <f>SUMIF(DataQ!$B:$B,DataA!$A45,DataQ!M:M)</f>
        <v>1351989</v>
      </c>
      <c r="J45">
        <f>AVERAGEIF(DataQ!$B:$B,DataA!$A45,DataQ!N:N)</f>
        <v>80.126795000000001</v>
      </c>
    </row>
    <row r="46" spans="1:10" x14ac:dyDescent="0.25">
      <c r="A46">
        <v>2012</v>
      </c>
      <c r="B46">
        <f>AVERAGEIF(DataQ!$B:$B,DataA!$A46,DataQ!F:F)</f>
        <v>105.47755000000001</v>
      </c>
      <c r="C46">
        <f>SUMIF(DataQ!$B:$B,DataA!$A46,DataQ!G:G)</f>
        <v>75709</v>
      </c>
      <c r="D46">
        <f>AVERAGEIF(DataQ!$B:$B,DataA!$A46,DataQ!H:H)</f>
        <v>460.666675</v>
      </c>
      <c r="E46">
        <f>SUMIF(DataQ!$B:$B,DataA!$A46,DataQ!I:I)</f>
        <v>382532</v>
      </c>
      <c r="F46">
        <f>SUMIF(DataQ!$B:$B,DataA!$A46,DataQ!J:J)</f>
        <v>1713715</v>
      </c>
      <c r="G46">
        <f>SUMIF(DataQ!$B:$B,DataA!$A46,DataQ!K:K)</f>
        <v>685315</v>
      </c>
      <c r="H46">
        <f>SUMIF(DataQ!$B:$B,DataA!$A46,DataQ!L:L)</f>
        <v>1128936</v>
      </c>
      <c r="I46">
        <f>SUMIF(DataQ!$B:$B,DataA!$A46,DataQ!M:M)</f>
        <v>1385185</v>
      </c>
      <c r="J46">
        <f>AVERAGEIF(DataQ!$B:$B,DataA!$A46,DataQ!N:N)</f>
        <v>81.463710000000006</v>
      </c>
    </row>
    <row r="47" spans="1:10" x14ac:dyDescent="0.25">
      <c r="A47">
        <v>2013</v>
      </c>
      <c r="B47">
        <f>AVERAGEIF(DataQ!$B:$B,DataA!$A47,DataQ!F:F)</f>
        <v>107.675825</v>
      </c>
      <c r="C47">
        <f>SUMIF(DataQ!$B:$B,DataA!$A47,DataQ!G:G)</f>
        <v>76872</v>
      </c>
      <c r="D47">
        <f>AVERAGEIF(DataQ!$B:$B,DataA!$A47,DataQ!H:H)</f>
        <v>465.583325</v>
      </c>
      <c r="E47">
        <f>SUMIF(DataQ!$B:$B,DataA!$A47,DataQ!I:I)</f>
        <v>396588</v>
      </c>
      <c r="F47">
        <f>SUMIF(DataQ!$B:$B,DataA!$A47,DataQ!J:J)</f>
        <v>1781361</v>
      </c>
      <c r="G47">
        <f>SUMIF(DataQ!$B:$B,DataA!$A47,DataQ!K:K)</f>
        <v>717568</v>
      </c>
      <c r="H47">
        <f>SUMIF(DataQ!$B:$B,DataA!$A47,DataQ!L:L)</f>
        <v>1175806</v>
      </c>
      <c r="I47">
        <f>SUMIF(DataQ!$B:$B,DataA!$A47,DataQ!M:M)</f>
        <v>1411202</v>
      </c>
      <c r="J47">
        <f>AVERAGEIF(DataQ!$B:$B,DataA!$A47,DataQ!N:N)</f>
        <v>83.274417499999998</v>
      </c>
    </row>
    <row r="48" spans="1:10" x14ac:dyDescent="0.25">
      <c r="A48">
        <v>2014</v>
      </c>
      <c r="B48">
        <f>AVERAGEIF(DataQ!$B:$B,DataA!$A48,DataQ!F:F)</f>
        <v>106.96119999999999</v>
      </c>
      <c r="C48">
        <f>SUMIF(DataQ!$B:$B,DataA!$A48,DataQ!G:G)</f>
        <v>78964</v>
      </c>
      <c r="D48">
        <f>AVERAGEIF(DataQ!$B:$B,DataA!$A48,DataQ!H:H)</f>
        <v>470.66665</v>
      </c>
      <c r="E48">
        <f>SUMIF(DataQ!$B:$B,DataA!$A48,DataQ!I:I)</f>
        <v>425352</v>
      </c>
      <c r="F48">
        <f>SUMIF(DataQ!$B:$B,DataA!$A48,DataQ!J:J)</f>
        <v>1862514</v>
      </c>
      <c r="G48">
        <f>SUMIF(DataQ!$B:$B,DataA!$A48,DataQ!K:K)</f>
        <v>744077</v>
      </c>
      <c r="H48">
        <f>SUMIF(DataQ!$B:$B,DataA!$A48,DataQ!L:L)</f>
        <v>1216953</v>
      </c>
      <c r="I48">
        <f>SUMIF(DataQ!$B:$B,DataA!$A48,DataQ!M:M)</f>
        <v>1443046</v>
      </c>
      <c r="J48">
        <f>AVERAGEIF(DataQ!$B:$B,DataA!$A48,DataQ!N:N)</f>
        <v>84.238100000000003</v>
      </c>
    </row>
    <row r="49" spans="1:10" x14ac:dyDescent="0.25">
      <c r="A49">
        <v>2015</v>
      </c>
      <c r="B49">
        <f>AVERAGEIF(DataQ!$B:$B,DataA!$A49,DataQ!F:F)</f>
        <v>108.14055</v>
      </c>
      <c r="C49">
        <f>SUMIF(DataQ!$B:$B,DataA!$A49,DataQ!G:G)</f>
        <v>83240</v>
      </c>
      <c r="D49">
        <f>AVERAGEIF(DataQ!$B:$B,DataA!$A49,DataQ!H:H)</f>
        <v>482</v>
      </c>
      <c r="E49">
        <f>SUMIF(DataQ!$B:$B,DataA!$A49,DataQ!I:I)</f>
        <v>425845</v>
      </c>
      <c r="F49">
        <f>SUMIF(DataQ!$B:$B,DataA!$A49,DataQ!J:J)</f>
        <v>1916451</v>
      </c>
      <c r="G49">
        <f>SUMIF(DataQ!$B:$B,DataA!$A49,DataQ!K:K)</f>
        <v>768925</v>
      </c>
      <c r="H49">
        <f>SUMIF(DataQ!$B:$B,DataA!$A49,DataQ!L:L)</f>
        <v>1286210</v>
      </c>
      <c r="I49">
        <f>SUMIF(DataQ!$B:$B,DataA!$A49,DataQ!M:M)</f>
        <v>1530519</v>
      </c>
      <c r="J49">
        <f>AVERAGEIF(DataQ!$B:$B,DataA!$A49,DataQ!N:N)</f>
        <v>83.925319999999999</v>
      </c>
    </row>
    <row r="50" spans="1:10" x14ac:dyDescent="0.25">
      <c r="A50">
        <v>2016</v>
      </c>
      <c r="B50">
        <f>AVERAGEIF(DataQ!$B:$B,DataA!$A50,DataQ!F:F)</f>
        <v>110.32785</v>
      </c>
      <c r="C50">
        <f>SUMIF(DataQ!$B:$B,DataA!$A50,DataQ!G:G)</f>
        <v>88824</v>
      </c>
      <c r="D50">
        <f>AVERAGEIF(DataQ!$B:$B,DataA!$A50,DataQ!H:H)</f>
        <v>493.5</v>
      </c>
      <c r="E50">
        <f>SUMIF(DataQ!$B:$B,DataA!$A50,DataQ!I:I)</f>
        <v>439483</v>
      </c>
      <c r="F50">
        <f>SUMIF(DataQ!$B:$B,DataA!$A50,DataQ!J:J)</f>
        <v>1991645</v>
      </c>
      <c r="G50">
        <f>SUMIF(DataQ!$B:$B,DataA!$A50,DataQ!K:K)</f>
        <v>795227</v>
      </c>
      <c r="H50">
        <f>SUMIF(DataQ!$B:$B,DataA!$A50,DataQ!L:L)</f>
        <v>1311367</v>
      </c>
      <c r="I50">
        <f>SUMIF(DataQ!$B:$B,DataA!$A50,DataQ!M:M)</f>
        <v>1541145</v>
      </c>
      <c r="J50">
        <f>AVERAGEIF(DataQ!$B:$B,DataA!$A50,DataQ!N:N)</f>
        <v>84.988732499999998</v>
      </c>
    </row>
    <row r="51" spans="1:10" x14ac:dyDescent="0.25">
      <c r="A51">
        <v>2017</v>
      </c>
      <c r="B51">
        <f>AVERAGEIF(DataQ!$B:$B,DataA!$A51,DataQ!F:F)</f>
        <v>111.70175</v>
      </c>
      <c r="C51">
        <f>SUMIF(DataQ!$B:$B,DataA!$A51,DataQ!G:G)</f>
        <v>94661</v>
      </c>
      <c r="D51">
        <f>AVERAGEIF(DataQ!$B:$B,DataA!$A51,DataQ!H:H)</f>
        <v>505.083325</v>
      </c>
      <c r="E51">
        <f>SUMIF(DataQ!$B:$B,DataA!$A51,DataQ!I:I)</f>
        <v>466988</v>
      </c>
      <c r="F51">
        <f>SUMIF(DataQ!$B:$B,DataA!$A51,DataQ!J:J)</f>
        <v>2082482</v>
      </c>
      <c r="G51">
        <f>SUMIF(DataQ!$B:$B,DataA!$A51,DataQ!K:K)</f>
        <v>827282</v>
      </c>
      <c r="H51">
        <f>SUMIF(DataQ!$B:$B,DataA!$A51,DataQ!L:L)</f>
        <v>1347073</v>
      </c>
      <c r="I51">
        <f>SUMIF(DataQ!$B:$B,DataA!$A51,DataQ!M:M)</f>
        <v>1554849</v>
      </c>
      <c r="J51">
        <f>AVERAGEIF(DataQ!$B:$B,DataA!$A51,DataQ!N:N)</f>
        <v>86.563524999999998</v>
      </c>
    </row>
    <row r="52" spans="1:10" x14ac:dyDescent="0.25">
      <c r="A52">
        <v>2018</v>
      </c>
      <c r="B52">
        <f>AVERAGEIF(DataQ!$B:$B,DataA!$A52,DataQ!F:F)</f>
        <v>114.83882499999999</v>
      </c>
      <c r="C52">
        <f>SUMIF(DataQ!$B:$B,DataA!$A52,DataQ!G:G)</f>
        <v>98064</v>
      </c>
      <c r="D52">
        <f>AVERAGEIF(DataQ!$B:$B,DataA!$A52,DataQ!H:H)</f>
        <v>519.75</v>
      </c>
      <c r="E52">
        <f>SUMIF(DataQ!$B:$B,DataA!$A52,DataQ!I:I)</f>
        <v>468601</v>
      </c>
      <c r="F52">
        <f>SUMIF(DataQ!$B:$B,DataA!$A52,DataQ!J:J)</f>
        <v>2152304</v>
      </c>
      <c r="G52">
        <f>SUMIF(DataQ!$B:$B,DataA!$A52,DataQ!K:K)</f>
        <v>862510</v>
      </c>
      <c r="H52">
        <f>SUMIF(DataQ!$B:$B,DataA!$A52,DataQ!L:L)</f>
        <v>1402439</v>
      </c>
      <c r="I52">
        <f>SUMIF(DataQ!$B:$B,DataA!$A52,DataQ!M:M)</f>
        <v>1585687</v>
      </c>
      <c r="J52">
        <f>AVERAGEIF(DataQ!$B:$B,DataA!$A52,DataQ!N:N)</f>
        <v>88.38078999999999</v>
      </c>
    </row>
    <row r="53" spans="1:10" x14ac:dyDescent="0.25">
      <c r="A53">
        <v>2019</v>
      </c>
      <c r="B53">
        <f>AVERAGEIF(DataQ!$B:$B,DataA!$A53,DataQ!F:F)</f>
        <v>117.94199999999999</v>
      </c>
      <c r="C53">
        <f>SUMIF(DataQ!$B:$B,DataA!$A53,DataQ!G:G)</f>
        <v>106936</v>
      </c>
      <c r="D53">
        <f>AVERAGEIF(DataQ!$B:$B,DataA!$A53,DataQ!H:H)</f>
        <v>537.58332500000006</v>
      </c>
      <c r="E53">
        <f>SUMIF(DataQ!$B:$B,DataA!$A53,DataQ!I:I)</f>
        <v>485008</v>
      </c>
      <c r="F53">
        <f>SUMIF(DataQ!$B:$B,DataA!$A53,DataQ!J:J)</f>
        <v>2233921</v>
      </c>
      <c r="G53">
        <f>SUMIF(DataQ!$B:$B,DataA!$A53,DataQ!K:K)</f>
        <v>892362</v>
      </c>
      <c r="H53">
        <f>SUMIF(DataQ!$B:$B,DataA!$A53,DataQ!L:L)</f>
        <v>1452962</v>
      </c>
      <c r="I53">
        <f>SUMIF(DataQ!$B:$B,DataA!$A53,DataQ!M:M)</f>
        <v>1618241</v>
      </c>
      <c r="J53">
        <f>AVERAGEIF(DataQ!$B:$B,DataA!$A53,DataQ!N:N)</f>
        <v>89.692955000000012</v>
      </c>
    </row>
    <row r="54" spans="1:10" x14ac:dyDescent="0.25">
      <c r="A54">
        <v>2020</v>
      </c>
      <c r="B54">
        <f>AVERAGEIF(DataQ!$B:$B,DataA!$A54,DataQ!F:F)</f>
        <v>132.93695</v>
      </c>
      <c r="C54">
        <f>SUMIF(DataQ!$B:$B,DataA!$A54,DataQ!G:G)</f>
        <v>111307</v>
      </c>
      <c r="D54">
        <f>AVERAGEIF(DataQ!$B:$B,DataA!$A54,DataQ!H:H)</f>
        <v>547.16665</v>
      </c>
      <c r="E54">
        <f>SUMIF(DataQ!$B:$B,DataA!$A54,DataQ!I:I)</f>
        <v>478728</v>
      </c>
      <c r="F54">
        <f>SUMIF(DataQ!$B:$B,DataA!$A54,DataQ!J:J)</f>
        <v>2103486</v>
      </c>
      <c r="G54">
        <f>SUMIF(DataQ!$B:$B,DataA!$A54,DataQ!K:K)</f>
        <v>892380</v>
      </c>
      <c r="H54">
        <f>SUMIF(DataQ!$B:$B,DataA!$A54,DataQ!L:L)</f>
        <v>1454408</v>
      </c>
      <c r="I54">
        <f>SUMIF(DataQ!$B:$B,DataA!$A54,DataQ!M:M)</f>
        <v>1612140</v>
      </c>
      <c r="J54">
        <f>AVERAGEIF(DataQ!$B:$B,DataA!$A54,DataQ!N:N)</f>
        <v>89.754919999999998</v>
      </c>
    </row>
    <row r="55" spans="1:10" x14ac:dyDescent="0.25">
      <c r="A55">
        <v>2021</v>
      </c>
      <c r="B55">
        <f>AVERAGEIF(DataQ!$B:$B,DataA!$A55,DataQ!F:F)</f>
        <v>128.69985</v>
      </c>
      <c r="C55">
        <f>SUMIF(DataQ!$B:$B,DataA!$A55,DataQ!G:G)</f>
        <v>121092</v>
      </c>
      <c r="D55">
        <f>AVERAGEIF(DataQ!$B:$B,DataA!$A55,DataQ!H:H)</f>
        <v>579.33335</v>
      </c>
      <c r="E55">
        <f>SUMIF(DataQ!$B:$B,DataA!$A55,DataQ!I:I)</f>
        <v>501715</v>
      </c>
      <c r="F55">
        <f>SUMIF(DataQ!$B:$B,DataA!$A55,DataQ!J:J)</f>
        <v>2285400</v>
      </c>
      <c r="G55">
        <f>SUMIF(DataQ!$B:$B,DataA!$A55,DataQ!K:K)</f>
        <v>948299</v>
      </c>
      <c r="H55">
        <f>SUMIF(DataQ!$B:$B,DataA!$A55,DataQ!L:L)</f>
        <v>1514668</v>
      </c>
      <c r="I55">
        <f>SUMIF(DataQ!$B:$B,DataA!$A55,DataQ!M:M)</f>
        <v>1637886</v>
      </c>
      <c r="J55">
        <f>AVERAGEIF(DataQ!$B:$B,DataA!$A55,DataQ!N:N)</f>
        <v>92.148457500000006</v>
      </c>
    </row>
    <row r="56" spans="1:10" x14ac:dyDescent="0.25">
      <c r="A56">
        <v>2022</v>
      </c>
      <c r="B56">
        <f>AVERAGEIF(DataQ!$B:$B,DataA!$A56,DataQ!F:F)</f>
        <v>132.047775</v>
      </c>
      <c r="C56">
        <f>SUMIF(DataQ!$B:$B,DataA!$A56,DataQ!G:G)</f>
        <v>137932</v>
      </c>
      <c r="D56">
        <f>AVERAGEIF(DataQ!$B:$B,DataA!$A56,DataQ!H:H)</f>
        <v>614.58332500000006</v>
      </c>
      <c r="E56">
        <f>SUMIF(DataQ!$B:$B,DataA!$A56,DataQ!I:I)</f>
        <v>545252</v>
      </c>
      <c r="F56">
        <f>SUMIF(DataQ!$B:$B,DataA!$A56,DataQ!J:J)</f>
        <v>2526428</v>
      </c>
      <c r="G56">
        <f>SUMIF(DataQ!$B:$B,DataA!$A56,DataQ!K:K)</f>
        <v>1017926</v>
      </c>
      <c r="H56">
        <f>SUMIF(DataQ!$B:$B,DataA!$A56,DataQ!L:L)</f>
        <v>1609218</v>
      </c>
      <c r="I56">
        <f>SUMIF(DataQ!$B:$B,DataA!$A56,DataQ!M:M)</f>
        <v>1609218</v>
      </c>
      <c r="J56">
        <f>AVERAGEIF(DataQ!$B:$B,DataA!$A56,DataQ!N:N)</f>
        <v>99.976819999999989</v>
      </c>
    </row>
    <row r="57" spans="1:10" x14ac:dyDescent="0.25">
      <c r="A57">
        <v>2023</v>
      </c>
      <c r="B57">
        <f>AVERAGEIF(DataQ!$B:$B,DataA!$A57,DataQ!F:F)</f>
        <v>141.82990000000001</v>
      </c>
      <c r="C57">
        <f>SUMIF(DataQ!$B:$B,DataA!$A57,DataQ!G:G)</f>
        <v>143092</v>
      </c>
      <c r="D57">
        <f>AVERAGEIF(DataQ!$B:$B,DataA!$A57,DataQ!H:H)</f>
        <v>657.5</v>
      </c>
      <c r="E57">
        <f>SUMIF(DataQ!$B:$B,DataA!$A57,DataQ!I:I)</f>
        <v>588734</v>
      </c>
      <c r="F57">
        <f>SUMIF(DataQ!$B:$B,DataA!$A57,DataQ!J:J)</f>
        <v>2717320</v>
      </c>
      <c r="G57">
        <f>SUMIF(DataQ!$B:$B,DataA!$A57,DataQ!K:K)</f>
        <v>1105376</v>
      </c>
      <c r="H57">
        <f>SUMIF(DataQ!$B:$B,DataA!$A57,DataQ!L:L)</f>
        <v>1755934</v>
      </c>
      <c r="I57">
        <f>SUMIF(DataQ!$B:$B,DataA!$A57,DataQ!M:M)</f>
        <v>1643543</v>
      </c>
      <c r="J57">
        <f>AVERAGEIF(DataQ!$B:$B,DataA!$A57,DataQ!N:N)</f>
        <v>106.868425</v>
      </c>
    </row>
    <row r="58" spans="1:10" x14ac:dyDescent="0.25">
      <c r="A58">
        <v>2024</v>
      </c>
      <c r="B58">
        <f>AVERAGEIF(DataQ!$B:$B,DataA!$A58,DataQ!F:F)</f>
        <v>148.71497500000001</v>
      </c>
      <c r="C58">
        <f>SUMIF(DataQ!$B:$B,DataA!$A58,DataQ!G:G)</f>
        <v>156778.57</v>
      </c>
      <c r="D58">
        <f>AVERAGEIF(DataQ!$B:$B,DataA!$A58,DataQ!H:H)</f>
        <v>692.01877500000001</v>
      </c>
      <c r="E58">
        <f>SUMIF(DataQ!$B:$B,DataA!$A58,DataQ!I:I)</f>
        <v>574337.4</v>
      </c>
      <c r="F58">
        <f>SUMIF(DataQ!$B:$B,DataA!$A58,DataQ!J:J)</f>
        <v>2834459.4</v>
      </c>
      <c r="G58">
        <f>SUMIF(DataQ!$B:$B,DataA!$A58,DataQ!K:K)</f>
        <v>1164267.5</v>
      </c>
      <c r="H58">
        <f>SUMIF(DataQ!$B:$B,DataA!$A58,DataQ!L:L)</f>
        <v>1871155.7</v>
      </c>
      <c r="I58">
        <f>SUMIF(DataQ!$B:$B,DataA!$A58,DataQ!M:M)</f>
        <v>1706675.6</v>
      </c>
      <c r="J58">
        <f>AVERAGEIF(DataQ!$B:$B,DataA!$A58,DataQ!N:N)</f>
        <v>109.59025</v>
      </c>
    </row>
    <row r="59" spans="1:10" x14ac:dyDescent="0.25">
      <c r="A59">
        <v>2025</v>
      </c>
      <c r="B59">
        <f>AVERAGEIF(DataQ!$B:$B,DataA!$A59,DataQ!F:F)</f>
        <v>156.07229999999998</v>
      </c>
      <c r="C59">
        <f>SUMIF(DataQ!$B:$B,DataA!$A59,DataQ!G:G)</f>
        <v>184644.81</v>
      </c>
      <c r="D59">
        <f>AVERAGEIF(DataQ!$B:$B,DataA!$A59,DataQ!H:H)</f>
        <v>723.08172500000001</v>
      </c>
      <c r="E59">
        <f>SUMIF(DataQ!$B:$B,DataA!$A59,DataQ!I:I)</f>
        <v>597173.29999999993</v>
      </c>
      <c r="F59">
        <f>SUMIF(DataQ!$B:$B,DataA!$A59,DataQ!J:J)</f>
        <v>2963239.9</v>
      </c>
      <c r="G59">
        <f>SUMIF(DataQ!$B:$B,DataA!$A59,DataQ!K:K)</f>
        <v>1218077.1000000001</v>
      </c>
      <c r="H59">
        <f>SUMIF(DataQ!$B:$B,DataA!$A59,DataQ!L:L)</f>
        <v>1944721.4</v>
      </c>
      <c r="I59">
        <f>SUMIF(DataQ!$B:$B,DataA!$A59,DataQ!M:M)</f>
        <v>1725913.6999999997</v>
      </c>
      <c r="J59">
        <f>AVERAGEIF(DataQ!$B:$B,DataA!$A59,DataQ!N:N)</f>
        <v>112.625125</v>
      </c>
    </row>
    <row r="60" spans="1:10" x14ac:dyDescent="0.25">
      <c r="A60">
        <v>2026</v>
      </c>
      <c r="B60">
        <f>AVERAGEIF(DataQ!$B:$B,DataA!$A60,DataQ!F:F)</f>
        <v>160.27312500000002</v>
      </c>
      <c r="C60">
        <f>SUMIF(DataQ!$B:$B,DataA!$A60,DataQ!G:G)</f>
        <v>199106.60000000003</v>
      </c>
      <c r="D60">
        <f>AVERAGEIF(DataQ!$B:$B,DataA!$A60,DataQ!H:H)</f>
        <v>744.86057500000004</v>
      </c>
      <c r="E60">
        <f>SUMIF(DataQ!$B:$B,DataA!$A60,DataQ!I:I)</f>
        <v>628528.9</v>
      </c>
      <c r="F60">
        <f>SUMIF(DataQ!$B:$B,DataA!$A60,DataQ!J:J)</f>
        <v>3080045.9</v>
      </c>
      <c r="G60">
        <f>SUMIF(DataQ!$B:$B,DataA!$A60,DataQ!K:K)</f>
        <v>1264909.1000000001</v>
      </c>
      <c r="H60">
        <f>SUMIF(DataQ!$B:$B,DataA!$A60,DataQ!L:L)</f>
        <v>2011535.1</v>
      </c>
      <c r="I60">
        <f>SUMIF(DataQ!$B:$B,DataA!$A60,DataQ!M:M)</f>
        <v>1743809.7</v>
      </c>
      <c r="J60">
        <f>AVERAGEIF(DataQ!$B:$B,DataA!$A60,DataQ!N:N)</f>
        <v>115.30085</v>
      </c>
    </row>
    <row r="61" spans="1:10" x14ac:dyDescent="0.25">
      <c r="A61">
        <v>2027</v>
      </c>
      <c r="B61">
        <f>AVERAGEIF(DataQ!$B:$B,DataA!$A61,DataQ!F:F)</f>
        <v>163.21997500000001</v>
      </c>
      <c r="C61">
        <f>SUMIF(DataQ!$B:$B,DataA!$A61,DataQ!G:G)</f>
        <v>206598.31</v>
      </c>
      <c r="D61">
        <f>AVERAGEIF(DataQ!$B:$B,DataA!$A61,DataQ!H:H)</f>
        <v>764.67720000000008</v>
      </c>
      <c r="E61">
        <f>SUMIF(DataQ!$B:$B,DataA!$A61,DataQ!I:I)</f>
        <v>666063.69999999995</v>
      </c>
      <c r="F61">
        <f>SUMIF(DataQ!$B:$B,DataA!$A61,DataQ!J:J)</f>
        <v>3199859.5</v>
      </c>
      <c r="G61">
        <f>SUMIF(DataQ!$B:$B,DataA!$A61,DataQ!K:K)</f>
        <v>1310006.9000000001</v>
      </c>
      <c r="H61">
        <f>SUMIF(DataQ!$B:$B,DataA!$A61,DataQ!L:L)</f>
        <v>2080396.8000000003</v>
      </c>
      <c r="I61">
        <f>SUMIF(DataQ!$B:$B,DataA!$A61,DataQ!M:M)</f>
        <v>1766655.1</v>
      </c>
      <c r="J61">
        <f>AVERAGEIF(DataQ!$B:$B,DataA!$A61,DataQ!N:N)</f>
        <v>117.7062</v>
      </c>
    </row>
    <row r="62" spans="1:10" x14ac:dyDescent="0.25">
      <c r="A62">
        <v>2028</v>
      </c>
      <c r="B62">
        <f>AVERAGEIF(DataQ!$B:$B,DataA!$A62,DataQ!F:F)</f>
        <v>166.31574999999998</v>
      </c>
      <c r="C62">
        <f>SUMIF(DataQ!$B:$B,DataA!$A62,DataQ!G:G)</f>
        <v>214498.98</v>
      </c>
      <c r="D62">
        <f>AVERAGEIF(DataQ!$B:$B,DataA!$A62,DataQ!H:H)</f>
        <v>785.22147500000005</v>
      </c>
      <c r="E62">
        <f>SUMIF(DataQ!$B:$B,DataA!$A62,DataQ!I:I)</f>
        <v>696250.70000000007</v>
      </c>
      <c r="F62">
        <f>SUMIF(DataQ!$B:$B,DataA!$A62,DataQ!J:J)</f>
        <v>3324017.0000000005</v>
      </c>
      <c r="G62">
        <f>SUMIF(DataQ!$B:$B,DataA!$A62,DataQ!K:K)</f>
        <v>1357196.3</v>
      </c>
      <c r="H62">
        <f>SUMIF(DataQ!$B:$B,DataA!$A62,DataQ!L:L)</f>
        <v>2162632.5</v>
      </c>
      <c r="I62">
        <f>SUMIF(DataQ!$B:$B,DataA!$A62,DataQ!M:M)</f>
        <v>1797641</v>
      </c>
      <c r="J62">
        <f>AVERAGEIF(DataQ!$B:$B,DataA!$A62,DataQ!N:N)</f>
        <v>120.25135</v>
      </c>
    </row>
    <row r="63" spans="1:10" x14ac:dyDescent="0.25">
      <c r="A63">
        <v>2029</v>
      </c>
      <c r="B63">
        <f>AVERAGEIF(DataQ!$B:$B,DataA!$A63,DataQ!F:F)</f>
        <v>169.89230000000001</v>
      </c>
      <c r="C63">
        <f>SUMIF(DataQ!$B:$B,DataA!$A63,DataQ!G:G)</f>
        <v>222984.15</v>
      </c>
      <c r="D63">
        <f>AVERAGEIF(DataQ!$B:$B,DataA!$A63,DataQ!H:H)</f>
        <v>807.13294999999994</v>
      </c>
      <c r="E63">
        <f>SUMIF(DataQ!$B:$B,DataA!$A63,DataQ!I:I)</f>
        <v>725944.7</v>
      </c>
      <c r="F63">
        <f>SUMIF(DataQ!$B:$B,DataA!$A63,DataQ!J:J)</f>
        <v>3447963.4</v>
      </c>
      <c r="G63">
        <f>SUMIF(DataQ!$B:$B,DataA!$A63,DataQ!K:K)</f>
        <v>1408666.4000000001</v>
      </c>
      <c r="H63">
        <f>SUMIF(DataQ!$B:$B,DataA!$A63,DataQ!L:L)</f>
        <v>2243513.2000000002</v>
      </c>
      <c r="I63">
        <f>SUMIF(DataQ!$B:$B,DataA!$A63,DataQ!M:M)</f>
        <v>1826854.7999999998</v>
      </c>
      <c r="J63">
        <f>AVERAGEIF(DataQ!$B:$B,DataA!$A63,DataQ!N:N)</f>
        <v>122.75664999999999</v>
      </c>
    </row>
    <row r="64" spans="1:10" x14ac:dyDescent="0.25">
      <c r="A64">
        <v>2030</v>
      </c>
      <c r="B64">
        <f>AVERAGEIF(DataQ!$B:$B,DataA!$A64,DataQ!F:F)</f>
        <v>173.47055</v>
      </c>
      <c r="C64">
        <f>SUMIF(DataQ!$B:$B,DataA!$A64,DataQ!G:G)</f>
        <v>231322.91999999998</v>
      </c>
      <c r="D64">
        <f>AVERAGEIF(DataQ!$B:$B,DataA!$A64,DataQ!H:H)</f>
        <v>829.68142499999999</v>
      </c>
      <c r="E64">
        <f>SUMIF(DataQ!$B:$B,DataA!$A64,DataQ!I:I)</f>
        <v>757655.90000000014</v>
      </c>
      <c r="F64">
        <f>SUMIF(DataQ!$B:$B,DataA!$A64,DataQ!J:J)</f>
        <v>3574670.6999999997</v>
      </c>
      <c r="G64">
        <f>SUMIF(DataQ!$B:$B,DataA!$A64,DataQ!K:K)</f>
        <v>1461345.4000000001</v>
      </c>
      <c r="H64">
        <f>SUMIF(DataQ!$B:$B,DataA!$A64,DataQ!L:L)</f>
        <v>2321590.5</v>
      </c>
      <c r="I64">
        <f>SUMIF(DataQ!$B:$B,DataA!$A64,DataQ!M:M)</f>
        <v>1853244.2000000002</v>
      </c>
      <c r="J64">
        <f>AVERAGEIF(DataQ!$B:$B,DataA!$A64,DataQ!N:N)</f>
        <v>125.22149999999999</v>
      </c>
    </row>
    <row r="65" spans="1:10" x14ac:dyDescent="0.25">
      <c r="A65">
        <v>2031</v>
      </c>
      <c r="B65">
        <f>AVERAGEIF(DataQ!$B:$B,DataA!$A65,DataQ!F:F)</f>
        <v>177.04790000000003</v>
      </c>
      <c r="C65">
        <f>SUMIF(DataQ!$B:$B,DataA!$A65,DataQ!G:G)</f>
        <v>239871.08000000002</v>
      </c>
      <c r="D65">
        <f>AVERAGEIF(DataQ!$B:$B,DataA!$A65,DataQ!H:H)</f>
        <v>852.81034999999997</v>
      </c>
      <c r="E65">
        <f>SUMIF(DataQ!$B:$B,DataA!$A65,DataQ!I:I)</f>
        <v>793662.39999999991</v>
      </c>
      <c r="F65">
        <f>SUMIF(DataQ!$B:$B,DataA!$A65,DataQ!J:J)</f>
        <v>3709666.6000000006</v>
      </c>
      <c r="G65">
        <f>SUMIF(DataQ!$B:$B,DataA!$A65,DataQ!K:K)</f>
        <v>1515346.7999999998</v>
      </c>
      <c r="H65">
        <f>SUMIF(DataQ!$B:$B,DataA!$A65,DataQ!L:L)</f>
        <v>2404714.9</v>
      </c>
      <c r="I65">
        <f>SUMIF(DataQ!$B:$B,DataA!$A65,DataQ!M:M)</f>
        <v>1881988.4</v>
      </c>
      <c r="J65">
        <f>AVERAGEIF(DataQ!$B:$B,DataA!$A65,DataQ!N:N)</f>
        <v>127.72545</v>
      </c>
    </row>
    <row r="66" spans="1:10" x14ac:dyDescent="0.25">
      <c r="A66">
        <v>2032</v>
      </c>
      <c r="B66">
        <f>AVERAGEIF(DataQ!$B:$B,DataA!$A66,DataQ!F:F)</f>
        <v>180.68132500000002</v>
      </c>
      <c r="C66">
        <f>SUMIF(DataQ!$B:$B,DataA!$A66,DataQ!G:G)</f>
        <v>248646.5</v>
      </c>
      <c r="D66">
        <f>AVERAGEIF(DataQ!$B:$B,DataA!$A66,DataQ!H:H)</f>
        <v>876.73514999999998</v>
      </c>
      <c r="E66">
        <f>SUMIF(DataQ!$B:$B,DataA!$A66,DataQ!I:I)</f>
        <v>824375.50000000012</v>
      </c>
      <c r="F66">
        <f>SUMIF(DataQ!$B:$B,DataA!$A66,DataQ!J:J)</f>
        <v>3849159.5999999996</v>
      </c>
      <c r="G66">
        <f>SUMIF(DataQ!$B:$B,DataA!$A66,DataQ!K:K)</f>
        <v>1570784.2000000002</v>
      </c>
      <c r="H66">
        <f>SUMIF(DataQ!$B:$B,DataA!$A66,DataQ!L:L)</f>
        <v>2490483.1</v>
      </c>
      <c r="I66">
        <f>SUMIF(DataQ!$B:$B,DataA!$A66,DataQ!M:M)</f>
        <v>1910928.6</v>
      </c>
      <c r="J66">
        <f>AVERAGEIF(DataQ!$B:$B,DataA!$A66,DataQ!N:N)</f>
        <v>130.27947499999999</v>
      </c>
    </row>
    <row r="67" spans="1:10" x14ac:dyDescent="0.25">
      <c r="A67">
        <v>2033</v>
      </c>
      <c r="B67">
        <f>AVERAGEIF(DataQ!$B:$B,DataA!$A67,DataQ!F:F)</f>
        <v>184.32357500000001</v>
      </c>
      <c r="C67">
        <f>SUMIF(DataQ!$B:$B,DataA!$A67,DataQ!G:G)</f>
        <v>257703.39</v>
      </c>
      <c r="D67">
        <f>AVERAGEIF(DataQ!$B:$B,DataA!$A67,DataQ!H:H)</f>
        <v>902.15212499999996</v>
      </c>
      <c r="E67">
        <f>SUMIF(DataQ!$B:$B,DataA!$A67,DataQ!I:I)</f>
        <v>855520.59999999986</v>
      </c>
      <c r="F67">
        <f>SUMIF(DataQ!$B:$B,DataA!$A67,DataQ!J:J)</f>
        <v>3994747.6</v>
      </c>
      <c r="G67">
        <f>SUMIF(DataQ!$B:$B,DataA!$A67,DataQ!K:K)</f>
        <v>1627999.7</v>
      </c>
      <c r="H67">
        <f>SUMIF(DataQ!$B:$B,DataA!$A67,DataQ!L:L)</f>
        <v>2578923</v>
      </c>
      <c r="I67">
        <f>SUMIF(DataQ!$B:$B,DataA!$A67,DataQ!M:M)</f>
        <v>1940018.4</v>
      </c>
      <c r="J67">
        <f>AVERAGEIF(DataQ!$B:$B,DataA!$A67,DataQ!N:N)</f>
        <v>132.88457500000001</v>
      </c>
    </row>
    <row r="68" spans="1:10" x14ac:dyDescent="0.25">
      <c r="A68">
        <v>2034</v>
      </c>
      <c r="B68">
        <f>AVERAGEIF(DataQ!$B:$B,DataA!$A68,DataQ!F:F)</f>
        <v>188.05042500000002</v>
      </c>
      <c r="C68">
        <f>SUMIF(DataQ!$B:$B,DataA!$A68,DataQ!G:G)</f>
        <v>267000.78999999998</v>
      </c>
      <c r="D68">
        <f>AVERAGEIF(DataQ!$B:$B,DataA!$A68,DataQ!H:H)</f>
        <v>929.35332500000004</v>
      </c>
      <c r="E68">
        <f>SUMIF(DataQ!$B:$B,DataA!$A68,DataQ!I:I)</f>
        <v>887669.4</v>
      </c>
      <c r="F68">
        <f>SUMIF(DataQ!$B:$B,DataA!$A68,DataQ!J:J)</f>
        <v>4144241</v>
      </c>
      <c r="G68">
        <f>SUMIF(DataQ!$B:$B,DataA!$A68,DataQ!K:K)</f>
        <v>1686734.5</v>
      </c>
      <c r="H68">
        <f>SUMIF(DataQ!$B:$B,DataA!$A68,DataQ!L:L)</f>
        <v>2669906.2000000002</v>
      </c>
      <c r="I68">
        <f>SUMIF(DataQ!$B:$B,DataA!$A68,DataQ!M:M)</f>
        <v>1969112</v>
      </c>
      <c r="J68">
        <f>AVERAGEIF(DataQ!$B:$B,DataA!$A68,DataQ!N:N)</f>
        <v>135.541775</v>
      </c>
    </row>
    <row r="69" spans="1:10" x14ac:dyDescent="0.25">
      <c r="A69">
        <v>2035</v>
      </c>
      <c r="B69">
        <f>AVERAGEIF(DataQ!$B:$B,DataA!$A69,DataQ!F:F)</f>
        <v>191.846025</v>
      </c>
      <c r="C69">
        <f>SUMIF(DataQ!$B:$B,DataA!$A69,DataQ!G:G)</f>
        <v>276477.77</v>
      </c>
      <c r="D69">
        <f>AVERAGEIF(DataQ!$B:$B,DataA!$A69,DataQ!H:H)</f>
        <v>957.96609999999998</v>
      </c>
      <c r="E69">
        <f>SUMIF(DataQ!$B:$B,DataA!$A69,DataQ!I:I)</f>
        <v>920478.1</v>
      </c>
      <c r="F69">
        <f>SUMIF(DataQ!$B:$B,DataA!$A69,DataQ!J:J)</f>
        <v>4297228</v>
      </c>
      <c r="G69">
        <f>SUMIF(DataQ!$B:$B,DataA!$A69,DataQ!K:K)</f>
        <v>1746603.7999999998</v>
      </c>
      <c r="H69">
        <f>SUMIF(DataQ!$B:$B,DataA!$A69,DataQ!L:L)</f>
        <v>2763048.7</v>
      </c>
      <c r="I69">
        <f>SUMIF(DataQ!$B:$B,DataA!$A69,DataQ!M:M)</f>
        <v>1997878.5</v>
      </c>
      <c r="J69">
        <f>AVERAGEIF(DataQ!$B:$B,DataA!$A69,DataQ!N:N)</f>
        <v>138.25205</v>
      </c>
    </row>
    <row r="70" spans="1:10" x14ac:dyDescent="0.25">
      <c r="A70">
        <v>2036</v>
      </c>
      <c r="B70">
        <f>AVERAGEIF(DataQ!$B:$B,DataA!$A70,DataQ!F:F)</f>
        <v>195.71752499999999</v>
      </c>
      <c r="C70">
        <f>SUMIF(DataQ!$B:$B,DataA!$A70,DataQ!G:G)</f>
        <v>286352.73</v>
      </c>
      <c r="D70">
        <f>AVERAGEIF(DataQ!$B:$B,DataA!$A70,DataQ!H:H)</f>
        <v>987.72194999999999</v>
      </c>
      <c r="E70">
        <f>SUMIF(DataQ!$B:$B,DataA!$A70,DataQ!I:I)</f>
        <v>954624.1</v>
      </c>
      <c r="F70">
        <f>SUMIF(DataQ!$B:$B,DataA!$A70,DataQ!J:J)</f>
        <v>4456997</v>
      </c>
      <c r="G70">
        <f>SUMIF(DataQ!$B:$B,DataA!$A70,DataQ!K:K)</f>
        <v>1808987.2000000002</v>
      </c>
      <c r="H70">
        <f>SUMIF(DataQ!$B:$B,DataA!$A70,DataQ!L:L)</f>
        <v>2859802.1999999997</v>
      </c>
      <c r="I70">
        <f>SUMIF(DataQ!$B:$B,DataA!$A70,DataQ!M:M)</f>
        <v>2027321.2</v>
      </c>
      <c r="J70">
        <f>AVERAGEIF(DataQ!$B:$B,DataA!$A70,DataQ!N:N)</f>
        <v>141.01660000000001</v>
      </c>
    </row>
    <row r="71" spans="1:10" x14ac:dyDescent="0.25">
      <c r="A71">
        <v>2037</v>
      </c>
      <c r="B71">
        <f>AVERAGEIF(DataQ!$B:$B,DataA!$A71,DataQ!F:F)</f>
        <v>199.68652499999999</v>
      </c>
      <c r="C71">
        <f>SUMIF(DataQ!$B:$B,DataA!$A71,DataQ!G:G)</f>
        <v>296644.15000000002</v>
      </c>
      <c r="D71">
        <f>AVERAGEIF(DataQ!$B:$B,DataA!$A71,DataQ!H:H)</f>
        <v>1018.6420000000001</v>
      </c>
      <c r="E71">
        <f>SUMIF(DataQ!$B:$B,DataA!$A71,DataQ!I:I)</f>
        <v>990242.6</v>
      </c>
      <c r="F71">
        <f>SUMIF(DataQ!$B:$B,DataA!$A71,DataQ!J:J)</f>
        <v>4623305</v>
      </c>
      <c r="G71">
        <f>SUMIF(DataQ!$B:$B,DataA!$A71,DataQ!K:K)</f>
        <v>1874001.7000000002</v>
      </c>
      <c r="H71">
        <f>SUMIF(DataQ!$B:$B,DataA!$A71,DataQ!L:L)</f>
        <v>2960437.1</v>
      </c>
      <c r="I71">
        <f>SUMIF(DataQ!$B:$B,DataA!$A71,DataQ!M:M)</f>
        <v>2057540.4</v>
      </c>
      <c r="J71">
        <f>AVERAGEIF(DataQ!$B:$B,DataA!$A71,DataQ!N:N)</f>
        <v>143.8364</v>
      </c>
    </row>
    <row r="72" spans="1:10" x14ac:dyDescent="0.25">
      <c r="A72">
        <v>2038</v>
      </c>
      <c r="B72">
        <f>AVERAGEIF(DataQ!$B:$B,DataA!$A72,DataQ!F:F)</f>
        <v>203.72087499999998</v>
      </c>
      <c r="C72">
        <f>SUMIF(DataQ!$B:$B,DataA!$A72,DataQ!G:G)</f>
        <v>307347.14</v>
      </c>
      <c r="D72">
        <f>AVERAGEIF(DataQ!$B:$B,DataA!$A72,DataQ!H:H)</f>
        <v>1050.69325</v>
      </c>
      <c r="E72">
        <f>SUMIF(DataQ!$B:$B,DataA!$A72,DataQ!I:I)</f>
        <v>1027344.9</v>
      </c>
      <c r="F72">
        <f>SUMIF(DataQ!$B:$B,DataA!$A72,DataQ!J:J)</f>
        <v>4796995</v>
      </c>
      <c r="G72">
        <f>SUMIF(DataQ!$B:$B,DataA!$A72,DataQ!K:K)</f>
        <v>1941616.0999999999</v>
      </c>
      <c r="H72">
        <f>SUMIF(DataQ!$B:$B,DataA!$A72,DataQ!L:L)</f>
        <v>3065030.4000000004</v>
      </c>
      <c r="I72">
        <f>SUMIF(DataQ!$B:$B,DataA!$A72,DataQ!M:M)</f>
        <v>2088492.2999999998</v>
      </c>
      <c r="J72">
        <f>AVERAGEIF(DataQ!$B:$B,DataA!$A72,DataQ!N:N)</f>
        <v>146.71260000000001</v>
      </c>
    </row>
    <row r="73" spans="1:10" x14ac:dyDescent="0.25">
      <c r="A73">
        <v>2039</v>
      </c>
      <c r="B73">
        <f>AVERAGEIF(DataQ!$B:$B,DataA!$A73,DataQ!F:F)</f>
        <v>207.85560000000001</v>
      </c>
      <c r="C73">
        <f>SUMIF(DataQ!$B:$B,DataA!$A73,DataQ!G:G)</f>
        <v>318508.88</v>
      </c>
      <c r="D73">
        <f>AVERAGEIF(DataQ!$B:$B,DataA!$A73,DataQ!H:H)</f>
        <v>1084.0220000000002</v>
      </c>
      <c r="E73">
        <f>SUMIF(DataQ!$B:$B,DataA!$A73,DataQ!I:I)</f>
        <v>1066106.2000000002</v>
      </c>
      <c r="F73">
        <f>SUMIF(DataQ!$B:$B,DataA!$A73,DataQ!J:J)</f>
        <v>4978018</v>
      </c>
      <c r="G73">
        <f>SUMIF(DataQ!$B:$B,DataA!$A73,DataQ!K:K)</f>
        <v>2012128.6</v>
      </c>
      <c r="H73">
        <f>SUMIF(DataQ!$B:$B,DataA!$A73,DataQ!L:L)</f>
        <v>3174042.4000000004</v>
      </c>
      <c r="I73">
        <f>SUMIF(DataQ!$B:$B,DataA!$A73,DataQ!M:M)</f>
        <v>2120393.5</v>
      </c>
      <c r="J73">
        <f>AVERAGEIF(DataQ!$B:$B,DataA!$A73,DataQ!N:N)</f>
        <v>149.6463</v>
      </c>
    </row>
    <row r="74" spans="1:10" x14ac:dyDescent="0.25">
      <c r="A74">
        <v>2040</v>
      </c>
      <c r="B74">
        <f>AVERAGEIF(DataQ!$B:$B,DataA!$A74,DataQ!F:F)</f>
        <v>212.080625</v>
      </c>
      <c r="C74">
        <f>SUMIF(DataQ!$B:$B,DataA!$A74,DataQ!G:G)</f>
        <v>330091.58999999997</v>
      </c>
      <c r="D74">
        <f>AVERAGEIF(DataQ!$B:$B,DataA!$A74,DataQ!H:H)</f>
        <v>1118.4825000000001</v>
      </c>
      <c r="E74">
        <f>SUMIF(DataQ!$B:$B,DataA!$A74,DataQ!I:I)</f>
        <v>1106360</v>
      </c>
      <c r="F74">
        <f>SUMIF(DataQ!$B:$B,DataA!$A74,DataQ!J:J)</f>
        <v>5166001</v>
      </c>
      <c r="G74">
        <f>SUMIF(DataQ!$B:$B,DataA!$A74,DataQ!K:K)</f>
        <v>2085300.4</v>
      </c>
      <c r="H74">
        <f>SUMIF(DataQ!$B:$B,DataA!$A74,DataQ!L:L)</f>
        <v>3287026.9000000004</v>
      </c>
      <c r="I74">
        <f>SUMIF(DataQ!$B:$B,DataA!$A74,DataQ!M:M)</f>
        <v>2152844.4</v>
      </c>
      <c r="J74">
        <f>AVERAGEIF(DataQ!$B:$B,DataA!$A74,DataQ!N:N)</f>
        <v>152.63862499999999</v>
      </c>
    </row>
    <row r="75" spans="1:10" x14ac:dyDescent="0.25">
      <c r="A75">
        <v>2041</v>
      </c>
      <c r="B75">
        <f>AVERAGEIF(DataQ!$B:$B,DataA!$A75,DataQ!F:F)</f>
        <v>216.37739999999999</v>
      </c>
      <c r="C75">
        <f>SUMIF(DataQ!$B:$B,DataA!$A75,DataQ!G:G)</f>
        <v>341970.82</v>
      </c>
      <c r="D75">
        <f>AVERAGEIF(DataQ!$B:$B,DataA!$A75,DataQ!H:H)</f>
        <v>1154.1567500000001</v>
      </c>
      <c r="E75">
        <f>SUMIF(DataQ!$B:$B,DataA!$A75,DataQ!I:I)</f>
        <v>1147936.3999999999</v>
      </c>
      <c r="F75">
        <f>SUMIF(DataQ!$B:$B,DataA!$A75,DataQ!J:J)</f>
        <v>5359489</v>
      </c>
      <c r="G75">
        <f>SUMIF(DataQ!$B:$B,DataA!$A75,DataQ!K:K)</f>
        <v>2160345.6</v>
      </c>
      <c r="H75">
        <f>SUMIF(DataQ!$B:$B,DataA!$A75,DataQ!L:L)</f>
        <v>3403459.2</v>
      </c>
      <c r="I75">
        <f>SUMIF(DataQ!$B:$B,DataA!$A75,DataQ!M:M)</f>
        <v>2185423.8000000003</v>
      </c>
      <c r="J75">
        <f>AVERAGEIF(DataQ!$B:$B,DataA!$A75,DataQ!N:N)</f>
        <v>155.69082499999999</v>
      </c>
    </row>
    <row r="76" spans="1:10" x14ac:dyDescent="0.25">
      <c r="A76">
        <v>2042</v>
      </c>
      <c r="B76">
        <f>AVERAGEIF(DataQ!$B:$B,DataA!$A76,DataQ!F:F)</f>
        <v>220.77539999999999</v>
      </c>
      <c r="C76">
        <f>SUMIF(DataQ!$B:$B,DataA!$A76,DataQ!G:G)</f>
        <v>354230.70999999996</v>
      </c>
      <c r="D76">
        <f>AVERAGEIF(DataQ!$B:$B,DataA!$A76,DataQ!H:H)</f>
        <v>1191.1447499999999</v>
      </c>
      <c r="E76">
        <f>SUMIF(DataQ!$B:$B,DataA!$A76,DataQ!I:I)</f>
        <v>1190707.8</v>
      </c>
      <c r="F76">
        <f>SUMIF(DataQ!$B:$B,DataA!$A76,DataQ!J:J)</f>
        <v>5559154</v>
      </c>
      <c r="G76">
        <f>SUMIF(DataQ!$B:$B,DataA!$A76,DataQ!K:K)</f>
        <v>2237795.4</v>
      </c>
      <c r="H76">
        <f>SUMIF(DataQ!$B:$B,DataA!$A76,DataQ!L:L)</f>
        <v>3522929.1999999997</v>
      </c>
      <c r="I76">
        <f>SUMIF(DataQ!$B:$B,DataA!$A76,DataQ!M:M)</f>
        <v>2217809.4</v>
      </c>
      <c r="J76">
        <f>AVERAGEIF(DataQ!$B:$B,DataA!$A76,DataQ!N:N)</f>
        <v>158.80407500000001</v>
      </c>
    </row>
    <row r="77" spans="1:10" x14ac:dyDescent="0.25">
      <c r="A77">
        <v>2043</v>
      </c>
      <c r="B77">
        <f>AVERAGEIF(DataQ!$B:$B,DataA!$A77,DataQ!F:F)</f>
        <v>225.26772499999998</v>
      </c>
      <c r="C77">
        <f>SUMIF(DataQ!$B:$B,DataA!$A77,DataQ!G:G)</f>
        <v>366927.93999999994</v>
      </c>
      <c r="D77">
        <f>AVERAGEIF(DataQ!$B:$B,DataA!$A77,DataQ!H:H)</f>
        <v>1229.3274999999999</v>
      </c>
      <c r="E77">
        <f>SUMIF(DataQ!$B:$B,DataA!$A77,DataQ!I:I)</f>
        <v>1235028.8</v>
      </c>
      <c r="F77">
        <f>SUMIF(DataQ!$B:$B,DataA!$A77,DataQ!J:J)</f>
        <v>5765986</v>
      </c>
      <c r="G77">
        <f>SUMIF(DataQ!$B:$B,DataA!$A77,DataQ!K:K)</f>
        <v>2318008.2000000002</v>
      </c>
      <c r="H77">
        <f>SUMIF(DataQ!$B:$B,DataA!$A77,DataQ!L:L)</f>
        <v>3646517.9000000004</v>
      </c>
      <c r="I77">
        <f>SUMIF(DataQ!$B:$B,DataA!$A77,DataQ!M:M)</f>
        <v>2250628.3000000003</v>
      </c>
      <c r="J77">
        <f>AVERAGEIF(DataQ!$B:$B,DataA!$A77,DataQ!N:N)</f>
        <v>161.97954999999999</v>
      </c>
    </row>
    <row r="78" spans="1:10" x14ac:dyDescent="0.25">
      <c r="A78">
        <v>2044</v>
      </c>
      <c r="B78">
        <f>AVERAGEIF(DataQ!$B:$B,DataA!$A78,DataQ!F:F)</f>
        <v>229.85305</v>
      </c>
      <c r="C78">
        <f>SUMIF(DataQ!$B:$B,DataA!$A78,DataQ!G:G)</f>
        <v>380069.78</v>
      </c>
      <c r="D78">
        <f>AVERAGEIF(DataQ!$B:$B,DataA!$A78,DataQ!H:H)</f>
        <v>1268.7162499999999</v>
      </c>
      <c r="E78">
        <f>SUMIF(DataQ!$B:$B,DataA!$A78,DataQ!I:I)</f>
        <v>1280931.7</v>
      </c>
      <c r="F78">
        <f>SUMIF(DataQ!$B:$B,DataA!$A78,DataQ!J:J)</f>
        <v>5980242</v>
      </c>
      <c r="G78">
        <f>SUMIF(DataQ!$B:$B,DataA!$A78,DataQ!K:K)</f>
        <v>2401029.5999999996</v>
      </c>
      <c r="H78">
        <f>SUMIF(DataQ!$B:$B,DataA!$A78,DataQ!L:L)</f>
        <v>3774337.5999999996</v>
      </c>
      <c r="I78">
        <f>SUMIF(DataQ!$B:$B,DataA!$A78,DataQ!M:M)</f>
        <v>2283869.1</v>
      </c>
      <c r="J78">
        <f>AVERAGEIF(DataQ!$B:$B,DataA!$A78,DataQ!N:N)</f>
        <v>165.218525</v>
      </c>
    </row>
    <row r="79" spans="1:10" x14ac:dyDescent="0.25">
      <c r="A79">
        <v>2045</v>
      </c>
      <c r="B79">
        <f>AVERAGEIF(DataQ!$B:$B,DataA!$A79,DataQ!F:F)</f>
        <v>234.53302500000001</v>
      </c>
      <c r="C79">
        <f>SUMIF(DataQ!$B:$B,DataA!$A79,DataQ!G:G)</f>
        <v>393668.74</v>
      </c>
      <c r="D79">
        <f>AVERAGEIF(DataQ!$B:$B,DataA!$A79,DataQ!H:H)</f>
        <v>1309.33925</v>
      </c>
      <c r="E79">
        <f>SUMIF(DataQ!$B:$B,DataA!$A79,DataQ!I:I)</f>
        <v>1328493.5</v>
      </c>
      <c r="F79">
        <f>SUMIF(DataQ!$B:$B,DataA!$A79,DataQ!J:J)</f>
        <v>6202238</v>
      </c>
      <c r="G79">
        <f>SUMIF(DataQ!$B:$B,DataA!$A79,DataQ!K:K)</f>
        <v>2486938.9000000004</v>
      </c>
      <c r="H79">
        <f>SUMIF(DataQ!$B:$B,DataA!$A79,DataQ!L:L)</f>
        <v>3906499.9000000004</v>
      </c>
      <c r="I79">
        <f>SUMIF(DataQ!$B:$B,DataA!$A79,DataQ!M:M)</f>
        <v>2317518.4</v>
      </c>
      <c r="J79">
        <f>AVERAGEIF(DataQ!$B:$B,DataA!$A79,DataQ!N:N)</f>
        <v>168.52225000000001</v>
      </c>
    </row>
    <row r="80" spans="1:10" x14ac:dyDescent="0.25">
      <c r="A80">
        <v>2046</v>
      </c>
      <c r="B80">
        <f>AVERAGEIF(DataQ!$B:$B,DataA!$A80,DataQ!F:F)</f>
        <v>239.30894999999998</v>
      </c>
      <c r="C80">
        <f>SUMIF(DataQ!$B:$B,DataA!$A80,DataQ!G:G)</f>
        <v>407739.10000000003</v>
      </c>
      <c r="D80">
        <f>AVERAGEIF(DataQ!$B:$B,DataA!$A80,DataQ!H:H)</f>
        <v>1351.2302500000001</v>
      </c>
      <c r="E80">
        <f>SUMIF(DataQ!$B:$B,DataA!$A80,DataQ!I:I)</f>
        <v>1377771.3</v>
      </c>
      <c r="F80">
        <f>SUMIF(DataQ!$B:$B,DataA!$A80,DataQ!J:J)</f>
        <v>6432236</v>
      </c>
      <c r="G80">
        <f>SUMIF(DataQ!$B:$B,DataA!$A80,DataQ!K:K)</f>
        <v>2575825.5</v>
      </c>
      <c r="H80">
        <f>SUMIF(DataQ!$B:$B,DataA!$A80,DataQ!L:L)</f>
        <v>4043144.4</v>
      </c>
      <c r="I80">
        <f>SUMIF(DataQ!$B:$B,DataA!$A80,DataQ!M:M)</f>
        <v>2351577.5</v>
      </c>
      <c r="J80">
        <f>AVERAGEIF(DataQ!$B:$B,DataA!$A80,DataQ!N:N)</f>
        <v>171.89209999999997</v>
      </c>
    </row>
    <row r="81" spans="1:10" x14ac:dyDescent="0.25">
      <c r="A81">
        <v>2047</v>
      </c>
      <c r="B81">
        <f>AVERAGEIF(DataQ!$B:$B,DataA!$A81,DataQ!F:F)</f>
        <v>244.18277500000002</v>
      </c>
      <c r="C81">
        <f>SUMIF(DataQ!$B:$B,DataA!$A81,DataQ!G:G)</f>
        <v>422296.5</v>
      </c>
      <c r="D81">
        <f>AVERAGEIF(DataQ!$B:$B,DataA!$A81,DataQ!H:H)</f>
        <v>1394.4277499999998</v>
      </c>
      <c r="E81">
        <f>SUMIF(DataQ!$B:$B,DataA!$A81,DataQ!I:I)</f>
        <v>1428823.3</v>
      </c>
      <c r="F81">
        <f>SUMIF(DataQ!$B:$B,DataA!$A81,DataQ!J:J)</f>
        <v>6670517</v>
      </c>
      <c r="G81">
        <f>SUMIF(DataQ!$B:$B,DataA!$A81,DataQ!K:K)</f>
        <v>2667789.6</v>
      </c>
      <c r="H81">
        <f>SUMIF(DataQ!$B:$B,DataA!$A81,DataQ!L:L)</f>
        <v>4184413</v>
      </c>
      <c r="I81">
        <f>SUMIF(DataQ!$B:$B,DataA!$A81,DataQ!M:M)</f>
        <v>2386048.7000000002</v>
      </c>
      <c r="J81">
        <f>AVERAGEIF(DataQ!$B:$B,DataA!$A81,DataQ!N:N)</f>
        <v>175.329275</v>
      </c>
    </row>
    <row r="82" spans="1:10" x14ac:dyDescent="0.25">
      <c r="A82">
        <v>2048</v>
      </c>
      <c r="B82">
        <f>AVERAGEIF(DataQ!$B:$B,DataA!$A82,DataQ!F:F)</f>
        <v>249.15627499999999</v>
      </c>
      <c r="C82">
        <f>SUMIF(DataQ!$B:$B,DataA!$A82,DataQ!G:G)</f>
        <v>437357.5</v>
      </c>
      <c r="D82">
        <f>AVERAGEIF(DataQ!$B:$B,DataA!$A82,DataQ!H:H)</f>
        <v>1438.972</v>
      </c>
      <c r="E82">
        <f>SUMIF(DataQ!$B:$B,DataA!$A82,DataQ!I:I)</f>
        <v>1481714.2</v>
      </c>
      <c r="F82">
        <f>SUMIF(DataQ!$B:$B,DataA!$A82,DataQ!J:J)</f>
        <v>6917378</v>
      </c>
      <c r="G82">
        <f>SUMIF(DataQ!$B:$B,DataA!$A82,DataQ!K:K)</f>
        <v>2762935.8</v>
      </c>
      <c r="H82">
        <f>SUMIF(DataQ!$B:$B,DataA!$A82,DataQ!L:L)</f>
        <v>4330463</v>
      </c>
      <c r="I82">
        <f>SUMIF(DataQ!$B:$B,DataA!$A82,DataQ!M:M)</f>
        <v>2420937.7999999998</v>
      </c>
      <c r="J82">
        <f>AVERAGEIF(DataQ!$B:$B,DataA!$A82,DataQ!N:N)</f>
        <v>178.83520000000001</v>
      </c>
    </row>
    <row r="83" spans="1:10" x14ac:dyDescent="0.25">
      <c r="A83">
        <v>2049</v>
      </c>
      <c r="B83">
        <f>AVERAGEIF(DataQ!$B:$B,DataA!$A83,DataQ!F:F)</f>
        <v>254.231775</v>
      </c>
      <c r="C83">
        <f>SUMIF(DataQ!$B:$B,DataA!$A83,DataQ!G:G)</f>
        <v>452939.1</v>
      </c>
      <c r="D83">
        <f>AVERAGEIF(DataQ!$B:$B,DataA!$A83,DataQ!H:H)</f>
        <v>1484.9034999999999</v>
      </c>
      <c r="E83">
        <f>SUMIF(DataQ!$B:$B,DataA!$A83,DataQ!I:I)</f>
        <v>1536506.5</v>
      </c>
      <c r="F83">
        <f>SUMIF(DataQ!$B:$B,DataA!$A83,DataQ!J:J)</f>
        <v>7173107</v>
      </c>
      <c r="G83">
        <f>SUMIF(DataQ!$B:$B,DataA!$A83,DataQ!K:K)</f>
        <v>2861370</v>
      </c>
      <c r="H83">
        <f>SUMIF(DataQ!$B:$B,DataA!$A83,DataQ!L:L)</f>
        <v>4481450</v>
      </c>
      <c r="I83">
        <f>SUMIF(DataQ!$B:$B,DataA!$A83,DataQ!M:M)</f>
        <v>2456247.9</v>
      </c>
      <c r="J83">
        <f>AVERAGEIF(DataQ!$B:$B,DataA!$A83,DataQ!N:N)</f>
        <v>182.411225</v>
      </c>
    </row>
    <row r="84" spans="1:10" x14ac:dyDescent="0.25">
      <c r="A84">
        <v>2050</v>
      </c>
      <c r="B84">
        <f>AVERAGEIF(DataQ!$B:$B,DataA!$A84,DataQ!F:F)</f>
        <v>259.41179999999997</v>
      </c>
      <c r="C84">
        <f>SUMIF(DataQ!$B:$B,DataA!$A84,DataQ!G:G)</f>
        <v>469056.80000000005</v>
      </c>
      <c r="D84">
        <f>AVERAGEIF(DataQ!$B:$B,DataA!$A84,DataQ!H:H)</f>
        <v>1532.25875</v>
      </c>
      <c r="E84">
        <f>SUMIF(DataQ!$B:$B,DataA!$A84,DataQ!I:I)</f>
        <v>1593259.8</v>
      </c>
      <c r="F84">
        <f>SUMIF(DataQ!$B:$B,DataA!$A84,DataQ!J:J)</f>
        <v>7437965</v>
      </c>
      <c r="G84">
        <f>SUMIF(DataQ!$B:$B,DataA!$A84,DataQ!K:K)</f>
        <v>2963190.4</v>
      </c>
      <c r="H84">
        <f>SUMIF(DataQ!$B:$B,DataA!$A84,DataQ!L:L)</f>
        <v>4637749</v>
      </c>
      <c r="I84">
        <f>SUMIF(DataQ!$B:$B,DataA!$A84,DataQ!M:M)</f>
        <v>2492099.3000000003</v>
      </c>
      <c r="J84">
        <f>AVERAGEIF(DataQ!$B:$B,DataA!$A84,DataQ!N:N)</f>
        <v>186.05872500000001</v>
      </c>
    </row>
    <row r="85" spans="1:10" x14ac:dyDescent="0.25">
      <c r="A85">
        <v>2051</v>
      </c>
      <c r="B85">
        <f>AVERAGEIF(DataQ!$B:$B,DataA!$A85,DataQ!F:F)</f>
        <v>264.64890000000003</v>
      </c>
      <c r="C85">
        <f>SUMIF(DataQ!$B:$B,DataA!$A85,DataQ!G:G)</f>
        <v>485326.1</v>
      </c>
      <c r="D85">
        <f>AVERAGEIF(DataQ!$B:$B,DataA!$A85,DataQ!H:H)</f>
        <v>1581.32025</v>
      </c>
      <c r="E85">
        <f>SUMIF(DataQ!$B:$B,DataA!$A85,DataQ!I:I)</f>
        <v>1651402.8</v>
      </c>
      <c r="F85">
        <f>SUMIF(DataQ!$B:$B,DataA!$A85,DataQ!J:J)</f>
        <v>7707265</v>
      </c>
      <c r="G85">
        <f>SUMIF(DataQ!$B:$B,DataA!$A85,DataQ!K:K)</f>
        <v>3065969.8</v>
      </c>
      <c r="H85">
        <f>SUMIF(DataQ!$B:$B,DataA!$A85,DataQ!L:L)</f>
        <v>4797863</v>
      </c>
      <c r="I85">
        <f>SUMIF(DataQ!$B:$B,DataA!$A85,DataQ!M:M)</f>
        <v>2527613.6999999997</v>
      </c>
      <c r="J85">
        <f>AVERAGEIF(DataQ!$B:$B,DataA!$A85,DataQ!N:N)</f>
        <v>189.77922500000003</v>
      </c>
    </row>
    <row r="86" spans="1:10" x14ac:dyDescent="0.25">
      <c r="A86">
        <v>2052</v>
      </c>
      <c r="B86">
        <f>AVERAGEIF(DataQ!$B:$B,DataA!$A86,DataQ!F:F)</f>
        <v>270.016525</v>
      </c>
      <c r="C86">
        <f>SUMIF(DataQ!$B:$B,DataA!$A86,DataQ!G:G)</f>
        <v>501901.69999999995</v>
      </c>
      <c r="D86">
        <f>AVERAGEIF(DataQ!$B:$B,DataA!$A86,DataQ!H:H)</f>
        <v>1632.4672500000001</v>
      </c>
      <c r="E86">
        <f>SUMIF(DataQ!$B:$B,DataA!$A86,DataQ!I:I)</f>
        <v>1710280.9</v>
      </c>
      <c r="F86">
        <f>SUMIF(DataQ!$B:$B,DataA!$A86,DataQ!J:J)</f>
        <v>7981446</v>
      </c>
      <c r="G86">
        <f>SUMIF(DataQ!$B:$B,DataA!$A86,DataQ!K:K)</f>
        <v>3170682.8</v>
      </c>
      <c r="H86">
        <f>SUMIF(DataQ!$B:$B,DataA!$A86,DataQ!L:L)</f>
        <v>4959483</v>
      </c>
      <c r="I86">
        <f>SUMIF(DataQ!$B:$B,DataA!$A86,DataQ!M:M)</f>
        <v>2561553.2999999998</v>
      </c>
      <c r="J86">
        <f>AVERAGEIF(DataQ!$B:$B,DataA!$A86,DataQ!N:N)</f>
        <v>193.57412499999998</v>
      </c>
    </row>
    <row r="87" spans="1:10" x14ac:dyDescent="0.25">
      <c r="A87">
        <v>2053</v>
      </c>
      <c r="B87">
        <f>AVERAGEIF(DataQ!$B:$B,DataA!$A87,DataQ!F:F)</f>
        <v>275.50215000000003</v>
      </c>
      <c r="C87">
        <f>SUMIF(DataQ!$B:$B,DataA!$A87,DataQ!G:G)</f>
        <v>518900.3</v>
      </c>
      <c r="D87">
        <f>AVERAGEIF(DataQ!$B:$B,DataA!$A87,DataQ!H:H)</f>
        <v>1685.3822500000001</v>
      </c>
      <c r="E87">
        <f>SUMIF(DataQ!$B:$B,DataA!$A87,DataQ!I:I)</f>
        <v>1770676.8</v>
      </c>
      <c r="F87">
        <f>SUMIF(DataQ!$B:$B,DataA!$A87,DataQ!J:J)</f>
        <v>8262822</v>
      </c>
      <c r="G87">
        <f>SUMIF(DataQ!$B:$B,DataA!$A87,DataQ!K:K)</f>
        <v>3278068.5</v>
      </c>
      <c r="H87">
        <f>SUMIF(DataQ!$B:$B,DataA!$A87,DataQ!L:L)</f>
        <v>5124865</v>
      </c>
      <c r="I87">
        <f>SUMIF(DataQ!$B:$B,DataA!$A87,DataQ!M:M)</f>
        <v>2595096.8000000003</v>
      </c>
      <c r="J87">
        <f>AVERAGEIF(DataQ!$B:$B,DataA!$A87,DataQ!N:N)</f>
        <v>197.44485</v>
      </c>
    </row>
    <row r="88" spans="1:10" x14ac:dyDescent="0.25">
      <c r="A88">
        <v>2054</v>
      </c>
      <c r="B88">
        <f>AVERAGEIF(DataQ!$B:$B,DataA!$A88,DataQ!F:F)</f>
        <v>281.10702500000002</v>
      </c>
      <c r="C88">
        <f>SUMIF(DataQ!$B:$B,DataA!$A88,DataQ!G:G)</f>
        <v>536418.19999999995</v>
      </c>
      <c r="D88">
        <f>AVERAGEIF(DataQ!$B:$B,DataA!$A88,DataQ!H:H)</f>
        <v>1739.9380000000001</v>
      </c>
      <c r="E88">
        <f>SUMIF(DataQ!$B:$B,DataA!$A88,DataQ!I:I)</f>
        <v>1832928.7</v>
      </c>
      <c r="F88">
        <f>SUMIF(DataQ!$B:$B,DataA!$A88,DataQ!J:J)</f>
        <v>8552985</v>
      </c>
      <c r="G88">
        <f>SUMIF(DataQ!$B:$B,DataA!$A88,DataQ!K:K)</f>
        <v>3388735.9</v>
      </c>
      <c r="H88">
        <f>SUMIF(DataQ!$B:$B,DataA!$A88,DataQ!L:L)</f>
        <v>5294964</v>
      </c>
      <c r="I88">
        <f>SUMIF(DataQ!$B:$B,DataA!$A88,DataQ!M:M)</f>
        <v>2628681.7999999998</v>
      </c>
      <c r="J88">
        <f>AVERAGEIF(DataQ!$B:$B,DataA!$A88,DataQ!N:N)</f>
        <v>201.39297500000001</v>
      </c>
    </row>
    <row r="89" spans="1:10" x14ac:dyDescent="0.25">
      <c r="A89">
        <v>2055</v>
      </c>
      <c r="B89">
        <f>AVERAGEIF(DataQ!$B:$B,DataA!$A89,DataQ!F:F)</f>
        <v>286.82050000000004</v>
      </c>
      <c r="C89">
        <f>SUMIF(DataQ!$B:$B,DataA!$A89,DataQ!G:G)</f>
        <v>554400.10000000009</v>
      </c>
      <c r="D89">
        <f>AVERAGEIF(DataQ!$B:$B,DataA!$A89,DataQ!H:H)</f>
        <v>1796.1782499999999</v>
      </c>
      <c r="E89">
        <f>SUMIF(DataQ!$B:$B,DataA!$A89,DataQ!I:I)</f>
        <v>1896994</v>
      </c>
      <c r="F89">
        <f>SUMIF(DataQ!$B:$B,DataA!$A89,DataQ!J:J)</f>
        <v>8851459</v>
      </c>
      <c r="G89">
        <f>SUMIF(DataQ!$B:$B,DataA!$A89,DataQ!K:K)</f>
        <v>3502333.2</v>
      </c>
      <c r="H89">
        <f>SUMIF(DataQ!$B:$B,DataA!$A89,DataQ!L:L)</f>
        <v>5469627</v>
      </c>
      <c r="I89">
        <f>SUMIF(DataQ!$B:$B,DataA!$A89,DataQ!M:M)</f>
        <v>2662175.2000000002</v>
      </c>
      <c r="J89">
        <f>AVERAGEIF(DataQ!$B:$B,DataA!$A89,DataQ!N:N)</f>
        <v>205.42012500000001</v>
      </c>
    </row>
    <row r="90" spans="1:10" x14ac:dyDescent="0.25">
      <c r="A90">
        <v>2056</v>
      </c>
      <c r="B90">
        <f>AVERAGEIF(DataQ!$B:$B,DataA!$A90,DataQ!F:F)</f>
        <v>292.65272499999998</v>
      </c>
      <c r="C90">
        <f>SUMIF(DataQ!$B:$B,DataA!$A90,DataQ!G:G)</f>
        <v>572884.80000000005</v>
      </c>
      <c r="D90">
        <f>AVERAGEIF(DataQ!$B:$B,DataA!$A90,DataQ!H:H)</f>
        <v>1854.1594999999998</v>
      </c>
      <c r="E90">
        <f>SUMIF(DataQ!$B:$B,DataA!$A90,DataQ!I:I)</f>
        <v>1962905.4000000001</v>
      </c>
      <c r="F90">
        <f>SUMIF(DataQ!$B:$B,DataA!$A90,DataQ!J:J)</f>
        <v>9158664</v>
      </c>
      <c r="G90">
        <f>SUMIF(DataQ!$B:$B,DataA!$A90,DataQ!K:K)</f>
        <v>3619108</v>
      </c>
      <c r="H90">
        <f>SUMIF(DataQ!$B:$B,DataA!$A90,DataQ!L:L)</f>
        <v>5648922</v>
      </c>
      <c r="I90">
        <f>SUMIF(DataQ!$B:$B,DataA!$A90,DataQ!M:M)</f>
        <v>2695555.9000000004</v>
      </c>
      <c r="J90">
        <f>AVERAGEIF(DataQ!$B:$B,DataA!$A90,DataQ!N:N)</f>
        <v>209.52770000000001</v>
      </c>
    </row>
    <row r="91" spans="1:10" x14ac:dyDescent="0.25">
      <c r="A91">
        <v>2057</v>
      </c>
      <c r="B91">
        <f>AVERAGEIF(DataQ!$B:$B,DataA!$A91,DataQ!F:F)</f>
        <v>298.61005</v>
      </c>
      <c r="C91">
        <f>SUMIF(DataQ!$B:$B,DataA!$A91,DataQ!G:G)</f>
        <v>591955.69999999995</v>
      </c>
      <c r="D91">
        <f>AVERAGEIF(DataQ!$B:$B,DataA!$A91,DataQ!H:H)</f>
        <v>1913.8507500000001</v>
      </c>
      <c r="E91">
        <f>SUMIF(DataQ!$B:$B,DataA!$A91,DataQ!I:I)</f>
        <v>2030896.7000000002</v>
      </c>
      <c r="F91">
        <f>SUMIF(DataQ!$B:$B,DataA!$A91,DataQ!J:J)</f>
        <v>9475847</v>
      </c>
      <c r="G91">
        <f>SUMIF(DataQ!$B:$B,DataA!$A91,DataQ!K:K)</f>
        <v>3739584.6</v>
      </c>
      <c r="H91">
        <f>SUMIF(DataQ!$B:$B,DataA!$A91,DataQ!L:L)</f>
        <v>5833491</v>
      </c>
      <c r="I91">
        <f>SUMIF(DataQ!$B:$B,DataA!$A91,DataQ!M:M)</f>
        <v>2729070.6999999997</v>
      </c>
      <c r="J91">
        <f>AVERAGEIF(DataQ!$B:$B,DataA!$A91,DataQ!N:N)</f>
        <v>213.71747500000001</v>
      </c>
    </row>
    <row r="92" spans="1:10" x14ac:dyDescent="0.25">
      <c r="A92">
        <v>2058</v>
      </c>
      <c r="B92">
        <f>AVERAGEIF(DataQ!$B:$B,DataA!$A92,DataQ!F:F)</f>
        <v>304.69</v>
      </c>
      <c r="C92">
        <f>SUMIF(DataQ!$B:$B,DataA!$A92,DataQ!G:G)</f>
        <v>611665.69999999995</v>
      </c>
      <c r="D92">
        <f>AVERAGEIF(DataQ!$B:$B,DataA!$A92,DataQ!H:H)</f>
        <v>1975.2012499999998</v>
      </c>
      <c r="E92">
        <f>SUMIF(DataQ!$B:$B,DataA!$A92,DataQ!I:I)</f>
        <v>2101258</v>
      </c>
      <c r="F92">
        <f>SUMIF(DataQ!$B:$B,DataA!$A92,DataQ!J:J)</f>
        <v>9804048</v>
      </c>
      <c r="G92">
        <f>SUMIF(DataQ!$B:$B,DataA!$A92,DataQ!K:K)</f>
        <v>3864099.5</v>
      </c>
      <c r="H92">
        <f>SUMIF(DataQ!$B:$B,DataA!$A92,DataQ!L:L)</f>
        <v>6024134</v>
      </c>
      <c r="I92">
        <f>SUMIF(DataQ!$B:$B,DataA!$A92,DataQ!M:M)</f>
        <v>2763022.9000000004</v>
      </c>
      <c r="J92">
        <f>AVERAGEIF(DataQ!$B:$B,DataA!$A92,DataQ!N:N)</f>
        <v>217.99102500000004</v>
      </c>
    </row>
    <row r="93" spans="1:10" x14ac:dyDescent="0.25">
      <c r="A93">
        <v>2059</v>
      </c>
      <c r="B93">
        <f>AVERAGEIF(DataQ!$B:$B,DataA!$A93,DataQ!F:F)</f>
        <v>310.88979999999998</v>
      </c>
      <c r="C93">
        <f>SUMIF(DataQ!$B:$B,DataA!$A93,DataQ!G:G)</f>
        <v>631975.69999999995</v>
      </c>
      <c r="D93">
        <f>AVERAGEIF(DataQ!$B:$B,DataA!$A93,DataQ!H:H)</f>
        <v>2038.3209999999999</v>
      </c>
      <c r="E93">
        <f>SUMIF(DataQ!$B:$B,DataA!$A93,DataQ!I:I)</f>
        <v>2173919.5</v>
      </c>
      <c r="F93">
        <f>SUMIF(DataQ!$B:$B,DataA!$A93,DataQ!J:J)</f>
        <v>10143092</v>
      </c>
      <c r="G93">
        <f>SUMIF(DataQ!$B:$B,DataA!$A93,DataQ!K:K)</f>
        <v>3992404.4</v>
      </c>
      <c r="H93">
        <f>SUMIF(DataQ!$B:$B,DataA!$A93,DataQ!L:L)</f>
        <v>6220521</v>
      </c>
      <c r="I93">
        <f>SUMIF(DataQ!$B:$B,DataA!$A93,DataQ!M:M)</f>
        <v>2797177.5</v>
      </c>
      <c r="J93">
        <f>AVERAGEIF(DataQ!$B:$B,DataA!$A93,DataQ!N:N)</f>
        <v>222.35002500000002</v>
      </c>
    </row>
    <row r="94" spans="1:10" x14ac:dyDescent="0.25">
      <c r="A94">
        <v>2060</v>
      </c>
      <c r="B94">
        <f>AVERAGEIF(DataQ!$B:$B,DataA!$A94,DataQ!F:F)</f>
        <v>317.22027500000002</v>
      </c>
      <c r="C94">
        <f>SUMIF(DataQ!$B:$B,DataA!$A94,DataQ!G:G)</f>
        <v>652982</v>
      </c>
      <c r="D94">
        <f>AVERAGEIF(DataQ!$B:$B,DataA!$A94,DataQ!H:H)</f>
        <v>2103.2102500000001</v>
      </c>
      <c r="E94">
        <f>SUMIF(DataQ!$B:$B,DataA!$A94,DataQ!I:I)</f>
        <v>2249182</v>
      </c>
      <c r="F94">
        <f>SUMIF(DataQ!$B:$B,DataA!$A94,DataQ!J:J)</f>
        <v>10494228</v>
      </c>
      <c r="G94">
        <f>SUMIF(DataQ!$B:$B,DataA!$A94,DataQ!K:K)</f>
        <v>4125109</v>
      </c>
      <c r="H94">
        <f>SUMIF(DataQ!$B:$B,DataA!$A94,DataQ!L:L)</f>
        <v>6423406</v>
      </c>
      <c r="I94">
        <f>SUMIF(DataQ!$B:$B,DataA!$A94,DataQ!M:M)</f>
        <v>2831795.8</v>
      </c>
      <c r="J94">
        <f>AVERAGEIF(DataQ!$B:$B,DataA!$A94,DataQ!N:N)</f>
        <v>226.79617500000001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A10A-03D9-4C3B-9B52-BFC85F5B2286}">
  <dimension ref="A1:N359"/>
  <sheetViews>
    <sheetView workbookViewId="0">
      <pane xSplit="5" ySplit="6" topLeftCell="F7" activePane="bottomRight" state="frozen"/>
      <selection pane="topRight" activeCell="F1" sqref="F1"/>
      <selection pane="bottomLeft" activeCell="A7" sqref="A7"/>
      <selection pane="bottomRight" activeCell="I29" sqref="I29"/>
    </sheetView>
  </sheetViews>
  <sheetFormatPr defaultColWidth="9.140625" defaultRowHeight="15" x14ac:dyDescent="0.25"/>
  <cols>
    <col min="1" max="1" width="5" style="13" bestFit="1" customWidth="1"/>
    <col min="2" max="4" width="5" style="13" customWidth="1"/>
    <col min="5" max="5" width="9.140625" style="13"/>
    <col min="6" max="14" width="17.5703125" style="13" bestFit="1" customWidth="1"/>
    <col min="15" max="16384" width="9.140625" style="13"/>
  </cols>
  <sheetData>
    <row r="1" spans="1:14" x14ac:dyDescent="0.25">
      <c r="F1" s="13" t="s">
        <v>1244</v>
      </c>
      <c r="G1" s="13" t="str">
        <f>$F$1</f>
        <v>JAN008L.db</v>
      </c>
      <c r="H1" s="13" t="str">
        <f t="shared" ref="H1:N1" si="0">$F$1</f>
        <v>JAN008L.db</v>
      </c>
      <c r="I1" s="13" t="str">
        <f t="shared" si="0"/>
        <v>JAN008L.db</v>
      </c>
      <c r="J1" s="13" t="str">
        <f t="shared" si="0"/>
        <v>JAN008L.db</v>
      </c>
      <c r="K1" s="13" t="str">
        <f t="shared" si="0"/>
        <v>JAN008L.db</v>
      </c>
      <c r="L1" s="13" t="str">
        <f t="shared" si="0"/>
        <v>JAN008L.db</v>
      </c>
      <c r="M1" s="13" t="str">
        <f t="shared" si="0"/>
        <v>JAN008L.db</v>
      </c>
      <c r="N1" s="13" t="str">
        <f t="shared" si="0"/>
        <v>JAN008L.db</v>
      </c>
    </row>
    <row r="2" spans="1:14" x14ac:dyDescent="0.25">
      <c r="F2" s="13" t="s">
        <v>1265</v>
      </c>
      <c r="G2" s="13" t="s">
        <v>1265</v>
      </c>
      <c r="H2" s="13" t="s">
        <v>1265</v>
      </c>
      <c r="I2" s="13" t="s">
        <v>1265</v>
      </c>
      <c r="J2" s="13" t="s">
        <v>1265</v>
      </c>
      <c r="K2" s="13" t="s">
        <v>1265</v>
      </c>
      <c r="L2" s="13" t="s">
        <v>1265</v>
      </c>
      <c r="M2" s="13" t="s">
        <v>1265</v>
      </c>
      <c r="N2" s="13" t="s">
        <v>1265</v>
      </c>
    </row>
    <row r="3" spans="1:14" x14ac:dyDescent="0.25">
      <c r="F3" s="13" t="s">
        <v>1243</v>
      </c>
      <c r="G3" s="13" t="s">
        <v>1251</v>
      </c>
      <c r="H3" s="13" t="s">
        <v>1264</v>
      </c>
      <c r="I3" s="13" t="s">
        <v>1255</v>
      </c>
      <c r="J3" s="13" t="s">
        <v>1259</v>
      </c>
      <c r="K3" s="13" t="s">
        <v>1273</v>
      </c>
      <c r="L3" s="13" t="s">
        <v>1277</v>
      </c>
      <c r="M3" s="13" t="s">
        <v>1282</v>
      </c>
      <c r="N3" s="13" t="s">
        <v>1285</v>
      </c>
    </row>
    <row r="4" spans="1:14" x14ac:dyDescent="0.25">
      <c r="F4" s="13" t="s">
        <v>1242</v>
      </c>
      <c r="G4" s="13" t="s">
        <v>1242</v>
      </c>
      <c r="H4" s="13" t="s">
        <v>1242</v>
      </c>
      <c r="I4" s="13" t="s">
        <v>1242</v>
      </c>
      <c r="J4" s="13" t="s">
        <v>1242</v>
      </c>
      <c r="K4" s="13" t="s">
        <v>1242</v>
      </c>
      <c r="L4" s="13" t="s">
        <v>1242</v>
      </c>
      <c r="M4" s="13" t="s">
        <v>1242</v>
      </c>
      <c r="N4" s="13" t="s">
        <v>1242</v>
      </c>
    </row>
    <row r="5" spans="1:14" x14ac:dyDescent="0.25">
      <c r="F5" s="13" t="s">
        <v>1266</v>
      </c>
      <c r="G5" s="13" t="s">
        <v>1266</v>
      </c>
      <c r="H5" s="13" t="s">
        <v>1266</v>
      </c>
      <c r="I5" s="13" t="s">
        <v>1266</v>
      </c>
      <c r="J5" s="13" t="s">
        <v>1266</v>
      </c>
      <c r="K5" s="13" t="s">
        <v>1266</v>
      </c>
      <c r="L5" s="13" t="s">
        <v>1266</v>
      </c>
      <c r="M5" s="13" t="s">
        <v>1266</v>
      </c>
      <c r="N5" s="13" t="s">
        <v>1266</v>
      </c>
    </row>
    <row r="6" spans="1:14" x14ac:dyDescent="0.25">
      <c r="B6" s="13" t="s">
        <v>1267</v>
      </c>
      <c r="C6" s="13" t="s">
        <v>1268</v>
      </c>
      <c r="D6" s="13" t="s">
        <v>1269</v>
      </c>
      <c r="E6" s="13">
        <f>E358+5</f>
        <v>2329</v>
      </c>
      <c r="F6" s="14" t="str" cm="1">
        <f t="array" ref="F6">_xlfn.CONCAT(INDEX(GMWQ!$A$2:$NE$60,MATCH(1,(GMWQ!$NE$2:$NE$60=F$3)*(GMWQ!$ND$2:$ND$60=F$4)*(GMWQ!$NF$2:$NF$60=F$1),0),$E6-1966),"0",(INDEX(GMWQ!$A$2:$NE$60,MATCH(1,(GMWQ!$NE$2:$NE$60=F$3)*(GMWQ!$ND$2:$ND$60=F$4)*(GMWQ!$NF$2:$NF$60=F$1),0),$E6-1965)))</f>
        <v>202403</v>
      </c>
      <c r="G6" s="14" t="str" cm="1">
        <f t="array" ref="G6">_xlfn.CONCAT(INDEX(GMWQ!$A$2:$NE$60,MATCH(1,(GMWQ!$NE$2:$NE$60=G$3)*(GMWQ!$ND$2:$ND$60=G$4)*(GMWQ!$NF$2:$NF$60=G$1),0),$E6-1966),"0",(INDEX(GMWQ!$A$2:$NE$60,MATCH(1,(GMWQ!$NE$2:$NE$60=G$3)*(GMWQ!$ND$2:$ND$60=G$4)*(GMWQ!$NF$2:$NF$60=G$1),0),$E6-1965)))</f>
        <v>202403</v>
      </c>
      <c r="H6" s="14" t="str" cm="1">
        <f t="array" ref="H6">_xlfn.CONCAT(INDEX(GMWQ!$A$2:$NE$60,MATCH(1,(GMWQ!$NE$2:$NE$60=H$3)*(GMWQ!$ND$2:$ND$60=H$4)*(GMWQ!$NF$2:$NF$60=H$1),0),$E6-1966),"0",(INDEX(GMWQ!$A$2:$NE$60,MATCH(1,(GMWQ!$NE$2:$NE$60=H$3)*(GMWQ!$ND$2:$ND$60=H$4)*(GMWQ!$NF$2:$NF$60=H$1),0),$E6-1965)))</f>
        <v>202403</v>
      </c>
      <c r="I6" s="14" t="str" cm="1">
        <f t="array" ref="I6">_xlfn.CONCAT(INDEX(GMWQ!$A$2:$NE$60,MATCH(1,(GMWQ!$NE$2:$NE$60=I$3)*(GMWQ!$ND$2:$ND$60=I$4)*(GMWQ!$NF$2:$NF$60=I$1),0),$E6-1966),"0",(INDEX(GMWQ!$A$2:$NE$60,MATCH(1,(GMWQ!$NE$2:$NE$60=I$3)*(GMWQ!$ND$2:$ND$60=I$4)*(GMWQ!$NF$2:$NF$60=I$1),0),$E6-1965)))</f>
        <v>202403</v>
      </c>
      <c r="J6" s="14" t="str" cm="1">
        <f t="array" ref="J6">_xlfn.CONCAT(INDEX(GMWQ!$A$2:$NE$60,MATCH(1,(GMWQ!$NE$2:$NE$60=J$3)*(GMWQ!$ND$2:$ND$60=J$4)*(GMWQ!$NF$2:$NF$60=J$1),0),$E6-1966),"0",(INDEX(GMWQ!$A$2:$NE$60,MATCH(1,(GMWQ!$NE$2:$NE$60=J$3)*(GMWQ!$ND$2:$ND$60=J$4)*(GMWQ!$NF$2:$NF$60=J$1),0),$E6-1965)))</f>
        <v>202403</v>
      </c>
      <c r="K6" s="14" t="str" cm="1">
        <f t="array" ref="K6">_xlfn.CONCAT(INDEX(GMWQ!$A$2:$NE$60,MATCH(1,(GMWQ!$NE$2:$NE$60=K$3)*(GMWQ!$ND$2:$ND$60=K$4)*(GMWQ!$NF$2:$NF$60=K$1),0),$E6-1966),"0",(INDEX(GMWQ!$A$2:$NE$60,MATCH(1,(GMWQ!$NE$2:$NE$60=K$3)*(GMWQ!$ND$2:$ND$60=K$4)*(GMWQ!$NF$2:$NF$60=K$1),0),$E6-1965)))</f>
        <v>202403</v>
      </c>
      <c r="L6" s="14" t="str" cm="1">
        <f t="array" ref="L6">_xlfn.CONCAT(INDEX(GMWQ!$A$2:$NE$60,MATCH(1,(GMWQ!$NE$2:$NE$60=L$3)*(GMWQ!$ND$2:$ND$60=L$4)*(GMWQ!$NF$2:$NF$60=L$1),0),$E6-1966),"0",(INDEX(GMWQ!$A$2:$NE$60,MATCH(1,(GMWQ!$NE$2:$NE$60=L$3)*(GMWQ!$ND$2:$ND$60=L$4)*(GMWQ!$NF$2:$NF$60=L$1),0),$E6-1965)))</f>
        <v>202403</v>
      </c>
      <c r="M6" s="14" t="str" cm="1">
        <f t="array" ref="M6">_xlfn.CONCAT(INDEX(GMWQ!$A$2:$NE$60,MATCH(1,(GMWQ!$NE$2:$NE$60=M$3)*(GMWQ!$ND$2:$ND$60=M$4)*(GMWQ!$NF$2:$NF$60=M$1),0),$E6-1966),"0",(INDEX(GMWQ!$A$2:$NE$60,MATCH(1,(GMWQ!$NE$2:$NE$60=M$3)*(GMWQ!$ND$2:$ND$60=M$4)*(GMWQ!$NF$2:$NF$60=M$1),0),$E6-1965)))</f>
        <v>202403</v>
      </c>
      <c r="N6" s="14" t="str" cm="1">
        <f t="array" ref="N6">_xlfn.CONCAT(INDEX(GMWQ!$A$2:$NE$60,MATCH(1,(GMWQ!$NE$2:$NE$60=N$3)*(GMWQ!$ND$2:$ND$60=N$4)*(GMWQ!$NF$2:$NF$60=N$1),0),$E6-1966),"0",(INDEX(GMWQ!$A$2:$NE$60,MATCH(1,(GMWQ!$NE$2:$NE$60=N$3)*(GMWQ!$ND$2:$ND$60=N$4)*(GMWQ!$NF$2:$NF$60=N$1),0),$E6-1965)))</f>
        <v>202403</v>
      </c>
    </row>
    <row r="7" spans="1:14" x14ac:dyDescent="0.25">
      <c r="A7" s="13">
        <v>1973</v>
      </c>
      <c r="B7" s="13">
        <v>1973</v>
      </c>
      <c r="E7" s="13">
        <v>1973</v>
      </c>
      <c r="F7" s="13" cm="1">
        <f t="array" ref="F7">INDEX(GMWQ!$A$2:$NF$60,MATCH(1,(GMWQ!$NE$2:$NE$60=F$3)*(GMWQ!$ND$2:$ND$60=F$4)*(GMWQ!$NF$2:$NF$60=F$1),0),$E7-1966)</f>
        <v>11.31073</v>
      </c>
      <c r="G7" s="13" cm="1">
        <f t="array" ref="G7">INDEX(GMWQ!$A$2:$NF$60,MATCH(1,(GMWQ!$NE$2:$NE$60=G$3)*(GMWQ!$ND$2:$ND$60=G$4)*(GMWQ!$NF$2:$NF$60=G$1),0),$E7-1966)</f>
        <v>552.03840000000002</v>
      </c>
      <c r="H7" s="13" cm="1">
        <f t="array" ref="H7">INDEX(GMWQ!$A$2:$NF$60,MATCH(1,(GMWQ!$NE$2:$NE$60=H$3)*(GMWQ!$ND$2:$ND$60=H$4)*(GMWQ!$NF$2:$NF$60=H$1),0),$E7-1966)</f>
        <v>14.851150000000001</v>
      </c>
      <c r="I7" s="13" cm="1">
        <f t="array" ref="I7">INDEX(GMWQ!$A$2:$NF$60,MATCH(1,(GMWQ!$NE$2:$NE$60=I$3)*(GMWQ!$ND$2:$ND$60=I$4)*(GMWQ!$NF$2:$NF$60=I$1),0),$E7-1966)</f>
        <v>4698</v>
      </c>
      <c r="J7" s="13" cm="1">
        <f t="array" ref="J7">INDEX(GMWQ!$A$2:$NF$60,MATCH(1,(GMWQ!$NE$2:$NE$60=J$3)*(GMWQ!$ND$2:$ND$60=J$4)*(GMWQ!$NF$2:$NF$60=J$1),0),$E7-1966)</f>
        <v>20046</v>
      </c>
      <c r="K7" s="13" cm="1">
        <f t="array" ref="K7">INDEX(GMWQ!$A$2:$NF$60,MATCH(1,(GMWQ!$NE$2:$NE$60=K$3)*(GMWQ!$ND$2:$ND$60=K$4)*(GMWQ!$NF$2:$NF$60=K$1),0),$E7-1966)</f>
        <v>9375</v>
      </c>
      <c r="L7" s="13" cm="1">
        <f t="array" ref="L7">INDEX(GMWQ!$A$2:$NF$60,MATCH(1,(GMWQ!$NE$2:$NE$60=L$3)*(GMWQ!$ND$2:$ND$60=L$4)*(GMWQ!$NF$2:$NF$60=L$1),0),$E7-1966)</f>
        <v>12419</v>
      </c>
      <c r="M7" s="13" cm="1">
        <f t="array" ref="M7">INDEX(GMWQ!$A$2:$NF$60,MATCH(1,(GMWQ!$NE$2:$NE$60=M$3)*(GMWQ!$ND$2:$ND$60=M$4)*(GMWQ!$NF$2:$NF$60=M$1),0),$E7-1966)</f>
        <v>137363</v>
      </c>
      <c r="N7" s="13" cm="1">
        <f t="array" ref="N7">INDEX(GMWQ!$A$2:$NF$60,MATCH(1,(GMWQ!$NE$2:$NE$60=N$3)*(GMWQ!$ND$2:$ND$60=N$4)*(GMWQ!$NF$2:$NF$60=N$1),0),$E7-1966)</f>
        <v>9.2064909999999998</v>
      </c>
    </row>
    <row r="8" spans="1:14" x14ac:dyDescent="0.25">
      <c r="B8" s="13">
        <v>1973</v>
      </c>
      <c r="C8" s="13">
        <v>1973</v>
      </c>
      <c r="E8" s="13">
        <f>+E7+1</f>
        <v>1974</v>
      </c>
      <c r="F8" s="13" cm="1">
        <f t="array" ref="F8">INDEX(GMWQ!$A$2:$NF$60,MATCH(1,(GMWQ!$NE$2:$NE$60=F$3)*(GMWQ!$ND$2:$ND$60=F$4)*(GMWQ!$NF$2:$NF$60=F$1),0),$E8-1966)</f>
        <v>11.68304</v>
      </c>
      <c r="G8" s="13" cm="1">
        <f t="array" ref="G8">INDEX(GMWQ!$A$2:$NF$60,MATCH(1,(GMWQ!$NE$2:$NE$60=G$3)*(GMWQ!$ND$2:$ND$60=G$4)*(GMWQ!$NF$2:$NF$60=G$1),0),$E8-1966)</f>
        <v>550.91409999999996</v>
      </c>
      <c r="H8" s="13" cm="1">
        <f t="array" ref="H8">INDEX(GMWQ!$A$2:$NF$60,MATCH(1,(GMWQ!$NE$2:$NE$60=H$3)*(GMWQ!$ND$2:$ND$60=H$4)*(GMWQ!$NF$2:$NF$60=H$1),0),$E8-1966)</f>
        <v>15.597429999999999</v>
      </c>
      <c r="I8" s="13" cm="1">
        <f t="array" ref="I8">INDEX(GMWQ!$A$2:$NF$60,MATCH(1,(GMWQ!$NE$2:$NE$60=I$3)*(GMWQ!$ND$2:$ND$60=I$4)*(GMWQ!$NF$2:$NF$60=I$1),0),$E8-1966)</f>
        <v>4424</v>
      </c>
      <c r="J8" s="13" cm="1">
        <f t="array" ref="J8">INDEX(GMWQ!$A$2:$NF$60,MATCH(1,(GMWQ!$NE$2:$NE$60=J$3)*(GMWQ!$ND$2:$ND$60=J$4)*(GMWQ!$NF$2:$NF$60=J$1),0),$E8-1966)</f>
        <v>19874</v>
      </c>
      <c r="K8" s="13" cm="1">
        <f t="array" ref="K8">INDEX(GMWQ!$A$2:$NF$60,MATCH(1,(GMWQ!$NE$2:$NE$60=K$3)*(GMWQ!$ND$2:$ND$60=K$4)*(GMWQ!$NF$2:$NF$60=K$1),0),$E8-1966)</f>
        <v>9711</v>
      </c>
      <c r="L8" s="13" cm="1">
        <f t="array" ref="L8">INDEX(GMWQ!$A$2:$NF$60,MATCH(1,(GMWQ!$NE$2:$NE$60=L$3)*(GMWQ!$ND$2:$ND$60=L$4)*(GMWQ!$NF$2:$NF$60=L$1),0),$E8-1966)</f>
        <v>12849</v>
      </c>
      <c r="M8" s="13" cm="1">
        <f t="array" ref="M8">INDEX(GMWQ!$A$2:$NF$60,MATCH(1,(GMWQ!$NE$2:$NE$60=M$3)*(GMWQ!$ND$2:$ND$60=M$4)*(GMWQ!$NF$2:$NF$60=M$1),0),$E8-1966)</f>
        <v>140152</v>
      </c>
      <c r="N8" s="13" cm="1">
        <f t="array" ref="N8">INDEX(GMWQ!$A$2:$NF$60,MATCH(1,(GMWQ!$NE$2:$NE$60=N$3)*(GMWQ!$ND$2:$ND$60=N$4)*(GMWQ!$NF$2:$NF$60=N$1),0),$E8-1966)</f>
        <v>9.3221720000000001</v>
      </c>
    </row>
    <row r="9" spans="1:14" x14ac:dyDescent="0.25">
      <c r="B9" s="13">
        <v>1973</v>
      </c>
      <c r="C9" s="13">
        <v>1973</v>
      </c>
      <c r="E9" s="13">
        <f t="shared" ref="E9:E47" si="1">+E8+1</f>
        <v>1975</v>
      </c>
      <c r="F9" s="13" cm="1">
        <f t="array" ref="F9">INDEX(GMWQ!$A$2:$NF$60,MATCH(1,(GMWQ!$NE$2:$NE$60=F$3)*(GMWQ!$ND$2:$ND$60=F$4)*(GMWQ!$NF$2:$NF$60=F$1),0),$E9-1966)</f>
        <v>12.17741</v>
      </c>
      <c r="G9" s="13" cm="1">
        <f t="array" ref="G9">INDEX(GMWQ!$A$2:$NF$60,MATCH(1,(GMWQ!$NE$2:$NE$60=G$3)*(GMWQ!$ND$2:$ND$60=G$4)*(GMWQ!$NF$2:$NF$60=G$1),0),$E9-1966)</f>
        <v>576.77329999999995</v>
      </c>
      <c r="H9" s="13" cm="1">
        <f t="array" ref="H9">INDEX(GMWQ!$A$2:$NF$60,MATCH(1,(GMWQ!$NE$2:$NE$60=H$3)*(GMWQ!$ND$2:$ND$60=H$4)*(GMWQ!$NF$2:$NF$60=H$1),0),$E9-1966)</f>
        <v>16.407070000000001</v>
      </c>
      <c r="I9" s="13" cm="1">
        <f t="array" ref="I9">INDEX(GMWQ!$A$2:$NF$60,MATCH(1,(GMWQ!$NE$2:$NE$60=I$3)*(GMWQ!$ND$2:$ND$60=I$4)*(GMWQ!$NF$2:$NF$60=I$1),0),$E9-1966)</f>
        <v>4297</v>
      </c>
      <c r="J9" s="13" cm="1">
        <f t="array" ref="J9">INDEX(GMWQ!$A$2:$NF$60,MATCH(1,(GMWQ!$NE$2:$NE$60=J$3)*(GMWQ!$ND$2:$ND$60=J$4)*(GMWQ!$NF$2:$NF$60=J$1),0),$E9-1966)</f>
        <v>20558</v>
      </c>
      <c r="K9" s="13" cm="1">
        <f t="array" ref="K9">INDEX(GMWQ!$A$2:$NF$60,MATCH(1,(GMWQ!$NE$2:$NE$60=K$3)*(GMWQ!$ND$2:$ND$60=K$4)*(GMWQ!$NF$2:$NF$60=K$1),0),$E9-1966)</f>
        <v>10012</v>
      </c>
      <c r="L9" s="13" cm="1">
        <f t="array" ref="L9">INDEX(GMWQ!$A$2:$NF$60,MATCH(1,(GMWQ!$NE$2:$NE$60=L$3)*(GMWQ!$ND$2:$ND$60=L$4)*(GMWQ!$NF$2:$NF$60=L$1),0),$E9-1966)</f>
        <v>13247</v>
      </c>
      <c r="M9" s="13" cm="1">
        <f t="array" ref="M9">INDEX(GMWQ!$A$2:$NF$60,MATCH(1,(GMWQ!$NE$2:$NE$60=M$3)*(GMWQ!$ND$2:$ND$60=M$4)*(GMWQ!$NF$2:$NF$60=M$1),0),$E9-1966)</f>
        <v>141286</v>
      </c>
      <c r="N9" s="13" cm="1">
        <f t="array" ref="N9">INDEX(GMWQ!$A$2:$NF$60,MATCH(1,(GMWQ!$NE$2:$NE$60=N$3)*(GMWQ!$ND$2:$ND$60=N$4)*(GMWQ!$NF$2:$NF$60=N$1),0),$E9-1966)</f>
        <v>9.536778</v>
      </c>
    </row>
    <row r="10" spans="1:14" x14ac:dyDescent="0.25">
      <c r="B10" s="13">
        <v>1973</v>
      </c>
      <c r="C10" s="13">
        <v>1973</v>
      </c>
      <c r="E10" s="13">
        <f t="shared" si="1"/>
        <v>1976</v>
      </c>
      <c r="F10" s="13" cm="1">
        <f t="array" ref="F10">INDEX(GMWQ!$A$2:$NF$60,MATCH(1,(GMWQ!$NE$2:$NE$60=F$3)*(GMWQ!$ND$2:$ND$60=F$4)*(GMWQ!$NF$2:$NF$60=F$1),0),$E10-1966)</f>
        <v>12.711510000000001</v>
      </c>
      <c r="G10" s="13" cm="1">
        <f t="array" ref="G10">INDEX(GMWQ!$A$2:$NF$60,MATCH(1,(GMWQ!$NE$2:$NE$60=G$3)*(GMWQ!$ND$2:$ND$60=G$4)*(GMWQ!$NF$2:$NF$60=G$1),0),$E10-1966)</f>
        <v>629.61609999999996</v>
      </c>
      <c r="H10" s="13" cm="1">
        <f t="array" ref="H10">INDEX(GMWQ!$A$2:$NF$60,MATCH(1,(GMWQ!$NE$2:$NE$60=H$3)*(GMWQ!$ND$2:$ND$60=H$4)*(GMWQ!$NF$2:$NF$60=H$1),0),$E10-1966)</f>
        <v>16.907609999999998</v>
      </c>
      <c r="I10" s="13" cm="1">
        <f t="array" ref="I10">INDEX(GMWQ!$A$2:$NF$60,MATCH(1,(GMWQ!$NE$2:$NE$60=I$3)*(GMWQ!$ND$2:$ND$60=I$4)*(GMWQ!$NF$2:$NF$60=I$1),0),$E10-1966)</f>
        <v>4489</v>
      </c>
      <c r="J10" s="13" cm="1">
        <f t="array" ref="J10">INDEX(GMWQ!$A$2:$NF$60,MATCH(1,(GMWQ!$NE$2:$NE$60=J$3)*(GMWQ!$ND$2:$ND$60=J$4)*(GMWQ!$NF$2:$NF$60=J$1),0),$E10-1966)</f>
        <v>21315</v>
      </c>
      <c r="K10" s="13" cm="1">
        <f t="array" ref="K10">INDEX(GMWQ!$A$2:$NF$60,MATCH(1,(GMWQ!$NE$2:$NE$60=K$3)*(GMWQ!$ND$2:$ND$60=K$4)*(GMWQ!$NF$2:$NF$60=K$1),0),$E10-1966)</f>
        <v>10380</v>
      </c>
      <c r="L10" s="13" cm="1">
        <f t="array" ref="L10">INDEX(GMWQ!$A$2:$NF$60,MATCH(1,(GMWQ!$NE$2:$NE$60=L$3)*(GMWQ!$ND$2:$ND$60=L$4)*(GMWQ!$NF$2:$NF$60=L$1),0),$E10-1966)</f>
        <v>13917</v>
      </c>
      <c r="M10" s="13" cm="1">
        <f t="array" ref="M10">INDEX(GMWQ!$A$2:$NF$60,MATCH(1,(GMWQ!$NE$2:$NE$60=M$3)*(GMWQ!$ND$2:$ND$60=M$4)*(GMWQ!$NF$2:$NF$60=M$1),0),$E10-1966)</f>
        <v>141617</v>
      </c>
      <c r="N10" s="13" cm="1">
        <f t="array" ref="N10">INDEX(GMWQ!$A$2:$NF$60,MATCH(1,(GMWQ!$NE$2:$NE$60=N$3)*(GMWQ!$ND$2:$ND$60=N$4)*(GMWQ!$NF$2:$NF$60=N$1),0),$E10-1966)</f>
        <v>9.9904860000000006</v>
      </c>
    </row>
    <row r="11" spans="1:14" x14ac:dyDescent="0.25">
      <c r="A11" s="13">
        <v>1974</v>
      </c>
      <c r="B11" s="13">
        <f>+B7+1</f>
        <v>1974</v>
      </c>
      <c r="C11" s="13">
        <v>1973</v>
      </c>
      <c r="D11" s="13">
        <v>1973</v>
      </c>
      <c r="E11" s="13">
        <f t="shared" si="1"/>
        <v>1977</v>
      </c>
      <c r="F11" s="13" cm="1">
        <f t="array" ref="F11">INDEX(GMWQ!$A$2:$NF$60,MATCH(1,(GMWQ!$NE$2:$NE$60=F$3)*(GMWQ!$ND$2:$ND$60=F$4)*(GMWQ!$NF$2:$NF$60=F$1),0),$E11-1966)</f>
        <v>13.40424</v>
      </c>
      <c r="G11" s="13" cm="1">
        <f t="array" ref="G11">INDEX(GMWQ!$A$2:$NF$60,MATCH(1,(GMWQ!$NE$2:$NE$60=G$3)*(GMWQ!$ND$2:$ND$60=G$4)*(GMWQ!$NF$2:$NF$60=G$1),0),$E11-1966)</f>
        <v>677.96159999999998</v>
      </c>
      <c r="H11" s="13" cm="1">
        <f t="array" ref="H11">INDEX(GMWQ!$A$2:$NF$60,MATCH(1,(GMWQ!$NE$2:$NE$60=H$3)*(GMWQ!$ND$2:$ND$60=H$4)*(GMWQ!$NF$2:$NF$60=H$1),0),$E11-1966)</f>
        <v>16.780860000000001</v>
      </c>
      <c r="I11" s="13" cm="1">
        <f t="array" ref="I11">INDEX(GMWQ!$A$2:$NF$60,MATCH(1,(GMWQ!$NE$2:$NE$60=I$3)*(GMWQ!$ND$2:$ND$60=I$4)*(GMWQ!$NF$2:$NF$60=I$1),0),$E11-1966)</f>
        <v>3797</v>
      </c>
      <c r="J11" s="13" cm="1">
        <f t="array" ref="J11">INDEX(GMWQ!$A$2:$NF$60,MATCH(1,(GMWQ!$NE$2:$NE$60=J$3)*(GMWQ!$ND$2:$ND$60=J$4)*(GMWQ!$NF$2:$NF$60=J$1),0),$E11-1966)</f>
        <v>21132</v>
      </c>
      <c r="K11" s="13" cm="1">
        <f t="array" ref="K11">INDEX(GMWQ!$A$2:$NF$60,MATCH(1,(GMWQ!$NE$2:$NE$60=K$3)*(GMWQ!$ND$2:$ND$60=K$4)*(GMWQ!$NF$2:$NF$60=K$1),0),$E11-1966)</f>
        <v>10596</v>
      </c>
      <c r="L11" s="13" cm="1">
        <f t="array" ref="L11">INDEX(GMWQ!$A$2:$NF$60,MATCH(1,(GMWQ!$NE$2:$NE$60=L$3)*(GMWQ!$ND$2:$ND$60=L$4)*(GMWQ!$NF$2:$NF$60=L$1),0),$E11-1966)</f>
        <v>14267</v>
      </c>
      <c r="M11" s="13" cm="1">
        <f t="array" ref="M11">INDEX(GMWQ!$A$2:$NF$60,MATCH(1,(GMWQ!$NE$2:$NE$60=M$3)*(GMWQ!$ND$2:$ND$60=M$4)*(GMWQ!$NF$2:$NF$60=M$1),0),$E11-1966)</f>
        <v>137691</v>
      </c>
      <c r="N11" s="13" cm="1">
        <f t="array" ref="N11">INDEX(GMWQ!$A$2:$NF$60,MATCH(1,(GMWQ!$NE$2:$NE$60=N$3)*(GMWQ!$ND$2:$ND$60=N$4)*(GMWQ!$NF$2:$NF$60=N$1),0),$E11-1966)</f>
        <v>10.52744</v>
      </c>
    </row>
    <row r="12" spans="1:14" x14ac:dyDescent="0.25">
      <c r="B12" s="13">
        <f t="shared" ref="B12:D27" si="2">+B8+1</f>
        <v>1974</v>
      </c>
      <c r="C12" s="13">
        <f>+C8+1</f>
        <v>1974</v>
      </c>
      <c r="E12" s="13">
        <f t="shared" si="1"/>
        <v>1978</v>
      </c>
      <c r="F12" s="13" cm="1">
        <f t="array" ref="F12">INDEX(GMWQ!$A$2:$NF$60,MATCH(1,(GMWQ!$NE$2:$NE$60=F$3)*(GMWQ!$ND$2:$ND$60=F$4)*(GMWQ!$NF$2:$NF$60=F$1),0),$E12-1966)</f>
        <v>13.850160000000001</v>
      </c>
      <c r="G12" s="13" cm="1">
        <f t="array" ref="G12">INDEX(GMWQ!$A$2:$NF$60,MATCH(1,(GMWQ!$NE$2:$NE$60=G$3)*(GMWQ!$ND$2:$ND$60=G$4)*(GMWQ!$NF$2:$NF$60=G$1),0),$E12-1966)</f>
        <v>684.70749999999998</v>
      </c>
      <c r="H12" s="13" cm="1">
        <f t="array" ref="H12">INDEX(GMWQ!$A$2:$NF$60,MATCH(1,(GMWQ!$NE$2:$NE$60=H$3)*(GMWQ!$ND$2:$ND$60=H$4)*(GMWQ!$NF$2:$NF$60=H$1),0),$E12-1966)</f>
        <v>18.253409999999999</v>
      </c>
      <c r="I12" s="13" cm="1">
        <f t="array" ref="I12">INDEX(GMWQ!$A$2:$NF$60,MATCH(1,(GMWQ!$NE$2:$NE$60=I$3)*(GMWQ!$ND$2:$ND$60=I$4)*(GMWQ!$NF$2:$NF$60=I$1),0),$E12-1966)</f>
        <v>4283</v>
      </c>
      <c r="J12" s="13" cm="1">
        <f t="array" ref="J12">INDEX(GMWQ!$A$2:$NF$60,MATCH(1,(GMWQ!$NE$2:$NE$60=J$3)*(GMWQ!$ND$2:$ND$60=J$4)*(GMWQ!$NF$2:$NF$60=J$1),0),$E12-1966)</f>
        <v>22651</v>
      </c>
      <c r="K12" s="13" cm="1">
        <f t="array" ref="K12">INDEX(GMWQ!$A$2:$NF$60,MATCH(1,(GMWQ!$NE$2:$NE$60=K$3)*(GMWQ!$ND$2:$ND$60=K$4)*(GMWQ!$NF$2:$NF$60=K$1),0),$E12-1966)</f>
        <v>11121</v>
      </c>
      <c r="L12" s="13" cm="1">
        <f t="array" ref="L12">INDEX(GMWQ!$A$2:$NF$60,MATCH(1,(GMWQ!$NE$2:$NE$60=L$3)*(GMWQ!$ND$2:$ND$60=L$4)*(GMWQ!$NF$2:$NF$60=L$1),0),$E12-1966)</f>
        <v>14694</v>
      </c>
      <c r="M12" s="13" cm="1">
        <f t="array" ref="M12">INDEX(GMWQ!$A$2:$NF$60,MATCH(1,(GMWQ!$NE$2:$NE$60=M$3)*(GMWQ!$ND$2:$ND$60=M$4)*(GMWQ!$NF$2:$NF$60=M$1),0),$E12-1966)</f>
        <v>136111</v>
      </c>
      <c r="N12" s="13" cm="1">
        <f t="array" ref="N12">INDEX(GMWQ!$A$2:$NF$60,MATCH(1,(GMWQ!$NE$2:$NE$60=N$3)*(GMWQ!$ND$2:$ND$60=N$4)*(GMWQ!$NF$2:$NF$60=N$1),0),$E12-1966)</f>
        <v>10.95538</v>
      </c>
    </row>
    <row r="13" spans="1:14" x14ac:dyDescent="0.25">
      <c r="B13" s="13">
        <f t="shared" si="2"/>
        <v>1974</v>
      </c>
      <c r="C13" s="13">
        <f t="shared" si="2"/>
        <v>1974</v>
      </c>
      <c r="E13" s="13">
        <f t="shared" si="1"/>
        <v>1979</v>
      </c>
      <c r="F13" s="13" cm="1">
        <f t="array" ref="F13">INDEX(GMWQ!$A$2:$NF$60,MATCH(1,(GMWQ!$NE$2:$NE$60=F$3)*(GMWQ!$ND$2:$ND$60=F$4)*(GMWQ!$NF$2:$NF$60=F$1),0),$E13-1966)</f>
        <v>15.049390000000001</v>
      </c>
      <c r="G13" s="13" cm="1">
        <f t="array" ref="G13">INDEX(GMWQ!$A$2:$NF$60,MATCH(1,(GMWQ!$NE$2:$NE$60=G$3)*(GMWQ!$ND$2:$ND$60=G$4)*(GMWQ!$NF$2:$NF$60=G$1),0),$E13-1966)</f>
        <v>843.23580000000004</v>
      </c>
      <c r="H13" s="13" cm="1">
        <f t="array" ref="H13">INDEX(GMWQ!$A$2:$NF$60,MATCH(1,(GMWQ!$NE$2:$NE$60=H$3)*(GMWQ!$ND$2:$ND$60=H$4)*(GMWQ!$NF$2:$NF$60=H$1),0),$E13-1966)</f>
        <v>20.242899999999999</v>
      </c>
      <c r="I13" s="13" cm="1">
        <f t="array" ref="I13">INDEX(GMWQ!$A$2:$NF$60,MATCH(1,(GMWQ!$NE$2:$NE$60=I$3)*(GMWQ!$ND$2:$ND$60=I$4)*(GMWQ!$NF$2:$NF$60=I$1),0),$E13-1966)</f>
        <v>4318</v>
      </c>
      <c r="J13" s="13" cm="1">
        <f t="array" ref="J13">INDEX(GMWQ!$A$2:$NF$60,MATCH(1,(GMWQ!$NE$2:$NE$60=J$3)*(GMWQ!$ND$2:$ND$60=J$4)*(GMWQ!$NF$2:$NF$60=J$1),0),$E13-1966)</f>
        <v>23896</v>
      </c>
      <c r="K13" s="13" cm="1">
        <f t="array" ref="K13">INDEX(GMWQ!$A$2:$NF$60,MATCH(1,(GMWQ!$NE$2:$NE$60=K$3)*(GMWQ!$ND$2:$ND$60=K$4)*(GMWQ!$NF$2:$NF$60=K$1),0),$E13-1966)</f>
        <v>12083</v>
      </c>
      <c r="L13" s="13" cm="1">
        <f t="array" ref="L13">INDEX(GMWQ!$A$2:$NF$60,MATCH(1,(GMWQ!$NE$2:$NE$60=L$3)*(GMWQ!$ND$2:$ND$60=L$4)*(GMWQ!$NF$2:$NF$60=L$1),0),$E13-1966)</f>
        <v>15881</v>
      </c>
      <c r="M13" s="13" cm="1">
        <f t="array" ref="M13">INDEX(GMWQ!$A$2:$NF$60,MATCH(1,(GMWQ!$NE$2:$NE$60=M$3)*(GMWQ!$ND$2:$ND$60=M$4)*(GMWQ!$NF$2:$NF$60=M$1),0),$E13-1966)</f>
        <v>141095</v>
      </c>
      <c r="N13" s="13" cm="1">
        <f t="array" ref="N13">INDEX(GMWQ!$A$2:$NF$60,MATCH(1,(GMWQ!$NE$2:$NE$60=N$3)*(GMWQ!$ND$2:$ND$60=N$4)*(GMWQ!$NF$2:$NF$60=N$1),0),$E13-1966)</f>
        <v>11.447800000000001</v>
      </c>
    </row>
    <row r="14" spans="1:14" x14ac:dyDescent="0.25">
      <c r="B14" s="13">
        <f t="shared" si="2"/>
        <v>1974</v>
      </c>
      <c r="C14" s="13">
        <f t="shared" si="2"/>
        <v>1974</v>
      </c>
      <c r="E14" s="13">
        <f t="shared" si="1"/>
        <v>1980</v>
      </c>
      <c r="F14" s="13" cm="1">
        <f t="array" ref="F14">INDEX(GMWQ!$A$2:$NF$60,MATCH(1,(GMWQ!$NE$2:$NE$60=F$3)*(GMWQ!$ND$2:$ND$60=F$4)*(GMWQ!$NF$2:$NF$60=F$1),0),$E14-1966)</f>
        <v>16.370239999999999</v>
      </c>
      <c r="G14" s="13" cm="1">
        <f t="array" ref="G14">INDEX(GMWQ!$A$2:$NF$60,MATCH(1,(GMWQ!$NE$2:$NE$60=G$3)*(GMWQ!$ND$2:$ND$60=G$4)*(GMWQ!$NF$2:$NF$60=G$1),0),$E14-1966)</f>
        <v>932.05669999999998</v>
      </c>
      <c r="H14" s="13" cm="1">
        <f t="array" ref="H14">INDEX(GMWQ!$A$2:$NF$60,MATCH(1,(GMWQ!$NE$2:$NE$60=H$3)*(GMWQ!$ND$2:$ND$60=H$4)*(GMWQ!$NF$2:$NF$60=H$1),0),$E14-1966)</f>
        <v>21.924240000000001</v>
      </c>
      <c r="I14" s="13" cm="1">
        <f t="array" ref="I14">INDEX(GMWQ!$A$2:$NF$60,MATCH(1,(GMWQ!$NE$2:$NE$60=I$3)*(GMWQ!$ND$2:$ND$60=I$4)*(GMWQ!$NF$2:$NF$60=I$1),0),$E14-1966)</f>
        <v>4226</v>
      </c>
      <c r="J14" s="13" cm="1">
        <f t="array" ref="J14">INDEX(GMWQ!$A$2:$NF$60,MATCH(1,(GMWQ!$NE$2:$NE$60=J$3)*(GMWQ!$ND$2:$ND$60=J$4)*(GMWQ!$NF$2:$NF$60=J$1),0),$E14-1966)</f>
        <v>24994</v>
      </c>
      <c r="K14" s="13" cm="1">
        <f t="array" ref="K14">INDEX(GMWQ!$A$2:$NF$60,MATCH(1,(GMWQ!$NE$2:$NE$60=K$3)*(GMWQ!$ND$2:$ND$60=K$4)*(GMWQ!$NF$2:$NF$60=K$1),0),$E14-1966)</f>
        <v>12912</v>
      </c>
      <c r="L14" s="13" cm="1">
        <f t="array" ref="L14">INDEX(GMWQ!$A$2:$NF$60,MATCH(1,(GMWQ!$NE$2:$NE$60=L$3)*(GMWQ!$ND$2:$ND$60=L$4)*(GMWQ!$NF$2:$NF$60=L$1),0),$E14-1966)</f>
        <v>16728</v>
      </c>
      <c r="M14" s="13" cm="1">
        <f t="array" ref="M14">INDEX(GMWQ!$A$2:$NF$60,MATCH(1,(GMWQ!$NE$2:$NE$60=M$3)*(GMWQ!$ND$2:$ND$60=M$4)*(GMWQ!$NF$2:$NF$60=M$1),0),$E14-1966)</f>
        <v>140771</v>
      </c>
      <c r="N14" s="13" cm="1">
        <f t="array" ref="N14">INDEX(GMWQ!$A$2:$NF$60,MATCH(1,(GMWQ!$NE$2:$NE$60=N$3)*(GMWQ!$ND$2:$ND$60=N$4)*(GMWQ!$NF$2:$NF$60=N$1),0),$E14-1966)</f>
        <v>12.08724</v>
      </c>
    </row>
    <row r="15" spans="1:14" x14ac:dyDescent="0.25">
      <c r="A15" s="13">
        <v>1975</v>
      </c>
      <c r="B15" s="13">
        <f t="shared" si="2"/>
        <v>1975</v>
      </c>
      <c r="C15" s="13">
        <f t="shared" si="2"/>
        <v>1974</v>
      </c>
      <c r="D15" s="13">
        <f t="shared" si="2"/>
        <v>1974</v>
      </c>
      <c r="E15" s="13">
        <f t="shared" si="1"/>
        <v>1981</v>
      </c>
      <c r="F15" s="13" cm="1">
        <f t="array" ref="F15">INDEX(GMWQ!$A$2:$NF$60,MATCH(1,(GMWQ!$NE$2:$NE$60=F$3)*(GMWQ!$ND$2:$ND$60=F$4)*(GMWQ!$NF$2:$NF$60=F$1),0),$E15-1966)</f>
        <v>18.178339999999999</v>
      </c>
      <c r="G15" s="13" cm="1">
        <f t="array" ref="G15">INDEX(GMWQ!$A$2:$NF$60,MATCH(1,(GMWQ!$NE$2:$NE$60=G$3)*(GMWQ!$ND$2:$ND$60=G$4)*(GMWQ!$NF$2:$NF$60=G$1),0),$E15-1966)</f>
        <v>1014.1319999999999</v>
      </c>
      <c r="H15" s="13" cm="1">
        <f t="array" ref="H15">INDEX(GMWQ!$A$2:$NF$60,MATCH(1,(GMWQ!$NE$2:$NE$60=H$3)*(GMWQ!$ND$2:$ND$60=H$4)*(GMWQ!$NF$2:$NF$60=H$1),0),$E15-1966)</f>
        <v>23.39659</v>
      </c>
      <c r="I15" s="13" cm="1">
        <f t="array" ref="I15">INDEX(GMWQ!$A$2:$NF$60,MATCH(1,(GMWQ!$NE$2:$NE$60=I$3)*(GMWQ!$ND$2:$ND$60=I$4)*(GMWQ!$NF$2:$NF$60=I$1),0),$E15-1966)</f>
        <v>4199</v>
      </c>
      <c r="J15" s="13" cm="1">
        <f t="array" ref="J15">INDEX(GMWQ!$A$2:$NF$60,MATCH(1,(GMWQ!$NE$2:$NE$60=J$3)*(GMWQ!$ND$2:$ND$60=J$4)*(GMWQ!$NF$2:$NF$60=J$1),0),$E15-1966)</f>
        <v>26814</v>
      </c>
      <c r="K15" s="13" cm="1">
        <f t="array" ref="K15">INDEX(GMWQ!$A$2:$NF$60,MATCH(1,(GMWQ!$NE$2:$NE$60=K$3)*(GMWQ!$ND$2:$ND$60=K$4)*(GMWQ!$NF$2:$NF$60=K$1),0),$E15-1966)</f>
        <v>14391</v>
      </c>
      <c r="L15" s="13" cm="1">
        <f t="array" ref="L15">INDEX(GMWQ!$A$2:$NF$60,MATCH(1,(GMWQ!$NE$2:$NE$60=L$3)*(GMWQ!$ND$2:$ND$60=L$4)*(GMWQ!$NF$2:$NF$60=L$1),0),$E15-1966)</f>
        <v>18231</v>
      </c>
      <c r="M15" s="13" cm="1">
        <f t="array" ref="M15">INDEX(GMWQ!$A$2:$NF$60,MATCH(1,(GMWQ!$NE$2:$NE$60=M$3)*(GMWQ!$ND$2:$ND$60=M$4)*(GMWQ!$NF$2:$NF$60=M$1),0),$E15-1966)</f>
        <v>143397</v>
      </c>
      <c r="N15" s="13" cm="1">
        <f t="array" ref="N15">INDEX(GMWQ!$A$2:$NF$60,MATCH(1,(GMWQ!$NE$2:$NE$60=N$3)*(GMWQ!$ND$2:$ND$60=N$4)*(GMWQ!$NF$2:$NF$60=N$1),0),$E15-1966)</f>
        <v>12.905250000000001</v>
      </c>
    </row>
    <row r="16" spans="1:14" x14ac:dyDescent="0.25">
      <c r="B16" s="13">
        <f t="shared" si="2"/>
        <v>1975</v>
      </c>
      <c r="C16" s="13">
        <f t="shared" si="2"/>
        <v>1975</v>
      </c>
      <c r="E16" s="13">
        <f t="shared" si="1"/>
        <v>1982</v>
      </c>
      <c r="F16" s="13" cm="1">
        <f t="array" ref="F16">INDEX(GMWQ!$A$2:$NF$60,MATCH(1,(GMWQ!$NE$2:$NE$60=F$3)*(GMWQ!$ND$2:$ND$60=F$4)*(GMWQ!$NF$2:$NF$60=F$1),0),$E16-1966)</f>
        <v>19.014800000000001</v>
      </c>
      <c r="G16" s="13" cm="1">
        <f t="array" ref="G16">INDEX(GMWQ!$A$2:$NF$60,MATCH(1,(GMWQ!$NE$2:$NE$60=G$3)*(GMWQ!$ND$2:$ND$60=G$4)*(GMWQ!$NF$2:$NF$60=G$1),0),$E16-1966)</f>
        <v>1131.06</v>
      </c>
      <c r="H16" s="13" cm="1">
        <f t="array" ref="H16">INDEX(GMWQ!$A$2:$NF$60,MATCH(1,(GMWQ!$NE$2:$NE$60=H$3)*(GMWQ!$ND$2:$ND$60=H$4)*(GMWQ!$NF$2:$NF$60=H$1),0),$E16-1966)</f>
        <v>24.964189999999999</v>
      </c>
      <c r="I16" s="13" cm="1">
        <f t="array" ref="I16">INDEX(GMWQ!$A$2:$NF$60,MATCH(1,(GMWQ!$NE$2:$NE$60=I$3)*(GMWQ!$ND$2:$ND$60=I$4)*(GMWQ!$NF$2:$NF$60=I$1),0),$E16-1966)</f>
        <v>4286</v>
      </c>
      <c r="J16" s="13" cm="1">
        <f t="array" ref="J16">INDEX(GMWQ!$A$2:$NF$60,MATCH(1,(GMWQ!$NE$2:$NE$60=J$3)*(GMWQ!$ND$2:$ND$60=J$4)*(GMWQ!$NF$2:$NF$60=J$1),0),$E16-1966)</f>
        <v>28129</v>
      </c>
      <c r="K16" s="13" cm="1">
        <f t="array" ref="K16">INDEX(GMWQ!$A$2:$NF$60,MATCH(1,(GMWQ!$NE$2:$NE$60=K$3)*(GMWQ!$ND$2:$ND$60=K$4)*(GMWQ!$NF$2:$NF$60=K$1),0),$E16-1966)</f>
        <v>14659</v>
      </c>
      <c r="L16" s="13" cm="1">
        <f t="array" ref="L16">INDEX(GMWQ!$A$2:$NF$60,MATCH(1,(GMWQ!$NE$2:$NE$60=L$3)*(GMWQ!$ND$2:$ND$60=L$4)*(GMWQ!$NF$2:$NF$60=L$1),0),$E16-1966)</f>
        <v>18613</v>
      </c>
      <c r="M16" s="13" cm="1">
        <f t="array" ref="M16">INDEX(GMWQ!$A$2:$NF$60,MATCH(1,(GMWQ!$NE$2:$NE$60=M$3)*(GMWQ!$ND$2:$ND$60=M$4)*(GMWQ!$NF$2:$NF$60=M$1),0),$E16-1966)</f>
        <v>138847</v>
      </c>
      <c r="N16" s="13" cm="1">
        <f t="array" ref="N16">INDEX(GMWQ!$A$2:$NF$60,MATCH(1,(GMWQ!$NE$2:$NE$60=N$3)*(GMWQ!$ND$2:$ND$60=N$4)*(GMWQ!$NF$2:$NF$60=N$1),0),$E16-1966)</f>
        <v>13.60613</v>
      </c>
    </row>
    <row r="17" spans="1:14" x14ac:dyDescent="0.25">
      <c r="B17" s="13">
        <f t="shared" si="2"/>
        <v>1975</v>
      </c>
      <c r="C17" s="13">
        <f t="shared" si="2"/>
        <v>1975</v>
      </c>
      <c r="E17" s="13">
        <f t="shared" si="1"/>
        <v>1983</v>
      </c>
      <c r="F17" s="13" cm="1">
        <f t="array" ref="F17">INDEX(GMWQ!$A$2:$NF$60,MATCH(1,(GMWQ!$NE$2:$NE$60=F$3)*(GMWQ!$ND$2:$ND$60=F$4)*(GMWQ!$NF$2:$NF$60=F$1),0),$E17-1966)</f>
        <v>20.264759999999999</v>
      </c>
      <c r="G17" s="13" cm="1">
        <f t="array" ref="G17">INDEX(GMWQ!$A$2:$NF$60,MATCH(1,(GMWQ!$NE$2:$NE$60=G$3)*(GMWQ!$ND$2:$ND$60=G$4)*(GMWQ!$NF$2:$NF$60=G$1),0),$E17-1966)</f>
        <v>1191.7729999999999</v>
      </c>
      <c r="H17" s="13" cm="1">
        <f t="array" ref="H17">INDEX(GMWQ!$A$2:$NF$60,MATCH(1,(GMWQ!$NE$2:$NE$60=H$3)*(GMWQ!$ND$2:$ND$60=H$4)*(GMWQ!$NF$2:$NF$60=H$1),0),$E17-1966)</f>
        <v>27.02938</v>
      </c>
      <c r="I17" s="13" cm="1">
        <f t="array" ref="I17">INDEX(GMWQ!$A$2:$NF$60,MATCH(1,(GMWQ!$NE$2:$NE$60=I$3)*(GMWQ!$ND$2:$ND$60=I$4)*(GMWQ!$NF$2:$NF$60=I$1),0),$E17-1966)</f>
        <v>4257</v>
      </c>
      <c r="J17" s="13" cm="1">
        <f t="array" ref="J17">INDEX(GMWQ!$A$2:$NF$60,MATCH(1,(GMWQ!$NE$2:$NE$60=J$3)*(GMWQ!$ND$2:$ND$60=J$4)*(GMWQ!$NF$2:$NF$60=J$1),0),$E17-1966)</f>
        <v>29260</v>
      </c>
      <c r="K17" s="13" cm="1">
        <f t="array" ref="K17">INDEX(GMWQ!$A$2:$NF$60,MATCH(1,(GMWQ!$NE$2:$NE$60=K$3)*(GMWQ!$ND$2:$ND$60=K$4)*(GMWQ!$NF$2:$NF$60=K$1),0),$E17-1966)</f>
        <v>15563</v>
      </c>
      <c r="L17" s="13" cm="1">
        <f t="array" ref="L17">INDEX(GMWQ!$A$2:$NF$60,MATCH(1,(GMWQ!$NE$2:$NE$60=L$3)*(GMWQ!$ND$2:$ND$60=L$4)*(GMWQ!$NF$2:$NF$60=L$1),0),$E17-1966)</f>
        <v>19564</v>
      </c>
      <c r="M17" s="13" cm="1">
        <f t="array" ref="M17">INDEX(GMWQ!$A$2:$NF$60,MATCH(1,(GMWQ!$NE$2:$NE$60=M$3)*(GMWQ!$ND$2:$ND$60=M$4)*(GMWQ!$NF$2:$NF$60=M$1),0),$E17-1966)</f>
        <v>140319</v>
      </c>
      <c r="N17" s="13" cm="1">
        <f t="array" ref="N17">INDEX(GMWQ!$A$2:$NF$60,MATCH(1,(GMWQ!$NE$2:$NE$60=N$3)*(GMWQ!$ND$2:$ND$60=N$4)*(GMWQ!$NF$2:$NF$60=N$1),0),$E17-1966)</f>
        <v>14.14667</v>
      </c>
    </row>
    <row r="18" spans="1:14" x14ac:dyDescent="0.25">
      <c r="B18" s="13">
        <f t="shared" si="2"/>
        <v>1975</v>
      </c>
      <c r="C18" s="13">
        <f t="shared" si="2"/>
        <v>1975</v>
      </c>
      <c r="E18" s="13">
        <f t="shared" si="1"/>
        <v>1984</v>
      </c>
      <c r="F18" s="13" cm="1">
        <f t="array" ref="F18">INDEX(GMWQ!$A$2:$NF$60,MATCH(1,(GMWQ!$NE$2:$NE$60=F$3)*(GMWQ!$ND$2:$ND$60=F$4)*(GMWQ!$NF$2:$NF$60=F$1),0),$E18-1966)</f>
        <v>20.490079999999999</v>
      </c>
      <c r="G18" s="13" cm="1">
        <f t="array" ref="G18">INDEX(GMWQ!$A$2:$NF$60,MATCH(1,(GMWQ!$NE$2:$NE$60=G$3)*(GMWQ!$ND$2:$ND$60=G$4)*(GMWQ!$NF$2:$NF$60=G$1),0),$E18-1966)</f>
        <v>1236.7460000000001</v>
      </c>
      <c r="H18" s="13" cm="1">
        <f t="array" ref="H18">INDEX(GMWQ!$A$2:$NF$60,MATCH(1,(GMWQ!$NE$2:$NE$60=H$3)*(GMWQ!$ND$2:$ND$60=H$4)*(GMWQ!$NF$2:$NF$60=H$1),0),$E18-1966)</f>
        <v>28.37567</v>
      </c>
      <c r="I18" s="13" cm="1">
        <f t="array" ref="I18">INDEX(GMWQ!$A$2:$NF$60,MATCH(1,(GMWQ!$NE$2:$NE$60=I$3)*(GMWQ!$ND$2:$ND$60=I$4)*(GMWQ!$NF$2:$NF$60=I$1),0),$E18-1966)</f>
        <v>4955</v>
      </c>
      <c r="J18" s="13" cm="1">
        <f t="array" ref="J18">INDEX(GMWQ!$A$2:$NF$60,MATCH(1,(GMWQ!$NE$2:$NE$60=J$3)*(GMWQ!$ND$2:$ND$60=J$4)*(GMWQ!$NF$2:$NF$60=J$1),0),$E18-1966)</f>
        <v>30890</v>
      </c>
      <c r="K18" s="13" cm="1">
        <f t="array" ref="K18">INDEX(GMWQ!$A$2:$NF$60,MATCH(1,(GMWQ!$NE$2:$NE$60=K$3)*(GMWQ!$ND$2:$ND$60=K$4)*(GMWQ!$NF$2:$NF$60=K$1),0),$E18-1966)</f>
        <v>15848</v>
      </c>
      <c r="L18" s="13" cm="1">
        <f t="array" ref="L18">INDEX(GMWQ!$A$2:$NF$60,MATCH(1,(GMWQ!$NE$2:$NE$60=L$3)*(GMWQ!$ND$2:$ND$60=L$4)*(GMWQ!$NF$2:$NF$60=L$1),0),$E18-1966)</f>
        <v>20194</v>
      </c>
      <c r="M18" s="13" cm="1">
        <f t="array" ref="M18">INDEX(GMWQ!$A$2:$NF$60,MATCH(1,(GMWQ!$NE$2:$NE$60=M$3)*(GMWQ!$ND$2:$ND$60=M$4)*(GMWQ!$NF$2:$NF$60=M$1),0),$E18-1966)</f>
        <v>137808</v>
      </c>
      <c r="N18" s="13" cm="1">
        <f t="array" ref="N18">INDEX(GMWQ!$A$2:$NF$60,MATCH(1,(GMWQ!$NE$2:$NE$60=N$3)*(GMWQ!$ND$2:$ND$60=N$4)*(GMWQ!$NF$2:$NF$60=N$1),0),$E18-1966)</f>
        <v>14.88836</v>
      </c>
    </row>
    <row r="19" spans="1:14" x14ac:dyDescent="0.25">
      <c r="A19" s="13">
        <v>1976</v>
      </c>
      <c r="B19" s="13">
        <f t="shared" si="2"/>
        <v>1976</v>
      </c>
      <c r="C19" s="13">
        <f t="shared" si="2"/>
        <v>1975</v>
      </c>
      <c r="D19" s="13">
        <f t="shared" si="2"/>
        <v>1975</v>
      </c>
      <c r="E19" s="13">
        <f t="shared" si="1"/>
        <v>1985</v>
      </c>
      <c r="F19" s="13" cm="1">
        <f t="array" ref="F19">INDEX(GMWQ!$A$2:$NF$60,MATCH(1,(GMWQ!$NE$2:$NE$60=F$3)*(GMWQ!$ND$2:$ND$60=F$4)*(GMWQ!$NF$2:$NF$60=F$1),0),$E19-1966)</f>
        <v>20.755050000000001</v>
      </c>
      <c r="G19" s="13" cm="1">
        <f t="array" ref="G19">INDEX(GMWQ!$A$2:$NF$60,MATCH(1,(GMWQ!$NE$2:$NE$60=G$3)*(GMWQ!$ND$2:$ND$60=G$4)*(GMWQ!$NF$2:$NF$60=G$1),0),$E19-1966)</f>
        <v>1310.951</v>
      </c>
      <c r="H19" s="13" cm="1">
        <f t="array" ref="H19">INDEX(GMWQ!$A$2:$NF$60,MATCH(1,(GMWQ!$NE$2:$NE$60=H$3)*(GMWQ!$ND$2:$ND$60=H$4)*(GMWQ!$NF$2:$NF$60=H$1),0),$E19-1966)</f>
        <v>29.357140000000001</v>
      </c>
      <c r="I19" s="13" cm="1">
        <f t="array" ref="I19">INDEX(GMWQ!$A$2:$NF$60,MATCH(1,(GMWQ!$NE$2:$NE$60=I$3)*(GMWQ!$ND$2:$ND$60=I$4)*(GMWQ!$NF$2:$NF$60=I$1),0),$E19-1966)</f>
        <v>5071</v>
      </c>
      <c r="J19" s="13" cm="1">
        <f t="array" ref="J19">INDEX(GMWQ!$A$2:$NF$60,MATCH(1,(GMWQ!$NE$2:$NE$60=J$3)*(GMWQ!$ND$2:$ND$60=J$4)*(GMWQ!$NF$2:$NF$60=J$1),0),$E19-1966)</f>
        <v>32449</v>
      </c>
      <c r="K19" s="13" cm="1">
        <f t="array" ref="K19">INDEX(GMWQ!$A$2:$NF$60,MATCH(1,(GMWQ!$NE$2:$NE$60=K$3)*(GMWQ!$ND$2:$ND$60=K$4)*(GMWQ!$NF$2:$NF$60=K$1),0),$E19-1966)</f>
        <v>16278</v>
      </c>
      <c r="L19" s="13" cm="1">
        <f t="array" ref="L19">INDEX(GMWQ!$A$2:$NF$60,MATCH(1,(GMWQ!$NE$2:$NE$60=L$3)*(GMWQ!$ND$2:$ND$60=L$4)*(GMWQ!$NF$2:$NF$60=L$1),0),$E19-1966)</f>
        <v>21295</v>
      </c>
      <c r="M19" s="13" cm="1">
        <f t="array" ref="M19">INDEX(GMWQ!$A$2:$NF$60,MATCH(1,(GMWQ!$NE$2:$NE$60=M$3)*(GMWQ!$ND$2:$ND$60=M$4)*(GMWQ!$NF$2:$NF$60=M$1),0),$E19-1966)</f>
        <v>139742</v>
      </c>
      <c r="N19" s="13" cm="1">
        <f t="array" ref="N19">INDEX(GMWQ!$A$2:$NF$60,MATCH(1,(GMWQ!$NE$2:$NE$60=N$3)*(GMWQ!$ND$2:$ND$60=N$4)*(GMWQ!$NF$2:$NF$60=N$1),0),$E19-1966)</f>
        <v>15.45439</v>
      </c>
    </row>
    <row r="20" spans="1:14" x14ac:dyDescent="0.25">
      <c r="B20" s="13">
        <f t="shared" si="2"/>
        <v>1976</v>
      </c>
      <c r="C20" s="13">
        <f t="shared" si="2"/>
        <v>1976</v>
      </c>
      <c r="E20" s="13">
        <f t="shared" si="1"/>
        <v>1986</v>
      </c>
      <c r="F20" s="13" cm="1">
        <f t="array" ref="F20">INDEX(GMWQ!$A$2:$NF$60,MATCH(1,(GMWQ!$NE$2:$NE$60=F$3)*(GMWQ!$ND$2:$ND$60=F$4)*(GMWQ!$NF$2:$NF$60=F$1),0),$E20-1966)</f>
        <v>21.472860000000001</v>
      </c>
      <c r="G20" s="13" cm="1">
        <f t="array" ref="G20">INDEX(GMWQ!$A$2:$NF$60,MATCH(1,(GMWQ!$NE$2:$NE$60=G$3)*(GMWQ!$ND$2:$ND$60=G$4)*(GMWQ!$NF$2:$NF$60=G$1),0),$E20-1966)</f>
        <v>1421.133</v>
      </c>
      <c r="H20" s="13" cm="1">
        <f t="array" ref="H20">INDEX(GMWQ!$A$2:$NF$60,MATCH(1,(GMWQ!$NE$2:$NE$60=H$3)*(GMWQ!$ND$2:$ND$60=H$4)*(GMWQ!$NF$2:$NF$60=H$1),0),$E20-1966)</f>
        <v>30.793579999999999</v>
      </c>
      <c r="I20" s="13" cm="1">
        <f t="array" ref="I20">INDEX(GMWQ!$A$2:$NF$60,MATCH(1,(GMWQ!$NE$2:$NE$60=I$3)*(GMWQ!$ND$2:$ND$60=I$4)*(GMWQ!$NF$2:$NF$60=I$1),0),$E20-1966)</f>
        <v>5072</v>
      </c>
      <c r="J20" s="13" cm="1">
        <f t="array" ref="J20">INDEX(GMWQ!$A$2:$NF$60,MATCH(1,(GMWQ!$NE$2:$NE$60=J$3)*(GMWQ!$ND$2:$ND$60=J$4)*(GMWQ!$NF$2:$NF$60=J$1),0),$E20-1966)</f>
        <v>33322</v>
      </c>
      <c r="K20" s="13" cm="1">
        <f t="array" ref="K20">INDEX(GMWQ!$A$2:$NF$60,MATCH(1,(GMWQ!$NE$2:$NE$60=K$3)*(GMWQ!$ND$2:$ND$60=K$4)*(GMWQ!$NF$2:$NF$60=K$1),0),$E20-1966)</f>
        <v>16723</v>
      </c>
      <c r="L20" s="13" cm="1">
        <f t="array" ref="L20">INDEX(GMWQ!$A$2:$NF$60,MATCH(1,(GMWQ!$NE$2:$NE$60=L$3)*(GMWQ!$ND$2:$ND$60=L$4)*(GMWQ!$NF$2:$NF$60=L$1),0),$E20-1966)</f>
        <v>21568</v>
      </c>
      <c r="M20" s="13" cm="1">
        <f t="array" ref="M20">INDEX(GMWQ!$A$2:$NF$60,MATCH(1,(GMWQ!$NE$2:$NE$60=M$3)*(GMWQ!$ND$2:$ND$60=M$4)*(GMWQ!$NF$2:$NF$60=M$1),0),$E20-1966)</f>
        <v>138168</v>
      </c>
      <c r="N20" s="13" cm="1">
        <f t="array" ref="N20">INDEX(GMWQ!$A$2:$NF$60,MATCH(1,(GMWQ!$NE$2:$NE$60=N$3)*(GMWQ!$ND$2:$ND$60=N$4)*(GMWQ!$NF$2:$NF$60=N$1),0),$E20-1966)</f>
        <v>15.83728</v>
      </c>
    </row>
    <row r="21" spans="1:14" x14ac:dyDescent="0.25">
      <c r="B21" s="13">
        <f t="shared" si="2"/>
        <v>1976</v>
      </c>
      <c r="C21" s="13">
        <f t="shared" si="2"/>
        <v>1976</v>
      </c>
      <c r="E21" s="13">
        <f t="shared" si="1"/>
        <v>1987</v>
      </c>
      <c r="F21" s="13" cm="1">
        <f t="array" ref="F21">INDEX(GMWQ!$A$2:$NF$60,MATCH(1,(GMWQ!$NE$2:$NE$60=F$3)*(GMWQ!$ND$2:$ND$60=F$4)*(GMWQ!$NF$2:$NF$60=F$1),0),$E21-1966)</f>
        <v>21.82996</v>
      </c>
      <c r="G21" s="13" cm="1">
        <f t="array" ref="G21">INDEX(GMWQ!$A$2:$NF$60,MATCH(1,(GMWQ!$NE$2:$NE$60=G$3)*(GMWQ!$ND$2:$ND$60=G$4)*(GMWQ!$NF$2:$NF$60=G$1),0),$E21-1966)</f>
        <v>1454.8630000000001</v>
      </c>
      <c r="H21" s="13" cm="1">
        <f t="array" ref="H21">INDEX(GMWQ!$A$2:$NF$60,MATCH(1,(GMWQ!$NE$2:$NE$60=H$3)*(GMWQ!$ND$2:$ND$60=H$4)*(GMWQ!$NF$2:$NF$60=H$1),0),$E21-1966)</f>
        <v>32.301470000000002</v>
      </c>
      <c r="I21" s="13" cm="1">
        <f t="array" ref="I21">INDEX(GMWQ!$A$2:$NF$60,MATCH(1,(GMWQ!$NE$2:$NE$60=I$3)*(GMWQ!$ND$2:$ND$60=I$4)*(GMWQ!$NF$2:$NF$60=I$1),0),$E21-1966)</f>
        <v>5440</v>
      </c>
      <c r="J21" s="13" cm="1">
        <f t="array" ref="J21">INDEX(GMWQ!$A$2:$NF$60,MATCH(1,(GMWQ!$NE$2:$NE$60=J$3)*(GMWQ!$ND$2:$ND$60=J$4)*(GMWQ!$NF$2:$NF$60=J$1),0),$E21-1966)</f>
        <v>34550</v>
      </c>
      <c r="K21" s="13" cm="1">
        <f t="array" ref="K21">INDEX(GMWQ!$A$2:$NF$60,MATCH(1,(GMWQ!$NE$2:$NE$60=K$3)*(GMWQ!$ND$2:$ND$60=K$4)*(GMWQ!$NF$2:$NF$60=K$1),0),$E21-1966)</f>
        <v>17202</v>
      </c>
      <c r="L21" s="13" cm="1">
        <f t="array" ref="L21">INDEX(GMWQ!$A$2:$NF$60,MATCH(1,(GMWQ!$NE$2:$NE$60=L$3)*(GMWQ!$ND$2:$ND$60=L$4)*(GMWQ!$NF$2:$NF$60=L$1),0),$E21-1966)</f>
        <v>22876</v>
      </c>
      <c r="M21" s="13" cm="1">
        <f t="array" ref="M21">INDEX(GMWQ!$A$2:$NF$60,MATCH(1,(GMWQ!$NE$2:$NE$60=M$3)*(GMWQ!$ND$2:$ND$60=M$4)*(GMWQ!$NF$2:$NF$60=M$1),0),$E21-1966)</f>
        <v>142668</v>
      </c>
      <c r="N21" s="13" cm="1">
        <f t="array" ref="N21">INDEX(GMWQ!$A$2:$NF$60,MATCH(1,(GMWQ!$NE$2:$NE$60=N$3)*(GMWQ!$ND$2:$ND$60=N$4)*(GMWQ!$NF$2:$NF$60=N$1),0),$E21-1966)</f>
        <v>16.26755</v>
      </c>
    </row>
    <row r="22" spans="1:14" x14ac:dyDescent="0.25">
      <c r="B22" s="13">
        <f t="shared" si="2"/>
        <v>1976</v>
      </c>
      <c r="C22" s="13">
        <f t="shared" si="2"/>
        <v>1976</v>
      </c>
      <c r="E22" s="13">
        <f t="shared" si="1"/>
        <v>1988</v>
      </c>
      <c r="F22" s="13" cm="1">
        <f t="array" ref="F22">INDEX(GMWQ!$A$2:$NF$60,MATCH(1,(GMWQ!$NE$2:$NE$60=F$3)*(GMWQ!$ND$2:$ND$60=F$4)*(GMWQ!$NF$2:$NF$60=F$1),0),$E22-1966)</f>
        <v>21.986699999999999</v>
      </c>
      <c r="G22" s="13" cm="1">
        <f t="array" ref="G22">INDEX(GMWQ!$A$2:$NF$60,MATCH(1,(GMWQ!$NE$2:$NE$60=G$3)*(GMWQ!$ND$2:$ND$60=G$4)*(GMWQ!$NF$2:$NF$60=G$1),0),$E22-1966)</f>
        <v>1508.83</v>
      </c>
      <c r="H22" s="13" cm="1">
        <f t="array" ref="H22">INDEX(GMWQ!$A$2:$NF$60,MATCH(1,(GMWQ!$NE$2:$NE$60=H$3)*(GMWQ!$ND$2:$ND$60=H$4)*(GMWQ!$NF$2:$NF$60=H$1),0),$E22-1966)</f>
        <v>33.18535</v>
      </c>
      <c r="I22" s="13" cm="1">
        <f t="array" ref="I22">INDEX(GMWQ!$A$2:$NF$60,MATCH(1,(GMWQ!$NE$2:$NE$60=I$3)*(GMWQ!$ND$2:$ND$60=I$4)*(GMWQ!$NF$2:$NF$60=I$1),0),$E22-1966)</f>
        <v>6497</v>
      </c>
      <c r="J22" s="13" cm="1">
        <f t="array" ref="J22">INDEX(GMWQ!$A$2:$NF$60,MATCH(1,(GMWQ!$NE$2:$NE$60=J$3)*(GMWQ!$ND$2:$ND$60=J$4)*(GMWQ!$NF$2:$NF$60=J$1),0),$E22-1966)</f>
        <v>36678</v>
      </c>
      <c r="K22" s="13" cm="1">
        <f t="array" ref="K22">INDEX(GMWQ!$A$2:$NF$60,MATCH(1,(GMWQ!$NE$2:$NE$60=K$3)*(GMWQ!$ND$2:$ND$60=K$4)*(GMWQ!$NF$2:$NF$60=K$1),0),$E22-1966)</f>
        <v>17685</v>
      </c>
      <c r="L22" s="13" cm="1">
        <f t="array" ref="L22">INDEX(GMWQ!$A$2:$NF$60,MATCH(1,(GMWQ!$NE$2:$NE$60=L$3)*(GMWQ!$ND$2:$ND$60=L$4)*(GMWQ!$NF$2:$NF$60=L$1),0),$E22-1966)</f>
        <v>23450</v>
      </c>
      <c r="M22" s="13" cm="1">
        <f t="array" ref="M22">INDEX(GMWQ!$A$2:$NF$60,MATCH(1,(GMWQ!$NE$2:$NE$60=M$3)*(GMWQ!$ND$2:$ND$60=M$4)*(GMWQ!$NF$2:$NF$60=M$1),0),$E22-1966)</f>
        <v>139028</v>
      </c>
      <c r="N22" s="13" cm="1">
        <f t="array" ref="N22">INDEX(GMWQ!$A$2:$NF$60,MATCH(1,(GMWQ!$NE$2:$NE$60=N$3)*(GMWQ!$ND$2:$ND$60=N$4)*(GMWQ!$NF$2:$NF$60=N$1),0),$E22-1966)</f>
        <v>17.121690000000001</v>
      </c>
    </row>
    <row r="23" spans="1:14" x14ac:dyDescent="0.25">
      <c r="A23" s="13">
        <v>1977</v>
      </c>
      <c r="B23" s="13">
        <f t="shared" si="2"/>
        <v>1977</v>
      </c>
      <c r="C23" s="13">
        <f t="shared" si="2"/>
        <v>1976</v>
      </c>
      <c r="D23" s="13">
        <f t="shared" si="2"/>
        <v>1976</v>
      </c>
      <c r="E23" s="13">
        <f t="shared" si="1"/>
        <v>1989</v>
      </c>
      <c r="F23" s="13" cm="1">
        <f t="array" ref="F23">INDEX(GMWQ!$A$2:$NF$60,MATCH(1,(GMWQ!$NE$2:$NE$60=F$3)*(GMWQ!$ND$2:$ND$60=F$4)*(GMWQ!$NF$2:$NF$60=F$1),0),$E23-1966)</f>
        <v>22.594069999999999</v>
      </c>
      <c r="G23" s="13" cm="1">
        <f t="array" ref="G23">INDEX(GMWQ!$A$2:$NF$60,MATCH(1,(GMWQ!$NE$2:$NE$60=G$3)*(GMWQ!$ND$2:$ND$60=G$4)*(GMWQ!$NF$2:$NF$60=G$1),0),$E23-1966)</f>
        <v>1574.04</v>
      </c>
      <c r="H23" s="13" cm="1">
        <f t="array" ref="H23">INDEX(GMWQ!$A$2:$NF$60,MATCH(1,(GMWQ!$NE$2:$NE$60=H$3)*(GMWQ!$ND$2:$ND$60=H$4)*(GMWQ!$NF$2:$NF$60=H$1),0),$E23-1966)</f>
        <v>33.540489999999998</v>
      </c>
      <c r="I23" s="13" cm="1">
        <f t="array" ref="I23">INDEX(GMWQ!$A$2:$NF$60,MATCH(1,(GMWQ!$NE$2:$NE$60=I$3)*(GMWQ!$ND$2:$ND$60=I$4)*(GMWQ!$NF$2:$NF$60=I$1),0),$E23-1966)</f>
        <v>7199</v>
      </c>
      <c r="J23" s="13" cm="1">
        <f t="array" ref="J23">INDEX(GMWQ!$A$2:$NF$60,MATCH(1,(GMWQ!$NE$2:$NE$60=J$3)*(GMWQ!$ND$2:$ND$60=J$4)*(GMWQ!$NF$2:$NF$60=J$1),0),$E23-1966)</f>
        <v>38038</v>
      </c>
      <c r="K23" s="13" cm="1">
        <f t="array" ref="K23">INDEX(GMWQ!$A$2:$NF$60,MATCH(1,(GMWQ!$NE$2:$NE$60=K$3)*(GMWQ!$ND$2:$ND$60=K$4)*(GMWQ!$NF$2:$NF$60=K$1),0),$E23-1966)</f>
        <v>18192</v>
      </c>
      <c r="L23" s="13" cm="1">
        <f t="array" ref="L23">INDEX(GMWQ!$A$2:$NF$60,MATCH(1,(GMWQ!$NE$2:$NE$60=L$3)*(GMWQ!$ND$2:$ND$60=L$4)*(GMWQ!$NF$2:$NF$60=L$1),0),$E23-1966)</f>
        <v>23884</v>
      </c>
      <c r="M23" s="13" cm="1">
        <f t="array" ref="M23">INDEX(GMWQ!$A$2:$NF$60,MATCH(1,(GMWQ!$NE$2:$NE$60=M$3)*(GMWQ!$ND$2:$ND$60=M$4)*(GMWQ!$NF$2:$NF$60=M$1),0),$E23-1966)</f>
        <v>135347</v>
      </c>
      <c r="N23" s="13" cm="1">
        <f t="array" ref="N23">INDEX(GMWQ!$A$2:$NF$60,MATCH(1,(GMWQ!$NE$2:$NE$60=N$3)*(GMWQ!$ND$2:$ND$60=N$4)*(GMWQ!$NF$2:$NF$60=N$1),0),$E23-1966)</f>
        <v>17.93</v>
      </c>
    </row>
    <row r="24" spans="1:14" x14ac:dyDescent="0.25">
      <c r="B24" s="13">
        <f t="shared" si="2"/>
        <v>1977</v>
      </c>
      <c r="C24" s="13">
        <f t="shared" si="2"/>
        <v>1977</v>
      </c>
      <c r="E24" s="13">
        <f t="shared" si="1"/>
        <v>1990</v>
      </c>
      <c r="F24" s="13" cm="1">
        <f t="array" ref="F24">INDEX(GMWQ!$A$2:$NF$60,MATCH(1,(GMWQ!$NE$2:$NE$60=F$3)*(GMWQ!$ND$2:$ND$60=F$4)*(GMWQ!$NF$2:$NF$60=F$1),0),$E24-1966)</f>
        <v>23.132210000000001</v>
      </c>
      <c r="G24" s="13" cm="1">
        <f t="array" ref="G24">INDEX(GMWQ!$A$2:$NF$60,MATCH(1,(GMWQ!$NE$2:$NE$60=G$3)*(GMWQ!$ND$2:$ND$60=G$4)*(GMWQ!$NF$2:$NF$60=G$1),0),$E24-1966)</f>
        <v>1571.7919999999999</v>
      </c>
      <c r="H24" s="13" cm="1">
        <f t="array" ref="H24">INDEX(GMWQ!$A$2:$NF$60,MATCH(1,(GMWQ!$NE$2:$NE$60=H$3)*(GMWQ!$ND$2:$ND$60=H$4)*(GMWQ!$NF$2:$NF$60=H$1),0),$E24-1966)</f>
        <v>34.543460000000003</v>
      </c>
      <c r="I24" s="13" cm="1">
        <f t="array" ref="I24">INDEX(GMWQ!$A$2:$NF$60,MATCH(1,(GMWQ!$NE$2:$NE$60=I$3)*(GMWQ!$ND$2:$ND$60=I$4)*(GMWQ!$NF$2:$NF$60=I$1),0),$E24-1966)</f>
        <v>7734</v>
      </c>
      <c r="J24" s="13" cm="1">
        <f t="array" ref="J24">INDEX(GMWQ!$A$2:$NF$60,MATCH(1,(GMWQ!$NE$2:$NE$60=J$3)*(GMWQ!$ND$2:$ND$60=J$4)*(GMWQ!$NF$2:$NF$60=J$1),0),$E24-1966)</f>
        <v>39244</v>
      </c>
      <c r="K24" s="13" cm="1">
        <f t="array" ref="K24">INDEX(GMWQ!$A$2:$NF$60,MATCH(1,(GMWQ!$NE$2:$NE$60=K$3)*(GMWQ!$ND$2:$ND$60=K$4)*(GMWQ!$NF$2:$NF$60=K$1),0),$E24-1966)</f>
        <v>18494</v>
      </c>
      <c r="L24" s="13" cm="1">
        <f t="array" ref="L24">INDEX(GMWQ!$A$2:$NF$60,MATCH(1,(GMWQ!$NE$2:$NE$60=L$3)*(GMWQ!$ND$2:$ND$60=L$4)*(GMWQ!$NF$2:$NF$60=L$1),0),$E24-1966)</f>
        <v>24509</v>
      </c>
      <c r="M24" s="13" cm="1">
        <f t="array" ref="M24">INDEX(GMWQ!$A$2:$NF$60,MATCH(1,(GMWQ!$NE$2:$NE$60=M$3)*(GMWQ!$ND$2:$ND$60=M$4)*(GMWQ!$NF$2:$NF$60=M$1),0),$E24-1966)</f>
        <v>134379</v>
      </c>
      <c r="N24" s="13" cm="1">
        <f t="array" ref="N24">INDEX(GMWQ!$A$2:$NF$60,MATCH(1,(GMWQ!$NE$2:$NE$60=N$3)*(GMWQ!$ND$2:$ND$60=N$4)*(GMWQ!$NF$2:$NF$60=N$1),0),$E24-1966)</f>
        <v>18.505330000000001</v>
      </c>
    </row>
    <row r="25" spans="1:14" x14ac:dyDescent="0.25">
      <c r="B25" s="13">
        <f t="shared" si="2"/>
        <v>1977</v>
      </c>
      <c r="C25" s="13">
        <f t="shared" si="2"/>
        <v>1977</v>
      </c>
      <c r="E25" s="13">
        <f t="shared" si="1"/>
        <v>1991</v>
      </c>
      <c r="F25" s="13" cm="1">
        <f t="array" ref="F25">INDEX(GMWQ!$A$2:$NF$60,MATCH(1,(GMWQ!$NE$2:$NE$60=F$3)*(GMWQ!$ND$2:$ND$60=F$4)*(GMWQ!$NF$2:$NF$60=F$1),0),$E25-1966)</f>
        <v>23.4834</v>
      </c>
      <c r="G25" s="13" cm="1">
        <f t="array" ref="G25">INDEX(GMWQ!$A$2:$NF$60,MATCH(1,(GMWQ!$NE$2:$NE$60=G$3)*(GMWQ!$ND$2:$ND$60=G$4)*(GMWQ!$NF$2:$NF$60=G$1),0),$E25-1966)</f>
        <v>1593.154</v>
      </c>
      <c r="H25" s="13" cm="1">
        <f t="array" ref="H25">INDEX(GMWQ!$A$2:$NF$60,MATCH(1,(GMWQ!$NE$2:$NE$60=H$3)*(GMWQ!$ND$2:$ND$60=H$4)*(GMWQ!$NF$2:$NF$60=H$1),0),$E25-1966)</f>
        <v>35.597639999999998</v>
      </c>
      <c r="I25" s="13" cm="1">
        <f t="array" ref="I25">INDEX(GMWQ!$A$2:$NF$60,MATCH(1,(GMWQ!$NE$2:$NE$60=I$3)*(GMWQ!$ND$2:$ND$60=I$4)*(GMWQ!$NF$2:$NF$60=I$1),0),$E25-1966)</f>
        <v>8119</v>
      </c>
      <c r="J25" s="13" cm="1">
        <f t="array" ref="J25">INDEX(GMWQ!$A$2:$NF$60,MATCH(1,(GMWQ!$NE$2:$NE$60=J$3)*(GMWQ!$ND$2:$ND$60=J$4)*(GMWQ!$NF$2:$NF$60=J$1),0),$E25-1966)</f>
        <v>40339</v>
      </c>
      <c r="K25" s="13" cm="1">
        <f t="array" ref="K25">INDEX(GMWQ!$A$2:$NF$60,MATCH(1,(GMWQ!$NE$2:$NE$60=K$3)*(GMWQ!$ND$2:$ND$60=K$4)*(GMWQ!$NF$2:$NF$60=K$1),0),$E25-1966)</f>
        <v>18884</v>
      </c>
      <c r="L25" s="13" cm="1">
        <f t="array" ref="L25">INDEX(GMWQ!$A$2:$NF$60,MATCH(1,(GMWQ!$NE$2:$NE$60=L$3)*(GMWQ!$ND$2:$ND$60=L$4)*(GMWQ!$NF$2:$NF$60=L$1),0),$E25-1966)</f>
        <v>25439</v>
      </c>
      <c r="M25" s="13" cm="1">
        <f t="array" ref="M25">INDEX(GMWQ!$A$2:$NF$60,MATCH(1,(GMWQ!$NE$2:$NE$60=M$3)*(GMWQ!$ND$2:$ND$60=M$4)*(GMWQ!$NF$2:$NF$60=M$1),0),$E25-1966)</f>
        <v>137012</v>
      </c>
      <c r="N25" s="13" cm="1">
        <f t="array" ref="N25">INDEX(GMWQ!$A$2:$NF$60,MATCH(1,(GMWQ!$NE$2:$NE$60=N$3)*(GMWQ!$ND$2:$ND$60=N$4)*(GMWQ!$NF$2:$NF$60=N$1),0),$E25-1966)</f>
        <v>18.839230000000001</v>
      </c>
    </row>
    <row r="26" spans="1:14" x14ac:dyDescent="0.25">
      <c r="B26" s="13">
        <f t="shared" si="2"/>
        <v>1977</v>
      </c>
      <c r="C26" s="13">
        <f t="shared" si="2"/>
        <v>1977</v>
      </c>
      <c r="E26" s="13">
        <f t="shared" si="1"/>
        <v>1992</v>
      </c>
      <c r="F26" s="13" cm="1">
        <f t="array" ref="F26">INDEX(GMWQ!$A$2:$NF$60,MATCH(1,(GMWQ!$NE$2:$NE$60=F$3)*(GMWQ!$ND$2:$ND$60=F$4)*(GMWQ!$NF$2:$NF$60=F$1),0),$E26-1966)</f>
        <v>23.903269999999999</v>
      </c>
      <c r="G26" s="13" cm="1">
        <f t="array" ref="G26">INDEX(GMWQ!$A$2:$NF$60,MATCH(1,(GMWQ!$NE$2:$NE$60=G$3)*(GMWQ!$ND$2:$ND$60=G$4)*(GMWQ!$NF$2:$NF$60=G$1),0),$E26-1966)</f>
        <v>1662.8610000000001</v>
      </c>
      <c r="H26" s="13" cm="1">
        <f t="array" ref="H26">INDEX(GMWQ!$A$2:$NF$60,MATCH(1,(GMWQ!$NE$2:$NE$60=H$3)*(GMWQ!$ND$2:$ND$60=H$4)*(GMWQ!$NF$2:$NF$60=H$1),0),$E26-1966)</f>
        <v>36.685519999999997</v>
      </c>
      <c r="I26" s="13" cm="1">
        <f t="array" ref="I26">INDEX(GMWQ!$A$2:$NF$60,MATCH(1,(GMWQ!$NE$2:$NE$60=I$3)*(GMWQ!$ND$2:$ND$60=I$4)*(GMWQ!$NF$2:$NF$60=I$1),0),$E26-1966)</f>
        <v>8600</v>
      </c>
      <c r="J26" s="13" cm="1">
        <f t="array" ref="J26">INDEX(GMWQ!$A$2:$NF$60,MATCH(1,(GMWQ!$NE$2:$NE$60=J$3)*(GMWQ!$ND$2:$ND$60=J$4)*(GMWQ!$NF$2:$NF$60=J$1),0),$E26-1966)</f>
        <v>42165</v>
      </c>
      <c r="K26" s="13" cm="1">
        <f t="array" ref="K26">INDEX(GMWQ!$A$2:$NF$60,MATCH(1,(GMWQ!$NE$2:$NE$60=K$3)*(GMWQ!$ND$2:$ND$60=K$4)*(GMWQ!$NF$2:$NF$60=K$1),0),$E26-1966)</f>
        <v>19532</v>
      </c>
      <c r="L26" s="13" cm="1">
        <f t="array" ref="L26">INDEX(GMWQ!$A$2:$NF$60,MATCH(1,(GMWQ!$NE$2:$NE$60=L$3)*(GMWQ!$ND$2:$ND$60=L$4)*(GMWQ!$NF$2:$NF$60=L$1),0),$E26-1966)</f>
        <v>26940</v>
      </c>
      <c r="M26" s="13" cm="1">
        <f t="array" ref="M26">INDEX(GMWQ!$A$2:$NF$60,MATCH(1,(GMWQ!$NE$2:$NE$60=M$3)*(GMWQ!$ND$2:$ND$60=M$4)*(GMWQ!$NF$2:$NF$60=M$1),0),$E26-1966)</f>
        <v>142669</v>
      </c>
      <c r="N26" s="13" cm="1">
        <f t="array" ref="N26">INDEX(GMWQ!$A$2:$NF$60,MATCH(1,(GMWQ!$NE$2:$NE$60=N$3)*(GMWQ!$ND$2:$ND$60=N$4)*(GMWQ!$NF$2:$NF$60=N$1),0),$E26-1966)</f>
        <v>19.160209999999999</v>
      </c>
    </row>
    <row r="27" spans="1:14" x14ac:dyDescent="0.25">
      <c r="A27" s="13">
        <v>1978</v>
      </c>
      <c r="B27" s="13">
        <f t="shared" si="2"/>
        <v>1978</v>
      </c>
      <c r="C27" s="13">
        <f t="shared" si="2"/>
        <v>1977</v>
      </c>
      <c r="D27" s="13">
        <f t="shared" si="2"/>
        <v>1977</v>
      </c>
      <c r="E27" s="13">
        <f t="shared" si="1"/>
        <v>1993</v>
      </c>
      <c r="F27" s="13" cm="1">
        <f t="array" ref="F27">INDEX(GMWQ!$A$2:$NF$60,MATCH(1,(GMWQ!$NE$2:$NE$60=F$3)*(GMWQ!$ND$2:$ND$60=F$4)*(GMWQ!$NF$2:$NF$60=F$1),0),$E27-1966)</f>
        <v>24.66358</v>
      </c>
      <c r="G27" s="13" cm="1">
        <f t="array" ref="G27">INDEX(GMWQ!$A$2:$NF$60,MATCH(1,(GMWQ!$NE$2:$NE$60=G$3)*(GMWQ!$ND$2:$ND$60=G$4)*(GMWQ!$NF$2:$NF$60=G$1),0),$E27-1966)</f>
        <v>1750.558</v>
      </c>
      <c r="H27" s="13" cm="1">
        <f t="array" ref="H27">INDEX(GMWQ!$A$2:$NF$60,MATCH(1,(GMWQ!$NE$2:$NE$60=H$3)*(GMWQ!$ND$2:$ND$60=H$4)*(GMWQ!$NF$2:$NF$60=H$1),0),$E27-1966)</f>
        <v>37.643259999999998</v>
      </c>
      <c r="I27" s="13" cm="1">
        <f t="array" ref="I27">INDEX(GMWQ!$A$2:$NF$60,MATCH(1,(GMWQ!$NE$2:$NE$60=I$3)*(GMWQ!$ND$2:$ND$60=I$4)*(GMWQ!$NF$2:$NF$60=I$1),0),$E27-1966)</f>
        <v>9233</v>
      </c>
      <c r="J27" s="13" cm="1">
        <f t="array" ref="J27">INDEX(GMWQ!$A$2:$NF$60,MATCH(1,(GMWQ!$NE$2:$NE$60=J$3)*(GMWQ!$ND$2:$ND$60=J$4)*(GMWQ!$NF$2:$NF$60=J$1),0),$E27-1966)</f>
        <v>44140</v>
      </c>
      <c r="K27" s="13" cm="1">
        <f t="array" ref="K27">INDEX(GMWQ!$A$2:$NF$60,MATCH(1,(GMWQ!$NE$2:$NE$60=K$3)*(GMWQ!$ND$2:$ND$60=K$4)*(GMWQ!$NF$2:$NF$60=K$1),0),$E27-1966)</f>
        <v>20334</v>
      </c>
      <c r="L27" s="13" cm="1">
        <f t="array" ref="L27">INDEX(GMWQ!$A$2:$NF$60,MATCH(1,(GMWQ!$NE$2:$NE$60=L$3)*(GMWQ!$ND$2:$ND$60=L$4)*(GMWQ!$NF$2:$NF$60=L$1),0),$E27-1966)</f>
        <v>27797</v>
      </c>
      <c r="M27" s="13" cm="1">
        <f t="array" ref="M27">INDEX(GMWQ!$A$2:$NF$60,MATCH(1,(GMWQ!$NE$2:$NE$60=M$3)*(GMWQ!$ND$2:$ND$60=M$4)*(GMWQ!$NF$2:$NF$60=M$1),0),$E27-1966)</f>
        <v>142512</v>
      </c>
      <c r="N27" s="13" cm="1">
        <f t="array" ref="N27">INDEX(GMWQ!$A$2:$NF$60,MATCH(1,(GMWQ!$NE$2:$NE$60=N$3)*(GMWQ!$ND$2:$ND$60=N$4)*(GMWQ!$NF$2:$NF$60=N$1),0),$E27-1966)</f>
        <v>19.773599999999998</v>
      </c>
    </row>
    <row r="28" spans="1:14" x14ac:dyDescent="0.25">
      <c r="B28" s="13">
        <f t="shared" ref="B28:D43" si="3">+B24+1</f>
        <v>1978</v>
      </c>
      <c r="C28" s="13">
        <f t="shared" si="3"/>
        <v>1978</v>
      </c>
      <c r="E28" s="13">
        <f t="shared" si="1"/>
        <v>1994</v>
      </c>
      <c r="F28" s="13" cm="1">
        <f t="array" ref="F28">INDEX(GMWQ!$A$2:$NF$60,MATCH(1,(GMWQ!$NE$2:$NE$60=F$3)*(GMWQ!$ND$2:$ND$60=F$4)*(GMWQ!$NF$2:$NF$60=F$1),0),$E28-1966)</f>
        <v>25.338439999999999</v>
      </c>
      <c r="G28" s="13" cm="1">
        <f t="array" ref="G28">INDEX(GMWQ!$A$2:$NF$60,MATCH(1,(GMWQ!$NE$2:$NE$60=G$3)*(GMWQ!$ND$2:$ND$60=G$4)*(GMWQ!$NF$2:$NF$60=G$1),0),$E28-1966)</f>
        <v>1639.25</v>
      </c>
      <c r="H28" s="13" cm="1">
        <f t="array" ref="H28">INDEX(GMWQ!$A$2:$NF$60,MATCH(1,(GMWQ!$NE$2:$NE$60=H$3)*(GMWQ!$ND$2:$ND$60=H$4)*(GMWQ!$NF$2:$NF$60=H$1),0),$E28-1966)</f>
        <v>39.864730000000002</v>
      </c>
      <c r="I28" s="13" cm="1">
        <f t="array" ref="I28">INDEX(GMWQ!$A$2:$NF$60,MATCH(1,(GMWQ!$NE$2:$NE$60=I$3)*(GMWQ!$ND$2:$ND$60=I$4)*(GMWQ!$NF$2:$NF$60=I$1),0),$E28-1966)</f>
        <v>9234</v>
      </c>
      <c r="J28" s="13" cm="1">
        <f t="array" ref="J28">INDEX(GMWQ!$A$2:$NF$60,MATCH(1,(GMWQ!$NE$2:$NE$60=J$3)*(GMWQ!$ND$2:$ND$60=J$4)*(GMWQ!$NF$2:$NF$60=J$1),0),$E28-1966)</f>
        <v>45905</v>
      </c>
      <c r="K28" s="13" cm="1">
        <f t="array" ref="K28">INDEX(GMWQ!$A$2:$NF$60,MATCH(1,(GMWQ!$NE$2:$NE$60=K$3)*(GMWQ!$ND$2:$ND$60=K$4)*(GMWQ!$NF$2:$NF$60=K$1),0),$E28-1966)</f>
        <v>21257</v>
      </c>
      <c r="L28" s="13" cm="1">
        <f t="array" ref="L28">INDEX(GMWQ!$A$2:$NF$60,MATCH(1,(GMWQ!$NE$2:$NE$60=L$3)*(GMWQ!$ND$2:$ND$60=L$4)*(GMWQ!$NF$2:$NF$60=L$1),0),$E28-1966)</f>
        <v>29144</v>
      </c>
      <c r="M28" s="13" cm="1">
        <f t="array" ref="M28">INDEX(GMWQ!$A$2:$NF$60,MATCH(1,(GMWQ!$NE$2:$NE$60=M$3)*(GMWQ!$ND$2:$ND$60=M$4)*(GMWQ!$NF$2:$NF$60=M$1),0),$E28-1966)</f>
        <v>146514</v>
      </c>
      <c r="N28" s="13" cm="1">
        <f t="array" ref="N28">INDEX(GMWQ!$A$2:$NF$60,MATCH(1,(GMWQ!$NE$2:$NE$60=N$3)*(GMWQ!$ND$2:$ND$60=N$4)*(GMWQ!$NF$2:$NF$60=N$1),0),$E28-1966)</f>
        <v>20.218610000000002</v>
      </c>
    </row>
    <row r="29" spans="1:14" x14ac:dyDescent="0.25">
      <c r="B29" s="13">
        <f t="shared" si="3"/>
        <v>1978</v>
      </c>
      <c r="C29" s="13">
        <f t="shared" si="3"/>
        <v>1978</v>
      </c>
      <c r="E29" s="13">
        <f t="shared" si="1"/>
        <v>1995</v>
      </c>
      <c r="F29" s="13" cm="1">
        <f t="array" ref="F29">INDEX(GMWQ!$A$2:$NF$60,MATCH(1,(GMWQ!$NE$2:$NE$60=F$3)*(GMWQ!$ND$2:$ND$60=F$4)*(GMWQ!$NF$2:$NF$60=F$1),0),$E29-1966)</f>
        <v>25.691469999999999</v>
      </c>
      <c r="G29" s="13" cm="1">
        <f t="array" ref="G29">INDEX(GMWQ!$A$2:$NF$60,MATCH(1,(GMWQ!$NE$2:$NE$60=G$3)*(GMWQ!$ND$2:$ND$60=G$4)*(GMWQ!$NF$2:$NF$60=G$1),0),$E29-1966)</f>
        <v>1683.0989999999999</v>
      </c>
      <c r="H29" s="13" cm="1">
        <f t="array" ref="H29">INDEX(GMWQ!$A$2:$NF$60,MATCH(1,(GMWQ!$NE$2:$NE$60=H$3)*(GMWQ!$ND$2:$ND$60=H$4)*(GMWQ!$NF$2:$NF$60=H$1),0),$E29-1966)</f>
        <v>42.09901</v>
      </c>
      <c r="I29" s="13" cm="1">
        <f t="array" ref="I29">INDEX(GMWQ!$A$2:$NF$60,MATCH(1,(GMWQ!$NE$2:$NE$60=I$3)*(GMWQ!$ND$2:$ND$60=I$4)*(GMWQ!$NF$2:$NF$60=I$1),0),$E29-1966)</f>
        <v>9737</v>
      </c>
      <c r="J29" s="13" cm="1">
        <f t="array" ref="J29">INDEX(GMWQ!$A$2:$NF$60,MATCH(1,(GMWQ!$NE$2:$NE$60=J$3)*(GMWQ!$ND$2:$ND$60=J$4)*(GMWQ!$NF$2:$NF$60=J$1),0),$E29-1966)</f>
        <v>47207</v>
      </c>
      <c r="K29" s="13" cm="1">
        <f t="array" ref="K29">INDEX(GMWQ!$A$2:$NF$60,MATCH(1,(GMWQ!$NE$2:$NE$60=K$3)*(GMWQ!$ND$2:$ND$60=K$4)*(GMWQ!$NF$2:$NF$60=K$1),0),$E29-1966)</f>
        <v>21798</v>
      </c>
      <c r="L29" s="13" cm="1">
        <f t="array" ref="L29">INDEX(GMWQ!$A$2:$NF$60,MATCH(1,(GMWQ!$NE$2:$NE$60=L$3)*(GMWQ!$ND$2:$ND$60=L$4)*(GMWQ!$NF$2:$NF$60=L$1),0),$E29-1966)</f>
        <v>30465</v>
      </c>
      <c r="M29" s="13" cm="1">
        <f t="array" ref="M29">INDEX(GMWQ!$A$2:$NF$60,MATCH(1,(GMWQ!$NE$2:$NE$60=M$3)*(GMWQ!$ND$2:$ND$60=M$4)*(GMWQ!$NF$2:$NF$60=M$1),0),$E29-1966)</f>
        <v>150300</v>
      </c>
      <c r="N29" s="13" cm="1">
        <f t="array" ref="N29">INDEX(GMWQ!$A$2:$NF$60,MATCH(1,(GMWQ!$NE$2:$NE$60=N$3)*(GMWQ!$ND$2:$ND$60=N$4)*(GMWQ!$NF$2:$NF$60=N$1),0),$E29-1966)</f>
        <v>20.593019999999999</v>
      </c>
    </row>
    <row r="30" spans="1:14" x14ac:dyDescent="0.25">
      <c r="B30" s="13">
        <f t="shared" si="3"/>
        <v>1978</v>
      </c>
      <c r="C30" s="13">
        <f t="shared" si="3"/>
        <v>1978</v>
      </c>
      <c r="E30" s="13">
        <f t="shared" si="1"/>
        <v>1996</v>
      </c>
      <c r="F30" s="13" cm="1">
        <f t="array" ref="F30">INDEX(GMWQ!$A$2:$NF$60,MATCH(1,(GMWQ!$NE$2:$NE$60=F$3)*(GMWQ!$ND$2:$ND$60=F$4)*(GMWQ!$NF$2:$NF$60=F$1),0),$E30-1966)</f>
        <v>26.299160000000001</v>
      </c>
      <c r="G30" s="13" cm="1">
        <f t="array" ref="G30">INDEX(GMWQ!$A$2:$NF$60,MATCH(1,(GMWQ!$NE$2:$NE$60=G$3)*(GMWQ!$ND$2:$ND$60=G$4)*(GMWQ!$NF$2:$NF$60=G$1),0),$E30-1966)</f>
        <v>1750.558</v>
      </c>
      <c r="H30" s="13" cm="1">
        <f t="array" ref="H30">INDEX(GMWQ!$A$2:$NF$60,MATCH(1,(GMWQ!$NE$2:$NE$60=H$3)*(GMWQ!$ND$2:$ND$60=H$4)*(GMWQ!$NF$2:$NF$60=H$1),0),$E30-1966)</f>
        <v>43.30621</v>
      </c>
      <c r="I30" s="13" cm="1">
        <f t="array" ref="I30">INDEX(GMWQ!$A$2:$NF$60,MATCH(1,(GMWQ!$NE$2:$NE$60=I$3)*(GMWQ!$ND$2:$ND$60=I$4)*(GMWQ!$NF$2:$NF$60=I$1),0),$E30-1966)</f>
        <v>9903</v>
      </c>
      <c r="J30" s="13" cm="1">
        <f t="array" ref="J30">INDEX(GMWQ!$A$2:$NF$60,MATCH(1,(GMWQ!$NE$2:$NE$60=J$3)*(GMWQ!$ND$2:$ND$60=J$4)*(GMWQ!$NF$2:$NF$60=J$1),0),$E30-1966)</f>
        <v>48906</v>
      </c>
      <c r="K30" s="13" cm="1">
        <f t="array" ref="K30">INDEX(GMWQ!$A$2:$NF$60,MATCH(1,(GMWQ!$NE$2:$NE$60=K$3)*(GMWQ!$ND$2:$ND$60=K$4)*(GMWQ!$NF$2:$NF$60=K$1),0),$E30-1966)</f>
        <v>22479</v>
      </c>
      <c r="L30" s="13" cm="1">
        <f t="array" ref="L30">INDEX(GMWQ!$A$2:$NF$60,MATCH(1,(GMWQ!$NE$2:$NE$60=L$3)*(GMWQ!$ND$2:$ND$60=L$4)*(GMWQ!$NF$2:$NF$60=L$1),0),$E30-1966)</f>
        <v>31463</v>
      </c>
      <c r="M30" s="13" cm="1">
        <f t="array" ref="M30">INDEX(GMWQ!$A$2:$NF$60,MATCH(1,(GMWQ!$NE$2:$NE$60=M$3)*(GMWQ!$ND$2:$ND$60=M$4)*(GMWQ!$NF$2:$NF$60=M$1),0),$E30-1966)</f>
        <v>150197</v>
      </c>
      <c r="N30" s="13" cm="1">
        <f t="array" ref="N30">INDEX(GMWQ!$A$2:$NF$60,MATCH(1,(GMWQ!$NE$2:$NE$60=N$3)*(GMWQ!$ND$2:$ND$60=N$4)*(GMWQ!$NF$2:$NF$60=N$1),0),$E30-1966)</f>
        <v>21.29984</v>
      </c>
    </row>
    <row r="31" spans="1:14" x14ac:dyDescent="0.25">
      <c r="A31" s="13">
        <v>1979</v>
      </c>
      <c r="B31" s="13">
        <f t="shared" si="3"/>
        <v>1979</v>
      </c>
      <c r="C31" s="13">
        <f t="shared" si="3"/>
        <v>1978</v>
      </c>
      <c r="D31" s="13">
        <f t="shared" si="3"/>
        <v>1978</v>
      </c>
      <c r="E31" s="13">
        <f t="shared" si="1"/>
        <v>1997</v>
      </c>
      <c r="F31" s="13" cm="1">
        <f t="array" ref="F31">INDEX(GMWQ!$A$2:$NF$60,MATCH(1,(GMWQ!$NE$2:$NE$60=F$3)*(GMWQ!$ND$2:$ND$60=F$4)*(GMWQ!$NF$2:$NF$60=F$1),0),$E31-1966)</f>
        <v>27.45561</v>
      </c>
      <c r="G31" s="13" cm="1">
        <f t="array" ref="G31">INDEX(GMWQ!$A$2:$NF$60,MATCH(1,(GMWQ!$NE$2:$NE$60=G$3)*(GMWQ!$ND$2:$ND$60=G$4)*(GMWQ!$NF$2:$NF$60=G$1),0),$E31-1966)</f>
        <v>1848.373</v>
      </c>
      <c r="H31" s="13" cm="1">
        <f t="array" ref="H31">INDEX(GMWQ!$A$2:$NF$60,MATCH(1,(GMWQ!$NE$2:$NE$60=H$3)*(GMWQ!$ND$2:$ND$60=H$4)*(GMWQ!$NF$2:$NF$60=H$1),0),$E31-1966)</f>
        <v>43.965009999999999</v>
      </c>
      <c r="I31" s="13" cm="1">
        <f t="array" ref="I31">INDEX(GMWQ!$A$2:$NF$60,MATCH(1,(GMWQ!$NE$2:$NE$60=I$3)*(GMWQ!$ND$2:$ND$60=I$4)*(GMWQ!$NF$2:$NF$60=I$1),0),$E31-1966)</f>
        <v>10109</v>
      </c>
      <c r="J31" s="13" cm="1">
        <f t="array" ref="J31">INDEX(GMWQ!$A$2:$NF$60,MATCH(1,(GMWQ!$NE$2:$NE$60=J$3)*(GMWQ!$ND$2:$ND$60=J$4)*(GMWQ!$NF$2:$NF$60=J$1),0),$E31-1966)</f>
        <v>50459</v>
      </c>
      <c r="K31" s="13" cm="1">
        <f t="array" ref="K31">INDEX(GMWQ!$A$2:$NF$60,MATCH(1,(GMWQ!$NE$2:$NE$60=K$3)*(GMWQ!$ND$2:$ND$60=K$4)*(GMWQ!$NF$2:$NF$60=K$1),0),$E31-1966)</f>
        <v>23365</v>
      </c>
      <c r="L31" s="13" cm="1">
        <f t="array" ref="L31">INDEX(GMWQ!$A$2:$NF$60,MATCH(1,(GMWQ!$NE$2:$NE$60=L$3)*(GMWQ!$ND$2:$ND$60=L$4)*(GMWQ!$NF$2:$NF$60=L$1),0),$E31-1966)</f>
        <v>32879</v>
      </c>
      <c r="M31" s="13" cm="1">
        <f t="array" ref="M31">INDEX(GMWQ!$A$2:$NF$60,MATCH(1,(GMWQ!$NE$2:$NE$60=M$3)*(GMWQ!$ND$2:$ND$60=M$4)*(GMWQ!$NF$2:$NF$60=M$1),0),$E31-1966)</f>
        <v>152401</v>
      </c>
      <c r="N31" s="13" cm="1">
        <f t="array" ref="N31">INDEX(GMWQ!$A$2:$NF$60,MATCH(1,(GMWQ!$NE$2:$NE$60=N$3)*(GMWQ!$ND$2:$ND$60=N$4)*(GMWQ!$NF$2:$NF$60=N$1),0),$E31-1966)</f>
        <v>21.879709999999999</v>
      </c>
    </row>
    <row r="32" spans="1:14" x14ac:dyDescent="0.25">
      <c r="B32" s="13">
        <f t="shared" si="3"/>
        <v>1979</v>
      </c>
      <c r="C32" s="13">
        <f t="shared" si="3"/>
        <v>1979</v>
      </c>
      <c r="E32" s="13">
        <f t="shared" si="1"/>
        <v>1998</v>
      </c>
      <c r="F32" s="13" cm="1">
        <f t="array" ref="F32">INDEX(GMWQ!$A$2:$NF$60,MATCH(1,(GMWQ!$NE$2:$NE$60=F$3)*(GMWQ!$ND$2:$ND$60=F$4)*(GMWQ!$NF$2:$NF$60=F$1),0),$E32-1966)</f>
        <v>27.490459999999999</v>
      </c>
      <c r="G32" s="13" cm="1">
        <f t="array" ref="G32">INDEX(GMWQ!$A$2:$NF$60,MATCH(1,(GMWQ!$NE$2:$NE$60=G$3)*(GMWQ!$ND$2:$ND$60=G$4)*(GMWQ!$NF$2:$NF$60=G$1),0),$E32-1966)</f>
        <v>1895.5940000000001</v>
      </c>
      <c r="H32" s="13" cm="1">
        <f t="array" ref="H32">INDEX(GMWQ!$A$2:$NF$60,MATCH(1,(GMWQ!$NE$2:$NE$60=H$3)*(GMWQ!$ND$2:$ND$60=H$4)*(GMWQ!$NF$2:$NF$60=H$1),0),$E32-1966)</f>
        <v>46.838419999999999</v>
      </c>
      <c r="I32" s="13" cm="1">
        <f t="array" ref="I32">INDEX(GMWQ!$A$2:$NF$60,MATCH(1,(GMWQ!$NE$2:$NE$60=I$3)*(GMWQ!$ND$2:$ND$60=I$4)*(GMWQ!$NF$2:$NF$60=I$1),0),$E32-1966)</f>
        <v>11219</v>
      </c>
      <c r="J32" s="13" cm="1">
        <f t="array" ref="J32">INDEX(GMWQ!$A$2:$NF$60,MATCH(1,(GMWQ!$NE$2:$NE$60=J$3)*(GMWQ!$ND$2:$ND$60=J$4)*(GMWQ!$NF$2:$NF$60=J$1),0),$E32-1966)</f>
        <v>53966</v>
      </c>
      <c r="K32" s="13" cm="1">
        <f t="array" ref="K32">INDEX(GMWQ!$A$2:$NF$60,MATCH(1,(GMWQ!$NE$2:$NE$60=K$3)*(GMWQ!$ND$2:$ND$60=K$4)*(GMWQ!$NF$2:$NF$60=K$1),0),$E32-1966)</f>
        <v>24427</v>
      </c>
      <c r="L32" s="13" cm="1">
        <f t="array" ref="L32">INDEX(GMWQ!$A$2:$NF$60,MATCH(1,(GMWQ!$NE$2:$NE$60=L$3)*(GMWQ!$ND$2:$ND$60=L$4)*(GMWQ!$NF$2:$NF$60=L$1),0),$E32-1966)</f>
        <v>34157</v>
      </c>
      <c r="M32" s="13" cm="1">
        <f t="array" ref="M32">INDEX(GMWQ!$A$2:$NF$60,MATCH(1,(GMWQ!$NE$2:$NE$60=M$3)*(GMWQ!$ND$2:$ND$60=M$4)*(GMWQ!$NF$2:$NF$60=M$1),0),$E32-1966)</f>
        <v>155089</v>
      </c>
      <c r="N32" s="13" cm="1">
        <f t="array" ref="N32">INDEX(GMWQ!$A$2:$NF$60,MATCH(1,(GMWQ!$NE$2:$NE$60=N$3)*(GMWQ!$ND$2:$ND$60=N$4)*(GMWQ!$NF$2:$NF$60=N$1),0),$E32-1966)</f>
        <v>22.38936</v>
      </c>
    </row>
    <row r="33" spans="1:14" x14ac:dyDescent="0.25">
      <c r="B33" s="13">
        <f t="shared" si="3"/>
        <v>1979</v>
      </c>
      <c r="C33" s="13">
        <f t="shared" si="3"/>
        <v>1979</v>
      </c>
      <c r="E33" s="13">
        <f t="shared" si="1"/>
        <v>1999</v>
      </c>
      <c r="F33" s="13" cm="1">
        <f t="array" ref="F33">INDEX(GMWQ!$A$2:$NF$60,MATCH(1,(GMWQ!$NE$2:$NE$60=F$3)*(GMWQ!$ND$2:$ND$60=F$4)*(GMWQ!$NF$2:$NF$60=F$1),0),$E33-1966)</f>
        <v>29.598659999999999</v>
      </c>
      <c r="G33" s="13" cm="1">
        <f t="array" ref="G33">INDEX(GMWQ!$A$2:$NF$60,MATCH(1,(GMWQ!$NE$2:$NE$60=G$3)*(GMWQ!$ND$2:$ND$60=G$4)*(GMWQ!$NF$2:$NF$60=G$1),0),$E33-1966)</f>
        <v>1949.5609999999999</v>
      </c>
      <c r="H33" s="13" cm="1">
        <f t="array" ref="H33">INDEX(GMWQ!$A$2:$NF$60,MATCH(1,(GMWQ!$NE$2:$NE$60=H$3)*(GMWQ!$ND$2:$ND$60=H$4)*(GMWQ!$NF$2:$NF$60=H$1),0),$E33-1966)</f>
        <v>50.12706</v>
      </c>
      <c r="I33" s="13" cm="1">
        <f t="array" ref="I33">INDEX(GMWQ!$A$2:$NF$60,MATCH(1,(GMWQ!$NE$2:$NE$60=I$3)*(GMWQ!$ND$2:$ND$60=I$4)*(GMWQ!$NF$2:$NF$60=I$1),0),$E33-1966)</f>
        <v>11435</v>
      </c>
      <c r="J33" s="13" cm="1">
        <f t="array" ref="J33">INDEX(GMWQ!$A$2:$NF$60,MATCH(1,(GMWQ!$NE$2:$NE$60=J$3)*(GMWQ!$ND$2:$ND$60=J$4)*(GMWQ!$NF$2:$NF$60=J$1),0),$E33-1966)</f>
        <v>56767</v>
      </c>
      <c r="K33" s="13" cm="1">
        <f t="array" ref="K33">INDEX(GMWQ!$A$2:$NF$60,MATCH(1,(GMWQ!$NE$2:$NE$60=K$3)*(GMWQ!$ND$2:$ND$60=K$4)*(GMWQ!$NF$2:$NF$60=K$1),0),$E33-1966)</f>
        <v>25749</v>
      </c>
      <c r="L33" s="13" cm="1">
        <f t="array" ref="L33">INDEX(GMWQ!$A$2:$NF$60,MATCH(1,(GMWQ!$NE$2:$NE$60=L$3)*(GMWQ!$ND$2:$ND$60=L$4)*(GMWQ!$NF$2:$NF$60=L$1),0),$E33-1966)</f>
        <v>36483</v>
      </c>
      <c r="M33" s="13" cm="1">
        <f t="array" ref="M33">INDEX(GMWQ!$A$2:$NF$60,MATCH(1,(GMWQ!$NE$2:$NE$60=M$3)*(GMWQ!$ND$2:$ND$60=M$4)*(GMWQ!$NF$2:$NF$60=M$1),0),$E33-1966)</f>
        <v>155140</v>
      </c>
      <c r="N33" s="13" cm="1">
        <f t="array" ref="N33">INDEX(GMWQ!$A$2:$NF$60,MATCH(1,(GMWQ!$NE$2:$NE$60=N$3)*(GMWQ!$ND$2:$ND$60=N$4)*(GMWQ!$NF$2:$NF$60=N$1),0),$E33-1966)</f>
        <v>23.94933</v>
      </c>
    </row>
    <row r="34" spans="1:14" x14ac:dyDescent="0.25">
      <c r="B34" s="13">
        <f t="shared" si="3"/>
        <v>1979</v>
      </c>
      <c r="C34" s="13">
        <f t="shared" si="3"/>
        <v>1979</v>
      </c>
      <c r="E34" s="13">
        <f t="shared" si="1"/>
        <v>2000</v>
      </c>
      <c r="F34" s="13" cm="1">
        <f t="array" ref="F34">INDEX(GMWQ!$A$2:$NF$60,MATCH(1,(GMWQ!$NE$2:$NE$60=F$3)*(GMWQ!$ND$2:$ND$60=F$4)*(GMWQ!$NF$2:$NF$60=F$1),0),$E34-1966)</f>
        <v>30.8156</v>
      </c>
      <c r="G34" s="13" cm="1">
        <f t="array" ref="G34">INDEX(GMWQ!$A$2:$NF$60,MATCH(1,(GMWQ!$NE$2:$NE$60=G$3)*(GMWQ!$ND$2:$ND$60=G$4)*(GMWQ!$NF$2:$NF$60=G$1),0),$E34-1966)</f>
        <v>2051.8739999999998</v>
      </c>
      <c r="H34" s="13" cm="1">
        <f t="array" ref="H34">INDEX(GMWQ!$A$2:$NF$60,MATCH(1,(GMWQ!$NE$2:$NE$60=H$3)*(GMWQ!$ND$2:$ND$60=H$4)*(GMWQ!$NF$2:$NF$60=H$1),0),$E34-1966)</f>
        <v>52.644150000000003</v>
      </c>
      <c r="I34" s="13" cm="1">
        <f t="array" ref="I34">INDEX(GMWQ!$A$2:$NF$60,MATCH(1,(GMWQ!$NE$2:$NE$60=I$3)*(GMWQ!$ND$2:$ND$60=I$4)*(GMWQ!$NF$2:$NF$60=I$1),0),$E34-1966)</f>
        <v>12092</v>
      </c>
      <c r="J34" s="13" cm="1">
        <f t="array" ref="J34">INDEX(GMWQ!$A$2:$NF$60,MATCH(1,(GMWQ!$NE$2:$NE$60=J$3)*(GMWQ!$ND$2:$ND$60=J$4)*(GMWQ!$NF$2:$NF$60=J$1),0),$E34-1966)</f>
        <v>59789</v>
      </c>
      <c r="K34" s="13" cm="1">
        <f t="array" ref="K34">INDEX(GMWQ!$A$2:$NF$60,MATCH(1,(GMWQ!$NE$2:$NE$60=K$3)*(GMWQ!$ND$2:$ND$60=K$4)*(GMWQ!$NF$2:$NF$60=K$1),0),$E34-1966)</f>
        <v>27095</v>
      </c>
      <c r="L34" s="13" cm="1">
        <f t="array" ref="L34">INDEX(GMWQ!$A$2:$NF$60,MATCH(1,(GMWQ!$NE$2:$NE$60=L$3)*(GMWQ!$ND$2:$ND$60=L$4)*(GMWQ!$NF$2:$NF$60=L$1),0),$E34-1966)</f>
        <v>39802</v>
      </c>
      <c r="M34" s="13" cm="1">
        <f t="array" ref="M34">INDEX(GMWQ!$A$2:$NF$60,MATCH(1,(GMWQ!$NE$2:$NE$60=M$3)*(GMWQ!$ND$2:$ND$60=M$4)*(GMWQ!$NF$2:$NF$60=M$1),0),$E34-1966)</f>
        <v>162173</v>
      </c>
      <c r="N34" s="13" cm="1">
        <f t="array" ref="N34">INDEX(GMWQ!$A$2:$NF$60,MATCH(1,(GMWQ!$NE$2:$NE$60=N$3)*(GMWQ!$ND$2:$ND$60=N$4)*(GMWQ!$NF$2:$NF$60=N$1),0),$E34-1966)</f>
        <v>24.961680000000001</v>
      </c>
    </row>
    <row r="35" spans="1:14" x14ac:dyDescent="0.25">
      <c r="A35" s="13">
        <v>1980</v>
      </c>
      <c r="B35" s="13">
        <f t="shared" si="3"/>
        <v>1980</v>
      </c>
      <c r="C35" s="13">
        <f t="shared" si="3"/>
        <v>1979</v>
      </c>
      <c r="D35" s="13">
        <f t="shared" si="3"/>
        <v>1979</v>
      </c>
      <c r="E35" s="13">
        <f t="shared" si="1"/>
        <v>2001</v>
      </c>
      <c r="F35" s="13" cm="1">
        <f t="array" ref="F35">INDEX(GMWQ!$A$2:$NF$60,MATCH(1,(GMWQ!$NE$2:$NE$60=F$3)*(GMWQ!$ND$2:$ND$60=F$4)*(GMWQ!$NF$2:$NF$60=F$1),0),$E35-1966)</f>
        <v>32.540550000000003</v>
      </c>
      <c r="G35" s="13" cm="1">
        <f t="array" ref="G35">INDEX(GMWQ!$A$2:$NF$60,MATCH(1,(GMWQ!$NE$2:$NE$60=G$3)*(GMWQ!$ND$2:$ND$60=G$4)*(GMWQ!$NF$2:$NF$60=G$1),0),$E35-1966)</f>
        <v>2203.6559999999999</v>
      </c>
      <c r="H35" s="13" cm="1">
        <f t="array" ref="H35">INDEX(GMWQ!$A$2:$NF$60,MATCH(1,(GMWQ!$NE$2:$NE$60=H$3)*(GMWQ!$ND$2:$ND$60=H$4)*(GMWQ!$NF$2:$NF$60=H$1),0),$E35-1966)</f>
        <v>54.906700000000001</v>
      </c>
      <c r="I35" s="13" cm="1">
        <f t="array" ref="I35">INDEX(GMWQ!$A$2:$NF$60,MATCH(1,(GMWQ!$NE$2:$NE$60=I$3)*(GMWQ!$ND$2:$ND$60=I$4)*(GMWQ!$NF$2:$NF$60=I$1),0),$E35-1966)</f>
        <v>12467</v>
      </c>
      <c r="J35" s="13" cm="1">
        <f t="array" ref="J35">INDEX(GMWQ!$A$2:$NF$60,MATCH(1,(GMWQ!$NE$2:$NE$60=J$3)*(GMWQ!$ND$2:$ND$60=J$4)*(GMWQ!$NF$2:$NF$60=J$1),0),$E35-1966)</f>
        <v>62107</v>
      </c>
      <c r="K35" s="13" cm="1">
        <f t="array" ref="K35">INDEX(GMWQ!$A$2:$NF$60,MATCH(1,(GMWQ!$NE$2:$NE$60=K$3)*(GMWQ!$ND$2:$ND$60=K$4)*(GMWQ!$NF$2:$NF$60=K$1),0),$E35-1966)</f>
        <v>28290</v>
      </c>
      <c r="L35" s="13" cm="1">
        <f t="array" ref="L35">INDEX(GMWQ!$A$2:$NF$60,MATCH(1,(GMWQ!$NE$2:$NE$60=L$3)*(GMWQ!$ND$2:$ND$60=L$4)*(GMWQ!$NF$2:$NF$60=L$1),0),$E35-1966)</f>
        <v>40290</v>
      </c>
      <c r="M35" s="13" cm="1">
        <f t="array" ref="M35">INDEX(GMWQ!$A$2:$NF$60,MATCH(1,(GMWQ!$NE$2:$NE$60=M$3)*(GMWQ!$ND$2:$ND$60=M$4)*(GMWQ!$NF$2:$NF$60=M$1),0),$E35-1966)</f>
        <v>157780</v>
      </c>
      <c r="N35" s="13" cm="1">
        <f t="array" ref="N35">INDEX(GMWQ!$A$2:$NF$60,MATCH(1,(GMWQ!$NE$2:$NE$60=N$3)*(GMWQ!$ND$2:$ND$60=N$4)*(GMWQ!$NF$2:$NF$60=N$1),0),$E35-1966)</f>
        <v>25.905280000000001</v>
      </c>
    </row>
    <row r="36" spans="1:14" x14ac:dyDescent="0.25">
      <c r="B36" s="13">
        <f t="shared" si="3"/>
        <v>1980</v>
      </c>
      <c r="C36" s="13">
        <f t="shared" si="3"/>
        <v>1980</v>
      </c>
      <c r="E36" s="13">
        <f t="shared" si="1"/>
        <v>2002</v>
      </c>
      <c r="F36" s="13" cm="1">
        <f t="array" ref="F36">INDEX(GMWQ!$A$2:$NF$60,MATCH(1,(GMWQ!$NE$2:$NE$60=F$3)*(GMWQ!$ND$2:$ND$60=F$4)*(GMWQ!$NF$2:$NF$60=F$1),0),$E36-1966)</f>
        <v>34.726950000000002</v>
      </c>
      <c r="G36" s="13" cm="1">
        <f t="array" ref="G36">INDEX(GMWQ!$A$2:$NF$60,MATCH(1,(GMWQ!$NE$2:$NE$60=G$3)*(GMWQ!$ND$2:$ND$60=G$4)*(GMWQ!$NF$2:$NF$60=G$1),0),$E36-1966)</f>
        <v>2273.364</v>
      </c>
      <c r="H36" s="13" cm="1">
        <f t="array" ref="H36">INDEX(GMWQ!$A$2:$NF$60,MATCH(1,(GMWQ!$NE$2:$NE$60=H$3)*(GMWQ!$ND$2:$ND$60=H$4)*(GMWQ!$NF$2:$NF$60=H$1),0),$E36-1966)</f>
        <v>59.170099999999998</v>
      </c>
      <c r="I36" s="13" cm="1">
        <f t="array" ref="I36">INDEX(GMWQ!$A$2:$NF$60,MATCH(1,(GMWQ!$NE$2:$NE$60=I$3)*(GMWQ!$ND$2:$ND$60=I$4)*(GMWQ!$NF$2:$NF$60=I$1),0),$E36-1966)</f>
        <v>12391</v>
      </c>
      <c r="J36" s="13" cm="1">
        <f t="array" ref="J36">INDEX(GMWQ!$A$2:$NF$60,MATCH(1,(GMWQ!$NE$2:$NE$60=J$3)*(GMWQ!$ND$2:$ND$60=J$4)*(GMWQ!$NF$2:$NF$60=J$1),0),$E36-1966)</f>
        <v>63704</v>
      </c>
      <c r="K36" s="13" cm="1">
        <f t="array" ref="K36">INDEX(GMWQ!$A$2:$NF$60,MATCH(1,(GMWQ!$NE$2:$NE$60=K$3)*(GMWQ!$ND$2:$ND$60=K$4)*(GMWQ!$NF$2:$NF$60=K$1),0),$E36-1966)</f>
        <v>29578</v>
      </c>
      <c r="L36" s="13" cm="1">
        <f t="array" ref="L36">INDEX(GMWQ!$A$2:$NF$60,MATCH(1,(GMWQ!$NE$2:$NE$60=L$3)*(GMWQ!$ND$2:$ND$60=L$4)*(GMWQ!$NF$2:$NF$60=L$1),0),$E36-1966)</f>
        <v>41818</v>
      </c>
      <c r="M36" s="13" cm="1">
        <f t="array" ref="M36">INDEX(GMWQ!$A$2:$NF$60,MATCH(1,(GMWQ!$NE$2:$NE$60=M$3)*(GMWQ!$ND$2:$ND$60=M$4)*(GMWQ!$NF$2:$NF$60=M$1),0),$E36-1966)</f>
        <v>158083</v>
      </c>
      <c r="N36" s="13" cm="1">
        <f t="array" ref="N36">INDEX(GMWQ!$A$2:$NF$60,MATCH(1,(GMWQ!$NE$2:$NE$60=N$3)*(GMWQ!$ND$2:$ND$60=N$4)*(GMWQ!$NF$2:$NF$60=N$1),0),$E36-1966)</f>
        <v>26.888159999999999</v>
      </c>
    </row>
    <row r="37" spans="1:14" x14ac:dyDescent="0.25">
      <c r="B37" s="13">
        <f t="shared" si="3"/>
        <v>1980</v>
      </c>
      <c r="C37" s="13">
        <f t="shared" si="3"/>
        <v>1980</v>
      </c>
      <c r="E37" s="13">
        <f t="shared" si="1"/>
        <v>2003</v>
      </c>
      <c r="F37" s="13" cm="1">
        <f t="array" ref="F37">INDEX(GMWQ!$A$2:$NF$60,MATCH(1,(GMWQ!$NE$2:$NE$60=F$3)*(GMWQ!$ND$2:$ND$60=F$4)*(GMWQ!$NF$2:$NF$60=F$1),0),$E37-1966)</f>
        <v>35.928190000000001</v>
      </c>
      <c r="G37" s="13" cm="1">
        <f t="array" ref="G37">INDEX(GMWQ!$A$2:$NF$60,MATCH(1,(GMWQ!$NE$2:$NE$60=G$3)*(GMWQ!$ND$2:$ND$60=G$4)*(GMWQ!$NF$2:$NF$60=G$1),0),$E37-1966)</f>
        <v>2332.9520000000002</v>
      </c>
      <c r="H37" s="13" cm="1">
        <f t="array" ref="H37">INDEX(GMWQ!$A$2:$NF$60,MATCH(1,(GMWQ!$NE$2:$NE$60=H$3)*(GMWQ!$ND$2:$ND$60=H$4)*(GMWQ!$NF$2:$NF$60=H$1),0),$E37-1966)</f>
        <v>63.642139999999998</v>
      </c>
      <c r="I37" s="13" cm="1">
        <f t="array" ref="I37">INDEX(GMWQ!$A$2:$NF$60,MATCH(1,(GMWQ!$NE$2:$NE$60=I$3)*(GMWQ!$ND$2:$ND$60=I$4)*(GMWQ!$NF$2:$NF$60=I$1),0),$E37-1966)</f>
        <v>11886</v>
      </c>
      <c r="J37" s="13" cm="1">
        <f t="array" ref="J37">INDEX(GMWQ!$A$2:$NF$60,MATCH(1,(GMWQ!$NE$2:$NE$60=J$3)*(GMWQ!$ND$2:$ND$60=J$4)*(GMWQ!$NF$2:$NF$60=J$1),0),$E37-1966)</f>
        <v>66021</v>
      </c>
      <c r="K37" s="13" cm="1">
        <f t="array" ref="K37">INDEX(GMWQ!$A$2:$NF$60,MATCH(1,(GMWQ!$NE$2:$NE$60=K$3)*(GMWQ!$ND$2:$ND$60=K$4)*(GMWQ!$NF$2:$NF$60=K$1),0),$E37-1966)</f>
        <v>30485</v>
      </c>
      <c r="L37" s="13" cm="1">
        <f t="array" ref="L37">INDEX(GMWQ!$A$2:$NF$60,MATCH(1,(GMWQ!$NE$2:$NE$60=L$3)*(GMWQ!$ND$2:$ND$60=L$4)*(GMWQ!$NF$2:$NF$60=L$1),0),$E37-1966)</f>
        <v>43433</v>
      </c>
      <c r="M37" s="13" cm="1">
        <f t="array" ref="M37">INDEX(GMWQ!$A$2:$NF$60,MATCH(1,(GMWQ!$NE$2:$NE$60=M$3)*(GMWQ!$ND$2:$ND$60=M$4)*(GMWQ!$NF$2:$NF$60=M$1),0),$E37-1966)</f>
        <v>160445</v>
      </c>
      <c r="N37" s="13" cm="1">
        <f t="array" ref="N37">INDEX(GMWQ!$A$2:$NF$60,MATCH(1,(GMWQ!$NE$2:$NE$60=N$3)*(GMWQ!$ND$2:$ND$60=N$4)*(GMWQ!$NF$2:$NF$60=N$1),0),$E37-1966)</f>
        <v>27.460470000000001</v>
      </c>
    </row>
    <row r="38" spans="1:14" x14ac:dyDescent="0.25">
      <c r="B38" s="13">
        <f t="shared" si="3"/>
        <v>1980</v>
      </c>
      <c r="C38" s="13">
        <f t="shared" si="3"/>
        <v>1980</v>
      </c>
      <c r="E38" s="13">
        <f t="shared" si="1"/>
        <v>2004</v>
      </c>
      <c r="F38" s="13" cm="1">
        <f t="array" ref="F38">INDEX(GMWQ!$A$2:$NF$60,MATCH(1,(GMWQ!$NE$2:$NE$60=F$3)*(GMWQ!$ND$2:$ND$60=F$4)*(GMWQ!$NF$2:$NF$60=F$1),0),$E38-1966)</f>
        <v>37.0792</v>
      </c>
      <c r="G38" s="13" cm="1">
        <f t="array" ref="G38">INDEX(GMWQ!$A$2:$NF$60,MATCH(1,(GMWQ!$NE$2:$NE$60=G$3)*(GMWQ!$ND$2:$ND$60=G$4)*(GMWQ!$NF$2:$NF$60=G$1),0),$E38-1966)</f>
        <v>2420.6489999999999</v>
      </c>
      <c r="H38" s="13" cm="1">
        <f t="array" ref="H38">INDEX(GMWQ!$A$2:$NF$60,MATCH(1,(GMWQ!$NE$2:$NE$60=H$3)*(GMWQ!$ND$2:$ND$60=H$4)*(GMWQ!$NF$2:$NF$60=H$1),0),$E38-1966)</f>
        <v>66.771739999999994</v>
      </c>
      <c r="I38" s="13" cm="1">
        <f t="array" ref="I38">INDEX(GMWQ!$A$2:$NF$60,MATCH(1,(GMWQ!$NE$2:$NE$60=I$3)*(GMWQ!$ND$2:$ND$60=I$4)*(GMWQ!$NF$2:$NF$60=I$1),0),$E38-1966)</f>
        <v>12891</v>
      </c>
      <c r="J38" s="13" cm="1">
        <f t="array" ref="J38">INDEX(GMWQ!$A$2:$NF$60,MATCH(1,(GMWQ!$NE$2:$NE$60=J$3)*(GMWQ!$ND$2:$ND$60=J$4)*(GMWQ!$NF$2:$NF$60=J$1),0),$E38-1966)</f>
        <v>68138</v>
      </c>
      <c r="K38" s="13" cm="1">
        <f t="array" ref="K38">INDEX(GMWQ!$A$2:$NF$60,MATCH(1,(GMWQ!$NE$2:$NE$60=K$3)*(GMWQ!$ND$2:$ND$60=K$4)*(GMWQ!$NF$2:$NF$60=K$1),0),$E38-1966)</f>
        <v>30980</v>
      </c>
      <c r="L38" s="13" cm="1">
        <f t="array" ref="L38">INDEX(GMWQ!$A$2:$NF$60,MATCH(1,(GMWQ!$NE$2:$NE$60=L$3)*(GMWQ!$ND$2:$ND$60=L$4)*(GMWQ!$NF$2:$NF$60=L$1),0),$E38-1966)</f>
        <v>44864</v>
      </c>
      <c r="M38" s="13" cm="1">
        <f t="array" ref="M38">INDEX(GMWQ!$A$2:$NF$60,MATCH(1,(GMWQ!$NE$2:$NE$60=M$3)*(GMWQ!$ND$2:$ND$60=M$4)*(GMWQ!$NF$2:$NF$60=M$1),0),$E38-1966)</f>
        <v>158931</v>
      </c>
      <c r="N38" s="13" cm="1">
        <f t="array" ref="N38">INDEX(GMWQ!$A$2:$NF$60,MATCH(1,(GMWQ!$NE$2:$NE$60=N$3)*(GMWQ!$ND$2:$ND$60=N$4)*(GMWQ!$NF$2:$NF$60=N$1),0),$E38-1966)</f>
        <v>28.66206</v>
      </c>
    </row>
    <row r="39" spans="1:14" x14ac:dyDescent="0.25">
      <c r="A39" s="13">
        <v>1981</v>
      </c>
      <c r="B39" s="13">
        <f t="shared" si="3"/>
        <v>1981</v>
      </c>
      <c r="C39" s="13">
        <f t="shared" si="3"/>
        <v>1980</v>
      </c>
      <c r="D39" s="13">
        <f t="shared" si="3"/>
        <v>1980</v>
      </c>
      <c r="E39" s="13">
        <f t="shared" si="1"/>
        <v>2005</v>
      </c>
      <c r="F39" s="13" cm="1">
        <f t="array" ref="F39">INDEX(GMWQ!$A$2:$NF$60,MATCH(1,(GMWQ!$NE$2:$NE$60=F$3)*(GMWQ!$ND$2:$ND$60=F$4)*(GMWQ!$NF$2:$NF$60=F$1),0),$E39-1966)</f>
        <v>37.69285</v>
      </c>
      <c r="G39" s="13" cm="1">
        <f t="array" ref="G39">INDEX(GMWQ!$A$2:$NF$60,MATCH(1,(GMWQ!$NE$2:$NE$60=G$3)*(GMWQ!$ND$2:$ND$60=G$4)*(GMWQ!$NF$2:$NF$60=G$1),0),$E39-1966)</f>
        <v>2498.2269999999999</v>
      </c>
      <c r="H39" s="13" cm="1">
        <f t="array" ref="H39">INDEX(GMWQ!$A$2:$NF$60,MATCH(1,(GMWQ!$NE$2:$NE$60=H$3)*(GMWQ!$ND$2:$ND$60=H$4)*(GMWQ!$NF$2:$NF$60=H$1),0),$E39-1966)</f>
        <v>67.327690000000004</v>
      </c>
      <c r="I39" s="13" cm="1">
        <f t="array" ref="I39">INDEX(GMWQ!$A$2:$NF$60,MATCH(1,(GMWQ!$NE$2:$NE$60=I$3)*(GMWQ!$ND$2:$ND$60=I$4)*(GMWQ!$NF$2:$NF$60=I$1),0),$E39-1966)</f>
        <v>12538</v>
      </c>
      <c r="J39" s="13" cm="1">
        <f t="array" ref="J39">INDEX(GMWQ!$A$2:$NF$60,MATCH(1,(GMWQ!$NE$2:$NE$60=J$3)*(GMWQ!$ND$2:$ND$60=J$4)*(GMWQ!$NF$2:$NF$60=J$1),0),$E39-1966)</f>
        <v>69940</v>
      </c>
      <c r="K39" s="13" cm="1">
        <f t="array" ref="K39">INDEX(GMWQ!$A$2:$NF$60,MATCH(1,(GMWQ!$NE$2:$NE$60=K$3)*(GMWQ!$ND$2:$ND$60=K$4)*(GMWQ!$NF$2:$NF$60=K$1),0),$E39-1966)</f>
        <v>31183</v>
      </c>
      <c r="L39" s="13" cm="1">
        <f t="array" ref="L39">INDEX(GMWQ!$A$2:$NF$60,MATCH(1,(GMWQ!$NE$2:$NE$60=L$3)*(GMWQ!$ND$2:$ND$60=L$4)*(GMWQ!$NF$2:$NF$60=L$1),0),$E39-1966)</f>
        <v>46552</v>
      </c>
      <c r="M39" s="13" cm="1">
        <f t="array" ref="M39">INDEX(GMWQ!$A$2:$NF$60,MATCH(1,(GMWQ!$NE$2:$NE$60=M$3)*(GMWQ!$ND$2:$ND$60=M$4)*(GMWQ!$NF$2:$NF$60=M$1),0),$E39-1966)</f>
        <v>160486</v>
      </c>
      <c r="N39" s="13" cm="1">
        <f t="array" ref="N39">INDEX(GMWQ!$A$2:$NF$60,MATCH(1,(GMWQ!$NE$2:$NE$60=N$3)*(GMWQ!$ND$2:$ND$60=N$4)*(GMWQ!$NF$2:$NF$60=N$1),0),$E39-1966)</f>
        <v>29.374320000000001</v>
      </c>
    </row>
    <row r="40" spans="1:14" x14ac:dyDescent="0.25">
      <c r="B40" s="13">
        <f t="shared" si="3"/>
        <v>1981</v>
      </c>
      <c r="C40" s="13">
        <f t="shared" si="3"/>
        <v>1981</v>
      </c>
      <c r="E40" s="13">
        <f t="shared" si="1"/>
        <v>2006</v>
      </c>
      <c r="F40" s="13" cm="1">
        <f t="array" ref="F40">INDEX(GMWQ!$A$2:$NF$60,MATCH(1,(GMWQ!$NE$2:$NE$60=F$3)*(GMWQ!$ND$2:$ND$60=F$4)*(GMWQ!$NF$2:$NF$60=F$1),0),$E40-1966)</f>
        <v>38.15502</v>
      </c>
      <c r="G40" s="13" cm="1">
        <f t="array" ref="G40">INDEX(GMWQ!$A$2:$NF$60,MATCH(1,(GMWQ!$NE$2:$NE$60=G$3)*(GMWQ!$ND$2:$ND$60=G$4)*(GMWQ!$NF$2:$NF$60=G$1),0),$E40-1966)</f>
        <v>2399.2869999999998</v>
      </c>
      <c r="H40" s="13" cm="1">
        <f t="array" ref="H40">INDEX(GMWQ!$A$2:$NF$60,MATCH(1,(GMWQ!$NE$2:$NE$60=H$3)*(GMWQ!$ND$2:$ND$60=H$4)*(GMWQ!$NF$2:$NF$60=H$1),0),$E40-1966)</f>
        <v>69.614490000000004</v>
      </c>
      <c r="I40" s="13" cm="1">
        <f t="array" ref="I40">INDEX(GMWQ!$A$2:$NF$60,MATCH(1,(GMWQ!$NE$2:$NE$60=I$3)*(GMWQ!$ND$2:$ND$60=I$4)*(GMWQ!$NF$2:$NF$60=I$1),0),$E40-1966)</f>
        <v>13239</v>
      </c>
      <c r="J40" s="13" cm="1">
        <f t="array" ref="J40">INDEX(GMWQ!$A$2:$NF$60,MATCH(1,(GMWQ!$NE$2:$NE$60=J$3)*(GMWQ!$ND$2:$ND$60=J$4)*(GMWQ!$NF$2:$NF$60=J$1),0),$E40-1966)</f>
        <v>71334</v>
      </c>
      <c r="K40" s="13" cm="1">
        <f t="array" ref="K40">INDEX(GMWQ!$A$2:$NF$60,MATCH(1,(GMWQ!$NE$2:$NE$60=K$3)*(GMWQ!$ND$2:$ND$60=K$4)*(GMWQ!$NF$2:$NF$60=K$1),0),$E40-1966)</f>
        <v>31633</v>
      </c>
      <c r="L40" s="13" cm="1">
        <f t="array" ref="L40">INDEX(GMWQ!$A$2:$NF$60,MATCH(1,(GMWQ!$NE$2:$NE$60=L$3)*(GMWQ!$ND$2:$ND$60=L$4)*(GMWQ!$NF$2:$NF$60=L$1),0),$E40-1966)</f>
        <v>47036</v>
      </c>
      <c r="M40" s="13" cm="1">
        <f t="array" ref="M40">INDEX(GMWQ!$A$2:$NF$60,MATCH(1,(GMWQ!$NE$2:$NE$60=M$3)*(GMWQ!$ND$2:$ND$60=M$4)*(GMWQ!$NF$2:$NF$60=M$1),0),$E40-1966)</f>
        <v>158130</v>
      </c>
      <c r="N40" s="13" cm="1">
        <f t="array" ref="N40">INDEX(GMWQ!$A$2:$NF$60,MATCH(1,(GMWQ!$NE$2:$NE$60=N$3)*(GMWQ!$ND$2:$ND$60=N$4)*(GMWQ!$NF$2:$NF$60=N$1),0),$E40-1966)</f>
        <v>30.196069999999999</v>
      </c>
    </row>
    <row r="41" spans="1:14" x14ac:dyDescent="0.25">
      <c r="B41" s="13">
        <f t="shared" si="3"/>
        <v>1981</v>
      </c>
      <c r="C41" s="13">
        <f t="shared" si="3"/>
        <v>1981</v>
      </c>
      <c r="E41" s="13">
        <f t="shared" si="1"/>
        <v>2007</v>
      </c>
      <c r="F41" s="13" cm="1">
        <f t="array" ref="F41">INDEX(GMWQ!$A$2:$NF$60,MATCH(1,(GMWQ!$NE$2:$NE$60=F$3)*(GMWQ!$ND$2:$ND$60=F$4)*(GMWQ!$NF$2:$NF$60=F$1),0),$E41-1966)</f>
        <v>38.569020000000002</v>
      </c>
      <c r="G41" s="13" cm="1">
        <f t="array" ref="G41">INDEX(GMWQ!$A$2:$NF$60,MATCH(1,(GMWQ!$NE$2:$NE$60=G$3)*(GMWQ!$ND$2:$ND$60=G$4)*(GMWQ!$NF$2:$NF$60=G$1),0),$E41-1966)</f>
        <v>2452.13</v>
      </c>
      <c r="H41" s="13" cm="1">
        <f t="array" ref="H41">INDEX(GMWQ!$A$2:$NF$60,MATCH(1,(GMWQ!$NE$2:$NE$60=H$3)*(GMWQ!$ND$2:$ND$60=H$4)*(GMWQ!$NF$2:$NF$60=H$1),0),$E41-1966)</f>
        <v>73.352940000000004</v>
      </c>
      <c r="I41" s="13" cm="1">
        <f t="array" ref="I41">INDEX(GMWQ!$A$2:$NF$60,MATCH(1,(GMWQ!$NE$2:$NE$60=I$3)*(GMWQ!$ND$2:$ND$60=I$4)*(GMWQ!$NF$2:$NF$60=I$1),0),$E41-1966)</f>
        <v>14561</v>
      </c>
      <c r="J41" s="13" cm="1">
        <f t="array" ref="J41">INDEX(GMWQ!$A$2:$NF$60,MATCH(1,(GMWQ!$NE$2:$NE$60=J$3)*(GMWQ!$ND$2:$ND$60=J$4)*(GMWQ!$NF$2:$NF$60=J$1),0),$E41-1966)</f>
        <v>73310</v>
      </c>
      <c r="K41" s="13" cm="1">
        <f t="array" ref="K41">INDEX(GMWQ!$A$2:$NF$60,MATCH(1,(GMWQ!$NE$2:$NE$60=K$3)*(GMWQ!$ND$2:$ND$60=K$4)*(GMWQ!$NF$2:$NF$60=K$1),0),$E41-1966)</f>
        <v>32287</v>
      </c>
      <c r="L41" s="13" cm="1">
        <f t="array" ref="L41">INDEX(GMWQ!$A$2:$NF$60,MATCH(1,(GMWQ!$NE$2:$NE$60=L$3)*(GMWQ!$ND$2:$ND$60=L$4)*(GMWQ!$NF$2:$NF$60=L$1),0),$E41-1966)</f>
        <v>47924</v>
      </c>
      <c r="M41" s="13" cm="1">
        <f t="array" ref="M41">INDEX(GMWQ!$A$2:$NF$60,MATCH(1,(GMWQ!$NE$2:$NE$60=M$3)*(GMWQ!$ND$2:$ND$60=M$4)*(GMWQ!$NF$2:$NF$60=M$1),0),$E41-1966)</f>
        <v>157598</v>
      </c>
      <c r="N41" s="13" cm="1">
        <f t="array" ref="N41">INDEX(GMWQ!$A$2:$NF$60,MATCH(1,(GMWQ!$NE$2:$NE$60=N$3)*(GMWQ!$ND$2:$ND$60=N$4)*(GMWQ!$NF$2:$NF$60=N$1),0),$E41-1966)</f>
        <v>30.904209999999999</v>
      </c>
    </row>
    <row r="42" spans="1:14" x14ac:dyDescent="0.25">
      <c r="B42" s="13">
        <f t="shared" si="3"/>
        <v>1981</v>
      </c>
      <c r="C42" s="13">
        <f t="shared" si="3"/>
        <v>1981</v>
      </c>
      <c r="E42" s="13">
        <f t="shared" si="1"/>
        <v>2008</v>
      </c>
      <c r="F42" s="13" cm="1">
        <f t="array" ref="F42">INDEX(GMWQ!$A$2:$NF$60,MATCH(1,(GMWQ!$NE$2:$NE$60=F$3)*(GMWQ!$ND$2:$ND$60=F$4)*(GMWQ!$NF$2:$NF$60=F$1),0),$E42-1966)</f>
        <v>39.219499999999996</v>
      </c>
      <c r="G42" s="13" cm="1">
        <f t="array" ref="G42">INDEX(GMWQ!$A$2:$NF$60,MATCH(1,(GMWQ!$NE$2:$NE$60=G$3)*(GMWQ!$ND$2:$ND$60=G$4)*(GMWQ!$NF$2:$NF$60=G$1),0),$E42-1966)</f>
        <v>2560.0639999999999</v>
      </c>
      <c r="H42" s="13" cm="1">
        <f t="array" ref="H42">INDEX(GMWQ!$A$2:$NF$60,MATCH(1,(GMWQ!$NE$2:$NE$60=H$3)*(GMWQ!$ND$2:$ND$60=H$4)*(GMWQ!$NF$2:$NF$60=H$1),0),$E42-1966)</f>
        <v>76.177090000000007</v>
      </c>
      <c r="I42" s="13" cm="1">
        <f t="array" ref="I42">INDEX(GMWQ!$A$2:$NF$60,MATCH(1,(GMWQ!$NE$2:$NE$60=I$3)*(GMWQ!$ND$2:$ND$60=I$4)*(GMWQ!$NF$2:$NF$60=I$1),0),$E42-1966)</f>
        <v>15234</v>
      </c>
      <c r="J42" s="13" cm="1">
        <f t="array" ref="J42">INDEX(GMWQ!$A$2:$NF$60,MATCH(1,(GMWQ!$NE$2:$NE$60=J$3)*(GMWQ!$ND$2:$ND$60=J$4)*(GMWQ!$NF$2:$NF$60=J$1),0),$E42-1966)</f>
        <v>75596</v>
      </c>
      <c r="K42" s="13" cm="1">
        <f t="array" ref="K42">INDEX(GMWQ!$A$2:$NF$60,MATCH(1,(GMWQ!$NE$2:$NE$60=K$3)*(GMWQ!$ND$2:$ND$60=K$4)*(GMWQ!$NF$2:$NF$60=K$1),0),$E42-1966)</f>
        <v>32870</v>
      </c>
      <c r="L42" s="13" cm="1">
        <f t="array" ref="L42">INDEX(GMWQ!$A$2:$NF$60,MATCH(1,(GMWQ!$NE$2:$NE$60=L$3)*(GMWQ!$ND$2:$ND$60=L$4)*(GMWQ!$NF$2:$NF$60=L$1),0),$E42-1966)</f>
        <v>49843</v>
      </c>
      <c r="M42" s="13" cm="1">
        <f t="array" ref="M42">INDEX(GMWQ!$A$2:$NF$60,MATCH(1,(GMWQ!$NE$2:$NE$60=M$3)*(GMWQ!$ND$2:$ND$60=M$4)*(GMWQ!$NF$2:$NF$60=M$1),0),$E42-1966)</f>
        <v>158580</v>
      </c>
      <c r="N42" s="13" cm="1">
        <f t="array" ref="N42">INDEX(GMWQ!$A$2:$NF$60,MATCH(1,(GMWQ!$NE$2:$NE$60=N$3)*(GMWQ!$ND$2:$ND$60=N$4)*(GMWQ!$NF$2:$NF$60=N$1),0),$E42-1966)</f>
        <v>31.90259</v>
      </c>
    </row>
    <row r="43" spans="1:14" x14ac:dyDescent="0.25">
      <c r="A43" s="13">
        <v>1982</v>
      </c>
      <c r="B43" s="13">
        <f t="shared" si="3"/>
        <v>1982</v>
      </c>
      <c r="C43" s="13">
        <f t="shared" si="3"/>
        <v>1981</v>
      </c>
      <c r="D43" s="13">
        <f t="shared" si="3"/>
        <v>1981</v>
      </c>
      <c r="E43" s="13">
        <f t="shared" si="1"/>
        <v>2009</v>
      </c>
      <c r="F43" s="13" cm="1">
        <f t="array" ref="F43">INDEX(GMWQ!$A$2:$NF$60,MATCH(1,(GMWQ!$NE$2:$NE$60=F$3)*(GMWQ!$ND$2:$ND$60=F$4)*(GMWQ!$NF$2:$NF$60=F$1),0),$E43-1966)</f>
        <v>39.838569999999997</v>
      </c>
      <c r="G43" s="13" cm="1">
        <f t="array" ref="G43">INDEX(GMWQ!$A$2:$NF$60,MATCH(1,(GMWQ!$NE$2:$NE$60=G$3)*(GMWQ!$ND$2:$ND$60=G$4)*(GMWQ!$NF$2:$NF$60=G$1),0),$E43-1966)</f>
        <v>2665.75</v>
      </c>
      <c r="H43" s="13" cm="1">
        <f t="array" ref="H43">INDEX(GMWQ!$A$2:$NF$60,MATCH(1,(GMWQ!$NE$2:$NE$60=H$3)*(GMWQ!$ND$2:$ND$60=H$4)*(GMWQ!$NF$2:$NF$60=H$1),0),$E43-1966)</f>
        <v>76.586519999999993</v>
      </c>
      <c r="I43" s="13" cm="1">
        <f t="array" ref="I43">INDEX(GMWQ!$A$2:$NF$60,MATCH(1,(GMWQ!$NE$2:$NE$60=I$3)*(GMWQ!$ND$2:$ND$60=I$4)*(GMWQ!$NF$2:$NF$60=I$1),0),$E43-1966)</f>
        <v>14539</v>
      </c>
      <c r="J43" s="13" cm="1">
        <f t="array" ref="J43">INDEX(GMWQ!$A$2:$NF$60,MATCH(1,(GMWQ!$NE$2:$NE$60=J$3)*(GMWQ!$ND$2:$ND$60=J$4)*(GMWQ!$NF$2:$NF$60=J$1),0),$E43-1966)</f>
        <v>77468</v>
      </c>
      <c r="K43" s="13" cm="1">
        <f t="array" ref="K43">INDEX(GMWQ!$A$2:$NF$60,MATCH(1,(GMWQ!$NE$2:$NE$60=K$3)*(GMWQ!$ND$2:$ND$60=K$4)*(GMWQ!$NF$2:$NF$60=K$1),0),$E43-1966)</f>
        <v>33383</v>
      </c>
      <c r="L43" s="13" cm="1">
        <f t="array" ref="L43">INDEX(GMWQ!$A$2:$NF$60,MATCH(1,(GMWQ!$NE$2:$NE$60=L$3)*(GMWQ!$ND$2:$ND$60=L$4)*(GMWQ!$NF$2:$NF$60=L$1),0),$E43-1966)</f>
        <v>50837</v>
      </c>
      <c r="M43" s="13" cm="1">
        <f t="array" ref="M43">INDEX(GMWQ!$A$2:$NF$60,MATCH(1,(GMWQ!$NE$2:$NE$60=M$3)*(GMWQ!$ND$2:$ND$60=M$4)*(GMWQ!$NF$2:$NF$60=M$1),0),$E43-1966)</f>
        <v>157715</v>
      </c>
      <c r="N43" s="13" cm="1">
        <f t="array" ref="N43">INDEX(GMWQ!$A$2:$NF$60,MATCH(1,(GMWQ!$NE$2:$NE$60=N$3)*(GMWQ!$ND$2:$ND$60=N$4)*(GMWQ!$NF$2:$NF$60=N$1),0),$E43-1966)</f>
        <v>32.61365</v>
      </c>
    </row>
    <row r="44" spans="1:14" x14ac:dyDescent="0.25">
      <c r="B44" s="13">
        <f t="shared" ref="B44:D59" si="4">+B40+1</f>
        <v>1982</v>
      </c>
      <c r="C44" s="13">
        <f t="shared" si="4"/>
        <v>1982</v>
      </c>
      <c r="E44" s="13">
        <f t="shared" si="1"/>
        <v>2010</v>
      </c>
      <c r="F44" s="13" cm="1">
        <f t="array" ref="F44">INDEX(GMWQ!$A$2:$NF$60,MATCH(1,(GMWQ!$NE$2:$NE$60=F$3)*(GMWQ!$ND$2:$ND$60=F$4)*(GMWQ!$NF$2:$NF$60=F$1),0),$E44-1966)</f>
        <v>39.87285</v>
      </c>
      <c r="G44" s="13" cm="1">
        <f t="array" ref="G44">INDEX(GMWQ!$A$2:$NF$60,MATCH(1,(GMWQ!$NE$2:$NE$60=G$3)*(GMWQ!$ND$2:$ND$60=G$4)*(GMWQ!$NF$2:$NF$60=G$1),0),$E44-1966)</f>
        <v>2569.0590000000002</v>
      </c>
      <c r="H44" s="13" cm="1">
        <f t="array" ref="H44">INDEX(GMWQ!$A$2:$NF$60,MATCH(1,(GMWQ!$NE$2:$NE$60=H$3)*(GMWQ!$ND$2:$ND$60=H$4)*(GMWQ!$NF$2:$NF$60=H$1),0),$E44-1966)</f>
        <v>78.919120000000007</v>
      </c>
      <c r="I44" s="13" cm="1">
        <f t="array" ref="I44">INDEX(GMWQ!$A$2:$NF$60,MATCH(1,(GMWQ!$NE$2:$NE$60=I$3)*(GMWQ!$ND$2:$ND$60=I$4)*(GMWQ!$NF$2:$NF$60=I$1),0),$E44-1966)</f>
        <v>16436</v>
      </c>
      <c r="J44" s="13" cm="1">
        <f t="array" ref="J44">INDEX(GMWQ!$A$2:$NF$60,MATCH(1,(GMWQ!$NE$2:$NE$60=J$3)*(GMWQ!$ND$2:$ND$60=J$4)*(GMWQ!$NF$2:$NF$60=J$1),0),$E44-1966)</f>
        <v>78993</v>
      </c>
      <c r="K44" s="13" cm="1">
        <f t="array" ref="K44">INDEX(GMWQ!$A$2:$NF$60,MATCH(1,(GMWQ!$NE$2:$NE$60=K$3)*(GMWQ!$ND$2:$ND$60=K$4)*(GMWQ!$NF$2:$NF$60=K$1),0),$E44-1966)</f>
        <v>33923</v>
      </c>
      <c r="L44" s="13" cm="1">
        <f t="array" ref="L44">INDEX(GMWQ!$A$2:$NF$60,MATCH(1,(GMWQ!$NE$2:$NE$60=L$3)*(GMWQ!$ND$2:$ND$60=L$4)*(GMWQ!$NF$2:$NF$60=L$1),0),$E44-1966)</f>
        <v>52380</v>
      </c>
      <c r="M44" s="13" cm="1">
        <f t="array" ref="M44">INDEX(GMWQ!$A$2:$NF$60,MATCH(1,(GMWQ!$NE$2:$NE$60=M$3)*(GMWQ!$ND$2:$ND$60=M$4)*(GMWQ!$NF$2:$NF$60=M$1),0),$E44-1966)</f>
        <v>160483</v>
      </c>
      <c r="N44" s="13" cm="1">
        <f t="array" ref="N44">INDEX(GMWQ!$A$2:$NF$60,MATCH(1,(GMWQ!$NE$2:$NE$60=N$3)*(GMWQ!$ND$2:$ND$60=N$4)*(GMWQ!$NF$2:$NF$60=N$1),0),$E44-1966)</f>
        <v>33.174280000000003</v>
      </c>
    </row>
    <row r="45" spans="1:14" x14ac:dyDescent="0.25">
      <c r="B45" s="13">
        <f t="shared" si="4"/>
        <v>1982</v>
      </c>
      <c r="C45" s="13">
        <f t="shared" si="4"/>
        <v>1982</v>
      </c>
      <c r="E45" s="13">
        <f t="shared" si="1"/>
        <v>2011</v>
      </c>
      <c r="F45" s="13" cm="1">
        <f t="array" ref="F45">INDEX(GMWQ!$A$2:$NF$60,MATCH(1,(GMWQ!$NE$2:$NE$60=F$3)*(GMWQ!$ND$2:$ND$60=F$4)*(GMWQ!$NF$2:$NF$60=F$1),0),$E45-1966)</f>
        <v>40.107120000000002</v>
      </c>
      <c r="G45" s="13" cm="1">
        <f t="array" ref="G45">INDEX(GMWQ!$A$2:$NF$60,MATCH(1,(GMWQ!$NE$2:$NE$60=G$3)*(GMWQ!$ND$2:$ND$60=G$4)*(GMWQ!$NF$2:$NF$60=G$1),0),$E45-1966)</f>
        <v>2582.5500000000002</v>
      </c>
      <c r="H45" s="13" cm="1">
        <f t="array" ref="H45">INDEX(GMWQ!$A$2:$NF$60,MATCH(1,(GMWQ!$NE$2:$NE$60=H$3)*(GMWQ!$ND$2:$ND$60=H$4)*(GMWQ!$NF$2:$NF$60=H$1),0),$E45-1966)</f>
        <v>82.158659999999998</v>
      </c>
      <c r="I45" s="13" cm="1">
        <f t="array" ref="I45">INDEX(GMWQ!$A$2:$NF$60,MATCH(1,(GMWQ!$NE$2:$NE$60=I$3)*(GMWQ!$ND$2:$ND$60=I$4)*(GMWQ!$NF$2:$NF$60=I$1),0),$E45-1966)</f>
        <v>16844</v>
      </c>
      <c r="J45" s="13" cm="1">
        <f t="array" ref="J45">INDEX(GMWQ!$A$2:$NF$60,MATCH(1,(GMWQ!$NE$2:$NE$60=J$3)*(GMWQ!$ND$2:$ND$60=J$4)*(GMWQ!$NF$2:$NF$60=J$1),0),$E45-1966)</f>
        <v>80430</v>
      </c>
      <c r="K45" s="13" cm="1">
        <f t="array" ref="K45">INDEX(GMWQ!$A$2:$NF$60,MATCH(1,(GMWQ!$NE$2:$NE$60=K$3)*(GMWQ!$ND$2:$ND$60=K$4)*(GMWQ!$NF$2:$NF$60=K$1),0),$E45-1966)</f>
        <v>34218</v>
      </c>
      <c r="L45" s="13" cm="1">
        <f t="array" ref="L45">INDEX(GMWQ!$A$2:$NF$60,MATCH(1,(GMWQ!$NE$2:$NE$60=L$3)*(GMWQ!$ND$2:$ND$60=L$4)*(GMWQ!$NF$2:$NF$60=L$1),0),$E45-1966)</f>
        <v>52615</v>
      </c>
      <c r="M45" s="13" cm="1">
        <f t="array" ref="M45">INDEX(GMWQ!$A$2:$NF$60,MATCH(1,(GMWQ!$NE$2:$NE$60=M$3)*(GMWQ!$ND$2:$ND$60=M$4)*(GMWQ!$NF$2:$NF$60=M$1),0),$E45-1966)</f>
        <v>159367</v>
      </c>
      <c r="N45" s="13" cm="1">
        <f t="array" ref="N45">INDEX(GMWQ!$A$2:$NF$60,MATCH(1,(GMWQ!$NE$2:$NE$60=N$3)*(GMWQ!$ND$2:$ND$60=N$4)*(GMWQ!$NF$2:$NF$60=N$1),0),$E45-1966)</f>
        <v>33.551250000000003</v>
      </c>
    </row>
    <row r="46" spans="1:14" x14ac:dyDescent="0.25">
      <c r="B46" s="13">
        <f t="shared" si="4"/>
        <v>1982</v>
      </c>
      <c r="C46" s="13">
        <f t="shared" si="4"/>
        <v>1982</v>
      </c>
      <c r="E46" s="13">
        <f t="shared" si="1"/>
        <v>2012</v>
      </c>
      <c r="F46" s="13" cm="1">
        <f t="array" ref="F46">INDEX(GMWQ!$A$2:$NF$60,MATCH(1,(GMWQ!$NE$2:$NE$60=F$3)*(GMWQ!$ND$2:$ND$60=F$4)*(GMWQ!$NF$2:$NF$60=F$1),0),$E46-1966)</f>
        <v>40.315269999999998</v>
      </c>
      <c r="G46" s="13" cm="1">
        <f t="array" ref="G46">INDEX(GMWQ!$A$2:$NF$60,MATCH(1,(GMWQ!$NE$2:$NE$60=G$3)*(GMWQ!$ND$2:$ND$60=G$4)*(GMWQ!$NF$2:$NF$60=G$1),0),$E46-1966)</f>
        <v>2688.2359999999999</v>
      </c>
      <c r="H46" s="13" cm="1">
        <f t="array" ref="H46">INDEX(GMWQ!$A$2:$NF$60,MATCH(1,(GMWQ!$NE$2:$NE$60=H$3)*(GMWQ!$ND$2:$ND$60=H$4)*(GMWQ!$NF$2:$NF$60=H$1),0),$E46-1966)</f>
        <v>83.439229999999995</v>
      </c>
      <c r="I46" s="13" cm="1">
        <f t="array" ref="I46">INDEX(GMWQ!$A$2:$NF$60,MATCH(1,(GMWQ!$NE$2:$NE$60=I$3)*(GMWQ!$ND$2:$ND$60=I$4)*(GMWQ!$NF$2:$NF$60=I$1),0),$E46-1966)</f>
        <v>17632</v>
      </c>
      <c r="J46" s="13" cm="1">
        <f t="array" ref="J46">INDEX(GMWQ!$A$2:$NF$60,MATCH(1,(GMWQ!$NE$2:$NE$60=J$3)*(GMWQ!$ND$2:$ND$60=J$4)*(GMWQ!$NF$2:$NF$60=J$1),0),$E46-1966)</f>
        <v>82667</v>
      </c>
      <c r="K46" s="13" cm="1">
        <f t="array" ref="K46">INDEX(GMWQ!$A$2:$NF$60,MATCH(1,(GMWQ!$NE$2:$NE$60=K$3)*(GMWQ!$ND$2:$ND$60=K$4)*(GMWQ!$NF$2:$NF$60=K$1),0),$E46-1966)</f>
        <v>34584</v>
      </c>
      <c r="L46" s="13" cm="1">
        <f t="array" ref="L46">INDEX(GMWQ!$A$2:$NF$60,MATCH(1,(GMWQ!$NE$2:$NE$60=L$3)*(GMWQ!$ND$2:$ND$60=L$4)*(GMWQ!$NF$2:$NF$60=L$1),0),$E46-1966)</f>
        <v>53960</v>
      </c>
      <c r="M46" s="13" cm="1">
        <f t="array" ref="M46">INDEX(GMWQ!$A$2:$NF$60,MATCH(1,(GMWQ!$NE$2:$NE$60=M$3)*(GMWQ!$ND$2:$ND$60=M$4)*(GMWQ!$NF$2:$NF$60=M$1),0),$E46-1966)</f>
        <v>159886</v>
      </c>
      <c r="N46" s="13" cm="1">
        <f t="array" ref="N46">INDEX(GMWQ!$A$2:$NF$60,MATCH(1,(GMWQ!$NE$2:$NE$60=N$3)*(GMWQ!$ND$2:$ND$60=N$4)*(GMWQ!$NF$2:$NF$60=N$1),0),$E46-1966)</f>
        <v>34.331569999999999</v>
      </c>
    </row>
    <row r="47" spans="1:14" x14ac:dyDescent="0.25">
      <c r="A47" s="13">
        <v>1983</v>
      </c>
      <c r="B47" s="13">
        <f t="shared" si="4"/>
        <v>1983</v>
      </c>
      <c r="C47" s="13">
        <f t="shared" si="4"/>
        <v>1982</v>
      </c>
      <c r="D47" s="13">
        <f t="shared" si="4"/>
        <v>1982</v>
      </c>
      <c r="E47" s="13">
        <f t="shared" si="1"/>
        <v>2013</v>
      </c>
      <c r="F47" s="13" cm="1">
        <f t="array" ref="F47">INDEX(GMWQ!$A$2:$NF$60,MATCH(1,(GMWQ!$NE$2:$NE$60=F$3)*(GMWQ!$ND$2:$ND$60=F$4)*(GMWQ!$NF$2:$NF$60=F$1),0),$E47-1966)</f>
        <v>40.524909999999998</v>
      </c>
      <c r="G47" s="13" cm="1">
        <f t="array" ref="G47">INDEX(GMWQ!$A$2:$NF$60,MATCH(1,(GMWQ!$NE$2:$NE$60=G$3)*(GMWQ!$ND$2:$ND$60=G$4)*(GMWQ!$NF$2:$NF$60=G$1),0),$E47-1966)</f>
        <v>2872.623</v>
      </c>
      <c r="H47" s="13" cm="1">
        <f t="array" ref="H47">INDEX(GMWQ!$A$2:$NF$60,MATCH(1,(GMWQ!$NE$2:$NE$60=H$3)*(GMWQ!$ND$2:$ND$60=H$4)*(GMWQ!$NF$2:$NF$60=H$1),0),$E47-1966)</f>
        <v>84.922520000000006</v>
      </c>
      <c r="I47" s="13" cm="1">
        <f t="array" ref="I47">INDEX(GMWQ!$A$2:$NF$60,MATCH(1,(GMWQ!$NE$2:$NE$60=I$3)*(GMWQ!$ND$2:$ND$60=I$4)*(GMWQ!$NF$2:$NF$60=I$1),0),$E47-1966)</f>
        <v>18610</v>
      </c>
      <c r="J47" s="13" cm="1">
        <f t="array" ref="J47">INDEX(GMWQ!$A$2:$NF$60,MATCH(1,(GMWQ!$NE$2:$NE$60=J$3)*(GMWQ!$ND$2:$ND$60=J$4)*(GMWQ!$NF$2:$NF$60=J$1),0),$E47-1966)</f>
        <v>85727</v>
      </c>
      <c r="K47" s="13" cm="1">
        <f t="array" ref="K47">INDEX(GMWQ!$A$2:$NF$60,MATCH(1,(GMWQ!$NE$2:$NE$60=K$3)*(GMWQ!$ND$2:$ND$60=K$4)*(GMWQ!$NF$2:$NF$60=K$1),0),$E47-1966)</f>
        <v>35662</v>
      </c>
      <c r="L47" s="13" cm="1">
        <f t="array" ref="L47">INDEX(GMWQ!$A$2:$NF$60,MATCH(1,(GMWQ!$NE$2:$NE$60=L$3)*(GMWQ!$ND$2:$ND$60=L$4)*(GMWQ!$NF$2:$NF$60=L$1),0),$E47-1966)</f>
        <v>54514</v>
      </c>
      <c r="M47" s="13" cm="1">
        <f t="array" ref="M47">INDEX(GMWQ!$A$2:$NF$60,MATCH(1,(GMWQ!$NE$2:$NE$60=M$3)*(GMWQ!$ND$2:$ND$60=M$4)*(GMWQ!$NF$2:$NF$60=M$1),0),$E47-1966)</f>
        <v>158854</v>
      </c>
      <c r="N47" s="13" cm="1">
        <f t="array" ref="N47">INDEX(GMWQ!$A$2:$NF$60,MATCH(1,(GMWQ!$NE$2:$NE$60=N$3)*(GMWQ!$ND$2:$ND$60=N$4)*(GMWQ!$NF$2:$NF$60=N$1),0),$E47-1966)</f>
        <v>34.779679999999999</v>
      </c>
    </row>
    <row r="48" spans="1:14" x14ac:dyDescent="0.25">
      <c r="B48" s="13">
        <f t="shared" si="4"/>
        <v>1983</v>
      </c>
      <c r="C48" s="13">
        <f t="shared" si="4"/>
        <v>1983</v>
      </c>
      <c r="E48" s="13">
        <f>+E47+1</f>
        <v>2014</v>
      </c>
      <c r="F48" s="13" cm="1">
        <f t="array" ref="F48">INDEX(GMWQ!$A$2:$NF$60,MATCH(1,(GMWQ!$NE$2:$NE$60=F$3)*(GMWQ!$ND$2:$ND$60=F$4)*(GMWQ!$NF$2:$NF$60=F$1),0),$E48-1966)</f>
        <v>40.86721</v>
      </c>
      <c r="G48" s="13" cm="1">
        <f t="array" ref="G48">INDEX(GMWQ!$A$2:$NF$60,MATCH(1,(GMWQ!$NE$2:$NE$60=G$3)*(GMWQ!$ND$2:$ND$60=G$4)*(GMWQ!$NF$2:$NF$60=G$1),0),$E48-1966)</f>
        <v>2925.4659999999999</v>
      </c>
      <c r="H48" s="13" cm="1">
        <f t="array" ref="H48">INDEX(GMWQ!$A$2:$NF$60,MATCH(1,(GMWQ!$NE$2:$NE$60=H$3)*(GMWQ!$ND$2:$ND$60=H$4)*(GMWQ!$NF$2:$NF$60=H$1),0),$E48-1966)</f>
        <v>88.039339999999996</v>
      </c>
      <c r="I48" s="13" cm="1">
        <f t="array" ref="I48">INDEX(GMWQ!$A$2:$NF$60,MATCH(1,(GMWQ!$NE$2:$NE$60=I$3)*(GMWQ!$ND$2:$ND$60=I$4)*(GMWQ!$NF$2:$NF$60=I$1),0),$E48-1966)</f>
        <v>18587</v>
      </c>
      <c r="J48" s="13" cm="1">
        <f t="array" ref="J48">INDEX(GMWQ!$A$2:$NF$60,MATCH(1,(GMWQ!$NE$2:$NE$60=J$3)*(GMWQ!$ND$2:$ND$60=J$4)*(GMWQ!$NF$2:$NF$60=J$1),0),$E48-1966)</f>
        <v>86288</v>
      </c>
      <c r="K48" s="13" cm="1">
        <f t="array" ref="K48">INDEX(GMWQ!$A$2:$NF$60,MATCH(1,(GMWQ!$NE$2:$NE$60=K$3)*(GMWQ!$ND$2:$ND$60=K$4)*(GMWQ!$NF$2:$NF$60=K$1),0),$E48-1966)</f>
        <v>36167</v>
      </c>
      <c r="L48" s="13" cm="1">
        <f t="array" ref="L48">INDEX(GMWQ!$A$2:$NF$60,MATCH(1,(GMWQ!$NE$2:$NE$60=L$3)*(GMWQ!$ND$2:$ND$60=L$4)*(GMWQ!$NF$2:$NF$60=L$1),0),$E48-1966)</f>
        <v>57136</v>
      </c>
      <c r="M48" s="13" cm="1">
        <f t="array" ref="M48">INDEX(GMWQ!$A$2:$NF$60,MATCH(1,(GMWQ!$NE$2:$NE$60=M$3)*(GMWQ!$ND$2:$ND$60=M$4)*(GMWQ!$NF$2:$NF$60=M$1),0),$E48-1966)</f>
        <v>165111</v>
      </c>
      <c r="N48" s="13" cm="1">
        <f t="array" ref="N48">INDEX(GMWQ!$A$2:$NF$60,MATCH(1,(GMWQ!$NE$2:$NE$60=N$3)*(GMWQ!$ND$2:$ND$60=N$4)*(GMWQ!$NF$2:$NF$60=N$1),0),$E48-1966)</f>
        <v>35.153910000000003</v>
      </c>
    </row>
    <row r="49" spans="1:14" x14ac:dyDescent="0.25">
      <c r="B49" s="13">
        <f t="shared" si="4"/>
        <v>1983</v>
      </c>
      <c r="C49" s="13">
        <f t="shared" si="4"/>
        <v>1983</v>
      </c>
      <c r="E49" s="13">
        <f t="shared" ref="E49:E112" si="5">+E48+1</f>
        <v>2015</v>
      </c>
      <c r="F49" s="13" cm="1">
        <f t="array" ref="F49">INDEX(GMWQ!$A$2:$NF$60,MATCH(1,(GMWQ!$NE$2:$NE$60=F$3)*(GMWQ!$ND$2:$ND$60=F$4)*(GMWQ!$NF$2:$NF$60=F$1),0),$E49-1966)</f>
        <v>41.293210000000002</v>
      </c>
      <c r="G49" s="13" cm="1">
        <f t="array" ref="G49">INDEX(GMWQ!$A$2:$NF$60,MATCH(1,(GMWQ!$NE$2:$NE$60=G$3)*(GMWQ!$ND$2:$ND$60=G$4)*(GMWQ!$NF$2:$NF$60=G$1),0),$E49-1966)</f>
        <v>2987.3029999999999</v>
      </c>
      <c r="H49" s="13" cm="1">
        <f t="array" ref="H49">INDEX(GMWQ!$A$2:$NF$60,MATCH(1,(GMWQ!$NE$2:$NE$60=H$3)*(GMWQ!$ND$2:$ND$60=H$4)*(GMWQ!$NF$2:$NF$60=H$1),0),$E49-1966)</f>
        <v>90.437579999999997</v>
      </c>
      <c r="I49" s="13" cm="1">
        <f t="array" ref="I49">INDEX(GMWQ!$A$2:$NF$60,MATCH(1,(GMWQ!$NE$2:$NE$60=I$3)*(GMWQ!$ND$2:$ND$60=I$4)*(GMWQ!$NF$2:$NF$60=I$1),0),$E49-1966)</f>
        <v>19902</v>
      </c>
      <c r="J49" s="13" cm="1">
        <f t="array" ref="J49">INDEX(GMWQ!$A$2:$NF$60,MATCH(1,(GMWQ!$NE$2:$NE$60=J$3)*(GMWQ!$ND$2:$ND$60=J$4)*(GMWQ!$NF$2:$NF$60=J$1),0),$E49-1966)</f>
        <v>88637</v>
      </c>
      <c r="K49" s="13" cm="1">
        <f t="array" ref="K49">INDEX(GMWQ!$A$2:$NF$60,MATCH(1,(GMWQ!$NE$2:$NE$60=K$3)*(GMWQ!$ND$2:$ND$60=K$4)*(GMWQ!$NF$2:$NF$60=K$1),0),$E49-1966)</f>
        <v>36728</v>
      </c>
      <c r="L49" s="13" cm="1">
        <f t="array" ref="L49">INDEX(GMWQ!$A$2:$NF$60,MATCH(1,(GMWQ!$NE$2:$NE$60=L$3)*(GMWQ!$ND$2:$ND$60=L$4)*(GMWQ!$NF$2:$NF$60=L$1),0),$E49-1966)</f>
        <v>57119</v>
      </c>
      <c r="M49" s="13" cm="1">
        <f t="array" ref="M49">INDEX(GMWQ!$A$2:$NF$60,MATCH(1,(GMWQ!$NE$2:$NE$60=M$3)*(GMWQ!$ND$2:$ND$60=M$4)*(GMWQ!$NF$2:$NF$60=M$1),0),$E49-1966)</f>
        <v>163522</v>
      </c>
      <c r="N49" s="13" cm="1">
        <f t="array" ref="N49">INDEX(GMWQ!$A$2:$NF$60,MATCH(1,(GMWQ!$NE$2:$NE$60=N$3)*(GMWQ!$ND$2:$ND$60=N$4)*(GMWQ!$NF$2:$NF$60=N$1),0),$E49-1966)</f>
        <v>35.481830000000002</v>
      </c>
    </row>
    <row r="50" spans="1:14" x14ac:dyDescent="0.25">
      <c r="B50" s="13">
        <f t="shared" si="4"/>
        <v>1983</v>
      </c>
      <c r="C50" s="13">
        <f t="shared" si="4"/>
        <v>1983</v>
      </c>
      <c r="E50" s="13">
        <f t="shared" si="5"/>
        <v>2016</v>
      </c>
      <c r="F50" s="13" cm="1">
        <f t="array" ref="F50">INDEX(GMWQ!$A$2:$NF$60,MATCH(1,(GMWQ!$NE$2:$NE$60=F$3)*(GMWQ!$ND$2:$ND$60=F$4)*(GMWQ!$NF$2:$NF$60=F$1),0),$E50-1966)</f>
        <v>41.64593</v>
      </c>
      <c r="G50" s="13" cm="1">
        <f t="array" ref="G50">INDEX(GMWQ!$A$2:$NF$60,MATCH(1,(GMWQ!$NE$2:$NE$60=G$3)*(GMWQ!$ND$2:$ND$60=G$4)*(GMWQ!$NF$2:$NF$60=G$1),0),$E50-1966)</f>
        <v>3060.384</v>
      </c>
      <c r="H50" s="13" cm="1">
        <f t="array" ref="H50">INDEX(GMWQ!$A$2:$NF$60,MATCH(1,(GMWQ!$NE$2:$NE$60=H$3)*(GMWQ!$ND$2:$ND$60=H$4)*(GMWQ!$NF$2:$NF$60=H$1),0),$E50-1966)</f>
        <v>91.531840000000003</v>
      </c>
      <c r="I50" s="13" cm="1">
        <f t="array" ref="I50">INDEX(GMWQ!$A$2:$NF$60,MATCH(1,(GMWQ!$NE$2:$NE$60=I$3)*(GMWQ!$ND$2:$ND$60=I$4)*(GMWQ!$NF$2:$NF$60=I$1),0),$E50-1966)</f>
        <v>20754</v>
      </c>
      <c r="J50" s="13" cm="1">
        <f t="array" ref="J50">INDEX(GMWQ!$A$2:$NF$60,MATCH(1,(GMWQ!$NE$2:$NE$60=J$3)*(GMWQ!$ND$2:$ND$60=J$4)*(GMWQ!$NF$2:$NF$60=J$1),0),$E50-1966)</f>
        <v>90695</v>
      </c>
      <c r="K50" s="13" cm="1">
        <f t="array" ref="K50">INDEX(GMWQ!$A$2:$NF$60,MATCH(1,(GMWQ!$NE$2:$NE$60=K$3)*(GMWQ!$ND$2:$ND$60=K$4)*(GMWQ!$NF$2:$NF$60=K$1),0),$E50-1966)</f>
        <v>37382</v>
      </c>
      <c r="L50" s="13" cm="1">
        <f t="array" ref="L50">INDEX(GMWQ!$A$2:$NF$60,MATCH(1,(GMWQ!$NE$2:$NE$60=L$3)*(GMWQ!$ND$2:$ND$60=L$4)*(GMWQ!$NF$2:$NF$60=L$1),0),$E50-1966)</f>
        <v>58206</v>
      </c>
      <c r="M50" s="13" cm="1">
        <f t="array" ref="M50">INDEX(GMWQ!$A$2:$NF$60,MATCH(1,(GMWQ!$NE$2:$NE$60=M$3)*(GMWQ!$ND$2:$ND$60=M$4)*(GMWQ!$NF$2:$NF$60=M$1),0),$E50-1966)</f>
        <v>164202</v>
      </c>
      <c r="N50" s="13" cm="1">
        <f t="array" ref="N50">INDEX(GMWQ!$A$2:$NF$60,MATCH(1,(GMWQ!$NE$2:$NE$60=N$3)*(GMWQ!$ND$2:$ND$60=N$4)*(GMWQ!$NF$2:$NF$60=N$1),0),$E50-1966)</f>
        <v>36.030259999999998</v>
      </c>
    </row>
    <row r="51" spans="1:14" x14ac:dyDescent="0.25">
      <c r="A51" s="13">
        <v>1984</v>
      </c>
      <c r="B51" s="13">
        <f t="shared" si="4"/>
        <v>1984</v>
      </c>
      <c r="C51" s="13">
        <f t="shared" si="4"/>
        <v>1983</v>
      </c>
      <c r="D51" s="13">
        <f t="shared" si="4"/>
        <v>1983</v>
      </c>
      <c r="E51" s="13">
        <f t="shared" si="5"/>
        <v>2017</v>
      </c>
      <c r="F51" s="13" cm="1">
        <f t="array" ref="F51">INDEX(GMWQ!$A$2:$NF$60,MATCH(1,(GMWQ!$NE$2:$NE$60=F$3)*(GMWQ!$ND$2:$ND$60=F$4)*(GMWQ!$NF$2:$NF$60=F$1),0),$E51-1966)</f>
        <v>41.877119999999998</v>
      </c>
      <c r="G51" s="13" cm="1">
        <f t="array" ref="G51">INDEX(GMWQ!$A$2:$NF$60,MATCH(1,(GMWQ!$NE$2:$NE$60=G$3)*(GMWQ!$ND$2:$ND$60=G$4)*(GMWQ!$NF$2:$NF$60=G$1),0),$E51-1966)</f>
        <v>3088.4920000000002</v>
      </c>
      <c r="H51" s="13" cm="1">
        <f t="array" ref="H51">INDEX(GMWQ!$A$2:$NF$60,MATCH(1,(GMWQ!$NE$2:$NE$60=H$3)*(GMWQ!$ND$2:$ND$60=H$4)*(GMWQ!$NF$2:$NF$60=H$1),0),$E51-1966)</f>
        <v>92.079539999999994</v>
      </c>
      <c r="I51" s="13" cm="1">
        <f t="array" ref="I51">INDEX(GMWQ!$A$2:$NF$60,MATCH(1,(GMWQ!$NE$2:$NE$60=I$3)*(GMWQ!$ND$2:$ND$60=I$4)*(GMWQ!$NF$2:$NF$60=I$1),0),$E51-1966)</f>
        <v>20091</v>
      </c>
      <c r="J51" s="13" cm="1">
        <f t="array" ref="J51">INDEX(GMWQ!$A$2:$NF$60,MATCH(1,(GMWQ!$NE$2:$NE$60=J$3)*(GMWQ!$ND$2:$ND$60=J$4)*(GMWQ!$NF$2:$NF$60=J$1),0),$E51-1966)</f>
        <v>91663</v>
      </c>
      <c r="K51" s="13" cm="1">
        <f t="array" ref="K51">INDEX(GMWQ!$A$2:$NF$60,MATCH(1,(GMWQ!$NE$2:$NE$60=K$3)*(GMWQ!$ND$2:$ND$60=K$4)*(GMWQ!$NF$2:$NF$60=K$1),0),$E51-1966)</f>
        <v>38028</v>
      </c>
      <c r="L51" s="13" cm="1">
        <f t="array" ref="L51">INDEX(GMWQ!$A$2:$NF$60,MATCH(1,(GMWQ!$NE$2:$NE$60=L$3)*(GMWQ!$ND$2:$ND$60=L$4)*(GMWQ!$NF$2:$NF$60=L$1),0),$E51-1966)</f>
        <v>59961</v>
      </c>
      <c r="M51" s="13" cm="1">
        <f t="array" ref="M51">INDEX(GMWQ!$A$2:$NF$60,MATCH(1,(GMWQ!$NE$2:$NE$60=M$3)*(GMWQ!$ND$2:$ND$60=M$4)*(GMWQ!$NF$2:$NF$60=M$1),0),$E51-1966)</f>
        <v>167088</v>
      </c>
      <c r="N51" s="13" cm="1">
        <f t="array" ref="N51">INDEX(GMWQ!$A$2:$NF$60,MATCH(1,(GMWQ!$NE$2:$NE$60=N$3)*(GMWQ!$ND$2:$ND$60=N$4)*(GMWQ!$NF$2:$NF$60=N$1),0),$E51-1966)</f>
        <v>36.491570000000003</v>
      </c>
    </row>
    <row r="52" spans="1:14" x14ac:dyDescent="0.25">
      <c r="B52" s="13">
        <f t="shared" si="4"/>
        <v>1984</v>
      </c>
      <c r="C52" s="13">
        <f t="shared" si="4"/>
        <v>1984</v>
      </c>
      <c r="E52" s="13">
        <f t="shared" si="5"/>
        <v>2018</v>
      </c>
      <c r="F52" s="13" cm="1">
        <f t="array" ref="F52">INDEX(GMWQ!$A$2:$NF$60,MATCH(1,(GMWQ!$NE$2:$NE$60=F$3)*(GMWQ!$ND$2:$ND$60=F$4)*(GMWQ!$NF$2:$NF$60=F$1),0),$E52-1966)</f>
        <v>42.863860000000003</v>
      </c>
      <c r="G52" s="13" cm="1">
        <f t="array" ref="G52">INDEX(GMWQ!$A$2:$NF$60,MATCH(1,(GMWQ!$NE$2:$NE$60=G$3)*(GMWQ!$ND$2:$ND$60=G$4)*(GMWQ!$NF$2:$NF$60=G$1),0),$E52-1966)</f>
        <v>3128.9670000000001</v>
      </c>
      <c r="H52" s="13" cm="1">
        <f t="array" ref="H52">INDEX(GMWQ!$A$2:$NF$60,MATCH(1,(GMWQ!$NE$2:$NE$60=H$3)*(GMWQ!$ND$2:$ND$60=H$4)*(GMWQ!$NF$2:$NF$60=H$1),0),$E52-1966)</f>
        <v>94.127579999999995</v>
      </c>
      <c r="I52" s="13" cm="1">
        <f t="array" ref="I52">INDEX(GMWQ!$A$2:$NF$60,MATCH(1,(GMWQ!$NE$2:$NE$60=I$3)*(GMWQ!$ND$2:$ND$60=I$4)*(GMWQ!$NF$2:$NF$60=I$1),0),$E52-1966)</f>
        <v>21011</v>
      </c>
      <c r="J52" s="13" cm="1">
        <f t="array" ref="J52">INDEX(GMWQ!$A$2:$NF$60,MATCH(1,(GMWQ!$NE$2:$NE$60=J$3)*(GMWQ!$ND$2:$ND$60=J$4)*(GMWQ!$NF$2:$NF$60=J$1),0),$E52-1966)</f>
        <v>93433</v>
      </c>
      <c r="K52" s="13" cm="1">
        <f t="array" ref="K52">INDEX(GMWQ!$A$2:$NF$60,MATCH(1,(GMWQ!$NE$2:$NE$60=K$3)*(GMWQ!$ND$2:$ND$60=K$4)*(GMWQ!$NF$2:$NF$60=K$1),0),$E52-1966)</f>
        <v>38664</v>
      </c>
      <c r="L52" s="13" cm="1">
        <f t="array" ref="L52">INDEX(GMWQ!$A$2:$NF$60,MATCH(1,(GMWQ!$NE$2:$NE$60=L$3)*(GMWQ!$ND$2:$ND$60=L$4)*(GMWQ!$NF$2:$NF$60=L$1),0),$E52-1966)</f>
        <v>60260</v>
      </c>
      <c r="M52" s="13" cm="1">
        <f t="array" ref="M52">INDEX(GMWQ!$A$2:$NF$60,MATCH(1,(GMWQ!$NE$2:$NE$60=M$3)*(GMWQ!$ND$2:$ND$60=M$4)*(GMWQ!$NF$2:$NF$60=M$1),0),$E52-1966)</f>
        <v>165111</v>
      </c>
      <c r="N52" s="13" cm="1">
        <f t="array" ref="N52">INDEX(GMWQ!$A$2:$NF$60,MATCH(1,(GMWQ!$NE$2:$NE$60=N$3)*(GMWQ!$ND$2:$ND$60=N$4)*(GMWQ!$NF$2:$NF$60=N$1),0),$E52-1966)</f>
        <v>37.046770000000002</v>
      </c>
    </row>
    <row r="53" spans="1:14" x14ac:dyDescent="0.25">
      <c r="B53" s="13">
        <f t="shared" si="4"/>
        <v>1984</v>
      </c>
      <c r="C53" s="13">
        <f t="shared" si="4"/>
        <v>1984</v>
      </c>
      <c r="E53" s="13">
        <f t="shared" si="5"/>
        <v>2019</v>
      </c>
      <c r="F53" s="13" cm="1">
        <f t="array" ref="F53">INDEX(GMWQ!$A$2:$NF$60,MATCH(1,(GMWQ!$NE$2:$NE$60=F$3)*(GMWQ!$ND$2:$ND$60=F$4)*(GMWQ!$NF$2:$NF$60=F$1),0),$E53-1966)</f>
        <v>43.386560000000003</v>
      </c>
      <c r="G53" s="13" cm="1">
        <f t="array" ref="G53">INDEX(GMWQ!$A$2:$NF$60,MATCH(1,(GMWQ!$NE$2:$NE$60=G$3)*(GMWQ!$ND$2:$ND$60=G$4)*(GMWQ!$NF$2:$NF$60=G$1),0),$E53-1966)</f>
        <v>3185.183</v>
      </c>
      <c r="H53" s="13" cm="1">
        <f t="array" ref="H53">INDEX(GMWQ!$A$2:$NF$60,MATCH(1,(GMWQ!$NE$2:$NE$60=H$3)*(GMWQ!$ND$2:$ND$60=H$4)*(GMWQ!$NF$2:$NF$60=H$1),0),$E53-1966)</f>
        <v>96.732339999999994</v>
      </c>
      <c r="I53" s="13" cm="1">
        <f t="array" ref="I53">INDEX(GMWQ!$A$2:$NF$60,MATCH(1,(GMWQ!$NE$2:$NE$60=I$3)*(GMWQ!$ND$2:$ND$60=I$4)*(GMWQ!$NF$2:$NF$60=I$1),0),$E53-1966)</f>
        <v>20871</v>
      </c>
      <c r="J53" s="13" cm="1">
        <f t="array" ref="J53">INDEX(GMWQ!$A$2:$NF$60,MATCH(1,(GMWQ!$NE$2:$NE$60=J$3)*(GMWQ!$ND$2:$ND$60=J$4)*(GMWQ!$NF$2:$NF$60=J$1),0),$E53-1966)</f>
        <v>94862</v>
      </c>
      <c r="K53" s="13" cm="1">
        <f t="array" ref="K53">INDEX(GMWQ!$A$2:$NF$60,MATCH(1,(GMWQ!$NE$2:$NE$60=K$3)*(GMWQ!$ND$2:$ND$60=K$4)*(GMWQ!$NF$2:$NF$60=K$1),0),$E53-1966)</f>
        <v>39158</v>
      </c>
      <c r="L53" s="13" cm="1">
        <f t="array" ref="L53">INDEX(GMWQ!$A$2:$NF$60,MATCH(1,(GMWQ!$NE$2:$NE$60=L$3)*(GMWQ!$ND$2:$ND$60=L$4)*(GMWQ!$NF$2:$NF$60=L$1),0),$E53-1966)</f>
        <v>62678</v>
      </c>
      <c r="M53" s="13" cm="1">
        <f t="array" ref="M53">INDEX(GMWQ!$A$2:$NF$60,MATCH(1,(GMWQ!$NE$2:$NE$60=M$3)*(GMWQ!$ND$2:$ND$60=M$4)*(GMWQ!$NF$2:$NF$60=M$1),0),$E53-1966)</f>
        <v>169770</v>
      </c>
      <c r="N53" s="13" cm="1">
        <f t="array" ref="N53">INDEX(GMWQ!$A$2:$NF$60,MATCH(1,(GMWQ!$NE$2:$NE$60=N$3)*(GMWQ!$ND$2:$ND$60=N$4)*(GMWQ!$NF$2:$NF$60=N$1),0),$E53-1966)</f>
        <v>37.471260000000001</v>
      </c>
    </row>
    <row r="54" spans="1:14" x14ac:dyDescent="0.25">
      <c r="B54" s="13">
        <f t="shared" si="4"/>
        <v>1984</v>
      </c>
      <c r="C54" s="13">
        <f t="shared" si="4"/>
        <v>1984</v>
      </c>
      <c r="E54" s="13">
        <f t="shared" si="5"/>
        <v>2020</v>
      </c>
      <c r="F54" s="13" cm="1">
        <f t="array" ref="F54">INDEX(GMWQ!$A$2:$NF$60,MATCH(1,(GMWQ!$NE$2:$NE$60=F$3)*(GMWQ!$ND$2:$ND$60=F$4)*(GMWQ!$NF$2:$NF$60=F$1),0),$E54-1966)</f>
        <v>43.714590000000001</v>
      </c>
      <c r="G54" s="13" cm="1">
        <f t="array" ref="G54">INDEX(GMWQ!$A$2:$NF$60,MATCH(1,(GMWQ!$NE$2:$NE$60=G$3)*(GMWQ!$ND$2:$ND$60=G$4)*(GMWQ!$NF$2:$NF$60=G$1),0),$E54-1966)</f>
        <v>3267.2579999999998</v>
      </c>
      <c r="H54" s="13" cm="1">
        <f t="array" ref="H54">INDEX(GMWQ!$A$2:$NF$60,MATCH(1,(GMWQ!$NE$2:$NE$60=H$3)*(GMWQ!$ND$2:$ND$60=H$4)*(GMWQ!$NF$2:$NF$60=H$1),0),$E54-1966)</f>
        <v>99.446349999999995</v>
      </c>
      <c r="I54" s="13" cm="1">
        <f t="array" ref="I54">INDEX(GMWQ!$A$2:$NF$60,MATCH(1,(GMWQ!$NE$2:$NE$60=I$3)*(GMWQ!$ND$2:$ND$60=I$4)*(GMWQ!$NF$2:$NF$60=I$1),0),$E54-1966)</f>
        <v>22765</v>
      </c>
      <c r="J54" s="13" cm="1">
        <f t="array" ref="J54">INDEX(GMWQ!$A$2:$NF$60,MATCH(1,(GMWQ!$NE$2:$NE$60=J$3)*(GMWQ!$ND$2:$ND$60=J$4)*(GMWQ!$NF$2:$NF$60=J$1),0),$E54-1966)</f>
        <v>97962</v>
      </c>
      <c r="K54" s="13" cm="1">
        <f t="array" ref="K54">INDEX(GMWQ!$A$2:$NF$60,MATCH(1,(GMWQ!$NE$2:$NE$60=K$3)*(GMWQ!$ND$2:$ND$60=K$4)*(GMWQ!$NF$2:$NF$60=K$1),0),$E54-1966)</f>
        <v>40507</v>
      </c>
      <c r="L54" s="13" cm="1">
        <f t="array" ref="L54">INDEX(GMWQ!$A$2:$NF$60,MATCH(1,(GMWQ!$NE$2:$NE$60=L$3)*(GMWQ!$ND$2:$ND$60=L$4)*(GMWQ!$NF$2:$NF$60=L$1),0),$E54-1966)</f>
        <v>64883</v>
      </c>
      <c r="M54" s="13" cm="1">
        <f t="array" ref="M54">INDEX(GMWQ!$A$2:$NF$60,MATCH(1,(GMWQ!$NE$2:$NE$60=M$3)*(GMWQ!$ND$2:$ND$60=M$4)*(GMWQ!$NF$2:$NF$60=M$1),0),$E54-1966)</f>
        <v>173527</v>
      </c>
      <c r="N54" s="13" cm="1">
        <f t="array" ref="N54">INDEX(GMWQ!$A$2:$NF$60,MATCH(1,(GMWQ!$NE$2:$NE$60=N$3)*(GMWQ!$ND$2:$ND$60=N$4)*(GMWQ!$NF$2:$NF$60=N$1),0),$E54-1966)</f>
        <v>37.954630000000002</v>
      </c>
    </row>
    <row r="55" spans="1:14" x14ac:dyDescent="0.25">
      <c r="A55" s="13">
        <v>1985</v>
      </c>
      <c r="B55" s="13">
        <f t="shared" si="4"/>
        <v>1985</v>
      </c>
      <c r="C55" s="13">
        <f t="shared" si="4"/>
        <v>1984</v>
      </c>
      <c r="D55" s="13">
        <f t="shared" si="4"/>
        <v>1984</v>
      </c>
      <c r="E55" s="13">
        <f t="shared" si="5"/>
        <v>2021</v>
      </c>
      <c r="F55" s="13" cm="1">
        <f t="array" ref="F55">INDEX(GMWQ!$A$2:$NF$60,MATCH(1,(GMWQ!$NE$2:$NE$60=F$3)*(GMWQ!$ND$2:$ND$60=F$4)*(GMWQ!$NF$2:$NF$60=F$1),0),$E55-1966)</f>
        <v>43.859360000000002</v>
      </c>
      <c r="G55" s="13" cm="1">
        <f t="array" ref="G55">INDEX(GMWQ!$A$2:$NF$60,MATCH(1,(GMWQ!$NE$2:$NE$60=G$3)*(GMWQ!$ND$2:$ND$60=G$4)*(GMWQ!$NF$2:$NF$60=G$1),0),$E55-1966)</f>
        <v>3359.4520000000002</v>
      </c>
      <c r="H55" s="13" cm="1">
        <f t="array" ref="H55">INDEX(GMWQ!$A$2:$NF$60,MATCH(1,(GMWQ!$NE$2:$NE$60=H$3)*(GMWQ!$ND$2:$ND$60=H$4)*(GMWQ!$NF$2:$NF$60=H$1),0),$E55-1966)</f>
        <v>100.12390000000001</v>
      </c>
      <c r="I55" s="13" cm="1">
        <f t="array" ref="I55">INDEX(GMWQ!$A$2:$NF$60,MATCH(1,(GMWQ!$NE$2:$NE$60=I$3)*(GMWQ!$ND$2:$ND$60=I$4)*(GMWQ!$NF$2:$NF$60=I$1),0),$E55-1966)</f>
        <v>22241</v>
      </c>
      <c r="J55" s="13" cm="1">
        <f t="array" ref="J55">INDEX(GMWQ!$A$2:$NF$60,MATCH(1,(GMWQ!$NE$2:$NE$60=J$3)*(GMWQ!$ND$2:$ND$60=J$4)*(GMWQ!$NF$2:$NF$60=J$1),0),$E55-1966)</f>
        <v>99412</v>
      </c>
      <c r="K55" s="13" cm="1">
        <f t="array" ref="K55">INDEX(GMWQ!$A$2:$NF$60,MATCH(1,(GMWQ!$NE$2:$NE$60=K$3)*(GMWQ!$ND$2:$ND$60=K$4)*(GMWQ!$NF$2:$NF$60=K$1),0),$E55-1966)</f>
        <v>41815</v>
      </c>
      <c r="L55" s="13" cm="1">
        <f t="array" ref="L55">INDEX(GMWQ!$A$2:$NF$60,MATCH(1,(GMWQ!$NE$2:$NE$60=L$3)*(GMWQ!$ND$2:$ND$60=L$4)*(GMWQ!$NF$2:$NF$60=L$1),0),$E55-1966)</f>
        <v>65471</v>
      </c>
      <c r="M55" s="13" cm="1">
        <f t="array" ref="M55">INDEX(GMWQ!$A$2:$NF$60,MATCH(1,(GMWQ!$NE$2:$NE$60=M$3)*(GMWQ!$ND$2:$ND$60=M$4)*(GMWQ!$NF$2:$NF$60=M$1),0),$E55-1966)</f>
        <v>175208</v>
      </c>
      <c r="N55" s="13" cm="1">
        <f t="array" ref="N55">INDEX(GMWQ!$A$2:$NF$60,MATCH(1,(GMWQ!$NE$2:$NE$60=N$3)*(GMWQ!$ND$2:$ND$60=N$4)*(GMWQ!$NF$2:$NF$60=N$1),0),$E55-1966)</f>
        <v>37.86</v>
      </c>
    </row>
    <row r="56" spans="1:14" x14ac:dyDescent="0.25">
      <c r="B56" s="13">
        <f t="shared" si="4"/>
        <v>1985</v>
      </c>
      <c r="C56" s="13">
        <f t="shared" si="4"/>
        <v>1985</v>
      </c>
      <c r="E56" s="13">
        <f t="shared" si="5"/>
        <v>2022</v>
      </c>
      <c r="F56" s="13" cm="1">
        <f t="array" ref="F56">INDEX(GMWQ!$A$2:$NF$60,MATCH(1,(GMWQ!$NE$2:$NE$60=F$3)*(GMWQ!$ND$2:$ND$60=F$4)*(GMWQ!$NF$2:$NF$60=F$1),0),$E56-1966)</f>
        <v>43.822589999999998</v>
      </c>
      <c r="G56" s="13" cm="1">
        <f t="array" ref="G56">INDEX(GMWQ!$A$2:$NF$60,MATCH(1,(GMWQ!$NE$2:$NE$60=G$3)*(GMWQ!$ND$2:$ND$60=G$4)*(GMWQ!$NF$2:$NF$60=G$1),0),$E56-1966)</f>
        <v>3403.3</v>
      </c>
      <c r="H56" s="13" cm="1">
        <f t="array" ref="H56">INDEX(GMWQ!$A$2:$NF$60,MATCH(1,(GMWQ!$NE$2:$NE$60=H$3)*(GMWQ!$ND$2:$ND$60=H$4)*(GMWQ!$NF$2:$NF$60=H$1),0),$E56-1966)</f>
        <v>104.4909</v>
      </c>
      <c r="I56" s="13" cm="1">
        <f t="array" ref="I56">INDEX(GMWQ!$A$2:$NF$60,MATCH(1,(GMWQ!$NE$2:$NE$60=I$3)*(GMWQ!$ND$2:$ND$60=I$4)*(GMWQ!$NF$2:$NF$60=I$1),0),$E56-1966)</f>
        <v>25638</v>
      </c>
      <c r="J56" s="13" cm="1">
        <f t="array" ref="J56">INDEX(GMWQ!$A$2:$NF$60,MATCH(1,(GMWQ!$NE$2:$NE$60=J$3)*(GMWQ!$ND$2:$ND$60=J$4)*(GMWQ!$NF$2:$NF$60=J$1),0),$E56-1966)</f>
        <v>103208</v>
      </c>
      <c r="K56" s="13" cm="1">
        <f t="array" ref="K56">INDEX(GMWQ!$A$2:$NF$60,MATCH(1,(GMWQ!$NE$2:$NE$60=K$3)*(GMWQ!$ND$2:$ND$60=K$4)*(GMWQ!$NF$2:$NF$60=K$1),0),$E56-1966)</f>
        <v>42291</v>
      </c>
      <c r="L56" s="13" cm="1">
        <f t="array" ref="L56">INDEX(GMWQ!$A$2:$NF$60,MATCH(1,(GMWQ!$NE$2:$NE$60=L$3)*(GMWQ!$ND$2:$ND$60=L$4)*(GMWQ!$NF$2:$NF$60=L$1),0),$E56-1966)</f>
        <v>66622</v>
      </c>
      <c r="M56" s="13" cm="1">
        <f t="array" ref="M56">INDEX(GMWQ!$A$2:$NF$60,MATCH(1,(GMWQ!$NE$2:$NE$60=M$3)*(GMWQ!$ND$2:$ND$60=M$4)*(GMWQ!$NF$2:$NF$60=M$1),0),$E56-1966)</f>
        <v>175613</v>
      </c>
      <c r="N56" s="13" cm="1">
        <f t="array" ref="N56">INDEX(GMWQ!$A$2:$NF$60,MATCH(1,(GMWQ!$NE$2:$NE$60=N$3)*(GMWQ!$ND$2:$ND$60=N$4)*(GMWQ!$NF$2:$NF$60=N$1),0),$E56-1966)</f>
        <v>38.504060000000003</v>
      </c>
    </row>
    <row r="57" spans="1:14" x14ac:dyDescent="0.25">
      <c r="B57" s="13">
        <f t="shared" si="4"/>
        <v>1985</v>
      </c>
      <c r="C57" s="13">
        <f t="shared" si="4"/>
        <v>1985</v>
      </c>
      <c r="E57" s="13">
        <f t="shared" si="5"/>
        <v>2023</v>
      </c>
      <c r="F57" s="13" cm="1">
        <f t="array" ref="F57">INDEX(GMWQ!$A$2:$NF$60,MATCH(1,(GMWQ!$NE$2:$NE$60=F$3)*(GMWQ!$ND$2:$ND$60=F$4)*(GMWQ!$NF$2:$NF$60=F$1),0),$E57-1966)</f>
        <v>44.954189999999997</v>
      </c>
      <c r="G57" s="13" cm="1">
        <f t="array" ref="G57">INDEX(GMWQ!$A$2:$NF$60,MATCH(1,(GMWQ!$NE$2:$NE$60=G$3)*(GMWQ!$ND$2:$ND$60=G$4)*(GMWQ!$NF$2:$NF$60=G$1),0),$E57-1966)</f>
        <v>3447.1480000000001</v>
      </c>
      <c r="H57" s="13" cm="1">
        <f t="array" ref="H57">INDEX(GMWQ!$A$2:$NF$60,MATCH(1,(GMWQ!$NE$2:$NE$60=H$3)*(GMWQ!$ND$2:$ND$60=H$4)*(GMWQ!$NF$2:$NF$60=H$1),0),$E57-1966)</f>
        <v>107.6677</v>
      </c>
      <c r="I57" s="13" cm="1">
        <f t="array" ref="I57">INDEX(GMWQ!$A$2:$NF$60,MATCH(1,(GMWQ!$NE$2:$NE$60=I$3)*(GMWQ!$ND$2:$ND$60=I$4)*(GMWQ!$NF$2:$NF$60=I$1),0),$E57-1966)</f>
        <v>25043</v>
      </c>
      <c r="J57" s="13" cm="1">
        <f t="array" ref="J57">INDEX(GMWQ!$A$2:$NF$60,MATCH(1,(GMWQ!$NE$2:$NE$60=J$3)*(GMWQ!$ND$2:$ND$60=J$4)*(GMWQ!$NF$2:$NF$60=J$1),0),$E57-1966)</f>
        <v>105169</v>
      </c>
      <c r="K57" s="13" cm="1">
        <f t="array" ref="K57">INDEX(GMWQ!$A$2:$NF$60,MATCH(1,(GMWQ!$NE$2:$NE$60=K$3)*(GMWQ!$ND$2:$ND$60=K$4)*(GMWQ!$NF$2:$NF$60=K$1),0),$E57-1966)</f>
        <v>42933</v>
      </c>
      <c r="L57" s="13" cm="1">
        <f t="array" ref="L57">INDEX(GMWQ!$A$2:$NF$60,MATCH(1,(GMWQ!$NE$2:$NE$60=L$3)*(GMWQ!$ND$2:$ND$60=L$4)*(GMWQ!$NF$2:$NF$60=L$1),0),$E57-1966)</f>
        <v>67715</v>
      </c>
      <c r="M57" s="13" cm="1">
        <f t="array" ref="M57">INDEX(GMWQ!$A$2:$NF$60,MATCH(1,(GMWQ!$NE$2:$NE$60=M$3)*(GMWQ!$ND$2:$ND$60=M$4)*(GMWQ!$NF$2:$NF$60=M$1),0),$E57-1966)</f>
        <v>175957</v>
      </c>
      <c r="N57" s="13" cm="1">
        <f t="array" ref="N57">INDEX(GMWQ!$A$2:$NF$60,MATCH(1,(GMWQ!$NE$2:$NE$60=N$3)*(GMWQ!$ND$2:$ND$60=N$4)*(GMWQ!$NF$2:$NF$60=N$1),0),$E57-1966)</f>
        <v>39.084150000000001</v>
      </c>
    </row>
    <row r="58" spans="1:14" x14ac:dyDescent="0.25">
      <c r="B58" s="13">
        <f t="shared" si="4"/>
        <v>1985</v>
      </c>
      <c r="C58" s="13">
        <f t="shared" si="4"/>
        <v>1985</v>
      </c>
      <c r="E58" s="13">
        <f t="shared" si="5"/>
        <v>2024</v>
      </c>
      <c r="F58" s="13" cm="1">
        <f t="array" ref="F58">INDEX(GMWQ!$A$2:$NF$60,MATCH(1,(GMWQ!$NE$2:$NE$60=F$3)*(GMWQ!$ND$2:$ND$60=F$4)*(GMWQ!$NF$2:$NF$60=F$1),0),$E58-1966)</f>
        <v>45.39808</v>
      </c>
      <c r="G58" s="13" cm="1">
        <f t="array" ref="G58">INDEX(GMWQ!$A$2:$NF$60,MATCH(1,(GMWQ!$NE$2:$NE$60=G$3)*(GMWQ!$ND$2:$ND$60=G$4)*(GMWQ!$NF$2:$NF$60=G$1),0),$E58-1966)</f>
        <v>3557.3310000000001</v>
      </c>
      <c r="H58" s="13" cm="1">
        <f t="array" ref="H58">INDEX(GMWQ!$A$2:$NF$60,MATCH(1,(GMWQ!$NE$2:$NE$60=H$3)*(GMWQ!$ND$2:$ND$60=H$4)*(GMWQ!$NF$2:$NF$60=H$1),0),$E58-1966)</f>
        <v>109.6371</v>
      </c>
      <c r="I58" s="13" cm="1">
        <f t="array" ref="I58">INDEX(GMWQ!$A$2:$NF$60,MATCH(1,(GMWQ!$NE$2:$NE$60=I$3)*(GMWQ!$ND$2:$ND$60=I$4)*(GMWQ!$NF$2:$NF$60=I$1),0),$E58-1966)</f>
        <v>25785</v>
      </c>
      <c r="J58" s="13" cm="1">
        <f t="array" ref="J58">INDEX(GMWQ!$A$2:$NF$60,MATCH(1,(GMWQ!$NE$2:$NE$60=J$3)*(GMWQ!$ND$2:$ND$60=J$4)*(GMWQ!$NF$2:$NF$60=J$1),0),$E58-1966)</f>
        <v>106841</v>
      </c>
      <c r="K58" s="13" cm="1">
        <f t="array" ref="K58">INDEX(GMWQ!$A$2:$NF$60,MATCH(1,(GMWQ!$NE$2:$NE$60=K$3)*(GMWQ!$ND$2:$ND$60=K$4)*(GMWQ!$NF$2:$NF$60=K$1),0),$E58-1966)</f>
        <v>43938</v>
      </c>
      <c r="L58" s="13" cm="1">
        <f t="array" ref="L58">INDEX(GMWQ!$A$2:$NF$60,MATCH(1,(GMWQ!$NE$2:$NE$60=L$3)*(GMWQ!$ND$2:$ND$60=L$4)*(GMWQ!$NF$2:$NF$60=L$1),0),$E58-1966)</f>
        <v>69185</v>
      </c>
      <c r="M58" s="13" cm="1">
        <f t="array" ref="M58">INDEX(GMWQ!$A$2:$NF$60,MATCH(1,(GMWQ!$NE$2:$NE$60=M$3)*(GMWQ!$ND$2:$ND$60=M$4)*(GMWQ!$NF$2:$NF$60=M$1),0),$E58-1966)</f>
        <v>177164</v>
      </c>
      <c r="N58" s="13" cm="1">
        <f t="array" ref="N58">INDEX(GMWQ!$A$2:$NF$60,MATCH(1,(GMWQ!$NE$2:$NE$60=N$3)*(GMWQ!$ND$2:$ND$60=N$4)*(GMWQ!$NF$2:$NF$60=N$1),0),$E58-1966)</f>
        <v>39.675939999999997</v>
      </c>
    </row>
    <row r="59" spans="1:14" x14ac:dyDescent="0.25">
      <c r="A59" s="13">
        <v>1986</v>
      </c>
      <c r="B59" s="13">
        <f t="shared" si="4"/>
        <v>1986</v>
      </c>
      <c r="C59" s="13">
        <f t="shared" si="4"/>
        <v>1985</v>
      </c>
      <c r="D59" s="13">
        <f t="shared" si="4"/>
        <v>1985</v>
      </c>
      <c r="E59" s="13">
        <f t="shared" si="5"/>
        <v>2025</v>
      </c>
      <c r="F59" s="13" cm="1">
        <f t="array" ref="F59">INDEX(GMWQ!$A$2:$NF$60,MATCH(1,(GMWQ!$NE$2:$NE$60=F$3)*(GMWQ!$ND$2:$ND$60=F$4)*(GMWQ!$NF$2:$NF$60=F$1),0),$E59-1966)</f>
        <v>45.991010000000003</v>
      </c>
      <c r="G59" s="13" cm="1">
        <f t="array" ref="G59">INDEX(GMWQ!$A$2:$NF$60,MATCH(1,(GMWQ!$NE$2:$NE$60=G$3)*(GMWQ!$ND$2:$ND$60=G$4)*(GMWQ!$NF$2:$NF$60=G$1),0),$E59-1966)</f>
        <v>3637.1570000000002</v>
      </c>
      <c r="H59" s="13" cm="1">
        <f t="array" ref="H59">INDEX(GMWQ!$A$2:$NF$60,MATCH(1,(GMWQ!$NE$2:$NE$60=H$3)*(GMWQ!$ND$2:$ND$60=H$4)*(GMWQ!$NF$2:$NF$60=H$1),0),$E59-1966)</f>
        <v>110.8912</v>
      </c>
      <c r="I59" s="13" cm="1">
        <f t="array" ref="I59">INDEX(GMWQ!$A$2:$NF$60,MATCH(1,(GMWQ!$NE$2:$NE$60=I$3)*(GMWQ!$ND$2:$ND$60=I$4)*(GMWQ!$NF$2:$NF$60=I$1),0),$E59-1966)</f>
        <v>25399</v>
      </c>
      <c r="J59" s="13" cm="1">
        <f t="array" ref="J59">INDEX(GMWQ!$A$2:$NF$60,MATCH(1,(GMWQ!$NE$2:$NE$60=J$3)*(GMWQ!$ND$2:$ND$60=J$4)*(GMWQ!$NF$2:$NF$60=J$1),0),$E59-1966)</f>
        <v>108753</v>
      </c>
      <c r="K59" s="13" cm="1">
        <f t="array" ref="K59">INDEX(GMWQ!$A$2:$NF$60,MATCH(1,(GMWQ!$NE$2:$NE$60=K$3)*(GMWQ!$ND$2:$ND$60=K$4)*(GMWQ!$NF$2:$NF$60=K$1),0),$E59-1966)</f>
        <v>44894</v>
      </c>
      <c r="L59" s="13" cm="1">
        <f t="array" ref="L59">INDEX(GMWQ!$A$2:$NF$60,MATCH(1,(GMWQ!$NE$2:$NE$60=L$3)*(GMWQ!$ND$2:$ND$60=L$4)*(GMWQ!$NF$2:$NF$60=L$1),0),$E59-1966)</f>
        <v>70501</v>
      </c>
      <c r="M59" s="13" cm="1">
        <f t="array" ref="M59">INDEX(GMWQ!$A$2:$NF$60,MATCH(1,(GMWQ!$NE$2:$NE$60=M$3)*(GMWQ!$ND$2:$ND$60=M$4)*(GMWQ!$NF$2:$NF$60=M$1),0),$E59-1966)</f>
        <v>179729</v>
      </c>
      <c r="N59" s="13" cm="1">
        <f t="array" ref="N59">INDEX(GMWQ!$A$2:$NF$60,MATCH(1,(GMWQ!$NE$2:$NE$60=N$3)*(GMWQ!$ND$2:$ND$60=N$4)*(GMWQ!$NF$2:$NF$60=N$1),0),$E59-1966)</f>
        <v>39.730350000000001</v>
      </c>
    </row>
    <row r="60" spans="1:14" x14ac:dyDescent="0.25">
      <c r="B60" s="13">
        <f t="shared" ref="B60:D75" si="6">+B56+1</f>
        <v>1986</v>
      </c>
      <c r="C60" s="13">
        <f t="shared" si="6"/>
        <v>1986</v>
      </c>
      <c r="E60" s="13">
        <f t="shared" si="5"/>
        <v>2026</v>
      </c>
      <c r="F60" s="13" cm="1">
        <f t="array" ref="F60">INDEX(GMWQ!$A$2:$NF$60,MATCH(1,(GMWQ!$NE$2:$NE$60=F$3)*(GMWQ!$ND$2:$ND$60=F$4)*(GMWQ!$NF$2:$NF$60=F$1),0),$E60-1966)</f>
        <v>46.486730000000001</v>
      </c>
      <c r="G60" s="13" cm="1">
        <f t="array" ref="G60">INDEX(GMWQ!$A$2:$NF$60,MATCH(1,(GMWQ!$NE$2:$NE$60=G$3)*(GMWQ!$ND$2:$ND$60=G$4)*(GMWQ!$NF$2:$NF$60=G$1),0),$E60-1966)</f>
        <v>3792.3130000000001</v>
      </c>
      <c r="H60" s="13" cm="1">
        <f t="array" ref="H60">INDEX(GMWQ!$A$2:$NF$60,MATCH(1,(GMWQ!$NE$2:$NE$60=H$3)*(GMWQ!$ND$2:$ND$60=H$4)*(GMWQ!$NF$2:$NF$60=H$1),0),$E60-1966)</f>
        <v>115.3305</v>
      </c>
      <c r="I60" s="13" cm="1">
        <f t="array" ref="I60">INDEX(GMWQ!$A$2:$NF$60,MATCH(1,(GMWQ!$NE$2:$NE$60=I$3)*(GMWQ!$ND$2:$ND$60=I$4)*(GMWQ!$NF$2:$NF$60=I$1),0),$E60-1966)</f>
        <v>24729</v>
      </c>
      <c r="J60" s="13" cm="1">
        <f t="array" ref="J60">INDEX(GMWQ!$A$2:$NF$60,MATCH(1,(GMWQ!$NE$2:$NE$60=J$3)*(GMWQ!$ND$2:$ND$60=J$4)*(GMWQ!$NF$2:$NF$60=J$1),0),$E60-1966)</f>
        <v>110079</v>
      </c>
      <c r="K60" s="13" cm="1">
        <f t="array" ref="K60">INDEX(GMWQ!$A$2:$NF$60,MATCH(1,(GMWQ!$NE$2:$NE$60=K$3)*(GMWQ!$ND$2:$ND$60=K$4)*(GMWQ!$NF$2:$NF$60=K$1),0),$E60-1966)</f>
        <v>45788</v>
      </c>
      <c r="L60" s="13" cm="1">
        <f t="array" ref="L60">INDEX(GMWQ!$A$2:$NF$60,MATCH(1,(GMWQ!$NE$2:$NE$60=L$3)*(GMWQ!$ND$2:$ND$60=L$4)*(GMWQ!$NF$2:$NF$60=L$1),0),$E60-1966)</f>
        <v>73909</v>
      </c>
      <c r="M60" s="13" cm="1">
        <f t="array" ref="M60">INDEX(GMWQ!$A$2:$NF$60,MATCH(1,(GMWQ!$NE$2:$NE$60=M$3)*(GMWQ!$ND$2:$ND$60=M$4)*(GMWQ!$NF$2:$NF$60=M$1),0),$E60-1966)</f>
        <v>186661</v>
      </c>
      <c r="N60" s="13" cm="1">
        <f t="array" ref="N60">INDEX(GMWQ!$A$2:$NF$60,MATCH(1,(GMWQ!$NE$2:$NE$60=N$3)*(GMWQ!$ND$2:$ND$60=N$4)*(GMWQ!$NF$2:$NF$60=N$1),0),$E60-1966)</f>
        <v>40.117289999999997</v>
      </c>
    </row>
    <row r="61" spans="1:14" x14ac:dyDescent="0.25">
      <c r="B61" s="13">
        <f t="shared" si="6"/>
        <v>1986</v>
      </c>
      <c r="C61" s="13">
        <f t="shared" si="6"/>
        <v>1986</v>
      </c>
      <c r="E61" s="13">
        <f t="shared" si="5"/>
        <v>2027</v>
      </c>
      <c r="F61" s="13" cm="1">
        <f t="array" ref="F61">INDEX(GMWQ!$A$2:$NF$60,MATCH(1,(GMWQ!$NE$2:$NE$60=F$3)*(GMWQ!$ND$2:$ND$60=F$4)*(GMWQ!$NF$2:$NF$60=F$1),0),$E61-1966)</f>
        <v>46.848269999999999</v>
      </c>
      <c r="G61" s="13" cm="1">
        <f t="array" ref="G61">INDEX(GMWQ!$A$2:$NF$60,MATCH(1,(GMWQ!$NE$2:$NE$60=G$3)*(GMWQ!$ND$2:$ND$60=G$4)*(GMWQ!$NF$2:$NF$60=G$1),0),$E61-1966)</f>
        <v>3863.145</v>
      </c>
      <c r="H61" s="13" cm="1">
        <f t="array" ref="H61">INDEX(GMWQ!$A$2:$NF$60,MATCH(1,(GMWQ!$NE$2:$NE$60=H$3)*(GMWQ!$ND$2:$ND$60=H$4)*(GMWQ!$NF$2:$NF$60=H$1),0),$E61-1966)</f>
        <v>118.2911</v>
      </c>
      <c r="I61" s="13" cm="1">
        <f t="array" ref="I61">INDEX(GMWQ!$A$2:$NF$60,MATCH(1,(GMWQ!$NE$2:$NE$60=I$3)*(GMWQ!$ND$2:$ND$60=I$4)*(GMWQ!$NF$2:$NF$60=I$1),0),$E61-1966)</f>
        <v>25297</v>
      </c>
      <c r="J61" s="13" cm="1">
        <f t="array" ref="J61">INDEX(GMWQ!$A$2:$NF$60,MATCH(1,(GMWQ!$NE$2:$NE$60=J$3)*(GMWQ!$ND$2:$ND$60=J$4)*(GMWQ!$NF$2:$NF$60=J$1),0),$E61-1966)</f>
        <v>111989</v>
      </c>
      <c r="K61" s="13" cm="1">
        <f t="array" ref="K61">INDEX(GMWQ!$A$2:$NF$60,MATCH(1,(GMWQ!$NE$2:$NE$60=K$3)*(GMWQ!$ND$2:$ND$60=K$4)*(GMWQ!$NF$2:$NF$60=K$1),0),$E61-1966)</f>
        <v>46565</v>
      </c>
      <c r="L61" s="13" cm="1">
        <f t="array" ref="L61">INDEX(GMWQ!$A$2:$NF$60,MATCH(1,(GMWQ!$NE$2:$NE$60=L$3)*(GMWQ!$ND$2:$ND$60=L$4)*(GMWQ!$NF$2:$NF$60=L$1),0),$E61-1966)</f>
        <v>73297</v>
      </c>
      <c r="M61" s="13" cm="1">
        <f t="array" ref="M61">INDEX(GMWQ!$A$2:$NF$60,MATCH(1,(GMWQ!$NE$2:$NE$60=M$3)*(GMWQ!$ND$2:$ND$60=M$4)*(GMWQ!$NF$2:$NF$60=M$1),0),$E61-1966)</f>
        <v>183119</v>
      </c>
      <c r="N61" s="13" cm="1">
        <f t="array" ref="N61">INDEX(GMWQ!$A$2:$NF$60,MATCH(1,(GMWQ!$NE$2:$NE$60=N$3)*(GMWQ!$ND$2:$ND$60=N$4)*(GMWQ!$NF$2:$NF$60=N$1),0),$E61-1966)</f>
        <v>40.552900000000001</v>
      </c>
    </row>
    <row r="62" spans="1:14" x14ac:dyDescent="0.25">
      <c r="B62" s="13">
        <f t="shared" si="6"/>
        <v>1986</v>
      </c>
      <c r="C62" s="13">
        <f t="shared" si="6"/>
        <v>1986</v>
      </c>
      <c r="E62" s="13">
        <f t="shared" si="5"/>
        <v>2028</v>
      </c>
      <c r="F62" s="13" cm="1">
        <f t="array" ref="F62">INDEX(GMWQ!$A$2:$NF$60,MATCH(1,(GMWQ!$NE$2:$NE$60=F$3)*(GMWQ!$ND$2:$ND$60=F$4)*(GMWQ!$NF$2:$NF$60=F$1),0),$E62-1966)</f>
        <v>46.625970000000002</v>
      </c>
      <c r="G62" s="13" cm="1">
        <f t="array" ref="G62">INDEX(GMWQ!$A$2:$NF$60,MATCH(1,(GMWQ!$NE$2:$NE$60=G$3)*(GMWQ!$ND$2:$ND$60=G$4)*(GMWQ!$NF$2:$NF$60=G$1),0),$E62-1966)</f>
        <v>3930.6030000000001</v>
      </c>
      <c r="H62" s="13" cm="1">
        <f t="array" ref="H62">INDEX(GMWQ!$A$2:$NF$60,MATCH(1,(GMWQ!$NE$2:$NE$60=H$3)*(GMWQ!$ND$2:$ND$60=H$4)*(GMWQ!$NF$2:$NF$60=H$1),0),$E62-1966)</f>
        <v>120.3198</v>
      </c>
      <c r="I62" s="13" cm="1">
        <f t="array" ref="I62">INDEX(GMWQ!$A$2:$NF$60,MATCH(1,(GMWQ!$NE$2:$NE$60=I$3)*(GMWQ!$ND$2:$ND$60=I$4)*(GMWQ!$NF$2:$NF$60=I$1),0),$E62-1966)</f>
        <v>27509</v>
      </c>
      <c r="J62" s="13" cm="1">
        <f t="array" ref="J62">INDEX(GMWQ!$A$2:$NF$60,MATCH(1,(GMWQ!$NE$2:$NE$60=J$3)*(GMWQ!$ND$2:$ND$60=J$4)*(GMWQ!$NF$2:$NF$60=J$1),0),$E62-1966)</f>
        <v>115779</v>
      </c>
      <c r="K62" s="13" cm="1">
        <f t="array" ref="K62">INDEX(GMWQ!$A$2:$NF$60,MATCH(1,(GMWQ!$NE$2:$NE$60=K$3)*(GMWQ!$ND$2:$ND$60=K$4)*(GMWQ!$NF$2:$NF$60=K$1),0),$E62-1966)</f>
        <v>47221</v>
      </c>
      <c r="L62" s="13" cm="1">
        <f t="array" ref="L62">INDEX(GMWQ!$A$2:$NF$60,MATCH(1,(GMWQ!$NE$2:$NE$60=L$3)*(GMWQ!$ND$2:$ND$60=L$4)*(GMWQ!$NF$2:$NF$60=L$1),0),$E62-1966)</f>
        <v>74329</v>
      </c>
      <c r="M62" s="13" cm="1">
        <f t="array" ref="M62">INDEX(GMWQ!$A$2:$NF$60,MATCH(1,(GMWQ!$NE$2:$NE$60=M$3)*(GMWQ!$ND$2:$ND$60=M$4)*(GMWQ!$NF$2:$NF$60=M$1),0),$E62-1966)</f>
        <v>183388</v>
      </c>
      <c r="N62" s="13" cm="1">
        <f t="array" ref="N62">INDEX(GMWQ!$A$2:$NF$60,MATCH(1,(GMWQ!$NE$2:$NE$60=N$3)*(GMWQ!$ND$2:$ND$60=N$4)*(GMWQ!$NF$2:$NF$60=N$1),0),$E62-1966)</f>
        <v>41.085500000000003</v>
      </c>
    </row>
    <row r="63" spans="1:14" x14ac:dyDescent="0.25">
      <c r="A63" s="13">
        <v>1987</v>
      </c>
      <c r="B63" s="13">
        <f t="shared" si="6"/>
        <v>1987</v>
      </c>
      <c r="C63" s="13">
        <f t="shared" si="6"/>
        <v>1986</v>
      </c>
      <c r="D63" s="13">
        <f t="shared" si="6"/>
        <v>1986</v>
      </c>
      <c r="E63" s="13">
        <f t="shared" si="5"/>
        <v>2029</v>
      </c>
      <c r="F63" s="13" cm="1">
        <f t="array" ref="F63">INDEX(GMWQ!$A$2:$NF$60,MATCH(1,(GMWQ!$NE$2:$NE$60=F$3)*(GMWQ!$ND$2:$ND$60=F$4)*(GMWQ!$NF$2:$NF$60=F$1),0),$E63-1966)</f>
        <v>46.734940000000002</v>
      </c>
      <c r="G63" s="13" cm="1">
        <f t="array" ref="G63">INDEX(GMWQ!$A$2:$NF$60,MATCH(1,(GMWQ!$NE$2:$NE$60=G$3)*(GMWQ!$ND$2:$ND$60=G$4)*(GMWQ!$NF$2:$NF$60=G$1),0),$E63-1966)</f>
        <v>4305</v>
      </c>
      <c r="H63" s="13" cm="1">
        <f t="array" ref="H63">INDEX(GMWQ!$A$2:$NF$60,MATCH(1,(GMWQ!$NE$2:$NE$60=H$3)*(GMWQ!$ND$2:$ND$60=H$4)*(GMWQ!$NF$2:$NF$60=H$1),0),$E63-1966)</f>
        <v>121.41079999999999</v>
      </c>
      <c r="I63" s="13" cm="1">
        <f t="array" ref="I63">INDEX(GMWQ!$A$2:$NF$60,MATCH(1,(GMWQ!$NE$2:$NE$60=I$3)*(GMWQ!$ND$2:$ND$60=I$4)*(GMWQ!$NF$2:$NF$60=I$1),0),$E63-1966)</f>
        <v>27991</v>
      </c>
      <c r="J63" s="13" cm="1">
        <f t="array" ref="J63">INDEX(GMWQ!$A$2:$NF$60,MATCH(1,(GMWQ!$NE$2:$NE$60=J$3)*(GMWQ!$ND$2:$ND$60=J$4)*(GMWQ!$NF$2:$NF$60=J$1),0),$E63-1966)</f>
        <v>118136</v>
      </c>
      <c r="K63" s="13" cm="1">
        <f t="array" ref="K63">INDEX(GMWQ!$A$2:$NF$60,MATCH(1,(GMWQ!$NE$2:$NE$60=K$3)*(GMWQ!$ND$2:$ND$60=K$4)*(GMWQ!$NF$2:$NF$60=K$1),0),$E63-1966)</f>
        <v>47918</v>
      </c>
      <c r="L63" s="13" cm="1">
        <f t="array" ref="L63">INDEX(GMWQ!$A$2:$NF$60,MATCH(1,(GMWQ!$NE$2:$NE$60=L$3)*(GMWQ!$ND$2:$ND$60=L$4)*(GMWQ!$NF$2:$NF$60=L$1),0),$E63-1966)</f>
        <v>74158</v>
      </c>
      <c r="M63" s="13" cm="1">
        <f t="array" ref="M63">INDEX(GMWQ!$A$2:$NF$60,MATCH(1,(GMWQ!$NE$2:$NE$60=M$3)*(GMWQ!$ND$2:$ND$60=M$4)*(GMWQ!$NF$2:$NF$60=M$1),0),$E63-1966)</f>
        <v>180901</v>
      </c>
      <c r="N63" s="13" cm="1">
        <f t="array" ref="N63">INDEX(GMWQ!$A$2:$NF$60,MATCH(1,(GMWQ!$NE$2:$NE$60=N$3)*(GMWQ!$ND$2:$ND$60=N$4)*(GMWQ!$NF$2:$NF$60=N$1),0),$E63-1966)</f>
        <v>41.470970000000001</v>
      </c>
    </row>
    <row r="64" spans="1:14" x14ac:dyDescent="0.25">
      <c r="B64" s="13">
        <f t="shared" si="6"/>
        <v>1987</v>
      </c>
      <c r="C64" s="13">
        <f t="shared" si="6"/>
        <v>1987</v>
      </c>
      <c r="E64" s="13">
        <f t="shared" si="5"/>
        <v>2030</v>
      </c>
      <c r="F64" s="13" cm="1">
        <f t="array" ref="F64">INDEX(GMWQ!$A$2:$NF$60,MATCH(1,(GMWQ!$NE$2:$NE$60=F$3)*(GMWQ!$ND$2:$ND$60=F$4)*(GMWQ!$NF$2:$NF$60=F$1),0),$E64-1966)</f>
        <v>47.143540000000002</v>
      </c>
      <c r="G64" s="13" cm="1">
        <f t="array" ref="G64">INDEX(GMWQ!$A$2:$NF$60,MATCH(1,(GMWQ!$NE$2:$NE$60=G$3)*(GMWQ!$ND$2:$ND$60=G$4)*(GMWQ!$NF$2:$NF$60=G$1),0),$E64-1966)</f>
        <v>4334</v>
      </c>
      <c r="H64" s="13" cm="1">
        <f t="array" ref="H64">INDEX(GMWQ!$A$2:$NF$60,MATCH(1,(GMWQ!$NE$2:$NE$60=H$3)*(GMWQ!$ND$2:$ND$60=H$4)*(GMWQ!$NF$2:$NF$60=H$1),0),$E64-1966)</f>
        <v>125.7916</v>
      </c>
      <c r="I64" s="13" cm="1">
        <f t="array" ref="I64">INDEX(GMWQ!$A$2:$NF$60,MATCH(1,(GMWQ!$NE$2:$NE$60=I$3)*(GMWQ!$ND$2:$ND$60=I$4)*(GMWQ!$NF$2:$NF$60=I$1),0),$E64-1966)</f>
        <v>29936</v>
      </c>
      <c r="J64" s="13" cm="1">
        <f t="array" ref="J64">INDEX(GMWQ!$A$2:$NF$60,MATCH(1,(GMWQ!$NE$2:$NE$60=J$3)*(GMWQ!$ND$2:$ND$60=J$4)*(GMWQ!$NF$2:$NF$60=J$1),0),$E64-1966)</f>
        <v>121739</v>
      </c>
      <c r="K64" s="13" cm="1">
        <f t="array" ref="K64">INDEX(GMWQ!$A$2:$NF$60,MATCH(1,(GMWQ!$NE$2:$NE$60=K$3)*(GMWQ!$ND$2:$ND$60=K$4)*(GMWQ!$NF$2:$NF$60=K$1),0),$E64-1966)</f>
        <v>49142</v>
      </c>
      <c r="L64" s="13" cm="1">
        <f t="array" ref="L64">INDEX(GMWQ!$A$2:$NF$60,MATCH(1,(GMWQ!$NE$2:$NE$60=L$3)*(GMWQ!$ND$2:$ND$60=L$4)*(GMWQ!$NF$2:$NF$60=L$1),0),$E64-1966)</f>
        <v>76563</v>
      </c>
      <c r="M64" s="13" cm="1">
        <f t="array" ref="M64">INDEX(GMWQ!$A$2:$NF$60,MATCH(1,(GMWQ!$NE$2:$NE$60=M$3)*(GMWQ!$ND$2:$ND$60=M$4)*(GMWQ!$NF$2:$NF$60=M$1),0),$E64-1966)</f>
        <v>185020</v>
      </c>
      <c r="N64" s="13" cm="1">
        <f t="array" ref="N64">INDEX(GMWQ!$A$2:$NF$60,MATCH(1,(GMWQ!$NE$2:$NE$60=N$3)*(GMWQ!$ND$2:$ND$60=N$4)*(GMWQ!$NF$2:$NF$60=N$1),0),$E64-1966)</f>
        <v>41.902000000000001</v>
      </c>
    </row>
    <row r="65" spans="1:14" x14ac:dyDescent="0.25">
      <c r="B65" s="13">
        <f t="shared" si="6"/>
        <v>1987</v>
      </c>
      <c r="C65" s="13">
        <f t="shared" si="6"/>
        <v>1987</v>
      </c>
      <c r="E65" s="13">
        <f t="shared" si="5"/>
        <v>2031</v>
      </c>
      <c r="F65" s="13" cm="1">
        <f t="array" ref="F65">INDEX(GMWQ!$A$2:$NF$60,MATCH(1,(GMWQ!$NE$2:$NE$60=F$3)*(GMWQ!$ND$2:$ND$60=F$4)*(GMWQ!$NF$2:$NF$60=F$1),0),$E65-1966)</f>
        <v>47.220829999999999</v>
      </c>
      <c r="G65" s="13" cm="1">
        <f t="array" ref="G65">INDEX(GMWQ!$A$2:$NF$60,MATCH(1,(GMWQ!$NE$2:$NE$60=G$3)*(GMWQ!$ND$2:$ND$60=G$4)*(GMWQ!$NF$2:$NF$60=G$1),0),$E65-1966)</f>
        <v>4487</v>
      </c>
      <c r="H65" s="13" cm="1">
        <f t="array" ref="H65">INDEX(GMWQ!$A$2:$NF$60,MATCH(1,(GMWQ!$NE$2:$NE$60=H$3)*(GMWQ!$ND$2:$ND$60=H$4)*(GMWQ!$NF$2:$NF$60=H$1),0),$E65-1966)</f>
        <v>130.0642</v>
      </c>
      <c r="I65" s="13" cm="1">
        <f t="array" ref="I65">INDEX(GMWQ!$A$2:$NF$60,MATCH(1,(GMWQ!$NE$2:$NE$60=I$3)*(GMWQ!$ND$2:$ND$60=I$4)*(GMWQ!$NF$2:$NF$60=I$1),0),$E65-1966)</f>
        <v>32609</v>
      </c>
      <c r="J65" s="13" cm="1">
        <f t="array" ref="J65">INDEX(GMWQ!$A$2:$NF$60,MATCH(1,(GMWQ!$NE$2:$NE$60=J$3)*(GMWQ!$ND$2:$ND$60=J$4)*(GMWQ!$NF$2:$NF$60=J$1),0),$E65-1966)</f>
        <v>127119</v>
      </c>
      <c r="K65" s="13" cm="1">
        <f t="array" ref="K65">INDEX(GMWQ!$A$2:$NF$60,MATCH(1,(GMWQ!$NE$2:$NE$60=K$3)*(GMWQ!$ND$2:$ND$60=K$4)*(GMWQ!$NF$2:$NF$60=K$1),0),$E65-1966)</f>
        <v>50573</v>
      </c>
      <c r="L65" s="13" cm="1">
        <f t="array" ref="L65">INDEX(GMWQ!$A$2:$NF$60,MATCH(1,(GMWQ!$NE$2:$NE$60=L$3)*(GMWQ!$ND$2:$ND$60=L$4)*(GMWQ!$NF$2:$NF$60=L$1),0),$E65-1966)</f>
        <v>78295</v>
      </c>
      <c r="M65" s="13" cm="1">
        <f t="array" ref="M65">INDEX(GMWQ!$A$2:$NF$60,MATCH(1,(GMWQ!$NE$2:$NE$60=M$3)*(GMWQ!$ND$2:$ND$60=M$4)*(GMWQ!$NF$2:$NF$60=M$1),0),$E65-1966)</f>
        <v>187551</v>
      </c>
      <c r="N65" s="13" cm="1">
        <f t="array" ref="N65">INDEX(GMWQ!$A$2:$NF$60,MATCH(1,(GMWQ!$NE$2:$NE$60=N$3)*(GMWQ!$ND$2:$ND$60=N$4)*(GMWQ!$NF$2:$NF$60=N$1),0),$E65-1966)</f>
        <v>42.296129999999998</v>
      </c>
    </row>
    <row r="66" spans="1:14" x14ac:dyDescent="0.25">
      <c r="B66" s="13">
        <f t="shared" si="6"/>
        <v>1987</v>
      </c>
      <c r="C66" s="13">
        <f t="shared" si="6"/>
        <v>1987</v>
      </c>
      <c r="E66" s="13">
        <f t="shared" si="5"/>
        <v>2032</v>
      </c>
      <c r="F66" s="13" cm="1">
        <f t="array" ref="F66">INDEX(GMWQ!$A$2:$NF$60,MATCH(1,(GMWQ!$NE$2:$NE$60=F$3)*(GMWQ!$ND$2:$ND$60=F$4)*(GMWQ!$NF$2:$NF$60=F$1),0),$E66-1966)</f>
        <v>47.960340000000002</v>
      </c>
      <c r="G66" s="13" cm="1">
        <f t="array" ref="G66">INDEX(GMWQ!$A$2:$NF$60,MATCH(1,(GMWQ!$NE$2:$NE$60=G$3)*(GMWQ!$ND$2:$ND$60=G$4)*(GMWQ!$NF$2:$NF$60=G$1),0),$E66-1966)</f>
        <v>4632</v>
      </c>
      <c r="H66" s="13" cm="1">
        <f t="array" ref="H66">INDEX(GMWQ!$A$2:$NF$60,MATCH(1,(GMWQ!$NE$2:$NE$60=H$3)*(GMWQ!$ND$2:$ND$60=H$4)*(GMWQ!$NF$2:$NF$60=H$1),0),$E66-1966)</f>
        <v>132.7039</v>
      </c>
      <c r="I66" s="13" cm="1">
        <f t="array" ref="I66">INDEX(GMWQ!$A$2:$NF$60,MATCH(1,(GMWQ!$NE$2:$NE$60=I$3)*(GMWQ!$ND$2:$ND$60=I$4)*(GMWQ!$NF$2:$NF$60=I$1),0),$E66-1966)</f>
        <v>32677</v>
      </c>
      <c r="J66" s="13" cm="1">
        <f t="array" ref="J66">INDEX(GMWQ!$A$2:$NF$60,MATCH(1,(GMWQ!$NE$2:$NE$60=J$3)*(GMWQ!$ND$2:$ND$60=J$4)*(GMWQ!$NF$2:$NF$60=J$1),0),$E66-1966)</f>
        <v>129815</v>
      </c>
      <c r="K66" s="13" cm="1">
        <f t="array" ref="K66">INDEX(GMWQ!$A$2:$NF$60,MATCH(1,(GMWQ!$NE$2:$NE$60=K$3)*(GMWQ!$ND$2:$ND$60=K$4)*(GMWQ!$NF$2:$NF$60=K$1),0),$E66-1966)</f>
        <v>52081</v>
      </c>
      <c r="L66" s="13" cm="1">
        <f t="array" ref="L66">INDEX(GMWQ!$A$2:$NF$60,MATCH(1,(GMWQ!$NE$2:$NE$60=L$3)*(GMWQ!$ND$2:$ND$60=L$4)*(GMWQ!$NF$2:$NF$60=L$1),0),$E66-1966)</f>
        <v>79796</v>
      </c>
      <c r="M66" s="13" cm="1">
        <f t="array" ref="M66">INDEX(GMWQ!$A$2:$NF$60,MATCH(1,(GMWQ!$NE$2:$NE$60=M$3)*(GMWQ!$ND$2:$ND$60=M$4)*(GMWQ!$NF$2:$NF$60=M$1),0),$E66-1966)</f>
        <v>188860</v>
      </c>
      <c r="N66" s="13" cm="1">
        <f t="array" ref="N66">INDEX(GMWQ!$A$2:$NF$60,MATCH(1,(GMWQ!$NE$2:$NE$60=N$3)*(GMWQ!$ND$2:$ND$60=N$4)*(GMWQ!$NF$2:$NF$60=N$1),0),$E66-1966)</f>
        <v>42.821930000000002</v>
      </c>
    </row>
    <row r="67" spans="1:14" x14ac:dyDescent="0.25">
      <c r="A67" s="13">
        <v>1988</v>
      </c>
      <c r="B67" s="13">
        <f t="shared" si="6"/>
        <v>1988</v>
      </c>
      <c r="C67" s="13">
        <f t="shared" si="6"/>
        <v>1987</v>
      </c>
      <c r="D67" s="13">
        <f t="shared" si="6"/>
        <v>1987</v>
      </c>
      <c r="E67" s="13">
        <f t="shared" si="5"/>
        <v>2033</v>
      </c>
      <c r="F67" s="13" cm="1">
        <f t="array" ref="F67">INDEX(GMWQ!$A$2:$NF$60,MATCH(1,(GMWQ!$NE$2:$NE$60=F$3)*(GMWQ!$ND$2:$ND$60=F$4)*(GMWQ!$NF$2:$NF$60=F$1),0),$E67-1966)</f>
        <v>48.486249999999998</v>
      </c>
      <c r="G67" s="13" cm="1">
        <f t="array" ref="G67">INDEX(GMWQ!$A$2:$NF$60,MATCH(1,(GMWQ!$NE$2:$NE$60=G$3)*(GMWQ!$ND$2:$ND$60=G$4)*(GMWQ!$NF$2:$NF$60=G$1),0),$E67-1966)</f>
        <v>4640</v>
      </c>
      <c r="H67" s="13" cm="1">
        <f t="array" ref="H67">INDEX(GMWQ!$A$2:$NF$60,MATCH(1,(GMWQ!$NE$2:$NE$60=H$3)*(GMWQ!$ND$2:$ND$60=H$4)*(GMWQ!$NF$2:$NF$60=H$1),0),$E67-1966)</f>
        <v>134.46860000000001</v>
      </c>
      <c r="I67" s="13" cm="1">
        <f t="array" ref="I67">INDEX(GMWQ!$A$2:$NF$60,MATCH(1,(GMWQ!$NE$2:$NE$60=I$3)*(GMWQ!$ND$2:$ND$60=I$4)*(GMWQ!$NF$2:$NF$60=I$1),0),$E67-1966)</f>
        <v>33698</v>
      </c>
      <c r="J67" s="13" cm="1">
        <f t="array" ref="J67">INDEX(GMWQ!$A$2:$NF$60,MATCH(1,(GMWQ!$NE$2:$NE$60=J$3)*(GMWQ!$ND$2:$ND$60=J$4)*(GMWQ!$NF$2:$NF$60=J$1),0),$E67-1966)</f>
        <v>133283</v>
      </c>
      <c r="K67" s="13" cm="1">
        <f t="array" ref="K67">INDEX(GMWQ!$A$2:$NF$60,MATCH(1,(GMWQ!$NE$2:$NE$60=K$3)*(GMWQ!$ND$2:$ND$60=K$4)*(GMWQ!$NF$2:$NF$60=K$1),0),$E67-1966)</f>
        <v>53600</v>
      </c>
      <c r="L67" s="13" cm="1">
        <f t="array" ref="L67">INDEX(GMWQ!$A$2:$NF$60,MATCH(1,(GMWQ!$NE$2:$NE$60=L$3)*(GMWQ!$ND$2:$ND$60=L$4)*(GMWQ!$NF$2:$NF$60=L$1),0),$E67-1966)</f>
        <v>82285</v>
      </c>
      <c r="M67" s="13" cm="1">
        <f t="array" ref="M67">INDEX(GMWQ!$A$2:$NF$60,MATCH(1,(GMWQ!$NE$2:$NE$60=M$3)*(GMWQ!$ND$2:$ND$60=M$4)*(GMWQ!$NF$2:$NF$60=M$1),0),$E67-1966)</f>
        <v>191709</v>
      </c>
      <c r="N67" s="13" cm="1">
        <f t="array" ref="N67">INDEX(GMWQ!$A$2:$NF$60,MATCH(1,(GMWQ!$NE$2:$NE$60=N$3)*(GMWQ!$ND$2:$ND$60=N$4)*(GMWQ!$NF$2:$NF$60=N$1),0),$E67-1966)</f>
        <v>43.419350000000001</v>
      </c>
    </row>
    <row r="68" spans="1:14" x14ac:dyDescent="0.25">
      <c r="B68" s="13">
        <f t="shared" si="6"/>
        <v>1988</v>
      </c>
      <c r="C68" s="13">
        <f t="shared" si="6"/>
        <v>1988</v>
      </c>
      <c r="E68" s="13">
        <f t="shared" si="5"/>
        <v>2034</v>
      </c>
      <c r="F68" s="13" cm="1">
        <f t="array" ref="F68">INDEX(GMWQ!$A$2:$NF$60,MATCH(1,(GMWQ!$NE$2:$NE$60=F$3)*(GMWQ!$ND$2:$ND$60=F$4)*(GMWQ!$NF$2:$NF$60=F$1),0),$E68-1966)</f>
        <v>49.414969999999997</v>
      </c>
      <c r="G68" s="13" cm="1">
        <f t="array" ref="G68">INDEX(GMWQ!$A$2:$NF$60,MATCH(1,(GMWQ!$NE$2:$NE$60=G$3)*(GMWQ!$ND$2:$ND$60=G$4)*(GMWQ!$NF$2:$NF$60=G$1),0),$E68-1966)</f>
        <v>4879</v>
      </c>
      <c r="H68" s="13" cm="1">
        <f t="array" ref="H68">INDEX(GMWQ!$A$2:$NF$60,MATCH(1,(GMWQ!$NE$2:$NE$60=H$3)*(GMWQ!$ND$2:$ND$60=H$4)*(GMWQ!$NF$2:$NF$60=H$1),0),$E68-1966)</f>
        <v>139.05330000000001</v>
      </c>
      <c r="I68" s="13" cm="1">
        <f t="array" ref="I68">INDEX(GMWQ!$A$2:$NF$60,MATCH(1,(GMWQ!$NE$2:$NE$60=I$3)*(GMWQ!$ND$2:$ND$60=I$4)*(GMWQ!$NF$2:$NF$60=I$1),0),$E68-1966)</f>
        <v>34292</v>
      </c>
      <c r="J68" s="13" cm="1">
        <f t="array" ref="J68">INDEX(GMWQ!$A$2:$NF$60,MATCH(1,(GMWQ!$NE$2:$NE$60=J$3)*(GMWQ!$ND$2:$ND$60=J$4)*(GMWQ!$NF$2:$NF$60=J$1),0),$E68-1966)</f>
        <v>136630</v>
      </c>
      <c r="K68" s="13" cm="1">
        <f t="array" ref="K68">INDEX(GMWQ!$A$2:$NF$60,MATCH(1,(GMWQ!$NE$2:$NE$60=K$3)*(GMWQ!$ND$2:$ND$60=K$4)*(GMWQ!$NF$2:$NF$60=K$1),0),$E68-1966)</f>
        <v>54866</v>
      </c>
      <c r="L68" s="13" cm="1">
        <f t="array" ref="L68">INDEX(GMWQ!$A$2:$NF$60,MATCH(1,(GMWQ!$NE$2:$NE$60=L$3)*(GMWQ!$ND$2:$ND$60=L$4)*(GMWQ!$NF$2:$NF$60=L$1),0),$E68-1966)</f>
        <v>84810</v>
      </c>
      <c r="M68" s="13" cm="1">
        <f t="array" ref="M68">INDEX(GMWQ!$A$2:$NF$60,MATCH(1,(GMWQ!$NE$2:$NE$60=M$3)*(GMWQ!$ND$2:$ND$60=M$4)*(GMWQ!$NF$2:$NF$60=M$1),0),$E68-1966)</f>
        <v>194935</v>
      </c>
      <c r="N68" s="13" cm="1">
        <f t="array" ref="N68">INDEX(GMWQ!$A$2:$NF$60,MATCH(1,(GMWQ!$NE$2:$NE$60=N$3)*(GMWQ!$ND$2:$ND$60=N$4)*(GMWQ!$NF$2:$NF$60=N$1),0),$E68-1966)</f>
        <v>44.057639999999999</v>
      </c>
    </row>
    <row r="69" spans="1:14" x14ac:dyDescent="0.25">
      <c r="B69" s="13">
        <f t="shared" si="6"/>
        <v>1988</v>
      </c>
      <c r="C69" s="13">
        <f t="shared" si="6"/>
        <v>1988</v>
      </c>
      <c r="E69" s="13">
        <f t="shared" si="5"/>
        <v>2035</v>
      </c>
      <c r="F69" s="13" cm="1">
        <f t="array" ref="F69">INDEX(GMWQ!$A$2:$NF$60,MATCH(1,(GMWQ!$NE$2:$NE$60=F$3)*(GMWQ!$ND$2:$ND$60=F$4)*(GMWQ!$NF$2:$NF$60=F$1),0),$E69-1966)</f>
        <v>50.342970000000001</v>
      </c>
      <c r="G69" s="13" cm="1">
        <f t="array" ref="G69">INDEX(GMWQ!$A$2:$NF$60,MATCH(1,(GMWQ!$NE$2:$NE$60=G$3)*(GMWQ!$ND$2:$ND$60=G$4)*(GMWQ!$NF$2:$NF$60=G$1),0),$E69-1966)</f>
        <v>5040</v>
      </c>
      <c r="H69" s="13" cm="1">
        <f t="array" ref="H69">INDEX(GMWQ!$A$2:$NF$60,MATCH(1,(GMWQ!$NE$2:$NE$60=H$3)*(GMWQ!$ND$2:$ND$60=H$4)*(GMWQ!$NF$2:$NF$60=H$1),0),$E69-1966)</f>
        <v>144.16399999999999</v>
      </c>
      <c r="I69" s="13" cm="1">
        <f t="array" ref="I69">INDEX(GMWQ!$A$2:$NF$60,MATCH(1,(GMWQ!$NE$2:$NE$60=I$3)*(GMWQ!$ND$2:$ND$60=I$4)*(GMWQ!$NF$2:$NF$60=I$1),0),$E69-1966)</f>
        <v>35863</v>
      </c>
      <c r="J69" s="13" cm="1">
        <f t="array" ref="J69">INDEX(GMWQ!$A$2:$NF$60,MATCH(1,(GMWQ!$NE$2:$NE$60=J$3)*(GMWQ!$ND$2:$ND$60=J$4)*(GMWQ!$NF$2:$NF$60=J$1),0),$E69-1966)</f>
        <v>140801</v>
      </c>
      <c r="K69" s="13" cm="1">
        <f t="array" ref="K69">INDEX(GMWQ!$A$2:$NF$60,MATCH(1,(GMWQ!$NE$2:$NE$60=K$3)*(GMWQ!$ND$2:$ND$60=K$4)*(GMWQ!$NF$2:$NF$60=K$1),0),$E69-1966)</f>
        <v>56587</v>
      </c>
      <c r="L69" s="13" cm="1">
        <f t="array" ref="L69">INDEX(GMWQ!$A$2:$NF$60,MATCH(1,(GMWQ!$NE$2:$NE$60=L$3)*(GMWQ!$ND$2:$ND$60=L$4)*(GMWQ!$NF$2:$NF$60=L$1),0),$E69-1966)</f>
        <v>86563</v>
      </c>
      <c r="M69" s="13" cm="1">
        <f t="array" ref="M69">INDEX(GMWQ!$A$2:$NF$60,MATCH(1,(GMWQ!$NE$2:$NE$60=M$3)*(GMWQ!$ND$2:$ND$60=M$4)*(GMWQ!$NF$2:$NF$60=M$1),0),$E69-1966)</f>
        <v>197179</v>
      </c>
      <c r="N69" s="13" cm="1">
        <f t="array" ref="N69">INDEX(GMWQ!$A$2:$NF$60,MATCH(1,(GMWQ!$NE$2:$NE$60=N$3)*(GMWQ!$ND$2:$ND$60=N$4)*(GMWQ!$NF$2:$NF$60=N$1),0),$E69-1966)</f>
        <v>44.47437</v>
      </c>
    </row>
    <row r="70" spans="1:14" x14ac:dyDescent="0.25">
      <c r="B70" s="13">
        <f t="shared" si="6"/>
        <v>1988</v>
      </c>
      <c r="C70" s="13">
        <f t="shared" si="6"/>
        <v>1988</v>
      </c>
      <c r="E70" s="13">
        <f t="shared" si="5"/>
        <v>2036</v>
      </c>
      <c r="F70" s="13" cm="1">
        <f t="array" ref="F70">INDEX(GMWQ!$A$2:$NF$60,MATCH(1,(GMWQ!$NE$2:$NE$60=F$3)*(GMWQ!$ND$2:$ND$60=F$4)*(GMWQ!$NF$2:$NF$60=F$1),0),$E70-1966)</f>
        <v>51.531849999999999</v>
      </c>
      <c r="G70" s="13" cm="1">
        <f t="array" ref="G70">INDEX(GMWQ!$A$2:$NF$60,MATCH(1,(GMWQ!$NE$2:$NE$60=G$3)*(GMWQ!$ND$2:$ND$60=G$4)*(GMWQ!$NF$2:$NF$60=G$1),0),$E70-1966)</f>
        <v>5234</v>
      </c>
      <c r="H70" s="13" cm="1">
        <f t="array" ref="H70">INDEX(GMWQ!$A$2:$NF$60,MATCH(1,(GMWQ!$NE$2:$NE$60=H$3)*(GMWQ!$ND$2:$ND$60=H$4)*(GMWQ!$NF$2:$NF$60=H$1),0),$E70-1966)</f>
        <v>148.042</v>
      </c>
      <c r="I70" s="13" cm="1">
        <f t="array" ref="I70">INDEX(GMWQ!$A$2:$NF$60,MATCH(1,(GMWQ!$NE$2:$NE$60=I$3)*(GMWQ!$ND$2:$ND$60=I$4)*(GMWQ!$NF$2:$NF$60=I$1),0),$E70-1966)</f>
        <v>37039</v>
      </c>
      <c r="J70" s="13" cm="1">
        <f t="array" ref="J70">INDEX(GMWQ!$A$2:$NF$60,MATCH(1,(GMWQ!$NE$2:$NE$60=J$3)*(GMWQ!$ND$2:$ND$60=J$4)*(GMWQ!$NF$2:$NF$60=J$1),0),$E70-1966)</f>
        <v>144969</v>
      </c>
      <c r="K70" s="13" cm="1">
        <f t="array" ref="K70">INDEX(GMWQ!$A$2:$NF$60,MATCH(1,(GMWQ!$NE$2:$NE$60=K$3)*(GMWQ!$ND$2:$ND$60=K$4)*(GMWQ!$NF$2:$NF$60=K$1),0),$E70-1966)</f>
        <v>58368</v>
      </c>
      <c r="L70" s="13" cm="1">
        <f t="array" ref="L70">INDEX(GMWQ!$A$2:$NF$60,MATCH(1,(GMWQ!$NE$2:$NE$60=L$3)*(GMWQ!$ND$2:$ND$60=L$4)*(GMWQ!$NF$2:$NF$60=L$1),0),$E70-1966)</f>
        <v>88240</v>
      </c>
      <c r="M70" s="13" cm="1">
        <f t="array" ref="M70">INDEX(GMWQ!$A$2:$NF$60,MATCH(1,(GMWQ!$NE$2:$NE$60=M$3)*(GMWQ!$ND$2:$ND$60=M$4)*(GMWQ!$NF$2:$NF$60=M$1),0),$E70-1966)</f>
        <v>198740</v>
      </c>
      <c r="N70" s="13" cm="1">
        <f t="array" ref="N70">INDEX(GMWQ!$A$2:$NF$60,MATCH(1,(GMWQ!$NE$2:$NE$60=N$3)*(GMWQ!$ND$2:$ND$60=N$4)*(GMWQ!$NF$2:$NF$60=N$1),0),$E70-1966)</f>
        <v>44.994630000000001</v>
      </c>
    </row>
    <row r="71" spans="1:14" x14ac:dyDescent="0.25">
      <c r="A71" s="13">
        <v>1989</v>
      </c>
      <c r="B71" s="13">
        <f t="shared" si="6"/>
        <v>1989</v>
      </c>
      <c r="C71" s="13">
        <f t="shared" si="6"/>
        <v>1988</v>
      </c>
      <c r="D71" s="13">
        <f t="shared" si="6"/>
        <v>1988</v>
      </c>
      <c r="E71" s="13">
        <f t="shared" si="5"/>
        <v>2037</v>
      </c>
      <c r="F71" s="13" cm="1">
        <f t="array" ref="F71">INDEX(GMWQ!$A$2:$NF$60,MATCH(1,(GMWQ!$NE$2:$NE$60=F$3)*(GMWQ!$ND$2:$ND$60=F$4)*(GMWQ!$NF$2:$NF$60=F$1),0),$E71-1966)</f>
        <v>52.552460000000004</v>
      </c>
      <c r="G71" s="13" cm="1">
        <f t="array" ref="G71">INDEX(GMWQ!$A$2:$NF$60,MATCH(1,(GMWQ!$NE$2:$NE$60=G$3)*(GMWQ!$ND$2:$ND$60=G$4)*(GMWQ!$NF$2:$NF$60=G$1),0),$E71-1966)</f>
        <v>5239</v>
      </c>
      <c r="H71" s="13" cm="1">
        <f t="array" ref="H71">INDEX(GMWQ!$A$2:$NF$60,MATCH(1,(GMWQ!$NE$2:$NE$60=H$3)*(GMWQ!$ND$2:$ND$60=H$4)*(GMWQ!$NF$2:$NF$60=H$1),0),$E71-1966)</f>
        <v>150.62790000000001</v>
      </c>
      <c r="I71" s="13" cm="1">
        <f t="array" ref="I71">INDEX(GMWQ!$A$2:$NF$60,MATCH(1,(GMWQ!$NE$2:$NE$60=I$3)*(GMWQ!$ND$2:$ND$60=I$4)*(GMWQ!$NF$2:$NF$60=I$1),0),$E71-1966)</f>
        <v>38606</v>
      </c>
      <c r="J71" s="13" cm="1">
        <f t="array" ref="J71">INDEX(GMWQ!$A$2:$NF$60,MATCH(1,(GMWQ!$NE$2:$NE$60=J$3)*(GMWQ!$ND$2:$ND$60=J$4)*(GMWQ!$NF$2:$NF$60=J$1),0),$E71-1966)</f>
        <v>148623</v>
      </c>
      <c r="K71" s="13" cm="1">
        <f t="array" ref="K71">INDEX(GMWQ!$A$2:$NF$60,MATCH(1,(GMWQ!$NE$2:$NE$60=K$3)*(GMWQ!$ND$2:$ND$60=K$4)*(GMWQ!$NF$2:$NF$60=K$1),0),$E71-1966)</f>
        <v>59745</v>
      </c>
      <c r="L71" s="13" cm="1">
        <f t="array" ref="L71">INDEX(GMWQ!$A$2:$NF$60,MATCH(1,(GMWQ!$NE$2:$NE$60=L$3)*(GMWQ!$ND$2:$ND$60=L$4)*(GMWQ!$NF$2:$NF$60=L$1),0),$E71-1966)</f>
        <v>90548</v>
      </c>
      <c r="M71" s="13" cm="1">
        <f t="array" ref="M71">INDEX(GMWQ!$A$2:$NF$60,MATCH(1,(GMWQ!$NE$2:$NE$60=M$3)*(GMWQ!$ND$2:$ND$60=M$4)*(GMWQ!$NF$2:$NF$60=M$1),0),$E71-1966)</f>
        <v>201265</v>
      </c>
      <c r="N71" s="13" cm="1">
        <f t="array" ref="N71">INDEX(GMWQ!$A$2:$NF$60,MATCH(1,(GMWQ!$NE$2:$NE$60=N$3)*(GMWQ!$ND$2:$ND$60=N$4)*(GMWQ!$NF$2:$NF$60=N$1),0),$E71-1966)</f>
        <v>45.505809999999997</v>
      </c>
    </row>
    <row r="72" spans="1:14" x14ac:dyDescent="0.25">
      <c r="B72" s="13">
        <f t="shared" si="6"/>
        <v>1989</v>
      </c>
      <c r="C72" s="13">
        <f t="shared" si="6"/>
        <v>1989</v>
      </c>
      <c r="E72" s="13">
        <f t="shared" si="5"/>
        <v>2038</v>
      </c>
      <c r="F72" s="13" cm="1">
        <f t="array" ref="F72">INDEX(GMWQ!$A$2:$NF$60,MATCH(1,(GMWQ!$NE$2:$NE$60=F$3)*(GMWQ!$ND$2:$ND$60=F$4)*(GMWQ!$NF$2:$NF$60=F$1),0),$E72-1966)</f>
        <v>53.574669999999998</v>
      </c>
      <c r="G72" s="13" cm="1">
        <f t="array" ref="G72">INDEX(GMWQ!$A$2:$NF$60,MATCH(1,(GMWQ!$NE$2:$NE$60=G$3)*(GMWQ!$ND$2:$ND$60=G$4)*(GMWQ!$NF$2:$NF$60=G$1),0),$E72-1966)</f>
        <v>5247</v>
      </c>
      <c r="H72" s="13" cm="1">
        <f t="array" ref="H72">INDEX(GMWQ!$A$2:$NF$60,MATCH(1,(GMWQ!$NE$2:$NE$60=H$3)*(GMWQ!$ND$2:$ND$60=H$4)*(GMWQ!$NF$2:$NF$60=H$1),0),$E72-1966)</f>
        <v>155.5334</v>
      </c>
      <c r="I72" s="13" cm="1">
        <f t="array" ref="I72">INDEX(GMWQ!$A$2:$NF$60,MATCH(1,(GMWQ!$NE$2:$NE$60=I$3)*(GMWQ!$ND$2:$ND$60=I$4)*(GMWQ!$NF$2:$NF$60=I$1),0),$E72-1966)</f>
        <v>38243</v>
      </c>
      <c r="J72" s="13" cm="1">
        <f t="array" ref="J72">INDEX(GMWQ!$A$2:$NF$60,MATCH(1,(GMWQ!$NE$2:$NE$60=J$3)*(GMWQ!$ND$2:$ND$60=J$4)*(GMWQ!$NF$2:$NF$60=J$1),0),$E72-1966)</f>
        <v>151262</v>
      </c>
      <c r="K72" s="13" cm="1">
        <f t="array" ref="K72">INDEX(GMWQ!$A$2:$NF$60,MATCH(1,(GMWQ!$NE$2:$NE$60=K$3)*(GMWQ!$ND$2:$ND$60=K$4)*(GMWQ!$NF$2:$NF$60=K$1),0),$E72-1966)</f>
        <v>61400</v>
      </c>
      <c r="L72" s="13" cm="1">
        <f t="array" ref="L72">INDEX(GMWQ!$A$2:$NF$60,MATCH(1,(GMWQ!$NE$2:$NE$60=L$3)*(GMWQ!$ND$2:$ND$60=L$4)*(GMWQ!$NF$2:$NF$60=L$1),0),$E72-1966)</f>
        <v>93363</v>
      </c>
      <c r="M72" s="13" cm="1">
        <f t="array" ref="M72">INDEX(GMWQ!$A$2:$NF$60,MATCH(1,(GMWQ!$NE$2:$NE$60=M$3)*(GMWQ!$ND$2:$ND$60=M$4)*(GMWQ!$NF$2:$NF$60=M$1),0),$E72-1966)</f>
        <v>204179</v>
      </c>
      <c r="N72" s="13" cm="1">
        <f t="array" ref="N72">INDEX(GMWQ!$A$2:$NF$60,MATCH(1,(GMWQ!$NE$2:$NE$60=N$3)*(GMWQ!$ND$2:$ND$60=N$4)*(GMWQ!$NF$2:$NF$60=N$1),0),$E72-1966)</f>
        <v>46.23854</v>
      </c>
    </row>
    <row r="73" spans="1:14" x14ac:dyDescent="0.25">
      <c r="B73" s="13">
        <f t="shared" si="6"/>
        <v>1989</v>
      </c>
      <c r="C73" s="13">
        <f t="shared" si="6"/>
        <v>1989</v>
      </c>
      <c r="E73" s="13">
        <f t="shared" si="5"/>
        <v>2039</v>
      </c>
      <c r="F73" s="13" cm="1">
        <f t="array" ref="F73">INDEX(GMWQ!$A$2:$NF$60,MATCH(1,(GMWQ!$NE$2:$NE$60=F$3)*(GMWQ!$ND$2:$ND$60=F$4)*(GMWQ!$NF$2:$NF$60=F$1),0),$E73-1966)</f>
        <v>54.88494</v>
      </c>
      <c r="G73" s="13" cm="1">
        <f t="array" ref="G73">INDEX(GMWQ!$A$2:$NF$60,MATCH(1,(GMWQ!$NE$2:$NE$60=G$3)*(GMWQ!$ND$2:$ND$60=G$4)*(GMWQ!$NF$2:$NF$60=G$1),0),$E73-1966)</f>
        <v>5405</v>
      </c>
      <c r="H73" s="13" cm="1">
        <f t="array" ref="H73">INDEX(GMWQ!$A$2:$NF$60,MATCH(1,(GMWQ!$NE$2:$NE$60=H$3)*(GMWQ!$ND$2:$ND$60=H$4)*(GMWQ!$NF$2:$NF$60=H$1),0),$E73-1966)</f>
        <v>160.64189999999999</v>
      </c>
      <c r="I73" s="13" cm="1">
        <f t="array" ref="I73">INDEX(GMWQ!$A$2:$NF$60,MATCH(1,(GMWQ!$NE$2:$NE$60=I$3)*(GMWQ!$ND$2:$ND$60=I$4)*(GMWQ!$NF$2:$NF$60=I$1),0),$E73-1966)</f>
        <v>39834</v>
      </c>
      <c r="J73" s="13" cm="1">
        <f t="array" ref="J73">INDEX(GMWQ!$A$2:$NF$60,MATCH(1,(GMWQ!$NE$2:$NE$60=J$3)*(GMWQ!$ND$2:$ND$60=J$4)*(GMWQ!$NF$2:$NF$60=J$1),0),$E73-1966)</f>
        <v>155370</v>
      </c>
      <c r="K73" s="13" cm="1">
        <f t="array" ref="K73">INDEX(GMWQ!$A$2:$NF$60,MATCH(1,(GMWQ!$NE$2:$NE$60=K$3)*(GMWQ!$ND$2:$ND$60=K$4)*(GMWQ!$NF$2:$NF$60=K$1),0),$E73-1966)</f>
        <v>63022</v>
      </c>
      <c r="L73" s="13" cm="1">
        <f t="array" ref="L73">INDEX(GMWQ!$A$2:$NF$60,MATCH(1,(GMWQ!$NE$2:$NE$60=L$3)*(GMWQ!$ND$2:$ND$60=L$4)*(GMWQ!$NF$2:$NF$60=L$1),0),$E73-1966)</f>
        <v>97490</v>
      </c>
      <c r="M73" s="13" cm="1">
        <f t="array" ref="M73">INDEX(GMWQ!$A$2:$NF$60,MATCH(1,(GMWQ!$NE$2:$NE$60=M$3)*(GMWQ!$ND$2:$ND$60=M$4)*(GMWQ!$NF$2:$NF$60=M$1),0),$E73-1966)</f>
        <v>209872</v>
      </c>
      <c r="N73" s="13" cm="1">
        <f t="array" ref="N73">INDEX(GMWQ!$A$2:$NF$60,MATCH(1,(GMWQ!$NE$2:$NE$60=N$3)*(GMWQ!$ND$2:$ND$60=N$4)*(GMWQ!$NF$2:$NF$60=N$1),0),$E73-1966)</f>
        <v>47.012500000000003</v>
      </c>
    </row>
    <row r="74" spans="1:14" x14ac:dyDescent="0.25">
      <c r="B74" s="13">
        <f t="shared" si="6"/>
        <v>1989</v>
      </c>
      <c r="C74" s="13">
        <f t="shared" si="6"/>
        <v>1989</v>
      </c>
      <c r="E74" s="13">
        <f t="shared" si="5"/>
        <v>2040</v>
      </c>
      <c r="F74" s="13" cm="1">
        <f t="array" ref="F74">INDEX(GMWQ!$A$2:$NF$60,MATCH(1,(GMWQ!$NE$2:$NE$60=F$3)*(GMWQ!$ND$2:$ND$60=F$4)*(GMWQ!$NF$2:$NF$60=F$1),0),$E74-1966)</f>
        <v>56.612250000000003</v>
      </c>
      <c r="G74" s="13" cm="1">
        <f t="array" ref="G74">INDEX(GMWQ!$A$2:$NF$60,MATCH(1,(GMWQ!$NE$2:$NE$60=G$3)*(GMWQ!$ND$2:$ND$60=G$4)*(GMWQ!$NF$2:$NF$60=G$1),0),$E74-1966)</f>
        <v>5609</v>
      </c>
      <c r="H74" s="13" cm="1">
        <f t="array" ref="H74">INDEX(GMWQ!$A$2:$NF$60,MATCH(1,(GMWQ!$NE$2:$NE$60=H$3)*(GMWQ!$ND$2:$ND$60=H$4)*(GMWQ!$NF$2:$NF$60=H$1),0),$E74-1966)</f>
        <v>165.39500000000001</v>
      </c>
      <c r="I74" s="13" cm="1">
        <f t="array" ref="I74">INDEX(GMWQ!$A$2:$NF$60,MATCH(1,(GMWQ!$NE$2:$NE$60=I$3)*(GMWQ!$ND$2:$ND$60=I$4)*(GMWQ!$NF$2:$NF$60=I$1),0),$E74-1966)</f>
        <v>40680</v>
      </c>
      <c r="J74" s="13" cm="1">
        <f t="array" ref="J74">INDEX(GMWQ!$A$2:$NF$60,MATCH(1,(GMWQ!$NE$2:$NE$60=J$3)*(GMWQ!$ND$2:$ND$60=J$4)*(GMWQ!$NF$2:$NF$60=J$1),0),$E74-1966)</f>
        <v>159376</v>
      </c>
      <c r="K74" s="13" cm="1">
        <f t="array" ref="K74">INDEX(GMWQ!$A$2:$NF$60,MATCH(1,(GMWQ!$NE$2:$NE$60=K$3)*(GMWQ!$ND$2:$ND$60=K$4)*(GMWQ!$NF$2:$NF$60=K$1),0),$E74-1966)</f>
        <v>65073</v>
      </c>
      <c r="L74" s="13" cm="1">
        <f t="array" ref="L74">INDEX(GMWQ!$A$2:$NF$60,MATCH(1,(GMWQ!$NE$2:$NE$60=L$3)*(GMWQ!$ND$2:$ND$60=L$4)*(GMWQ!$NF$2:$NF$60=L$1),0),$E74-1966)</f>
        <v>98361</v>
      </c>
      <c r="M74" s="13" cm="1">
        <f t="array" ref="M74">INDEX(GMWQ!$A$2:$NF$60,MATCH(1,(GMWQ!$NE$2:$NE$60=M$3)*(GMWQ!$ND$2:$ND$60=M$4)*(GMWQ!$NF$2:$NF$60=M$1),0),$E74-1966)</f>
        <v>207949</v>
      </c>
      <c r="N74" s="13" cm="1">
        <f t="array" ref="N74">INDEX(GMWQ!$A$2:$NF$60,MATCH(1,(GMWQ!$NE$2:$NE$60=N$3)*(GMWQ!$ND$2:$ND$60=N$4)*(GMWQ!$NF$2:$NF$60=N$1),0),$E74-1966)</f>
        <v>47.891399999999997</v>
      </c>
    </row>
    <row r="75" spans="1:14" x14ac:dyDescent="0.25">
      <c r="A75" s="13">
        <v>1990</v>
      </c>
      <c r="B75" s="13">
        <f t="shared" si="6"/>
        <v>1990</v>
      </c>
      <c r="C75" s="13">
        <f t="shared" si="6"/>
        <v>1989</v>
      </c>
      <c r="D75" s="13">
        <f t="shared" si="6"/>
        <v>1989</v>
      </c>
      <c r="E75" s="13">
        <f t="shared" si="5"/>
        <v>2041</v>
      </c>
      <c r="F75" s="13" cm="1">
        <f t="array" ref="F75">INDEX(GMWQ!$A$2:$NF$60,MATCH(1,(GMWQ!$NE$2:$NE$60=F$3)*(GMWQ!$ND$2:$ND$60=F$4)*(GMWQ!$NF$2:$NF$60=F$1),0),$E75-1966)</f>
        <v>57.932279999999999</v>
      </c>
      <c r="G75" s="13" cm="1">
        <f t="array" ref="G75">INDEX(GMWQ!$A$2:$NF$60,MATCH(1,(GMWQ!$NE$2:$NE$60=G$3)*(GMWQ!$ND$2:$ND$60=G$4)*(GMWQ!$NF$2:$NF$60=G$1),0),$E75-1966)</f>
        <v>5594</v>
      </c>
      <c r="H75" s="13" cm="1">
        <f t="array" ref="H75">INDEX(GMWQ!$A$2:$NF$60,MATCH(1,(GMWQ!$NE$2:$NE$60=H$3)*(GMWQ!$ND$2:$ND$60=H$4)*(GMWQ!$NF$2:$NF$60=H$1),0),$E75-1966)</f>
        <v>167.1534</v>
      </c>
      <c r="I75" s="13" cm="1">
        <f t="array" ref="I75">INDEX(GMWQ!$A$2:$NF$60,MATCH(1,(GMWQ!$NE$2:$NE$60=I$3)*(GMWQ!$ND$2:$ND$60=I$4)*(GMWQ!$NF$2:$NF$60=I$1),0),$E75-1966)</f>
        <v>40800</v>
      </c>
      <c r="J75" s="13" cm="1">
        <f t="array" ref="J75">INDEX(GMWQ!$A$2:$NF$60,MATCH(1,(GMWQ!$NE$2:$NE$60=J$3)*(GMWQ!$ND$2:$ND$60=J$4)*(GMWQ!$NF$2:$NF$60=J$1),0),$E75-1966)</f>
        <v>163056</v>
      </c>
      <c r="K75" s="13" cm="1">
        <f t="array" ref="K75">INDEX(GMWQ!$A$2:$NF$60,MATCH(1,(GMWQ!$NE$2:$NE$60=K$3)*(GMWQ!$ND$2:$ND$60=K$4)*(GMWQ!$NF$2:$NF$60=K$1),0),$E75-1966)</f>
        <v>67024</v>
      </c>
      <c r="L75" s="13" cm="1">
        <f t="array" ref="L75">INDEX(GMWQ!$A$2:$NF$60,MATCH(1,(GMWQ!$NE$2:$NE$60=L$3)*(GMWQ!$ND$2:$ND$60=L$4)*(GMWQ!$NF$2:$NF$60=L$1),0),$E75-1966)</f>
        <v>102928</v>
      </c>
      <c r="M75" s="13" cm="1">
        <f t="array" ref="M75">INDEX(GMWQ!$A$2:$NF$60,MATCH(1,(GMWQ!$NE$2:$NE$60=M$3)*(GMWQ!$ND$2:$ND$60=M$4)*(GMWQ!$NF$2:$NF$60=M$1),0),$E75-1966)</f>
        <v>213872</v>
      </c>
      <c r="N75" s="13" cm="1">
        <f t="array" ref="N75">INDEX(GMWQ!$A$2:$NF$60,MATCH(1,(GMWQ!$NE$2:$NE$60=N$3)*(GMWQ!$ND$2:$ND$60=N$4)*(GMWQ!$NF$2:$NF$60=N$1),0),$E75-1966)</f>
        <v>48.684229999999999</v>
      </c>
    </row>
    <row r="76" spans="1:14" x14ac:dyDescent="0.25">
      <c r="B76" s="13">
        <f t="shared" ref="B76:D91" si="7">+B72+1</f>
        <v>1990</v>
      </c>
      <c r="C76" s="13">
        <f t="shared" si="7"/>
        <v>1990</v>
      </c>
      <c r="E76" s="13">
        <f t="shared" si="5"/>
        <v>2042</v>
      </c>
      <c r="F76" s="13" cm="1">
        <f t="array" ref="F76">INDEX(GMWQ!$A$2:$NF$60,MATCH(1,(GMWQ!$NE$2:$NE$60=F$3)*(GMWQ!$ND$2:$ND$60=F$4)*(GMWQ!$NF$2:$NF$60=F$1),0),$E76-1966)</f>
        <v>58.926490000000001</v>
      </c>
      <c r="G76" s="13" cm="1">
        <f t="array" ref="G76">INDEX(GMWQ!$A$2:$NF$60,MATCH(1,(GMWQ!$NE$2:$NE$60=G$3)*(GMWQ!$ND$2:$ND$60=G$4)*(GMWQ!$NF$2:$NF$60=G$1),0),$E76-1966)</f>
        <v>5782</v>
      </c>
      <c r="H76" s="13" cm="1">
        <f t="array" ref="H76">INDEX(GMWQ!$A$2:$NF$60,MATCH(1,(GMWQ!$NE$2:$NE$60=H$3)*(GMWQ!$ND$2:$ND$60=H$4)*(GMWQ!$NF$2:$NF$60=H$1),0),$E76-1966)</f>
        <v>174.4332</v>
      </c>
      <c r="I76" s="13" cm="1">
        <f t="array" ref="I76">INDEX(GMWQ!$A$2:$NF$60,MATCH(1,(GMWQ!$NE$2:$NE$60=I$3)*(GMWQ!$ND$2:$ND$60=I$4)*(GMWQ!$NF$2:$NF$60=I$1),0),$E76-1966)</f>
        <v>41606</v>
      </c>
      <c r="J76" s="13" cm="1">
        <f t="array" ref="J76">INDEX(GMWQ!$A$2:$NF$60,MATCH(1,(GMWQ!$NE$2:$NE$60=J$3)*(GMWQ!$ND$2:$ND$60=J$4)*(GMWQ!$NF$2:$NF$60=J$1),0),$E76-1966)</f>
        <v>166719</v>
      </c>
      <c r="K76" s="13" cm="1">
        <f t="array" ref="K76">INDEX(GMWQ!$A$2:$NF$60,MATCH(1,(GMWQ!$NE$2:$NE$60=K$3)*(GMWQ!$ND$2:$ND$60=K$4)*(GMWQ!$NF$2:$NF$60=K$1),0),$E76-1966)</f>
        <v>68633</v>
      </c>
      <c r="L76" s="13" cm="1">
        <f t="array" ref="L76">INDEX(GMWQ!$A$2:$NF$60,MATCH(1,(GMWQ!$NE$2:$NE$60=L$3)*(GMWQ!$ND$2:$ND$60=L$4)*(GMWQ!$NF$2:$NF$60=L$1),0),$E76-1966)</f>
        <v>103890</v>
      </c>
      <c r="M76" s="13" cm="1">
        <f t="array" ref="M76">INDEX(GMWQ!$A$2:$NF$60,MATCH(1,(GMWQ!$NE$2:$NE$60=M$3)*(GMWQ!$ND$2:$ND$60=M$4)*(GMWQ!$NF$2:$NF$60=M$1),0),$E76-1966)</f>
        <v>211391</v>
      </c>
      <c r="N76" s="13" cm="1">
        <f t="array" ref="N76">INDEX(GMWQ!$A$2:$NF$60,MATCH(1,(GMWQ!$NE$2:$NE$60=N$3)*(GMWQ!$ND$2:$ND$60=N$4)*(GMWQ!$NF$2:$NF$60=N$1),0),$E76-1966)</f>
        <v>49.740929999999999</v>
      </c>
    </row>
    <row r="77" spans="1:14" x14ac:dyDescent="0.25">
      <c r="B77" s="13">
        <f t="shared" si="7"/>
        <v>1990</v>
      </c>
      <c r="C77" s="13">
        <f t="shared" si="7"/>
        <v>1990</v>
      </c>
      <c r="E77" s="13">
        <f t="shared" si="5"/>
        <v>2043</v>
      </c>
      <c r="F77" s="13" cm="1">
        <f t="array" ref="F77">INDEX(GMWQ!$A$2:$NF$60,MATCH(1,(GMWQ!$NE$2:$NE$60=F$3)*(GMWQ!$ND$2:$ND$60=F$4)*(GMWQ!$NF$2:$NF$60=F$1),0),$E77-1966)</f>
        <v>60.597549999999998</v>
      </c>
      <c r="G77" s="13" cm="1">
        <f t="array" ref="G77">INDEX(GMWQ!$A$2:$NF$60,MATCH(1,(GMWQ!$NE$2:$NE$60=G$3)*(GMWQ!$ND$2:$ND$60=G$4)*(GMWQ!$NF$2:$NF$60=G$1),0),$E77-1966)</f>
        <v>5930</v>
      </c>
      <c r="H77" s="13" cm="1">
        <f t="array" ref="H77">INDEX(GMWQ!$A$2:$NF$60,MATCH(1,(GMWQ!$NE$2:$NE$60=H$3)*(GMWQ!$ND$2:$ND$60=H$4)*(GMWQ!$NF$2:$NF$60=H$1),0),$E77-1966)</f>
        <v>181.6447</v>
      </c>
      <c r="I77" s="13" cm="1">
        <f t="array" ref="I77">INDEX(GMWQ!$A$2:$NF$60,MATCH(1,(GMWQ!$NE$2:$NE$60=I$3)*(GMWQ!$ND$2:$ND$60=I$4)*(GMWQ!$NF$2:$NF$60=I$1),0),$E77-1966)</f>
        <v>42072</v>
      </c>
      <c r="J77" s="13" cm="1">
        <f t="array" ref="J77">INDEX(GMWQ!$A$2:$NF$60,MATCH(1,(GMWQ!$NE$2:$NE$60=J$3)*(GMWQ!$ND$2:$ND$60=J$4)*(GMWQ!$NF$2:$NF$60=J$1),0),$E77-1966)</f>
        <v>170068</v>
      </c>
      <c r="K77" s="13" cm="1">
        <f t="array" ref="K77">INDEX(GMWQ!$A$2:$NF$60,MATCH(1,(GMWQ!$NE$2:$NE$60=K$3)*(GMWQ!$ND$2:$ND$60=K$4)*(GMWQ!$NF$2:$NF$60=K$1),0),$E77-1966)</f>
        <v>69705</v>
      </c>
      <c r="L77" s="13" cm="1">
        <f t="array" ref="L77">INDEX(GMWQ!$A$2:$NF$60,MATCH(1,(GMWQ!$NE$2:$NE$60=L$3)*(GMWQ!$ND$2:$ND$60=L$4)*(GMWQ!$NF$2:$NF$60=L$1),0),$E77-1966)</f>
        <v>107142</v>
      </c>
      <c r="M77" s="13" cm="1">
        <f t="array" ref="M77">INDEX(GMWQ!$A$2:$NF$60,MATCH(1,(GMWQ!$NE$2:$NE$60=M$3)*(GMWQ!$ND$2:$ND$60=M$4)*(GMWQ!$NF$2:$NF$60=M$1),0),$E77-1966)</f>
        <v>213462</v>
      </c>
      <c r="N77" s="13" cm="1">
        <f t="array" ref="N77">INDEX(GMWQ!$A$2:$NF$60,MATCH(1,(GMWQ!$NE$2:$NE$60=N$3)*(GMWQ!$ND$2:$ND$60=N$4)*(GMWQ!$NF$2:$NF$60=N$1),0),$E77-1966)</f>
        <v>50.820700000000002</v>
      </c>
    </row>
    <row r="78" spans="1:14" x14ac:dyDescent="0.25">
      <c r="B78" s="13">
        <f t="shared" si="7"/>
        <v>1990</v>
      </c>
      <c r="C78" s="13">
        <f t="shared" si="7"/>
        <v>1990</v>
      </c>
      <c r="E78" s="13">
        <f t="shared" si="5"/>
        <v>2044</v>
      </c>
      <c r="F78" s="13" cm="1">
        <f t="array" ref="F78">INDEX(GMWQ!$A$2:$NF$60,MATCH(1,(GMWQ!$NE$2:$NE$60=F$3)*(GMWQ!$ND$2:$ND$60=F$4)*(GMWQ!$NF$2:$NF$60=F$1),0),$E78-1966)</f>
        <v>61.549779999999998</v>
      </c>
      <c r="G78" s="13" cm="1">
        <f t="array" ref="G78">INDEX(GMWQ!$A$2:$NF$60,MATCH(1,(GMWQ!$NE$2:$NE$60=G$3)*(GMWQ!$ND$2:$ND$60=G$4)*(GMWQ!$NF$2:$NF$60=G$1),0),$E78-1966)</f>
        <v>6012</v>
      </c>
      <c r="H78" s="13" cm="1">
        <f t="array" ref="H78">INDEX(GMWQ!$A$2:$NF$60,MATCH(1,(GMWQ!$NE$2:$NE$60=H$3)*(GMWQ!$ND$2:$ND$60=H$4)*(GMWQ!$NF$2:$NF$60=H$1),0),$E78-1966)</f>
        <v>185.41390000000001</v>
      </c>
      <c r="I78" s="13" cm="1">
        <f t="array" ref="I78">INDEX(GMWQ!$A$2:$NF$60,MATCH(1,(GMWQ!$NE$2:$NE$60=I$3)*(GMWQ!$ND$2:$ND$60=I$4)*(GMWQ!$NF$2:$NF$60=I$1),0),$E78-1966)</f>
        <v>42207</v>
      </c>
      <c r="J78" s="13" cm="1">
        <f t="array" ref="J78">INDEX(GMWQ!$A$2:$NF$60,MATCH(1,(GMWQ!$NE$2:$NE$60=J$3)*(GMWQ!$ND$2:$ND$60=J$4)*(GMWQ!$NF$2:$NF$60=J$1),0),$E78-1966)</f>
        <v>170954</v>
      </c>
      <c r="K78" s="13" cm="1">
        <f t="array" ref="K78">INDEX(GMWQ!$A$2:$NF$60,MATCH(1,(GMWQ!$NE$2:$NE$60=K$3)*(GMWQ!$ND$2:$ND$60=K$4)*(GMWQ!$NF$2:$NF$60=K$1),0),$E78-1966)</f>
        <v>70275</v>
      </c>
      <c r="L78" s="13" cm="1">
        <f t="array" ref="L78">INDEX(GMWQ!$A$2:$NF$60,MATCH(1,(GMWQ!$NE$2:$NE$60=L$3)*(GMWQ!$ND$2:$ND$60=L$4)*(GMWQ!$NF$2:$NF$60=L$1),0),$E78-1966)</f>
        <v>110535</v>
      </c>
      <c r="M78" s="13" cm="1">
        <f t="array" ref="M78">INDEX(GMWQ!$A$2:$NF$60,MATCH(1,(GMWQ!$NE$2:$NE$60=M$3)*(GMWQ!$ND$2:$ND$60=M$4)*(GMWQ!$NF$2:$NF$60=M$1),0),$E78-1966)</f>
        <v>216821</v>
      </c>
      <c r="N78" s="13" cm="1">
        <f t="array" ref="N78">INDEX(GMWQ!$A$2:$NF$60,MATCH(1,(GMWQ!$NE$2:$NE$60=N$3)*(GMWQ!$ND$2:$ND$60=N$4)*(GMWQ!$NF$2:$NF$60=N$1),0),$E78-1966)</f>
        <v>51.63449</v>
      </c>
    </row>
    <row r="79" spans="1:14" x14ac:dyDescent="0.25">
      <c r="A79" s="13">
        <v>1991</v>
      </c>
      <c r="B79" s="13">
        <f t="shared" si="7"/>
        <v>1991</v>
      </c>
      <c r="C79" s="13">
        <f t="shared" si="7"/>
        <v>1990</v>
      </c>
      <c r="D79" s="13">
        <f t="shared" si="7"/>
        <v>1990</v>
      </c>
      <c r="E79" s="13">
        <f t="shared" si="5"/>
        <v>2045</v>
      </c>
      <c r="F79" s="13" cm="1">
        <f t="array" ref="F79">INDEX(GMWQ!$A$2:$NF$60,MATCH(1,(GMWQ!$NE$2:$NE$60=F$3)*(GMWQ!$ND$2:$ND$60=F$4)*(GMWQ!$NF$2:$NF$60=F$1),0),$E79-1966)</f>
        <v>62.954430000000002</v>
      </c>
      <c r="G79" s="13" cm="1">
        <f t="array" ref="G79">INDEX(GMWQ!$A$2:$NF$60,MATCH(1,(GMWQ!$NE$2:$NE$60=G$3)*(GMWQ!$ND$2:$ND$60=G$4)*(GMWQ!$NF$2:$NF$60=G$1),0),$E79-1966)</f>
        <v>5974</v>
      </c>
      <c r="H79" s="13" cm="1">
        <f t="array" ref="H79">INDEX(GMWQ!$A$2:$NF$60,MATCH(1,(GMWQ!$NE$2:$NE$60=H$3)*(GMWQ!$ND$2:$ND$60=H$4)*(GMWQ!$NF$2:$NF$60=H$1),0),$E79-1966)</f>
        <v>187.09540000000001</v>
      </c>
      <c r="I79" s="13" cm="1">
        <f t="array" ref="I79">INDEX(GMWQ!$A$2:$NF$60,MATCH(1,(GMWQ!$NE$2:$NE$60=I$3)*(GMWQ!$ND$2:$ND$60=I$4)*(GMWQ!$NF$2:$NF$60=I$1),0),$E79-1966)</f>
        <v>41614</v>
      </c>
      <c r="J79" s="13" cm="1">
        <f t="array" ref="J79">INDEX(GMWQ!$A$2:$NF$60,MATCH(1,(GMWQ!$NE$2:$NE$60=J$3)*(GMWQ!$ND$2:$ND$60=J$4)*(GMWQ!$NF$2:$NF$60=J$1),0),$E79-1966)</f>
        <v>173192</v>
      </c>
      <c r="K79" s="13" cm="1">
        <f t="array" ref="K79">INDEX(GMWQ!$A$2:$NF$60,MATCH(1,(GMWQ!$NE$2:$NE$60=K$3)*(GMWQ!$ND$2:$ND$60=K$4)*(GMWQ!$NF$2:$NF$60=K$1),0),$E79-1966)</f>
        <v>71362</v>
      </c>
      <c r="L79" s="13" cm="1">
        <f t="array" ref="L79">INDEX(GMWQ!$A$2:$NF$60,MATCH(1,(GMWQ!$NE$2:$NE$60=L$3)*(GMWQ!$ND$2:$ND$60=L$4)*(GMWQ!$NF$2:$NF$60=L$1),0),$E79-1966)</f>
        <v>113229</v>
      </c>
      <c r="M79" s="13" cm="1">
        <f t="array" ref="M79">INDEX(GMWQ!$A$2:$NF$60,MATCH(1,(GMWQ!$NE$2:$NE$60=M$3)*(GMWQ!$ND$2:$ND$60=M$4)*(GMWQ!$NF$2:$NF$60=M$1),0),$E79-1966)</f>
        <v>218128</v>
      </c>
      <c r="N79" s="13" cm="1">
        <f t="array" ref="N79">INDEX(GMWQ!$A$2:$NF$60,MATCH(1,(GMWQ!$NE$2:$NE$60=N$3)*(GMWQ!$ND$2:$ND$60=N$4)*(GMWQ!$NF$2:$NF$60=N$1),0),$E79-1966)</f>
        <v>52.673259999999999</v>
      </c>
    </row>
    <row r="80" spans="1:14" x14ac:dyDescent="0.25">
      <c r="B80" s="13">
        <f t="shared" si="7"/>
        <v>1991</v>
      </c>
      <c r="C80" s="13">
        <f t="shared" si="7"/>
        <v>1991</v>
      </c>
      <c r="E80" s="13">
        <f t="shared" si="5"/>
        <v>2046</v>
      </c>
      <c r="F80" s="13" cm="1">
        <f t="array" ref="F80">INDEX(GMWQ!$A$2:$NF$60,MATCH(1,(GMWQ!$NE$2:$NE$60=F$3)*(GMWQ!$ND$2:$ND$60=F$4)*(GMWQ!$NF$2:$NF$60=F$1),0),$E80-1966)</f>
        <v>64.018299999999996</v>
      </c>
      <c r="G80" s="13" cm="1">
        <f t="array" ref="G80">INDEX(GMWQ!$A$2:$NF$60,MATCH(1,(GMWQ!$NE$2:$NE$60=G$3)*(GMWQ!$ND$2:$ND$60=G$4)*(GMWQ!$NF$2:$NF$60=G$1),0),$E80-1966)</f>
        <v>6126</v>
      </c>
      <c r="H80" s="13" cm="1">
        <f t="array" ref="H80">INDEX(GMWQ!$A$2:$NF$60,MATCH(1,(GMWQ!$NE$2:$NE$60=H$3)*(GMWQ!$ND$2:$ND$60=H$4)*(GMWQ!$NF$2:$NF$60=H$1),0),$E80-1966)</f>
        <v>192.89080000000001</v>
      </c>
      <c r="I80" s="13" cm="1">
        <f t="array" ref="I80">INDEX(GMWQ!$A$2:$NF$60,MATCH(1,(GMWQ!$NE$2:$NE$60=I$3)*(GMWQ!$ND$2:$ND$60=I$4)*(GMWQ!$NF$2:$NF$60=I$1),0),$E80-1966)</f>
        <v>41313</v>
      </c>
      <c r="J80" s="13" cm="1">
        <f t="array" ref="J80">INDEX(GMWQ!$A$2:$NF$60,MATCH(1,(GMWQ!$NE$2:$NE$60=J$3)*(GMWQ!$ND$2:$ND$60=J$4)*(GMWQ!$NF$2:$NF$60=J$1),0),$E80-1966)</f>
        <v>175822</v>
      </c>
      <c r="K80" s="13" cm="1">
        <f t="array" ref="K80">INDEX(GMWQ!$A$2:$NF$60,MATCH(1,(GMWQ!$NE$2:$NE$60=K$3)*(GMWQ!$ND$2:$ND$60=K$4)*(GMWQ!$NF$2:$NF$60=K$1),0),$E80-1966)</f>
        <v>72227</v>
      </c>
      <c r="L80" s="13" cm="1">
        <f t="array" ref="L80">INDEX(GMWQ!$A$2:$NF$60,MATCH(1,(GMWQ!$NE$2:$NE$60=L$3)*(GMWQ!$ND$2:$ND$60=L$4)*(GMWQ!$NF$2:$NF$60=L$1),0),$E80-1966)</f>
        <v>113790</v>
      </c>
      <c r="M80" s="13" cm="1">
        <f t="array" ref="M80">INDEX(GMWQ!$A$2:$NF$60,MATCH(1,(GMWQ!$NE$2:$NE$60=M$3)*(GMWQ!$ND$2:$ND$60=M$4)*(GMWQ!$NF$2:$NF$60=M$1),0),$E80-1966)</f>
        <v>214176</v>
      </c>
      <c r="N80" s="13" cm="1">
        <f t="array" ref="N80">INDEX(GMWQ!$A$2:$NF$60,MATCH(1,(GMWQ!$NE$2:$NE$60=N$3)*(GMWQ!$ND$2:$ND$60=N$4)*(GMWQ!$NF$2:$NF$60=N$1),0),$E80-1966)</f>
        <v>53.885460000000002</v>
      </c>
    </row>
    <row r="81" spans="1:14" x14ac:dyDescent="0.25">
      <c r="B81" s="13">
        <f t="shared" si="7"/>
        <v>1991</v>
      </c>
      <c r="C81" s="13">
        <f t="shared" si="7"/>
        <v>1991</v>
      </c>
      <c r="E81" s="13">
        <f t="shared" si="5"/>
        <v>2047</v>
      </c>
      <c r="F81" s="13" cm="1">
        <f t="array" ref="F81">INDEX(GMWQ!$A$2:$NF$60,MATCH(1,(GMWQ!$NE$2:$NE$60=F$3)*(GMWQ!$ND$2:$ND$60=F$4)*(GMWQ!$NF$2:$NF$60=F$1),0),$E81-1966)</f>
        <v>65.249420000000001</v>
      </c>
      <c r="G81" s="13" cm="1">
        <f t="array" ref="G81">INDEX(GMWQ!$A$2:$NF$60,MATCH(1,(GMWQ!$NE$2:$NE$60=G$3)*(GMWQ!$ND$2:$ND$60=G$4)*(GMWQ!$NF$2:$NF$60=G$1),0),$E81-1966)</f>
        <v>6125</v>
      </c>
      <c r="H81" s="13" cm="1">
        <f t="array" ref="H81">INDEX(GMWQ!$A$2:$NF$60,MATCH(1,(GMWQ!$NE$2:$NE$60=H$3)*(GMWQ!$ND$2:$ND$60=H$4)*(GMWQ!$NF$2:$NF$60=H$1),0),$E81-1966)</f>
        <v>198.7286</v>
      </c>
      <c r="I81" s="13" cm="1">
        <f t="array" ref="I81">INDEX(GMWQ!$A$2:$NF$60,MATCH(1,(GMWQ!$NE$2:$NE$60=I$3)*(GMWQ!$ND$2:$ND$60=I$4)*(GMWQ!$NF$2:$NF$60=I$1),0),$E81-1966)</f>
        <v>40056</v>
      </c>
      <c r="J81" s="13" cm="1">
        <f t="array" ref="J81">INDEX(GMWQ!$A$2:$NF$60,MATCH(1,(GMWQ!$NE$2:$NE$60=J$3)*(GMWQ!$ND$2:$ND$60=J$4)*(GMWQ!$NF$2:$NF$60=J$1),0),$E81-1966)</f>
        <v>177280</v>
      </c>
      <c r="K81" s="13" cm="1">
        <f t="array" ref="K81">INDEX(GMWQ!$A$2:$NF$60,MATCH(1,(GMWQ!$NE$2:$NE$60=K$3)*(GMWQ!$ND$2:$ND$60=K$4)*(GMWQ!$NF$2:$NF$60=K$1),0),$E81-1966)</f>
        <v>73567</v>
      </c>
      <c r="L81" s="13" cm="1">
        <f t="array" ref="L81">INDEX(GMWQ!$A$2:$NF$60,MATCH(1,(GMWQ!$NE$2:$NE$60=L$3)*(GMWQ!$ND$2:$ND$60=L$4)*(GMWQ!$NF$2:$NF$60=L$1),0),$E81-1966)</f>
        <v>118607</v>
      </c>
      <c r="M81" s="13" cm="1">
        <f t="array" ref="M81">INDEX(GMWQ!$A$2:$NF$60,MATCH(1,(GMWQ!$NE$2:$NE$60=M$3)*(GMWQ!$ND$2:$ND$60=M$4)*(GMWQ!$NF$2:$NF$60=M$1),0),$E81-1966)</f>
        <v>220568</v>
      </c>
      <c r="N81" s="13" cm="1">
        <f t="array" ref="N81">INDEX(GMWQ!$A$2:$NF$60,MATCH(1,(GMWQ!$NE$2:$NE$60=N$3)*(GMWQ!$ND$2:$ND$60=N$4)*(GMWQ!$NF$2:$NF$60=N$1),0),$E81-1966)</f>
        <v>54.572029999999998</v>
      </c>
    </row>
    <row r="82" spans="1:14" x14ac:dyDescent="0.25">
      <c r="B82" s="13">
        <f t="shared" si="7"/>
        <v>1991</v>
      </c>
      <c r="C82" s="13">
        <f t="shared" si="7"/>
        <v>1991</v>
      </c>
      <c r="E82" s="13">
        <f t="shared" si="5"/>
        <v>2048</v>
      </c>
      <c r="F82" s="13" cm="1">
        <f t="array" ref="F82">INDEX(GMWQ!$A$2:$NF$60,MATCH(1,(GMWQ!$NE$2:$NE$60=F$3)*(GMWQ!$ND$2:$ND$60=F$4)*(GMWQ!$NF$2:$NF$60=F$1),0),$E82-1966)</f>
        <v>66.141959999999997</v>
      </c>
      <c r="G82" s="13" cm="1">
        <f t="array" ref="G82">INDEX(GMWQ!$A$2:$NF$60,MATCH(1,(GMWQ!$NE$2:$NE$60=G$3)*(GMWQ!$ND$2:$ND$60=G$4)*(GMWQ!$NF$2:$NF$60=G$1),0),$E82-1966)</f>
        <v>6492</v>
      </c>
      <c r="H82" s="13" cm="1">
        <f t="array" ref="H82">INDEX(GMWQ!$A$2:$NF$60,MATCH(1,(GMWQ!$NE$2:$NE$60=H$3)*(GMWQ!$ND$2:$ND$60=H$4)*(GMWQ!$NF$2:$NF$60=H$1),0),$E82-1966)</f>
        <v>202.2243</v>
      </c>
      <c r="I82" s="13" cm="1">
        <f t="array" ref="I82">INDEX(GMWQ!$A$2:$NF$60,MATCH(1,(GMWQ!$NE$2:$NE$60=I$3)*(GMWQ!$ND$2:$ND$60=I$4)*(GMWQ!$NF$2:$NF$60=I$1),0),$E82-1966)</f>
        <v>40341</v>
      </c>
      <c r="J82" s="13" cm="1">
        <f t="array" ref="J82">INDEX(GMWQ!$A$2:$NF$60,MATCH(1,(GMWQ!$NE$2:$NE$60=J$3)*(GMWQ!$ND$2:$ND$60=J$4)*(GMWQ!$NF$2:$NF$60=J$1),0),$E82-1966)</f>
        <v>179590</v>
      </c>
      <c r="K82" s="13" cm="1">
        <f t="array" ref="K82">INDEX(GMWQ!$A$2:$NF$60,MATCH(1,(GMWQ!$NE$2:$NE$60=K$3)*(GMWQ!$ND$2:$ND$60=K$4)*(GMWQ!$NF$2:$NF$60=K$1),0),$E82-1966)</f>
        <v>74440</v>
      </c>
      <c r="L82" s="13" cm="1">
        <f t="array" ref="L82">INDEX(GMWQ!$A$2:$NF$60,MATCH(1,(GMWQ!$NE$2:$NE$60=L$3)*(GMWQ!$ND$2:$ND$60=L$4)*(GMWQ!$NF$2:$NF$60=L$1),0),$E82-1966)</f>
        <v>119800</v>
      </c>
      <c r="M82" s="13" cm="1">
        <f t="array" ref="M82">INDEX(GMWQ!$A$2:$NF$60,MATCH(1,(GMWQ!$NE$2:$NE$60=M$3)*(GMWQ!$ND$2:$ND$60=M$4)*(GMWQ!$NF$2:$NF$60=M$1),0),$E82-1966)</f>
        <v>220151</v>
      </c>
      <c r="N82" s="13" cm="1">
        <f t="array" ref="N82">INDEX(GMWQ!$A$2:$NF$60,MATCH(1,(GMWQ!$NE$2:$NE$60=N$3)*(GMWQ!$ND$2:$ND$60=N$4)*(GMWQ!$NF$2:$NF$60=N$1),0),$E82-1966)</f>
        <v>55.194969999999998</v>
      </c>
    </row>
    <row r="83" spans="1:14" x14ac:dyDescent="0.25">
      <c r="A83" s="13">
        <v>1992</v>
      </c>
      <c r="B83" s="13">
        <f t="shared" si="7"/>
        <v>1992</v>
      </c>
      <c r="C83" s="13">
        <f t="shared" si="7"/>
        <v>1991</v>
      </c>
      <c r="D83" s="13">
        <f t="shared" si="7"/>
        <v>1991</v>
      </c>
      <c r="E83" s="13">
        <f t="shared" si="5"/>
        <v>2049</v>
      </c>
      <c r="F83" s="13" cm="1">
        <f t="array" ref="F83">INDEX(GMWQ!$A$2:$NF$60,MATCH(1,(GMWQ!$NE$2:$NE$60=F$3)*(GMWQ!$ND$2:$ND$60=F$4)*(GMWQ!$NF$2:$NF$60=F$1),0),$E83-1966)</f>
        <v>66.781809999999993</v>
      </c>
      <c r="G83" s="13" cm="1">
        <f t="array" ref="G83">INDEX(GMWQ!$A$2:$NF$60,MATCH(1,(GMWQ!$NE$2:$NE$60=G$3)*(GMWQ!$ND$2:$ND$60=G$4)*(GMWQ!$NF$2:$NF$60=G$1),0),$E83-1966)</f>
        <v>6453</v>
      </c>
      <c r="H83" s="13" cm="1">
        <f t="array" ref="H83">INDEX(GMWQ!$A$2:$NF$60,MATCH(1,(GMWQ!$NE$2:$NE$60=H$3)*(GMWQ!$ND$2:$ND$60=H$4)*(GMWQ!$NF$2:$NF$60=H$1),0),$E83-1966)</f>
        <v>203.99180000000001</v>
      </c>
      <c r="I83" s="13" cm="1">
        <f t="array" ref="I83">INDEX(GMWQ!$A$2:$NF$60,MATCH(1,(GMWQ!$NE$2:$NE$60=I$3)*(GMWQ!$ND$2:$ND$60=I$4)*(GMWQ!$NF$2:$NF$60=I$1),0),$E83-1966)</f>
        <v>40279</v>
      </c>
      <c r="J83" s="13" cm="1">
        <f t="array" ref="J83">INDEX(GMWQ!$A$2:$NF$60,MATCH(1,(GMWQ!$NE$2:$NE$60=J$3)*(GMWQ!$ND$2:$ND$60=J$4)*(GMWQ!$NF$2:$NF$60=J$1),0),$E83-1966)</f>
        <v>181438</v>
      </c>
      <c r="K83" s="13" cm="1">
        <f t="array" ref="K83">INDEX(GMWQ!$A$2:$NF$60,MATCH(1,(GMWQ!$NE$2:$NE$60=K$3)*(GMWQ!$ND$2:$ND$60=K$4)*(GMWQ!$NF$2:$NF$60=K$1),0),$E83-1966)</f>
        <v>75209</v>
      </c>
      <c r="L83" s="13" cm="1">
        <f t="array" ref="L83">INDEX(GMWQ!$A$2:$NF$60,MATCH(1,(GMWQ!$NE$2:$NE$60=L$3)*(GMWQ!$ND$2:$ND$60=L$4)*(GMWQ!$NF$2:$NF$60=L$1),0),$E83-1966)</f>
        <v>121876</v>
      </c>
      <c r="M83" s="13" cm="1">
        <f t="array" ref="M83">INDEX(GMWQ!$A$2:$NF$60,MATCH(1,(GMWQ!$NE$2:$NE$60=M$3)*(GMWQ!$ND$2:$ND$60=M$4)*(GMWQ!$NF$2:$NF$60=M$1),0),$E83-1966)</f>
        <v>221591</v>
      </c>
      <c r="N83" s="13" cm="1">
        <f t="array" ref="N83">INDEX(GMWQ!$A$2:$NF$60,MATCH(1,(GMWQ!$NE$2:$NE$60=N$3)*(GMWQ!$ND$2:$ND$60=N$4)*(GMWQ!$NF$2:$NF$60=N$1),0),$E83-1966)</f>
        <v>55.830660000000002</v>
      </c>
    </row>
    <row r="84" spans="1:14" x14ac:dyDescent="0.25">
      <c r="B84" s="13">
        <f t="shared" si="7"/>
        <v>1992</v>
      </c>
      <c r="C84" s="13">
        <f t="shared" si="7"/>
        <v>1992</v>
      </c>
      <c r="E84" s="13">
        <f t="shared" si="5"/>
        <v>2050</v>
      </c>
      <c r="F84" s="13" cm="1">
        <f t="array" ref="F84">INDEX(GMWQ!$A$2:$NF$60,MATCH(1,(GMWQ!$NE$2:$NE$60=F$3)*(GMWQ!$ND$2:$ND$60=F$4)*(GMWQ!$NF$2:$NF$60=F$1),0),$E84-1966)</f>
        <v>66.674689999999998</v>
      </c>
      <c r="G84" s="13" cm="1">
        <f t="array" ref="G84">INDEX(GMWQ!$A$2:$NF$60,MATCH(1,(GMWQ!$NE$2:$NE$60=G$3)*(GMWQ!$ND$2:$ND$60=G$4)*(GMWQ!$NF$2:$NF$60=G$1),0),$E84-1966)</f>
        <v>6234</v>
      </c>
      <c r="H84" s="13" cm="1">
        <f t="array" ref="H84">INDEX(GMWQ!$A$2:$NF$60,MATCH(1,(GMWQ!$NE$2:$NE$60=H$3)*(GMWQ!$ND$2:$ND$60=H$4)*(GMWQ!$NF$2:$NF$60=H$1),0),$E84-1966)</f>
        <v>209.3937</v>
      </c>
      <c r="I84" s="13" cm="1">
        <f t="array" ref="I84">INDEX(GMWQ!$A$2:$NF$60,MATCH(1,(GMWQ!$NE$2:$NE$60=I$3)*(GMWQ!$ND$2:$ND$60=I$4)*(GMWQ!$NF$2:$NF$60=I$1),0),$E84-1966)</f>
        <v>41056</v>
      </c>
      <c r="J84" s="13" cm="1">
        <f t="array" ref="J84">INDEX(GMWQ!$A$2:$NF$60,MATCH(1,(GMWQ!$NE$2:$NE$60=J$3)*(GMWQ!$ND$2:$ND$60=J$4)*(GMWQ!$NF$2:$NF$60=J$1),0),$E84-1966)</f>
        <v>181889</v>
      </c>
      <c r="K84" s="13" cm="1">
        <f t="array" ref="K84">INDEX(GMWQ!$A$2:$NF$60,MATCH(1,(GMWQ!$NE$2:$NE$60=K$3)*(GMWQ!$ND$2:$ND$60=K$4)*(GMWQ!$NF$2:$NF$60=K$1),0),$E84-1966)</f>
        <v>75152</v>
      </c>
      <c r="L84" s="13" cm="1">
        <f t="array" ref="L84">INDEX(GMWQ!$A$2:$NF$60,MATCH(1,(GMWQ!$NE$2:$NE$60=L$3)*(GMWQ!$ND$2:$ND$60=L$4)*(GMWQ!$NF$2:$NF$60=L$1),0),$E84-1966)</f>
        <v>123668</v>
      </c>
      <c r="M84" s="13" cm="1">
        <f t="array" ref="M84">INDEX(GMWQ!$A$2:$NF$60,MATCH(1,(GMWQ!$NE$2:$NE$60=M$3)*(GMWQ!$ND$2:$ND$60=M$4)*(GMWQ!$NF$2:$NF$60=M$1),0),$E84-1966)</f>
        <v>223785</v>
      </c>
      <c r="N84" s="13" cm="1">
        <f t="array" ref="N84">INDEX(GMWQ!$A$2:$NF$60,MATCH(1,(GMWQ!$NE$2:$NE$60=N$3)*(GMWQ!$ND$2:$ND$60=N$4)*(GMWQ!$NF$2:$NF$60=N$1),0),$E84-1966)</f>
        <v>56.101179999999999</v>
      </c>
    </row>
    <row r="85" spans="1:14" x14ac:dyDescent="0.25">
      <c r="B85" s="13">
        <f t="shared" si="7"/>
        <v>1992</v>
      </c>
      <c r="C85" s="13">
        <f t="shared" si="7"/>
        <v>1992</v>
      </c>
      <c r="E85" s="13">
        <f t="shared" si="5"/>
        <v>2051</v>
      </c>
      <c r="F85" s="13" cm="1">
        <f t="array" ref="F85">INDEX(GMWQ!$A$2:$NF$60,MATCH(1,(GMWQ!$NE$2:$NE$60=F$3)*(GMWQ!$ND$2:$ND$60=F$4)*(GMWQ!$NF$2:$NF$60=F$1),0),$E85-1966)</f>
        <v>66.449650000000005</v>
      </c>
      <c r="G85" s="13" cm="1">
        <f t="array" ref="G85">INDEX(GMWQ!$A$2:$NF$60,MATCH(1,(GMWQ!$NE$2:$NE$60=G$3)*(GMWQ!$ND$2:$ND$60=G$4)*(GMWQ!$NF$2:$NF$60=G$1),0),$E85-1966)</f>
        <v>6198</v>
      </c>
      <c r="H85" s="13" cm="1">
        <f t="array" ref="H85">INDEX(GMWQ!$A$2:$NF$60,MATCH(1,(GMWQ!$NE$2:$NE$60=H$3)*(GMWQ!$ND$2:$ND$60=H$4)*(GMWQ!$NF$2:$NF$60=H$1),0),$E85-1966)</f>
        <v>213.14080000000001</v>
      </c>
      <c r="I85" s="13" cm="1">
        <f t="array" ref="I85">INDEX(GMWQ!$A$2:$NF$60,MATCH(1,(GMWQ!$NE$2:$NE$60=I$3)*(GMWQ!$ND$2:$ND$60=I$4)*(GMWQ!$NF$2:$NF$60=I$1),0),$E85-1966)</f>
        <v>40289</v>
      </c>
      <c r="J85" s="13" cm="1">
        <f t="array" ref="J85">INDEX(GMWQ!$A$2:$NF$60,MATCH(1,(GMWQ!$NE$2:$NE$60=J$3)*(GMWQ!$ND$2:$ND$60=J$4)*(GMWQ!$NF$2:$NF$60=J$1),0),$E85-1966)</f>
        <v>182558</v>
      </c>
      <c r="K85" s="13" cm="1">
        <f t="array" ref="K85">INDEX(GMWQ!$A$2:$NF$60,MATCH(1,(GMWQ!$NE$2:$NE$60=K$3)*(GMWQ!$ND$2:$ND$60=K$4)*(GMWQ!$NF$2:$NF$60=K$1),0),$E85-1966)</f>
        <v>75133</v>
      </c>
      <c r="L85" s="13" cm="1">
        <f t="array" ref="L85">INDEX(GMWQ!$A$2:$NF$60,MATCH(1,(GMWQ!$NE$2:$NE$60=L$3)*(GMWQ!$ND$2:$ND$60=L$4)*(GMWQ!$NF$2:$NF$60=L$1),0),$E85-1966)</f>
        <v>125292</v>
      </c>
      <c r="M85" s="13" cm="1">
        <f t="array" ref="M85">INDEX(GMWQ!$A$2:$NF$60,MATCH(1,(GMWQ!$NE$2:$NE$60=M$3)*(GMWQ!$ND$2:$ND$60=M$4)*(GMWQ!$NF$2:$NF$60=M$1),0),$E85-1966)</f>
        <v>225633</v>
      </c>
      <c r="N85" s="13" cm="1">
        <f t="array" ref="N85">INDEX(GMWQ!$A$2:$NF$60,MATCH(1,(GMWQ!$NE$2:$NE$60=N$3)*(GMWQ!$ND$2:$ND$60=N$4)*(GMWQ!$NF$2:$NF$60=N$1),0),$E85-1966)</f>
        <v>56.413730000000001</v>
      </c>
    </row>
    <row r="86" spans="1:14" x14ac:dyDescent="0.25">
      <c r="B86" s="13">
        <f t="shared" si="7"/>
        <v>1992</v>
      </c>
      <c r="C86" s="13">
        <f t="shared" si="7"/>
        <v>1992</v>
      </c>
      <c r="E86" s="13">
        <f t="shared" si="5"/>
        <v>2052</v>
      </c>
      <c r="F86" s="13" cm="1">
        <f t="array" ref="F86">INDEX(GMWQ!$A$2:$NF$60,MATCH(1,(GMWQ!$NE$2:$NE$60=F$3)*(GMWQ!$ND$2:$ND$60=F$4)*(GMWQ!$NF$2:$NF$60=F$1),0),$E86-1966)</f>
        <v>66.484099999999998</v>
      </c>
      <c r="G86" s="13" cm="1">
        <f t="array" ref="G86">INDEX(GMWQ!$A$2:$NF$60,MATCH(1,(GMWQ!$NE$2:$NE$60=G$3)*(GMWQ!$ND$2:$ND$60=G$4)*(GMWQ!$NF$2:$NF$60=G$1),0),$E86-1966)</f>
        <v>6517</v>
      </c>
      <c r="H86" s="13" cm="1">
        <f t="array" ref="H86">INDEX(GMWQ!$A$2:$NF$60,MATCH(1,(GMWQ!$NE$2:$NE$60=H$3)*(GMWQ!$ND$2:$ND$60=H$4)*(GMWQ!$NF$2:$NF$60=H$1),0),$E86-1966)</f>
        <v>215.0164</v>
      </c>
      <c r="I86" s="13" cm="1">
        <f t="array" ref="I86">INDEX(GMWQ!$A$2:$NF$60,MATCH(1,(GMWQ!$NE$2:$NE$60=I$3)*(GMWQ!$ND$2:$ND$60=I$4)*(GMWQ!$NF$2:$NF$60=I$1),0),$E86-1966)</f>
        <v>41932</v>
      </c>
      <c r="J86" s="13" cm="1">
        <f t="array" ref="J86">INDEX(GMWQ!$A$2:$NF$60,MATCH(1,(GMWQ!$NE$2:$NE$60=J$3)*(GMWQ!$ND$2:$ND$60=J$4)*(GMWQ!$NF$2:$NF$60=J$1),0),$E86-1966)</f>
        <v>184989</v>
      </c>
      <c r="K86" s="13" cm="1">
        <f t="array" ref="K86">INDEX(GMWQ!$A$2:$NF$60,MATCH(1,(GMWQ!$NE$2:$NE$60=K$3)*(GMWQ!$ND$2:$ND$60=K$4)*(GMWQ!$NF$2:$NF$60=K$1),0),$E86-1966)</f>
        <v>75419</v>
      </c>
      <c r="L86" s="13" cm="1">
        <f t="array" ref="L86">INDEX(GMWQ!$A$2:$NF$60,MATCH(1,(GMWQ!$NE$2:$NE$60=L$3)*(GMWQ!$ND$2:$ND$60=L$4)*(GMWQ!$NF$2:$NF$60=L$1),0),$E86-1966)</f>
        <v>126339</v>
      </c>
      <c r="M86" s="13" cm="1">
        <f t="array" ref="M86">INDEX(GMWQ!$A$2:$NF$60,MATCH(1,(GMWQ!$NE$2:$NE$60=M$3)*(GMWQ!$ND$2:$ND$60=M$4)*(GMWQ!$NF$2:$NF$60=M$1),0),$E86-1966)</f>
        <v>225562</v>
      </c>
      <c r="N86" s="13" cm="1">
        <f t="array" ref="N86">INDEX(GMWQ!$A$2:$NF$60,MATCH(1,(GMWQ!$NE$2:$NE$60=N$3)*(GMWQ!$ND$2:$ND$60=N$4)*(GMWQ!$NF$2:$NF$60=N$1),0),$E86-1966)</f>
        <v>56.871429999999997</v>
      </c>
    </row>
    <row r="87" spans="1:14" x14ac:dyDescent="0.25">
      <c r="A87" s="13">
        <v>1993</v>
      </c>
      <c r="B87" s="13">
        <f t="shared" si="7"/>
        <v>1993</v>
      </c>
      <c r="C87" s="13">
        <f t="shared" si="7"/>
        <v>1992</v>
      </c>
      <c r="D87" s="13">
        <f t="shared" si="7"/>
        <v>1992</v>
      </c>
      <c r="E87" s="13">
        <f t="shared" si="5"/>
        <v>2053</v>
      </c>
      <c r="F87" s="13" cm="1">
        <f t="array" ref="F87">INDEX(GMWQ!$A$2:$NF$60,MATCH(1,(GMWQ!$NE$2:$NE$60=F$3)*(GMWQ!$ND$2:$ND$60=F$4)*(GMWQ!$NF$2:$NF$60=F$1),0),$E87-1966)</f>
        <v>66.488950000000003</v>
      </c>
      <c r="G87" s="13" cm="1">
        <f t="array" ref="G87">INDEX(GMWQ!$A$2:$NF$60,MATCH(1,(GMWQ!$NE$2:$NE$60=G$3)*(GMWQ!$ND$2:$ND$60=G$4)*(GMWQ!$NF$2:$NF$60=G$1),0),$E87-1966)</f>
        <v>6477</v>
      </c>
      <c r="H87" s="13" cm="1">
        <f t="array" ref="H87">INDEX(GMWQ!$A$2:$NF$60,MATCH(1,(GMWQ!$NE$2:$NE$60=H$3)*(GMWQ!$ND$2:$ND$60=H$4)*(GMWQ!$NF$2:$NF$60=H$1),0),$E87-1966)</f>
        <v>213.95429999999999</v>
      </c>
      <c r="I87" s="13" cm="1">
        <f t="array" ref="I87">INDEX(GMWQ!$A$2:$NF$60,MATCH(1,(GMWQ!$NE$2:$NE$60=I$3)*(GMWQ!$ND$2:$ND$60=I$4)*(GMWQ!$NF$2:$NF$60=I$1),0),$E87-1966)</f>
        <v>45549</v>
      </c>
      <c r="J87" s="13" cm="1">
        <f t="array" ref="J87">INDEX(GMWQ!$A$2:$NF$60,MATCH(1,(GMWQ!$NE$2:$NE$60=J$3)*(GMWQ!$ND$2:$ND$60=J$4)*(GMWQ!$NF$2:$NF$60=J$1),0),$E87-1966)</f>
        <v>189580</v>
      </c>
      <c r="K87" s="13" cm="1">
        <f t="array" ref="K87">INDEX(GMWQ!$A$2:$NF$60,MATCH(1,(GMWQ!$NE$2:$NE$60=K$3)*(GMWQ!$ND$2:$ND$60=K$4)*(GMWQ!$NF$2:$NF$60=K$1),0),$E87-1966)</f>
        <v>75569</v>
      </c>
      <c r="L87" s="13" cm="1">
        <f t="array" ref="L87">INDEX(GMWQ!$A$2:$NF$60,MATCH(1,(GMWQ!$NE$2:$NE$60=L$3)*(GMWQ!$ND$2:$ND$60=L$4)*(GMWQ!$NF$2:$NF$60=L$1),0),$E87-1966)</f>
        <v>127313</v>
      </c>
      <c r="M87" s="13" cm="1">
        <f t="array" ref="M87">INDEX(GMWQ!$A$2:$NF$60,MATCH(1,(GMWQ!$NE$2:$NE$60=M$3)*(GMWQ!$ND$2:$ND$60=M$4)*(GMWQ!$NF$2:$NF$60=M$1),0),$E87-1966)</f>
        <v>224008</v>
      </c>
      <c r="N87" s="13" cm="1">
        <f t="array" ref="N87">INDEX(GMWQ!$A$2:$NF$60,MATCH(1,(GMWQ!$NE$2:$NE$60=N$3)*(GMWQ!$ND$2:$ND$60=N$4)*(GMWQ!$NF$2:$NF$60=N$1),0),$E87-1966)</f>
        <v>57.520229999999998</v>
      </c>
    </row>
    <row r="88" spans="1:14" x14ac:dyDescent="0.25">
      <c r="B88" s="13">
        <f t="shared" si="7"/>
        <v>1993</v>
      </c>
      <c r="C88" s="13">
        <f t="shared" si="7"/>
        <v>1993</v>
      </c>
      <c r="E88" s="13">
        <f t="shared" si="5"/>
        <v>2054</v>
      </c>
      <c r="F88" s="13" cm="1">
        <f t="array" ref="F88">INDEX(GMWQ!$A$2:$NF$60,MATCH(1,(GMWQ!$NE$2:$NE$60=F$3)*(GMWQ!$ND$2:$ND$60=F$4)*(GMWQ!$NF$2:$NF$60=F$1),0),$E88-1966)</f>
        <v>67.052409999999995</v>
      </c>
      <c r="G88" s="13" cm="1">
        <f t="array" ref="G88">INDEX(GMWQ!$A$2:$NF$60,MATCH(1,(GMWQ!$NE$2:$NE$60=G$3)*(GMWQ!$ND$2:$ND$60=G$4)*(GMWQ!$NF$2:$NF$60=G$1),0),$E88-1966)</f>
        <v>6646</v>
      </c>
      <c r="H88" s="13" cm="1">
        <f t="array" ref="H88">INDEX(GMWQ!$A$2:$NF$60,MATCH(1,(GMWQ!$NE$2:$NE$60=H$3)*(GMWQ!$ND$2:$ND$60=H$4)*(GMWQ!$NF$2:$NF$60=H$1),0),$E88-1966)</f>
        <v>217.78450000000001</v>
      </c>
      <c r="I88" s="13" cm="1">
        <f t="array" ref="I88">INDEX(GMWQ!$A$2:$NF$60,MATCH(1,(GMWQ!$NE$2:$NE$60=I$3)*(GMWQ!$ND$2:$ND$60=I$4)*(GMWQ!$NF$2:$NF$60=I$1),0),$E88-1966)</f>
        <v>44417</v>
      </c>
      <c r="J88" s="13" cm="1">
        <f t="array" ref="J88">INDEX(GMWQ!$A$2:$NF$60,MATCH(1,(GMWQ!$NE$2:$NE$60=J$3)*(GMWQ!$ND$2:$ND$60=J$4)*(GMWQ!$NF$2:$NF$60=J$1),0),$E88-1966)</f>
        <v>189802</v>
      </c>
      <c r="K88" s="13" cm="1">
        <f t="array" ref="K88">INDEX(GMWQ!$A$2:$NF$60,MATCH(1,(GMWQ!$NE$2:$NE$60=K$3)*(GMWQ!$ND$2:$ND$60=K$4)*(GMWQ!$NF$2:$NF$60=K$1),0),$E88-1966)</f>
        <v>76688</v>
      </c>
      <c r="L88" s="13" cm="1">
        <f t="array" ref="L88">INDEX(GMWQ!$A$2:$NF$60,MATCH(1,(GMWQ!$NE$2:$NE$60=L$3)*(GMWQ!$ND$2:$ND$60=L$4)*(GMWQ!$NF$2:$NF$60=L$1),0),$E88-1966)</f>
        <v>131724</v>
      </c>
      <c r="M88" s="13" cm="1">
        <f t="array" ref="M88">INDEX(GMWQ!$A$2:$NF$60,MATCH(1,(GMWQ!$NE$2:$NE$60=M$3)*(GMWQ!$ND$2:$ND$60=M$4)*(GMWQ!$NF$2:$NF$60=M$1),0),$E88-1966)</f>
        <v>230278</v>
      </c>
      <c r="N88" s="13" cm="1">
        <f t="array" ref="N88">INDEX(GMWQ!$A$2:$NF$60,MATCH(1,(GMWQ!$NE$2:$NE$60=N$3)*(GMWQ!$ND$2:$ND$60=N$4)*(GMWQ!$NF$2:$NF$60=N$1),0),$E88-1966)</f>
        <v>57.92465</v>
      </c>
    </row>
    <row r="89" spans="1:14" x14ac:dyDescent="0.25">
      <c r="B89" s="13">
        <f t="shared" si="7"/>
        <v>1993</v>
      </c>
      <c r="C89" s="13">
        <f t="shared" si="7"/>
        <v>1993</v>
      </c>
      <c r="E89" s="13">
        <f t="shared" si="5"/>
        <v>2055</v>
      </c>
      <c r="F89" s="13" cm="1">
        <f t="array" ref="F89">INDEX(GMWQ!$A$2:$NF$60,MATCH(1,(GMWQ!$NE$2:$NE$60=F$3)*(GMWQ!$ND$2:$ND$60=F$4)*(GMWQ!$NF$2:$NF$60=F$1),0),$E89-1966)</f>
        <v>67.312259999999995</v>
      </c>
      <c r="G89" s="13" cm="1">
        <f t="array" ref="G89">INDEX(GMWQ!$A$2:$NF$60,MATCH(1,(GMWQ!$NE$2:$NE$60=G$3)*(GMWQ!$ND$2:$ND$60=G$4)*(GMWQ!$NF$2:$NF$60=G$1),0),$E89-1966)</f>
        <v>6727</v>
      </c>
      <c r="H89" s="13" cm="1">
        <f t="array" ref="H89">INDEX(GMWQ!$A$2:$NF$60,MATCH(1,(GMWQ!$NE$2:$NE$60=H$3)*(GMWQ!$ND$2:$ND$60=H$4)*(GMWQ!$NF$2:$NF$60=H$1),0),$E89-1966)</f>
        <v>221.5908</v>
      </c>
      <c r="I89" s="13" cm="1">
        <f t="array" ref="I89">INDEX(GMWQ!$A$2:$NF$60,MATCH(1,(GMWQ!$NE$2:$NE$60=I$3)*(GMWQ!$ND$2:$ND$60=I$4)*(GMWQ!$NF$2:$NF$60=I$1),0),$E89-1966)</f>
        <v>45845</v>
      </c>
      <c r="J89" s="13" cm="1">
        <f t="array" ref="J89">INDEX(GMWQ!$A$2:$NF$60,MATCH(1,(GMWQ!$NE$2:$NE$60=J$3)*(GMWQ!$ND$2:$ND$60=J$4)*(GMWQ!$NF$2:$NF$60=J$1),0),$E89-1966)</f>
        <v>193552</v>
      </c>
      <c r="K89" s="13" cm="1">
        <f t="array" ref="K89">INDEX(GMWQ!$A$2:$NF$60,MATCH(1,(GMWQ!$NE$2:$NE$60=K$3)*(GMWQ!$ND$2:$ND$60=K$4)*(GMWQ!$NF$2:$NF$60=K$1),0),$E89-1966)</f>
        <v>77806</v>
      </c>
      <c r="L89" s="13" cm="1">
        <f t="array" ref="L89">INDEX(GMWQ!$A$2:$NF$60,MATCH(1,(GMWQ!$NE$2:$NE$60=L$3)*(GMWQ!$ND$2:$ND$60=L$4)*(GMWQ!$NF$2:$NF$60=L$1),0),$E89-1966)</f>
        <v>133457</v>
      </c>
      <c r="M89" s="13" cm="1">
        <f t="array" ref="M89">INDEX(GMWQ!$A$2:$NF$60,MATCH(1,(GMWQ!$NE$2:$NE$60=M$3)*(GMWQ!$ND$2:$ND$60=M$4)*(GMWQ!$NF$2:$NF$60=M$1),0),$E89-1966)</f>
        <v>232470</v>
      </c>
      <c r="N89" s="13" cm="1">
        <f t="array" ref="N89">INDEX(GMWQ!$A$2:$NF$60,MATCH(1,(GMWQ!$NE$2:$NE$60=N$3)*(GMWQ!$ND$2:$ND$60=N$4)*(GMWQ!$NF$2:$NF$60=N$1),0),$E89-1966)</f>
        <v>58.235169999999997</v>
      </c>
    </row>
    <row r="90" spans="1:14" x14ac:dyDescent="0.25">
      <c r="B90" s="13">
        <f t="shared" si="7"/>
        <v>1993</v>
      </c>
      <c r="C90" s="13">
        <f t="shared" si="7"/>
        <v>1993</v>
      </c>
      <c r="E90" s="13">
        <f t="shared" si="5"/>
        <v>2056</v>
      </c>
      <c r="F90" s="13" cm="1">
        <f t="array" ref="F90">INDEX(GMWQ!$A$2:$NF$60,MATCH(1,(GMWQ!$NE$2:$NE$60=F$3)*(GMWQ!$ND$2:$ND$60=F$4)*(GMWQ!$NF$2:$NF$60=F$1),0),$E90-1966)</f>
        <v>67.660259999999994</v>
      </c>
      <c r="G90" s="13" cm="1">
        <f t="array" ref="G90">INDEX(GMWQ!$A$2:$NF$60,MATCH(1,(GMWQ!$NE$2:$NE$60=G$3)*(GMWQ!$ND$2:$ND$60=G$4)*(GMWQ!$NF$2:$NF$60=G$1),0),$E90-1966)</f>
        <v>6997</v>
      </c>
      <c r="H90" s="13" cm="1">
        <f t="array" ref="H90">INDEX(GMWQ!$A$2:$NF$60,MATCH(1,(GMWQ!$NE$2:$NE$60=H$3)*(GMWQ!$ND$2:$ND$60=H$4)*(GMWQ!$NF$2:$NF$60=H$1),0),$E90-1966)</f>
        <v>222.90620000000001</v>
      </c>
      <c r="I90" s="13" cm="1">
        <f t="array" ref="I90">INDEX(GMWQ!$A$2:$NF$60,MATCH(1,(GMWQ!$NE$2:$NE$60=I$3)*(GMWQ!$ND$2:$ND$60=I$4)*(GMWQ!$NF$2:$NF$60=I$1),0),$E90-1966)</f>
        <v>46796</v>
      </c>
      <c r="J90" s="13" cm="1">
        <f t="array" ref="J90">INDEX(GMWQ!$A$2:$NF$60,MATCH(1,(GMWQ!$NE$2:$NE$60=J$3)*(GMWQ!$ND$2:$ND$60=J$4)*(GMWQ!$NF$2:$NF$60=J$1),0),$E90-1966)</f>
        <v>196921</v>
      </c>
      <c r="K90" s="13" cm="1">
        <f t="array" ref="K90">INDEX(GMWQ!$A$2:$NF$60,MATCH(1,(GMWQ!$NE$2:$NE$60=K$3)*(GMWQ!$ND$2:$ND$60=K$4)*(GMWQ!$NF$2:$NF$60=K$1),0),$E90-1966)</f>
        <v>78382</v>
      </c>
      <c r="L90" s="13" cm="1">
        <f t="array" ref="L90">INDEX(GMWQ!$A$2:$NF$60,MATCH(1,(GMWQ!$NE$2:$NE$60=L$3)*(GMWQ!$ND$2:$ND$60=L$4)*(GMWQ!$NF$2:$NF$60=L$1),0),$E90-1966)</f>
        <v>135003</v>
      </c>
      <c r="M90" s="13" cm="1">
        <f t="array" ref="M90">INDEX(GMWQ!$A$2:$NF$60,MATCH(1,(GMWQ!$NE$2:$NE$60=M$3)*(GMWQ!$ND$2:$ND$60=M$4)*(GMWQ!$NF$2:$NF$60=M$1),0),$E90-1966)</f>
        <v>233411</v>
      </c>
      <c r="N90" s="13" cm="1">
        <f t="array" ref="N90">INDEX(GMWQ!$A$2:$NF$60,MATCH(1,(GMWQ!$NE$2:$NE$60=N$3)*(GMWQ!$ND$2:$ND$60=N$4)*(GMWQ!$NF$2:$NF$60=N$1),0),$E90-1966)</f>
        <v>58.644260000000003</v>
      </c>
    </row>
    <row r="91" spans="1:14" x14ac:dyDescent="0.25">
      <c r="A91" s="13">
        <v>1994</v>
      </c>
      <c r="B91" s="13">
        <f t="shared" si="7"/>
        <v>1994</v>
      </c>
      <c r="C91" s="13">
        <f t="shared" si="7"/>
        <v>1993</v>
      </c>
      <c r="D91" s="13">
        <f t="shared" si="7"/>
        <v>1993</v>
      </c>
      <c r="E91" s="13">
        <f t="shared" si="5"/>
        <v>2057</v>
      </c>
      <c r="F91" s="13" cm="1">
        <f t="array" ref="F91">INDEX(GMWQ!$A$2:$NF$60,MATCH(1,(GMWQ!$NE$2:$NE$60=F$3)*(GMWQ!$ND$2:$ND$60=F$4)*(GMWQ!$NF$2:$NF$60=F$1),0),$E91-1966)</f>
        <v>67.295590000000004</v>
      </c>
      <c r="G91" s="13" cm="1">
        <f t="array" ref="G91">INDEX(GMWQ!$A$2:$NF$60,MATCH(1,(GMWQ!$NE$2:$NE$60=G$3)*(GMWQ!$ND$2:$ND$60=G$4)*(GMWQ!$NF$2:$NF$60=G$1),0),$E91-1966)</f>
        <v>6841</v>
      </c>
      <c r="H91" s="13" cm="1">
        <f t="array" ref="H91">INDEX(GMWQ!$A$2:$NF$60,MATCH(1,(GMWQ!$NE$2:$NE$60=H$3)*(GMWQ!$ND$2:$ND$60=H$4)*(GMWQ!$NF$2:$NF$60=H$1),0),$E91-1966)</f>
        <v>222.8023</v>
      </c>
      <c r="I91" s="13" cm="1">
        <f t="array" ref="I91">INDEX(GMWQ!$A$2:$NF$60,MATCH(1,(GMWQ!$NE$2:$NE$60=I$3)*(GMWQ!$ND$2:$ND$60=I$4)*(GMWQ!$NF$2:$NF$60=I$1),0),$E91-1966)</f>
        <v>49533</v>
      </c>
      <c r="J91" s="13" cm="1">
        <f t="array" ref="J91">INDEX(GMWQ!$A$2:$NF$60,MATCH(1,(GMWQ!$NE$2:$NE$60=J$3)*(GMWQ!$ND$2:$ND$60=J$4)*(GMWQ!$NF$2:$NF$60=J$1),0),$E91-1966)</f>
        <v>199796</v>
      </c>
      <c r="K91" s="13" cm="1">
        <f t="array" ref="K91">INDEX(GMWQ!$A$2:$NF$60,MATCH(1,(GMWQ!$NE$2:$NE$60=K$3)*(GMWQ!$ND$2:$ND$60=K$4)*(GMWQ!$NF$2:$NF$60=K$1),0),$E91-1966)</f>
        <v>78938</v>
      </c>
      <c r="L91" s="13" cm="1">
        <f t="array" ref="L91">INDEX(GMWQ!$A$2:$NF$60,MATCH(1,(GMWQ!$NE$2:$NE$60=L$3)*(GMWQ!$ND$2:$ND$60=L$4)*(GMWQ!$NF$2:$NF$60=L$1),0),$E91-1966)</f>
        <v>134597</v>
      </c>
      <c r="M91" s="13" cm="1">
        <f t="array" ref="M91">INDEX(GMWQ!$A$2:$NF$60,MATCH(1,(GMWQ!$NE$2:$NE$60=M$3)*(GMWQ!$ND$2:$ND$60=M$4)*(GMWQ!$NF$2:$NF$60=M$1),0),$E91-1966)</f>
        <v>232541</v>
      </c>
      <c r="N91" s="13" cm="1">
        <f t="array" ref="N91">INDEX(GMWQ!$A$2:$NF$60,MATCH(1,(GMWQ!$NE$2:$NE$60=N$3)*(GMWQ!$ND$2:$ND$60=N$4)*(GMWQ!$NF$2:$NF$60=N$1),0),$E91-1966)</f>
        <v>58.658009999999997</v>
      </c>
    </row>
    <row r="92" spans="1:14" x14ac:dyDescent="0.25">
      <c r="B92" s="13">
        <f t="shared" ref="B92:D107" si="8">+B88+1</f>
        <v>1994</v>
      </c>
      <c r="C92" s="13">
        <f t="shared" si="8"/>
        <v>1994</v>
      </c>
      <c r="E92" s="13">
        <f t="shared" si="5"/>
        <v>2058</v>
      </c>
      <c r="F92" s="13" cm="1">
        <f t="array" ref="F92">INDEX(GMWQ!$A$2:$NF$60,MATCH(1,(GMWQ!$NE$2:$NE$60=F$3)*(GMWQ!$ND$2:$ND$60=F$4)*(GMWQ!$NF$2:$NF$60=F$1),0),$E92-1966)</f>
        <v>66.660129999999995</v>
      </c>
      <c r="G92" s="13" cm="1">
        <f t="array" ref="G92">INDEX(GMWQ!$A$2:$NF$60,MATCH(1,(GMWQ!$NE$2:$NE$60=G$3)*(GMWQ!$ND$2:$ND$60=G$4)*(GMWQ!$NF$2:$NF$60=G$1),0),$E92-1966)</f>
        <v>6602</v>
      </c>
      <c r="H92" s="13" cm="1">
        <f t="array" ref="H92">INDEX(GMWQ!$A$2:$NF$60,MATCH(1,(GMWQ!$NE$2:$NE$60=H$3)*(GMWQ!$ND$2:$ND$60=H$4)*(GMWQ!$NF$2:$NF$60=H$1),0),$E92-1966)</f>
        <v>227.5204</v>
      </c>
      <c r="I92" s="13" cm="1">
        <f t="array" ref="I92">INDEX(GMWQ!$A$2:$NF$60,MATCH(1,(GMWQ!$NE$2:$NE$60=I$3)*(GMWQ!$ND$2:$ND$60=I$4)*(GMWQ!$NF$2:$NF$60=I$1),0),$E92-1966)</f>
        <v>49608</v>
      </c>
      <c r="J92" s="13" cm="1">
        <f t="array" ref="J92">INDEX(GMWQ!$A$2:$NF$60,MATCH(1,(GMWQ!$NE$2:$NE$60=J$3)*(GMWQ!$ND$2:$ND$60=J$4)*(GMWQ!$NF$2:$NF$60=J$1),0),$E92-1966)</f>
        <v>200691</v>
      </c>
      <c r="K92" s="13" cm="1">
        <f t="array" ref="K92">INDEX(GMWQ!$A$2:$NF$60,MATCH(1,(GMWQ!$NE$2:$NE$60=K$3)*(GMWQ!$ND$2:$ND$60=K$4)*(GMWQ!$NF$2:$NF$60=K$1),0),$E92-1966)</f>
        <v>79168</v>
      </c>
      <c r="L92" s="13" cm="1">
        <f t="array" ref="L92">INDEX(GMWQ!$A$2:$NF$60,MATCH(1,(GMWQ!$NE$2:$NE$60=L$3)*(GMWQ!$ND$2:$ND$60=L$4)*(GMWQ!$NF$2:$NF$60=L$1),0),$E92-1966)</f>
        <v>135173</v>
      </c>
      <c r="M92" s="13" cm="1">
        <f t="array" ref="M92">INDEX(GMWQ!$A$2:$NF$60,MATCH(1,(GMWQ!$NE$2:$NE$60=M$3)*(GMWQ!$ND$2:$ND$60=M$4)*(GMWQ!$NF$2:$NF$60=M$1),0),$E92-1966)</f>
        <v>232173</v>
      </c>
      <c r="N92" s="13" cm="1">
        <f t="array" ref="N92">INDEX(GMWQ!$A$2:$NF$60,MATCH(1,(GMWQ!$NE$2:$NE$60=N$3)*(GMWQ!$ND$2:$ND$60=N$4)*(GMWQ!$NF$2:$NF$60=N$1),0),$E92-1966)</f>
        <v>58.931699999999999</v>
      </c>
    </row>
    <row r="93" spans="1:14" x14ac:dyDescent="0.25">
      <c r="B93" s="13">
        <f t="shared" si="8"/>
        <v>1994</v>
      </c>
      <c r="C93" s="13">
        <f t="shared" si="8"/>
        <v>1994</v>
      </c>
      <c r="E93" s="13">
        <f t="shared" si="5"/>
        <v>2059</v>
      </c>
      <c r="F93" s="13" cm="1">
        <f t="array" ref="F93">INDEX(GMWQ!$A$2:$NF$60,MATCH(1,(GMWQ!$NE$2:$NE$60=F$3)*(GMWQ!$ND$2:$ND$60=F$4)*(GMWQ!$NF$2:$NF$60=F$1),0),$E93-1966)</f>
        <v>67.098290000000006</v>
      </c>
      <c r="G93" s="13" cm="1">
        <f t="array" ref="G93">INDEX(GMWQ!$A$2:$NF$60,MATCH(1,(GMWQ!$NE$2:$NE$60=G$3)*(GMWQ!$ND$2:$ND$60=G$4)*(GMWQ!$NF$2:$NF$60=G$1),0),$E93-1966)</f>
        <v>6704</v>
      </c>
      <c r="H93" s="13" cm="1">
        <f t="array" ref="H93">INDEX(GMWQ!$A$2:$NF$60,MATCH(1,(GMWQ!$NE$2:$NE$60=H$3)*(GMWQ!$ND$2:$ND$60=H$4)*(GMWQ!$NF$2:$NF$60=H$1),0),$E93-1966)</f>
        <v>232.0582</v>
      </c>
      <c r="I93" s="13" cm="1">
        <f t="array" ref="I93">INDEX(GMWQ!$A$2:$NF$60,MATCH(1,(GMWQ!$NE$2:$NE$60=I$3)*(GMWQ!$ND$2:$ND$60=I$4)*(GMWQ!$NF$2:$NF$60=I$1),0),$E93-1966)</f>
        <v>49092</v>
      </c>
      <c r="J93" s="13" cm="1">
        <f t="array" ref="J93">INDEX(GMWQ!$A$2:$NF$60,MATCH(1,(GMWQ!$NE$2:$NE$60=J$3)*(GMWQ!$ND$2:$ND$60=J$4)*(GMWQ!$NF$2:$NF$60=J$1),0),$E93-1966)</f>
        <v>203292</v>
      </c>
      <c r="K93" s="13" cm="1">
        <f t="array" ref="K93">INDEX(GMWQ!$A$2:$NF$60,MATCH(1,(GMWQ!$NE$2:$NE$60=K$3)*(GMWQ!$ND$2:$ND$60=K$4)*(GMWQ!$NF$2:$NF$60=K$1),0),$E93-1966)</f>
        <v>80425</v>
      </c>
      <c r="L93" s="13" cm="1">
        <f t="array" ref="L93">INDEX(GMWQ!$A$2:$NF$60,MATCH(1,(GMWQ!$NE$2:$NE$60=L$3)*(GMWQ!$ND$2:$ND$60=L$4)*(GMWQ!$NF$2:$NF$60=L$1),0),$E93-1966)</f>
        <v>138183</v>
      </c>
      <c r="M93" s="13" cm="1">
        <f t="array" ref="M93">INDEX(GMWQ!$A$2:$NF$60,MATCH(1,(GMWQ!$NE$2:$NE$60=M$3)*(GMWQ!$ND$2:$ND$60=M$4)*(GMWQ!$NF$2:$NF$60=M$1),0),$E93-1966)</f>
        <v>236870</v>
      </c>
      <c r="N93" s="13" cm="1">
        <f t="array" ref="N93">INDEX(GMWQ!$A$2:$NF$60,MATCH(1,(GMWQ!$NE$2:$NE$60=N$3)*(GMWQ!$ND$2:$ND$60=N$4)*(GMWQ!$NF$2:$NF$60=N$1),0),$E93-1966)</f>
        <v>59.150840000000002</v>
      </c>
    </row>
    <row r="94" spans="1:14" x14ac:dyDescent="0.25">
      <c r="B94" s="13">
        <f t="shared" si="8"/>
        <v>1994</v>
      </c>
      <c r="C94" s="13">
        <f t="shared" si="8"/>
        <v>1994</v>
      </c>
      <c r="E94" s="13">
        <f t="shared" si="5"/>
        <v>2060</v>
      </c>
      <c r="F94" s="13" cm="1">
        <f t="array" ref="F94">INDEX(GMWQ!$A$2:$NF$60,MATCH(1,(GMWQ!$NE$2:$NE$60=F$3)*(GMWQ!$ND$2:$ND$60=F$4)*(GMWQ!$NF$2:$NF$60=F$1),0),$E94-1966)</f>
        <v>67.555109999999999</v>
      </c>
      <c r="G94" s="13" cm="1">
        <f t="array" ref="G94">INDEX(GMWQ!$A$2:$NF$60,MATCH(1,(GMWQ!$NE$2:$NE$60=G$3)*(GMWQ!$ND$2:$ND$60=G$4)*(GMWQ!$NF$2:$NF$60=G$1),0),$E94-1966)</f>
        <v>6891</v>
      </c>
      <c r="H94" s="13" cm="1">
        <f t="array" ref="H94">INDEX(GMWQ!$A$2:$NF$60,MATCH(1,(GMWQ!$NE$2:$NE$60=H$3)*(GMWQ!$ND$2:$ND$60=H$4)*(GMWQ!$NF$2:$NF$60=H$1),0),$E94-1966)</f>
        <v>233.2474</v>
      </c>
      <c r="I94" s="13" cm="1">
        <f t="array" ref="I94">INDEX(GMWQ!$A$2:$NF$60,MATCH(1,(GMWQ!$NE$2:$NE$60=I$3)*(GMWQ!$ND$2:$ND$60=I$4)*(GMWQ!$NF$2:$NF$60=I$1),0),$E94-1966)</f>
        <v>51164</v>
      </c>
      <c r="J94" s="13" cm="1">
        <f t="array" ref="J94">INDEX(GMWQ!$A$2:$NF$60,MATCH(1,(GMWQ!$NE$2:$NE$60=J$3)*(GMWQ!$ND$2:$ND$60=J$4)*(GMWQ!$NF$2:$NF$60=J$1),0),$E94-1966)</f>
        <v>207015</v>
      </c>
      <c r="K94" s="13" cm="1">
        <f t="array" ref="K94">INDEX(GMWQ!$A$2:$NF$60,MATCH(1,(GMWQ!$NE$2:$NE$60=K$3)*(GMWQ!$ND$2:$ND$60=K$4)*(GMWQ!$NF$2:$NF$60=K$1),0),$E94-1966)</f>
        <v>81329</v>
      </c>
      <c r="L94" s="13" cm="1">
        <f t="array" ref="L94">INDEX(GMWQ!$A$2:$NF$60,MATCH(1,(GMWQ!$NE$2:$NE$60=L$3)*(GMWQ!$ND$2:$ND$60=L$4)*(GMWQ!$NF$2:$NF$60=L$1),0),$E94-1966)</f>
        <v>138391</v>
      </c>
      <c r="M94" s="13" cm="1">
        <f t="array" ref="M94">INDEX(GMWQ!$A$2:$NF$60,MATCH(1,(GMWQ!$NE$2:$NE$60=M$3)*(GMWQ!$ND$2:$ND$60=M$4)*(GMWQ!$NF$2:$NF$60=M$1),0),$E94-1966)</f>
        <v>235558</v>
      </c>
      <c r="N94" s="13" cm="1">
        <f t="array" ref="N94">INDEX(GMWQ!$A$2:$NF$60,MATCH(1,(GMWQ!$NE$2:$NE$60=N$3)*(GMWQ!$ND$2:$ND$60=N$4)*(GMWQ!$NF$2:$NF$60=N$1),0),$E94-1966)</f>
        <v>59.541040000000002</v>
      </c>
    </row>
    <row r="95" spans="1:14" x14ac:dyDescent="0.25">
      <c r="A95" s="13">
        <v>1995</v>
      </c>
      <c r="B95" s="13">
        <f t="shared" si="8"/>
        <v>1995</v>
      </c>
      <c r="C95" s="13">
        <f t="shared" si="8"/>
        <v>1994</v>
      </c>
      <c r="D95" s="13">
        <f t="shared" si="8"/>
        <v>1994</v>
      </c>
      <c r="E95" s="13">
        <f t="shared" si="5"/>
        <v>2061</v>
      </c>
      <c r="F95" s="13" cm="1">
        <f t="array" ref="F95">INDEX(GMWQ!$A$2:$NF$60,MATCH(1,(GMWQ!$NE$2:$NE$60=F$3)*(GMWQ!$ND$2:$ND$60=F$4)*(GMWQ!$NF$2:$NF$60=F$1),0),$E95-1966)</f>
        <v>67.762289999999993</v>
      </c>
      <c r="G95" s="13" cm="1">
        <f t="array" ref="G95">INDEX(GMWQ!$A$2:$NF$60,MATCH(1,(GMWQ!$NE$2:$NE$60=G$3)*(GMWQ!$ND$2:$ND$60=G$4)*(GMWQ!$NF$2:$NF$60=G$1),0),$E95-1966)</f>
        <v>6872</v>
      </c>
      <c r="H95" s="13" cm="1">
        <f t="array" ref="H95">INDEX(GMWQ!$A$2:$NF$60,MATCH(1,(GMWQ!$NE$2:$NE$60=H$3)*(GMWQ!$ND$2:$ND$60=H$4)*(GMWQ!$NF$2:$NF$60=H$1),0),$E95-1966)</f>
        <v>232.66929999999999</v>
      </c>
      <c r="I95" s="13" cm="1">
        <f t="array" ref="I95">INDEX(GMWQ!$A$2:$NF$60,MATCH(1,(GMWQ!$NE$2:$NE$60=I$3)*(GMWQ!$ND$2:$ND$60=I$4)*(GMWQ!$NF$2:$NF$60=I$1),0),$E95-1966)</f>
        <v>50799</v>
      </c>
      <c r="J95" s="13" cm="1">
        <f t="array" ref="J95">INDEX(GMWQ!$A$2:$NF$60,MATCH(1,(GMWQ!$NE$2:$NE$60=J$3)*(GMWQ!$ND$2:$ND$60=J$4)*(GMWQ!$NF$2:$NF$60=J$1),0),$E95-1966)</f>
        <v>208657</v>
      </c>
      <c r="K95" s="13" cm="1">
        <f t="array" ref="K95">INDEX(GMWQ!$A$2:$NF$60,MATCH(1,(GMWQ!$NE$2:$NE$60=K$3)*(GMWQ!$ND$2:$ND$60=K$4)*(GMWQ!$NF$2:$NF$60=K$1),0),$E95-1966)</f>
        <v>82018</v>
      </c>
      <c r="L95" s="13" cm="1">
        <f t="array" ref="L95">INDEX(GMWQ!$A$2:$NF$60,MATCH(1,(GMWQ!$NE$2:$NE$60=L$3)*(GMWQ!$ND$2:$ND$60=L$4)*(GMWQ!$NF$2:$NF$60=L$1),0),$E95-1966)</f>
        <v>141861</v>
      </c>
      <c r="M95" s="13" cm="1">
        <f t="array" ref="M95">INDEX(GMWQ!$A$2:$NF$60,MATCH(1,(GMWQ!$NE$2:$NE$60=M$3)*(GMWQ!$ND$2:$ND$60=M$4)*(GMWQ!$NF$2:$NF$60=M$1),0),$E95-1966)</f>
        <v>239669</v>
      </c>
      <c r="N95" s="13" cm="1">
        <f t="array" ref="N95">INDEX(GMWQ!$A$2:$NF$60,MATCH(1,(GMWQ!$NE$2:$NE$60=N$3)*(GMWQ!$ND$2:$ND$60=N$4)*(GMWQ!$NF$2:$NF$60=N$1),0),$E95-1966)</f>
        <v>59.871699999999997</v>
      </c>
    </row>
    <row r="96" spans="1:14" x14ac:dyDescent="0.25">
      <c r="B96" s="13">
        <f t="shared" si="8"/>
        <v>1995</v>
      </c>
      <c r="C96" s="13">
        <f t="shared" si="8"/>
        <v>1995</v>
      </c>
      <c r="E96" s="13">
        <f t="shared" si="5"/>
        <v>2062</v>
      </c>
      <c r="F96" s="13" cm="1">
        <f t="array" ref="F96">INDEX(GMWQ!$A$2:$NF$60,MATCH(1,(GMWQ!$NE$2:$NE$60=F$3)*(GMWQ!$ND$2:$ND$60=F$4)*(GMWQ!$NF$2:$NF$60=F$1),0),$E96-1966)</f>
        <v>68.626689999999996</v>
      </c>
      <c r="G96" s="13" cm="1">
        <f t="array" ref="G96">INDEX(GMWQ!$A$2:$NF$60,MATCH(1,(GMWQ!$NE$2:$NE$60=G$3)*(GMWQ!$ND$2:$ND$60=G$4)*(GMWQ!$NF$2:$NF$60=G$1),0),$E96-1966)</f>
        <v>6901</v>
      </c>
      <c r="H96" s="13" cm="1">
        <f t="array" ref="H96">INDEX(GMWQ!$A$2:$NF$60,MATCH(1,(GMWQ!$NE$2:$NE$60=H$3)*(GMWQ!$ND$2:$ND$60=H$4)*(GMWQ!$NF$2:$NF$60=H$1),0),$E96-1966)</f>
        <v>237.69069999999999</v>
      </c>
      <c r="I96" s="13" cm="1">
        <f t="array" ref="I96">INDEX(GMWQ!$A$2:$NF$60,MATCH(1,(GMWQ!$NE$2:$NE$60=I$3)*(GMWQ!$ND$2:$ND$60=I$4)*(GMWQ!$NF$2:$NF$60=I$1),0),$E96-1966)</f>
        <v>49847</v>
      </c>
      <c r="J96" s="13" cm="1">
        <f t="array" ref="J96">INDEX(GMWQ!$A$2:$NF$60,MATCH(1,(GMWQ!$NE$2:$NE$60=J$3)*(GMWQ!$ND$2:$ND$60=J$4)*(GMWQ!$NF$2:$NF$60=J$1),0),$E96-1966)</f>
        <v>210748</v>
      </c>
      <c r="K96" s="13" cm="1">
        <f t="array" ref="K96">INDEX(GMWQ!$A$2:$NF$60,MATCH(1,(GMWQ!$NE$2:$NE$60=K$3)*(GMWQ!$ND$2:$ND$60=K$4)*(GMWQ!$NF$2:$NF$60=K$1),0),$E96-1966)</f>
        <v>83079</v>
      </c>
      <c r="L96" s="13" cm="1">
        <f t="array" ref="L96">INDEX(GMWQ!$A$2:$NF$60,MATCH(1,(GMWQ!$NE$2:$NE$60=L$3)*(GMWQ!$ND$2:$ND$60=L$4)*(GMWQ!$NF$2:$NF$60=L$1),0),$E96-1966)</f>
        <v>143287</v>
      </c>
      <c r="M96" s="13" cm="1">
        <f t="array" ref="M96">INDEX(GMWQ!$A$2:$NF$60,MATCH(1,(GMWQ!$NE$2:$NE$60=M$3)*(GMWQ!$ND$2:$ND$60=M$4)*(GMWQ!$NF$2:$NF$60=M$1),0),$E96-1966)</f>
        <v>239943</v>
      </c>
      <c r="N96" s="13" cm="1">
        <f t="array" ref="N96">INDEX(GMWQ!$A$2:$NF$60,MATCH(1,(GMWQ!$NE$2:$NE$60=N$3)*(GMWQ!$ND$2:$ND$60=N$4)*(GMWQ!$NF$2:$NF$60=N$1),0),$E96-1966)</f>
        <v>60.466740000000001</v>
      </c>
    </row>
    <row r="97" spans="1:14" x14ac:dyDescent="0.25">
      <c r="B97" s="13">
        <f t="shared" si="8"/>
        <v>1995</v>
      </c>
      <c r="C97" s="13">
        <f t="shared" si="8"/>
        <v>1995</v>
      </c>
      <c r="E97" s="13">
        <f t="shared" si="5"/>
        <v>2063</v>
      </c>
      <c r="F97" s="13" cm="1">
        <f t="array" ref="F97">INDEX(GMWQ!$A$2:$NF$60,MATCH(1,(GMWQ!$NE$2:$NE$60=F$3)*(GMWQ!$ND$2:$ND$60=F$4)*(GMWQ!$NF$2:$NF$60=F$1),0),$E97-1966)</f>
        <v>68.505549999999999</v>
      </c>
      <c r="G97" s="13" cm="1">
        <f t="array" ref="G97">INDEX(GMWQ!$A$2:$NF$60,MATCH(1,(GMWQ!$NE$2:$NE$60=G$3)*(GMWQ!$ND$2:$ND$60=G$4)*(GMWQ!$NF$2:$NF$60=G$1),0),$E97-1966)</f>
        <v>6999</v>
      </c>
      <c r="H97" s="13" cm="1">
        <f t="array" ref="H97">INDEX(GMWQ!$A$2:$NF$60,MATCH(1,(GMWQ!$NE$2:$NE$60=H$3)*(GMWQ!$ND$2:$ND$60=H$4)*(GMWQ!$NF$2:$NF$60=H$1),0),$E97-1966)</f>
        <v>240.27940000000001</v>
      </c>
      <c r="I97" s="13" cm="1">
        <f t="array" ref="I97">INDEX(GMWQ!$A$2:$NF$60,MATCH(1,(GMWQ!$NE$2:$NE$60=I$3)*(GMWQ!$ND$2:$ND$60=I$4)*(GMWQ!$NF$2:$NF$60=I$1),0),$E97-1966)</f>
        <v>52286</v>
      </c>
      <c r="J97" s="13" cm="1">
        <f t="array" ref="J97">INDEX(GMWQ!$A$2:$NF$60,MATCH(1,(GMWQ!$NE$2:$NE$60=J$3)*(GMWQ!$ND$2:$ND$60=J$4)*(GMWQ!$NF$2:$NF$60=J$1),0),$E97-1966)</f>
        <v>214616</v>
      </c>
      <c r="K97" s="13" cm="1">
        <f t="array" ref="K97">INDEX(GMWQ!$A$2:$NF$60,MATCH(1,(GMWQ!$NE$2:$NE$60=K$3)*(GMWQ!$ND$2:$ND$60=K$4)*(GMWQ!$NF$2:$NF$60=K$1),0),$E97-1966)</f>
        <v>83880</v>
      </c>
      <c r="L97" s="13" cm="1">
        <f t="array" ref="L97">INDEX(GMWQ!$A$2:$NF$60,MATCH(1,(GMWQ!$NE$2:$NE$60=L$3)*(GMWQ!$ND$2:$ND$60=L$4)*(GMWQ!$NF$2:$NF$60=L$1),0),$E97-1966)</f>
        <v>146426</v>
      </c>
      <c r="M97" s="13" cm="1">
        <f t="array" ref="M97">INDEX(GMWQ!$A$2:$NF$60,MATCH(1,(GMWQ!$NE$2:$NE$60=M$3)*(GMWQ!$ND$2:$ND$60=M$4)*(GMWQ!$NF$2:$NF$60=M$1),0),$E97-1966)</f>
        <v>242123</v>
      </c>
      <c r="N97" s="13" cm="1">
        <f t="array" ref="N97">INDEX(GMWQ!$A$2:$NF$60,MATCH(1,(GMWQ!$NE$2:$NE$60=N$3)*(GMWQ!$ND$2:$ND$60=N$4)*(GMWQ!$NF$2:$NF$60=N$1),0),$E97-1966)</f>
        <v>61.436</v>
      </c>
    </row>
    <row r="98" spans="1:14" x14ac:dyDescent="0.25">
      <c r="B98" s="13">
        <f t="shared" si="8"/>
        <v>1995</v>
      </c>
      <c r="C98" s="13">
        <f t="shared" si="8"/>
        <v>1995</v>
      </c>
      <c r="E98" s="13">
        <f t="shared" si="5"/>
        <v>2064</v>
      </c>
      <c r="F98" s="13" cm="1">
        <f t="array" ref="F98">INDEX(GMWQ!$A$2:$NF$60,MATCH(1,(GMWQ!$NE$2:$NE$60=F$3)*(GMWQ!$ND$2:$ND$60=F$4)*(GMWQ!$NF$2:$NF$60=F$1),0),$E98-1966)</f>
        <v>69.301109999999994</v>
      </c>
      <c r="G98" s="13" cm="1">
        <f t="array" ref="G98">INDEX(GMWQ!$A$2:$NF$60,MATCH(1,(GMWQ!$NE$2:$NE$60=G$3)*(GMWQ!$ND$2:$ND$60=G$4)*(GMWQ!$NF$2:$NF$60=G$1),0),$E98-1966)</f>
        <v>7120</v>
      </c>
      <c r="H98" s="13" cm="1">
        <f t="array" ref="H98">INDEX(GMWQ!$A$2:$NF$60,MATCH(1,(GMWQ!$NE$2:$NE$60=H$3)*(GMWQ!$ND$2:$ND$60=H$4)*(GMWQ!$NF$2:$NF$60=H$1),0),$E98-1966)</f>
        <v>241.90459999999999</v>
      </c>
      <c r="I98" s="13" cm="1">
        <f t="array" ref="I98">INDEX(GMWQ!$A$2:$NF$60,MATCH(1,(GMWQ!$NE$2:$NE$60=I$3)*(GMWQ!$ND$2:$ND$60=I$4)*(GMWQ!$NF$2:$NF$60=I$1),0),$E98-1966)</f>
        <v>53374</v>
      </c>
      <c r="J98" s="13" cm="1">
        <f t="array" ref="J98">INDEX(GMWQ!$A$2:$NF$60,MATCH(1,(GMWQ!$NE$2:$NE$60=J$3)*(GMWQ!$ND$2:$ND$60=J$4)*(GMWQ!$NF$2:$NF$60=J$1),0),$E98-1966)</f>
        <v>217824</v>
      </c>
      <c r="K98" s="13" cm="1">
        <f t="array" ref="K98">INDEX(GMWQ!$A$2:$NF$60,MATCH(1,(GMWQ!$NE$2:$NE$60=K$3)*(GMWQ!$ND$2:$ND$60=K$4)*(GMWQ!$NF$2:$NF$60=K$1),0),$E98-1966)</f>
        <v>85407</v>
      </c>
      <c r="L98" s="13" cm="1">
        <f t="array" ref="L98">INDEX(GMWQ!$A$2:$NF$60,MATCH(1,(GMWQ!$NE$2:$NE$60=L$3)*(GMWQ!$ND$2:$ND$60=L$4)*(GMWQ!$NF$2:$NF$60=L$1),0),$E98-1966)</f>
        <v>147725</v>
      </c>
      <c r="M98" s="13" cm="1">
        <f t="array" ref="M98">INDEX(GMWQ!$A$2:$NF$60,MATCH(1,(GMWQ!$NE$2:$NE$60=M$3)*(GMWQ!$ND$2:$ND$60=M$4)*(GMWQ!$NF$2:$NF$60=M$1),0),$E98-1966)</f>
        <v>243427</v>
      </c>
      <c r="N98" s="13" cm="1">
        <f t="array" ref="N98">INDEX(GMWQ!$A$2:$NF$60,MATCH(1,(GMWQ!$NE$2:$NE$60=N$3)*(GMWQ!$ND$2:$ND$60=N$4)*(GMWQ!$NF$2:$NF$60=N$1),0),$E98-1966)</f>
        <v>61.456009999999999</v>
      </c>
    </row>
    <row r="99" spans="1:14" x14ac:dyDescent="0.25">
      <c r="A99" s="13">
        <v>1996</v>
      </c>
      <c r="B99" s="13">
        <f t="shared" si="8"/>
        <v>1996</v>
      </c>
      <c r="C99" s="13">
        <f t="shared" si="8"/>
        <v>1995</v>
      </c>
      <c r="D99" s="13">
        <f t="shared" si="8"/>
        <v>1995</v>
      </c>
      <c r="E99" s="13">
        <f t="shared" si="5"/>
        <v>2065</v>
      </c>
      <c r="F99" s="13" cm="1">
        <f t="array" ref="F99">INDEX(GMWQ!$A$2:$NF$60,MATCH(1,(GMWQ!$NE$2:$NE$60=F$3)*(GMWQ!$ND$2:$ND$60=F$4)*(GMWQ!$NF$2:$NF$60=F$1),0),$E99-1966)</f>
        <v>69.588480000000004</v>
      </c>
      <c r="G99" s="13" cm="1">
        <f t="array" ref="G99">INDEX(GMWQ!$A$2:$NF$60,MATCH(1,(GMWQ!$NE$2:$NE$60=G$3)*(GMWQ!$ND$2:$ND$60=G$4)*(GMWQ!$NF$2:$NF$60=G$1),0),$E99-1966)</f>
        <v>7100</v>
      </c>
      <c r="H99" s="13" cm="1">
        <f t="array" ref="H99">INDEX(GMWQ!$A$2:$NF$60,MATCH(1,(GMWQ!$NE$2:$NE$60=H$3)*(GMWQ!$ND$2:$ND$60=H$4)*(GMWQ!$NF$2:$NF$60=H$1),0),$E99-1966)</f>
        <v>241.40309999999999</v>
      </c>
      <c r="I99" s="13" cm="1">
        <f t="array" ref="I99">INDEX(GMWQ!$A$2:$NF$60,MATCH(1,(GMWQ!$NE$2:$NE$60=I$3)*(GMWQ!$ND$2:$ND$60=I$4)*(GMWQ!$NF$2:$NF$60=I$1),0),$E99-1966)</f>
        <v>54595</v>
      </c>
      <c r="J99" s="13" cm="1">
        <f t="array" ref="J99">INDEX(GMWQ!$A$2:$NF$60,MATCH(1,(GMWQ!$NE$2:$NE$60=J$3)*(GMWQ!$ND$2:$ND$60=J$4)*(GMWQ!$NF$2:$NF$60=J$1),0),$E99-1966)</f>
        <v>221433</v>
      </c>
      <c r="K99" s="13" cm="1">
        <f t="array" ref="K99">INDEX(GMWQ!$A$2:$NF$60,MATCH(1,(GMWQ!$NE$2:$NE$60=K$3)*(GMWQ!$ND$2:$ND$60=K$4)*(GMWQ!$NF$2:$NF$60=K$1),0),$E99-1966)</f>
        <v>85835</v>
      </c>
      <c r="L99" s="13" cm="1">
        <f t="array" ref="L99">INDEX(GMWQ!$A$2:$NF$60,MATCH(1,(GMWQ!$NE$2:$NE$60=L$3)*(GMWQ!$ND$2:$ND$60=L$4)*(GMWQ!$NF$2:$NF$60=L$1),0),$E99-1966)</f>
        <v>151630</v>
      </c>
      <c r="M99" s="13" cm="1">
        <f t="array" ref="M99">INDEX(GMWQ!$A$2:$NF$60,MATCH(1,(GMWQ!$NE$2:$NE$60=M$3)*(GMWQ!$ND$2:$ND$60=M$4)*(GMWQ!$NF$2:$NF$60=M$1),0),$E99-1966)</f>
        <v>247598</v>
      </c>
      <c r="N99" s="13" cm="1">
        <f t="array" ref="N99">INDEX(GMWQ!$A$2:$NF$60,MATCH(1,(GMWQ!$NE$2:$NE$60=N$3)*(GMWQ!$ND$2:$ND$60=N$4)*(GMWQ!$NF$2:$NF$60=N$1),0),$E99-1966)</f>
        <v>62.042369999999998</v>
      </c>
    </row>
    <row r="100" spans="1:14" x14ac:dyDescent="0.25">
      <c r="B100" s="13">
        <f t="shared" si="8"/>
        <v>1996</v>
      </c>
      <c r="C100" s="13">
        <f t="shared" si="8"/>
        <v>1996</v>
      </c>
      <c r="E100" s="13">
        <f t="shared" si="5"/>
        <v>2066</v>
      </c>
      <c r="F100" s="13" cm="1">
        <f t="array" ref="F100">INDEX(GMWQ!$A$2:$NF$60,MATCH(1,(GMWQ!$NE$2:$NE$60=F$3)*(GMWQ!$ND$2:$ND$60=F$4)*(GMWQ!$NF$2:$NF$60=F$1),0),$E100-1966)</f>
        <v>70.225399999999993</v>
      </c>
      <c r="G100" s="13" cm="1">
        <f t="array" ref="G100">INDEX(GMWQ!$A$2:$NF$60,MATCH(1,(GMWQ!$NE$2:$NE$60=G$3)*(GMWQ!$ND$2:$ND$60=G$4)*(GMWQ!$NF$2:$NF$60=G$1),0),$E100-1966)</f>
        <v>7308</v>
      </c>
      <c r="H100" s="13" cm="1">
        <f t="array" ref="H100">INDEX(GMWQ!$A$2:$NF$60,MATCH(1,(GMWQ!$NE$2:$NE$60=H$3)*(GMWQ!$ND$2:$ND$60=H$4)*(GMWQ!$NF$2:$NF$60=H$1),0),$E100-1966)</f>
        <v>247.31559999999999</v>
      </c>
      <c r="I100" s="13" cm="1">
        <f t="array" ref="I100">INDEX(GMWQ!$A$2:$NF$60,MATCH(1,(GMWQ!$NE$2:$NE$60=I$3)*(GMWQ!$ND$2:$ND$60=I$4)*(GMWQ!$NF$2:$NF$60=I$1),0),$E100-1966)</f>
        <v>57114</v>
      </c>
      <c r="J100" s="13" cm="1">
        <f t="array" ref="J100">INDEX(GMWQ!$A$2:$NF$60,MATCH(1,(GMWQ!$NE$2:$NE$60=J$3)*(GMWQ!$ND$2:$ND$60=J$4)*(GMWQ!$NF$2:$NF$60=J$1),0),$E100-1966)</f>
        <v>226187</v>
      </c>
      <c r="K100" s="13" cm="1">
        <f t="array" ref="K100">INDEX(GMWQ!$A$2:$NF$60,MATCH(1,(GMWQ!$NE$2:$NE$60=K$3)*(GMWQ!$ND$2:$ND$60=K$4)*(GMWQ!$NF$2:$NF$60=K$1),0),$E100-1966)</f>
        <v>86705</v>
      </c>
      <c r="L100" s="13" cm="1">
        <f t="array" ref="L100">INDEX(GMWQ!$A$2:$NF$60,MATCH(1,(GMWQ!$NE$2:$NE$60=L$3)*(GMWQ!$ND$2:$ND$60=L$4)*(GMWQ!$NF$2:$NF$60=L$1),0),$E100-1966)</f>
        <v>153565</v>
      </c>
      <c r="M100" s="13" cm="1">
        <f t="array" ref="M100">INDEX(GMWQ!$A$2:$NF$60,MATCH(1,(GMWQ!$NE$2:$NE$60=M$3)*(GMWQ!$ND$2:$ND$60=M$4)*(GMWQ!$NF$2:$NF$60=M$1),0),$E100-1966)</f>
        <v>247441</v>
      </c>
      <c r="N100" s="13" cm="1">
        <f t="array" ref="N100">INDEX(GMWQ!$A$2:$NF$60,MATCH(1,(GMWQ!$NE$2:$NE$60=N$3)*(GMWQ!$ND$2:$ND$60=N$4)*(GMWQ!$NF$2:$NF$60=N$1),0),$E100-1966)</f>
        <v>62.74926</v>
      </c>
    </row>
    <row r="101" spans="1:14" x14ac:dyDescent="0.25">
      <c r="B101" s="13">
        <f t="shared" si="8"/>
        <v>1996</v>
      </c>
      <c r="C101" s="13">
        <f t="shared" si="8"/>
        <v>1996</v>
      </c>
      <c r="E101" s="13">
        <f t="shared" si="5"/>
        <v>2067</v>
      </c>
      <c r="F101" s="13" cm="1">
        <f t="array" ref="F101">INDEX(GMWQ!$A$2:$NF$60,MATCH(1,(GMWQ!$NE$2:$NE$60=F$3)*(GMWQ!$ND$2:$ND$60=F$4)*(GMWQ!$NF$2:$NF$60=F$1),0),$E101-1966)</f>
        <v>70.571240000000003</v>
      </c>
      <c r="G101" s="13" cm="1">
        <f t="array" ref="G101">INDEX(GMWQ!$A$2:$NF$60,MATCH(1,(GMWQ!$NE$2:$NE$60=G$3)*(GMWQ!$ND$2:$ND$60=G$4)*(GMWQ!$NF$2:$NF$60=G$1),0),$E101-1966)</f>
        <v>7377</v>
      </c>
      <c r="H101" s="13" cm="1">
        <f t="array" ref="H101">INDEX(GMWQ!$A$2:$NF$60,MATCH(1,(GMWQ!$NE$2:$NE$60=H$3)*(GMWQ!$ND$2:$ND$60=H$4)*(GMWQ!$NF$2:$NF$60=H$1),0),$E101-1966)</f>
        <v>251.52930000000001</v>
      </c>
      <c r="I101" s="13" cm="1">
        <f t="array" ref="I101">INDEX(GMWQ!$A$2:$NF$60,MATCH(1,(GMWQ!$NE$2:$NE$60=I$3)*(GMWQ!$ND$2:$ND$60=I$4)*(GMWQ!$NF$2:$NF$60=I$1),0),$E101-1966)</f>
        <v>58848</v>
      </c>
      <c r="J101" s="13" cm="1">
        <f t="array" ref="J101">INDEX(GMWQ!$A$2:$NF$60,MATCH(1,(GMWQ!$NE$2:$NE$60=J$3)*(GMWQ!$ND$2:$ND$60=J$4)*(GMWQ!$NF$2:$NF$60=J$1),0),$E101-1966)</f>
        <v>229912</v>
      </c>
      <c r="K101" s="13" cm="1">
        <f t="array" ref="K101">INDEX(GMWQ!$A$2:$NF$60,MATCH(1,(GMWQ!$NE$2:$NE$60=K$3)*(GMWQ!$ND$2:$ND$60=K$4)*(GMWQ!$NF$2:$NF$60=K$1),0),$E101-1966)</f>
        <v>88031</v>
      </c>
      <c r="L101" s="13" cm="1">
        <f t="array" ref="L101">INDEX(GMWQ!$A$2:$NF$60,MATCH(1,(GMWQ!$NE$2:$NE$60=L$3)*(GMWQ!$ND$2:$ND$60=L$4)*(GMWQ!$NF$2:$NF$60=L$1),0),$E101-1966)</f>
        <v>156382</v>
      </c>
      <c r="M101" s="13" cm="1">
        <f t="array" ref="M101">INDEX(GMWQ!$A$2:$NF$60,MATCH(1,(GMWQ!$NE$2:$NE$60=M$3)*(GMWQ!$ND$2:$ND$60=M$4)*(GMWQ!$NF$2:$NF$60=M$1),0),$E101-1966)</f>
        <v>250067</v>
      </c>
      <c r="N101" s="13" cm="1">
        <f t="array" ref="N101">INDEX(GMWQ!$A$2:$NF$60,MATCH(1,(GMWQ!$NE$2:$NE$60=N$3)*(GMWQ!$ND$2:$ND$60=N$4)*(GMWQ!$NF$2:$NF$60=N$1),0),$E101-1966)</f>
        <v>63.249040000000001</v>
      </c>
    </row>
    <row r="102" spans="1:14" x14ac:dyDescent="0.25">
      <c r="B102" s="13">
        <f t="shared" si="8"/>
        <v>1996</v>
      </c>
      <c r="C102" s="13">
        <f t="shared" si="8"/>
        <v>1996</v>
      </c>
      <c r="E102" s="13">
        <f t="shared" si="5"/>
        <v>2068</v>
      </c>
      <c r="F102" s="13" cm="1">
        <f t="array" ref="F102">INDEX(GMWQ!$A$2:$NF$60,MATCH(1,(GMWQ!$NE$2:$NE$60=F$3)*(GMWQ!$ND$2:$ND$60=F$4)*(GMWQ!$NF$2:$NF$60=F$1),0),$E102-1966)</f>
        <v>70.170429999999996</v>
      </c>
      <c r="G102" s="13" cm="1">
        <f t="array" ref="G102">INDEX(GMWQ!$A$2:$NF$60,MATCH(1,(GMWQ!$NE$2:$NE$60=G$3)*(GMWQ!$ND$2:$ND$60=G$4)*(GMWQ!$NF$2:$NF$60=G$1),0),$E102-1966)</f>
        <v>7428</v>
      </c>
      <c r="H102" s="13" cm="1">
        <f t="array" ref="H102">INDEX(GMWQ!$A$2:$NF$60,MATCH(1,(GMWQ!$NE$2:$NE$60=H$3)*(GMWQ!$ND$2:$ND$60=H$4)*(GMWQ!$NF$2:$NF$60=H$1),0),$E102-1966)</f>
        <v>253.94390000000001</v>
      </c>
      <c r="I102" s="13" cm="1">
        <f t="array" ref="I102">INDEX(GMWQ!$A$2:$NF$60,MATCH(1,(GMWQ!$NE$2:$NE$60=I$3)*(GMWQ!$ND$2:$ND$60=I$4)*(GMWQ!$NF$2:$NF$60=I$1),0),$E102-1966)</f>
        <v>60252</v>
      </c>
      <c r="J102" s="13" cm="1">
        <f t="array" ref="J102">INDEX(GMWQ!$A$2:$NF$60,MATCH(1,(GMWQ!$NE$2:$NE$60=J$3)*(GMWQ!$ND$2:$ND$60=J$4)*(GMWQ!$NF$2:$NF$60=J$1),0),$E102-1966)</f>
        <v>232461</v>
      </c>
      <c r="K102" s="13" cm="1">
        <f t="array" ref="K102">INDEX(GMWQ!$A$2:$NF$60,MATCH(1,(GMWQ!$NE$2:$NE$60=K$3)*(GMWQ!$ND$2:$ND$60=K$4)*(GMWQ!$NF$2:$NF$60=K$1),0),$E102-1966)</f>
        <v>88882</v>
      </c>
      <c r="L102" s="13" cm="1">
        <f t="array" ref="L102">INDEX(GMWQ!$A$2:$NF$60,MATCH(1,(GMWQ!$NE$2:$NE$60=L$3)*(GMWQ!$ND$2:$ND$60=L$4)*(GMWQ!$NF$2:$NF$60=L$1),0),$E102-1966)</f>
        <v>154146</v>
      </c>
      <c r="M102" s="13" cm="1">
        <f t="array" ref="M102">INDEX(GMWQ!$A$2:$NF$60,MATCH(1,(GMWQ!$NE$2:$NE$60=M$3)*(GMWQ!$ND$2:$ND$60=M$4)*(GMWQ!$NF$2:$NF$60=M$1),0),$E102-1966)</f>
        <v>245800</v>
      </c>
      <c r="N102" s="13" cm="1">
        <f t="array" ref="N102">INDEX(GMWQ!$A$2:$NF$60,MATCH(1,(GMWQ!$NE$2:$NE$60=N$3)*(GMWQ!$ND$2:$ND$60=N$4)*(GMWQ!$NF$2:$NF$60=N$1),0),$E102-1966)</f>
        <v>63.442030000000003</v>
      </c>
    </row>
    <row r="103" spans="1:14" x14ac:dyDescent="0.25">
      <c r="A103" s="13">
        <v>1997</v>
      </c>
      <c r="B103" s="13">
        <f t="shared" si="8"/>
        <v>1997</v>
      </c>
      <c r="C103" s="13">
        <f t="shared" si="8"/>
        <v>1996</v>
      </c>
      <c r="D103" s="13">
        <f t="shared" si="8"/>
        <v>1996</v>
      </c>
      <c r="E103" s="13">
        <f t="shared" si="5"/>
        <v>2069</v>
      </c>
      <c r="F103" s="13" cm="1">
        <f t="array" ref="F103">INDEX(GMWQ!$A$2:$NF$60,MATCH(1,(GMWQ!$NE$2:$NE$60=F$3)*(GMWQ!$ND$2:$ND$60=F$4)*(GMWQ!$NF$2:$NF$60=F$1),0),$E103-1966)</f>
        <v>71.376000000000005</v>
      </c>
      <c r="G103" s="13" cm="1">
        <f t="array" ref="G103">INDEX(GMWQ!$A$2:$NF$60,MATCH(1,(GMWQ!$NE$2:$NE$60=G$3)*(GMWQ!$ND$2:$ND$60=G$4)*(GMWQ!$NF$2:$NF$60=G$1),0),$E103-1966)</f>
        <v>7219</v>
      </c>
      <c r="H103" s="13" cm="1">
        <f t="array" ref="H103">INDEX(GMWQ!$A$2:$NF$60,MATCH(1,(GMWQ!$NE$2:$NE$60=H$3)*(GMWQ!$ND$2:$ND$60=H$4)*(GMWQ!$NF$2:$NF$60=H$1),0),$E103-1966)</f>
        <v>253.93029999999999</v>
      </c>
      <c r="I103" s="13" cm="1">
        <f t="array" ref="I103">INDEX(GMWQ!$A$2:$NF$60,MATCH(1,(GMWQ!$NE$2:$NE$60=I$3)*(GMWQ!$ND$2:$ND$60=I$4)*(GMWQ!$NF$2:$NF$60=I$1),0),$E103-1966)</f>
        <v>58562</v>
      </c>
      <c r="J103" s="13" cm="1">
        <f t="array" ref="J103">INDEX(GMWQ!$A$2:$NF$60,MATCH(1,(GMWQ!$NE$2:$NE$60=J$3)*(GMWQ!$ND$2:$ND$60=J$4)*(GMWQ!$NF$2:$NF$60=J$1),0),$E103-1966)</f>
        <v>232749</v>
      </c>
      <c r="K103" s="13" cm="1">
        <f t="array" ref="K103">INDEX(GMWQ!$A$2:$NF$60,MATCH(1,(GMWQ!$NE$2:$NE$60=K$3)*(GMWQ!$ND$2:$ND$60=K$4)*(GMWQ!$NF$2:$NF$60=K$1),0),$E103-1966)</f>
        <v>92102</v>
      </c>
      <c r="L103" s="13" cm="1">
        <f t="array" ref="L103">INDEX(GMWQ!$A$2:$NF$60,MATCH(1,(GMWQ!$NE$2:$NE$60=L$3)*(GMWQ!$ND$2:$ND$60=L$4)*(GMWQ!$NF$2:$NF$60=L$1),0),$E103-1966)</f>
        <v>156641</v>
      </c>
      <c r="M103" s="13" cm="1">
        <f t="array" ref="M103">INDEX(GMWQ!$A$2:$NF$60,MATCH(1,(GMWQ!$NE$2:$NE$60=M$3)*(GMWQ!$ND$2:$ND$60=M$4)*(GMWQ!$NF$2:$NF$60=M$1),0),$E103-1966)</f>
        <v>249558</v>
      </c>
      <c r="N103" s="13" cm="1">
        <f t="array" ref="N103">INDEX(GMWQ!$A$2:$NF$60,MATCH(1,(GMWQ!$NE$2:$NE$60=N$3)*(GMWQ!$ND$2:$ND$60=N$4)*(GMWQ!$NF$2:$NF$60=N$1),0),$E103-1966)</f>
        <v>63.580829999999999</v>
      </c>
    </row>
    <row r="104" spans="1:14" x14ac:dyDescent="0.25">
      <c r="B104" s="13">
        <f t="shared" si="8"/>
        <v>1997</v>
      </c>
      <c r="C104" s="13">
        <f t="shared" si="8"/>
        <v>1997</v>
      </c>
      <c r="E104" s="13">
        <f t="shared" si="5"/>
        <v>2070</v>
      </c>
      <c r="F104" s="13" cm="1">
        <f t="array" ref="F104">INDEX(GMWQ!$A$2:$NF$60,MATCH(1,(GMWQ!$NE$2:$NE$60=F$3)*(GMWQ!$ND$2:$ND$60=F$4)*(GMWQ!$NF$2:$NF$60=F$1),0),$E104-1966)</f>
        <v>72.359440000000006</v>
      </c>
      <c r="G104" s="13" cm="1">
        <f t="array" ref="G104">INDEX(GMWQ!$A$2:$NF$60,MATCH(1,(GMWQ!$NE$2:$NE$60=G$3)*(GMWQ!$ND$2:$ND$60=G$4)*(GMWQ!$NF$2:$NF$60=G$1),0),$E104-1966)</f>
        <v>7704</v>
      </c>
      <c r="H104" s="13" cm="1">
        <f t="array" ref="H104">INDEX(GMWQ!$A$2:$NF$60,MATCH(1,(GMWQ!$NE$2:$NE$60=H$3)*(GMWQ!$ND$2:$ND$60=H$4)*(GMWQ!$NF$2:$NF$60=H$1),0),$E104-1966)</f>
        <v>259.93700000000001</v>
      </c>
      <c r="I104" s="13" cm="1">
        <f t="array" ref="I104">INDEX(GMWQ!$A$2:$NF$60,MATCH(1,(GMWQ!$NE$2:$NE$60=I$3)*(GMWQ!$ND$2:$ND$60=I$4)*(GMWQ!$NF$2:$NF$60=I$1),0),$E104-1966)</f>
        <v>56887</v>
      </c>
      <c r="J104" s="13" cm="1">
        <f t="array" ref="J104">INDEX(GMWQ!$A$2:$NF$60,MATCH(1,(GMWQ!$NE$2:$NE$60=J$3)*(GMWQ!$ND$2:$ND$60=J$4)*(GMWQ!$NF$2:$NF$60=J$1),0),$E104-1966)</f>
        <v>235998</v>
      </c>
      <c r="K104" s="13" cm="1">
        <f t="array" ref="K104">INDEX(GMWQ!$A$2:$NF$60,MATCH(1,(GMWQ!$NE$2:$NE$60=K$3)*(GMWQ!$ND$2:$ND$60=K$4)*(GMWQ!$NF$2:$NF$60=K$1),0),$E104-1966)</f>
        <v>94136</v>
      </c>
      <c r="L104" s="13" cm="1">
        <f t="array" ref="L104">INDEX(GMWQ!$A$2:$NF$60,MATCH(1,(GMWQ!$NE$2:$NE$60=L$3)*(GMWQ!$ND$2:$ND$60=L$4)*(GMWQ!$NF$2:$NF$60=L$1),0),$E104-1966)</f>
        <v>159690</v>
      </c>
      <c r="M104" s="13" cm="1">
        <f t="array" ref="M104">INDEX(GMWQ!$A$2:$NF$60,MATCH(1,(GMWQ!$NE$2:$NE$60=M$3)*(GMWQ!$ND$2:$ND$60=M$4)*(GMWQ!$NF$2:$NF$60=M$1),0),$E104-1966)</f>
        <v>251781</v>
      </c>
      <c r="N104" s="13" cm="1">
        <f t="array" ref="N104">INDEX(GMWQ!$A$2:$NF$60,MATCH(1,(GMWQ!$NE$2:$NE$60=N$3)*(GMWQ!$ND$2:$ND$60=N$4)*(GMWQ!$NF$2:$NF$60=N$1),0),$E104-1966)</f>
        <v>64.262900000000002</v>
      </c>
    </row>
    <row r="105" spans="1:14" x14ac:dyDescent="0.25">
      <c r="B105" s="13">
        <f t="shared" si="8"/>
        <v>1997</v>
      </c>
      <c r="C105" s="13">
        <f t="shared" si="8"/>
        <v>1997</v>
      </c>
      <c r="E105" s="13">
        <f t="shared" si="5"/>
        <v>2071</v>
      </c>
      <c r="F105" s="13" cm="1">
        <f t="array" ref="F105">INDEX(GMWQ!$A$2:$NF$60,MATCH(1,(GMWQ!$NE$2:$NE$60=F$3)*(GMWQ!$ND$2:$ND$60=F$4)*(GMWQ!$NF$2:$NF$60=F$1),0),$E105-1966)</f>
        <v>73.215940000000003</v>
      </c>
      <c r="G105" s="13" cm="1">
        <f t="array" ref="G105">INDEX(GMWQ!$A$2:$NF$60,MATCH(1,(GMWQ!$NE$2:$NE$60=G$3)*(GMWQ!$ND$2:$ND$60=G$4)*(GMWQ!$NF$2:$NF$60=G$1),0),$E105-1966)</f>
        <v>8050</v>
      </c>
      <c r="H105" s="13" cm="1">
        <f t="array" ref="H105">INDEX(GMWQ!$A$2:$NF$60,MATCH(1,(GMWQ!$NE$2:$NE$60=H$3)*(GMWQ!$ND$2:$ND$60=H$4)*(GMWQ!$NF$2:$NF$60=H$1),0),$E105-1966)</f>
        <v>264.79160000000002</v>
      </c>
      <c r="I105" s="13" cm="1">
        <f t="array" ref="I105">INDEX(GMWQ!$A$2:$NF$60,MATCH(1,(GMWQ!$NE$2:$NE$60=I$3)*(GMWQ!$ND$2:$ND$60=I$4)*(GMWQ!$NF$2:$NF$60=I$1),0),$E105-1966)</f>
        <v>61702</v>
      </c>
      <c r="J105" s="13" cm="1">
        <f t="array" ref="J105">INDEX(GMWQ!$A$2:$NF$60,MATCH(1,(GMWQ!$NE$2:$NE$60=J$3)*(GMWQ!$ND$2:$ND$60=J$4)*(GMWQ!$NF$2:$NF$60=J$1),0),$E105-1966)</f>
        <v>243388</v>
      </c>
      <c r="K105" s="13" cm="1">
        <f t="array" ref="K105">INDEX(GMWQ!$A$2:$NF$60,MATCH(1,(GMWQ!$NE$2:$NE$60=K$3)*(GMWQ!$ND$2:$ND$60=K$4)*(GMWQ!$NF$2:$NF$60=K$1),0),$E105-1966)</f>
        <v>95889</v>
      </c>
      <c r="L105" s="13" cm="1">
        <f t="array" ref="L105">INDEX(GMWQ!$A$2:$NF$60,MATCH(1,(GMWQ!$NE$2:$NE$60=L$3)*(GMWQ!$ND$2:$ND$60=L$4)*(GMWQ!$NF$2:$NF$60=L$1),0),$E105-1966)</f>
        <v>162111</v>
      </c>
      <c r="M105" s="13" cm="1">
        <f t="array" ref="M105">INDEX(GMWQ!$A$2:$NF$60,MATCH(1,(GMWQ!$NE$2:$NE$60=M$3)*(GMWQ!$ND$2:$ND$60=M$4)*(GMWQ!$NF$2:$NF$60=M$1),0),$E105-1966)</f>
        <v>254358</v>
      </c>
      <c r="N105" s="13" cm="1">
        <f t="array" ref="N105">INDEX(GMWQ!$A$2:$NF$60,MATCH(1,(GMWQ!$NE$2:$NE$60=N$3)*(GMWQ!$ND$2:$ND$60=N$4)*(GMWQ!$NF$2:$NF$60=N$1),0),$E105-1966)</f>
        <v>64.613010000000003</v>
      </c>
    </row>
    <row r="106" spans="1:14" x14ac:dyDescent="0.25">
      <c r="B106" s="13">
        <f t="shared" si="8"/>
        <v>1997</v>
      </c>
      <c r="C106" s="13">
        <f t="shared" si="8"/>
        <v>1997</v>
      </c>
      <c r="E106" s="13">
        <f t="shared" si="5"/>
        <v>2072</v>
      </c>
      <c r="F106" s="13" cm="1">
        <f t="array" ref="F106">INDEX(GMWQ!$A$2:$NF$60,MATCH(1,(GMWQ!$NE$2:$NE$60=F$3)*(GMWQ!$ND$2:$ND$60=F$4)*(GMWQ!$NF$2:$NF$60=F$1),0),$E106-1966)</f>
        <v>72.752009999999999</v>
      </c>
      <c r="G106" s="13" cm="1">
        <f t="array" ref="G106">INDEX(GMWQ!$A$2:$NF$60,MATCH(1,(GMWQ!$NE$2:$NE$60=G$3)*(GMWQ!$ND$2:$ND$60=G$4)*(GMWQ!$NF$2:$NF$60=G$1),0),$E106-1966)</f>
        <v>8065</v>
      </c>
      <c r="H106" s="13" cm="1">
        <f t="array" ref="H106">INDEX(GMWQ!$A$2:$NF$60,MATCH(1,(GMWQ!$NE$2:$NE$60=H$3)*(GMWQ!$ND$2:$ND$60=H$4)*(GMWQ!$NF$2:$NF$60=H$1),0),$E106-1966)</f>
        <v>268.61829999999998</v>
      </c>
      <c r="I106" s="13" cm="1">
        <f t="array" ref="I106">INDEX(GMWQ!$A$2:$NF$60,MATCH(1,(GMWQ!$NE$2:$NE$60=I$3)*(GMWQ!$ND$2:$ND$60=I$4)*(GMWQ!$NF$2:$NF$60=I$1),0),$E106-1966)</f>
        <v>57396</v>
      </c>
      <c r="J106" s="13" cm="1">
        <f t="array" ref="J106">INDEX(GMWQ!$A$2:$NF$60,MATCH(1,(GMWQ!$NE$2:$NE$60=J$3)*(GMWQ!$ND$2:$ND$60=J$4)*(GMWQ!$NF$2:$NF$60=J$1),0),$E106-1966)</f>
        <v>241270</v>
      </c>
      <c r="K106" s="13" cm="1">
        <f t="array" ref="K106">INDEX(GMWQ!$A$2:$NF$60,MATCH(1,(GMWQ!$NE$2:$NE$60=K$3)*(GMWQ!$ND$2:$ND$60=K$4)*(GMWQ!$NF$2:$NF$60=K$1),0),$E106-1966)</f>
        <v>96781</v>
      </c>
      <c r="L106" s="13" cm="1">
        <f t="array" ref="L106">INDEX(GMWQ!$A$2:$NF$60,MATCH(1,(GMWQ!$NE$2:$NE$60=L$3)*(GMWQ!$ND$2:$ND$60=L$4)*(GMWQ!$NF$2:$NF$60=L$1),0),$E106-1966)</f>
        <v>160529</v>
      </c>
      <c r="M106" s="13" cm="1">
        <f t="array" ref="M106">INDEX(GMWQ!$A$2:$NF$60,MATCH(1,(GMWQ!$NE$2:$NE$60=M$3)*(GMWQ!$ND$2:$ND$60=M$4)*(GMWQ!$NF$2:$NF$60=M$1),0),$E106-1966)</f>
        <v>253468</v>
      </c>
      <c r="N106" s="13" cm="1">
        <f t="array" ref="N106">INDEX(GMWQ!$A$2:$NF$60,MATCH(1,(GMWQ!$NE$2:$NE$60=N$3)*(GMWQ!$ND$2:$ND$60=N$4)*(GMWQ!$NF$2:$NF$60=N$1),0),$E106-1966)</f>
        <v>64.192869999999999</v>
      </c>
    </row>
    <row r="107" spans="1:14" x14ac:dyDescent="0.25">
      <c r="A107" s="13">
        <v>1998</v>
      </c>
      <c r="B107" s="13">
        <f t="shared" si="8"/>
        <v>1998</v>
      </c>
      <c r="C107" s="13">
        <f t="shared" si="8"/>
        <v>1997</v>
      </c>
      <c r="D107" s="13">
        <f t="shared" si="8"/>
        <v>1997</v>
      </c>
      <c r="E107" s="13">
        <f t="shared" si="5"/>
        <v>2073</v>
      </c>
      <c r="F107" s="13" cm="1">
        <f t="array" ref="F107">INDEX(GMWQ!$A$2:$NF$60,MATCH(1,(GMWQ!$NE$2:$NE$60=F$3)*(GMWQ!$ND$2:$ND$60=F$4)*(GMWQ!$NF$2:$NF$60=F$1),0),$E107-1966)</f>
        <v>72.372510000000005</v>
      </c>
      <c r="G107" s="13" cm="1">
        <f t="array" ref="G107">INDEX(GMWQ!$A$2:$NF$60,MATCH(1,(GMWQ!$NE$2:$NE$60=G$3)*(GMWQ!$ND$2:$ND$60=G$4)*(GMWQ!$NF$2:$NF$60=G$1),0),$E107-1966)</f>
        <v>7887</v>
      </c>
      <c r="H107" s="13" cm="1">
        <f t="array" ref="H107">INDEX(GMWQ!$A$2:$NF$60,MATCH(1,(GMWQ!$NE$2:$NE$60=H$3)*(GMWQ!$ND$2:$ND$60=H$4)*(GMWQ!$NF$2:$NF$60=H$1),0),$E107-1966)</f>
        <v>269.56689999999998</v>
      </c>
      <c r="I107" s="13" cm="1">
        <f t="array" ref="I107">INDEX(GMWQ!$A$2:$NF$60,MATCH(1,(GMWQ!$NE$2:$NE$60=I$3)*(GMWQ!$ND$2:$ND$60=I$4)*(GMWQ!$NF$2:$NF$60=I$1),0),$E107-1966)</f>
        <v>61415</v>
      </c>
      <c r="J107" s="13" cm="1">
        <f t="array" ref="J107">INDEX(GMWQ!$A$2:$NF$60,MATCH(1,(GMWQ!$NE$2:$NE$60=J$3)*(GMWQ!$ND$2:$ND$60=J$4)*(GMWQ!$NF$2:$NF$60=J$1),0),$E107-1966)</f>
        <v>245958</v>
      </c>
      <c r="K107" s="13" cm="1">
        <f t="array" ref="K107">INDEX(GMWQ!$A$2:$NF$60,MATCH(1,(GMWQ!$NE$2:$NE$60=K$3)*(GMWQ!$ND$2:$ND$60=K$4)*(GMWQ!$NF$2:$NF$60=K$1),0),$E107-1966)</f>
        <v>97162</v>
      </c>
      <c r="L107" s="13" cm="1">
        <f t="array" ref="L107">INDEX(GMWQ!$A$2:$NF$60,MATCH(1,(GMWQ!$NE$2:$NE$60=L$3)*(GMWQ!$ND$2:$ND$60=L$4)*(GMWQ!$NF$2:$NF$60=L$1),0),$E107-1966)</f>
        <v>161179</v>
      </c>
      <c r="M107" s="13" cm="1">
        <f t="array" ref="M107">INDEX(GMWQ!$A$2:$NF$60,MATCH(1,(GMWQ!$NE$2:$NE$60=M$3)*(GMWQ!$ND$2:$ND$60=M$4)*(GMWQ!$NF$2:$NF$60=M$1),0),$E107-1966)</f>
        <v>253069</v>
      </c>
      <c r="N107" s="13" cm="1">
        <f t="array" ref="N107">INDEX(GMWQ!$A$2:$NF$60,MATCH(1,(GMWQ!$NE$2:$NE$60=N$3)*(GMWQ!$ND$2:$ND$60=N$4)*(GMWQ!$NF$2:$NF$60=N$1),0),$E107-1966)</f>
        <v>64.509810000000002</v>
      </c>
    </row>
    <row r="108" spans="1:14" x14ac:dyDescent="0.25">
      <c r="B108" s="13">
        <f t="shared" ref="B108:D123" si="9">+B104+1</f>
        <v>1998</v>
      </c>
      <c r="C108" s="13">
        <f t="shared" si="9"/>
        <v>1998</v>
      </c>
      <c r="E108" s="13">
        <f t="shared" si="5"/>
        <v>2074</v>
      </c>
      <c r="F108" s="13" cm="1">
        <f t="array" ref="F108">INDEX(GMWQ!$A$2:$NF$60,MATCH(1,(GMWQ!$NE$2:$NE$60=F$3)*(GMWQ!$ND$2:$ND$60=F$4)*(GMWQ!$NF$2:$NF$60=F$1),0),$E108-1966)</f>
        <v>73.19435</v>
      </c>
      <c r="G108" s="13" cm="1">
        <f t="array" ref="G108">INDEX(GMWQ!$A$2:$NF$60,MATCH(1,(GMWQ!$NE$2:$NE$60=G$3)*(GMWQ!$ND$2:$ND$60=G$4)*(GMWQ!$NF$2:$NF$60=G$1),0),$E108-1966)</f>
        <v>8048</v>
      </c>
      <c r="H108" s="13" cm="1">
        <f t="array" ref="H108">INDEX(GMWQ!$A$2:$NF$60,MATCH(1,(GMWQ!$NE$2:$NE$60=H$3)*(GMWQ!$ND$2:$ND$60=H$4)*(GMWQ!$NF$2:$NF$60=H$1),0),$E108-1966)</f>
        <v>278.03019999999998</v>
      </c>
      <c r="I108" s="13" cm="1">
        <f t="array" ref="I108">INDEX(GMWQ!$A$2:$NF$60,MATCH(1,(GMWQ!$NE$2:$NE$60=I$3)*(GMWQ!$ND$2:$ND$60=I$4)*(GMWQ!$NF$2:$NF$60=I$1),0),$E108-1966)</f>
        <v>60315</v>
      </c>
      <c r="J108" s="13" cm="1">
        <f t="array" ref="J108">INDEX(GMWQ!$A$2:$NF$60,MATCH(1,(GMWQ!$NE$2:$NE$60=J$3)*(GMWQ!$ND$2:$ND$60=J$4)*(GMWQ!$NF$2:$NF$60=J$1),0),$E108-1966)</f>
        <v>248081</v>
      </c>
      <c r="K108" s="13" cm="1">
        <f t="array" ref="K108">INDEX(GMWQ!$A$2:$NF$60,MATCH(1,(GMWQ!$NE$2:$NE$60=K$3)*(GMWQ!$ND$2:$ND$60=K$4)*(GMWQ!$NF$2:$NF$60=K$1),0),$E108-1966)</f>
        <v>98670</v>
      </c>
      <c r="L108" s="13" cm="1">
        <f t="array" ref="L108">INDEX(GMWQ!$A$2:$NF$60,MATCH(1,(GMWQ!$NE$2:$NE$60=L$3)*(GMWQ!$ND$2:$ND$60=L$4)*(GMWQ!$NF$2:$NF$60=L$1),0),$E108-1966)</f>
        <v>163132</v>
      </c>
      <c r="M108" s="13" cm="1">
        <f t="array" ref="M108">INDEX(GMWQ!$A$2:$NF$60,MATCH(1,(GMWQ!$NE$2:$NE$60=M$3)*(GMWQ!$ND$2:$ND$60=M$4)*(GMWQ!$NF$2:$NF$60=M$1),0),$E108-1966)</f>
        <v>254576</v>
      </c>
      <c r="N108" s="13" cm="1">
        <f t="array" ref="N108">INDEX(GMWQ!$A$2:$NF$60,MATCH(1,(GMWQ!$NE$2:$NE$60=N$3)*(GMWQ!$ND$2:$ND$60=N$4)*(GMWQ!$NF$2:$NF$60=N$1),0),$E108-1966)</f>
        <v>64.882829999999998</v>
      </c>
    </row>
    <row r="109" spans="1:14" x14ac:dyDescent="0.25">
      <c r="B109" s="13">
        <f t="shared" si="9"/>
        <v>1998</v>
      </c>
      <c r="C109" s="13">
        <f t="shared" si="9"/>
        <v>1998</v>
      </c>
      <c r="E109" s="13">
        <f t="shared" si="5"/>
        <v>2075</v>
      </c>
      <c r="F109" s="13" cm="1">
        <f t="array" ref="F109">INDEX(GMWQ!$A$2:$NF$60,MATCH(1,(GMWQ!$NE$2:$NE$60=F$3)*(GMWQ!$ND$2:$ND$60=F$4)*(GMWQ!$NF$2:$NF$60=F$1),0),$E109-1966)</f>
        <v>74.333060000000003</v>
      </c>
      <c r="G109" s="13" cm="1">
        <f t="array" ref="G109">INDEX(GMWQ!$A$2:$NF$60,MATCH(1,(GMWQ!$NE$2:$NE$60=G$3)*(GMWQ!$ND$2:$ND$60=G$4)*(GMWQ!$NF$2:$NF$60=G$1),0),$E109-1966)</f>
        <v>8448</v>
      </c>
      <c r="H109" s="13" cm="1">
        <f t="array" ref="H109">INDEX(GMWQ!$A$2:$NF$60,MATCH(1,(GMWQ!$NE$2:$NE$60=H$3)*(GMWQ!$ND$2:$ND$60=H$4)*(GMWQ!$NF$2:$NF$60=H$1),0),$E109-1966)</f>
        <v>282.88189999999997</v>
      </c>
      <c r="I109" s="13" cm="1">
        <f t="array" ref="I109">INDEX(GMWQ!$A$2:$NF$60,MATCH(1,(GMWQ!$NE$2:$NE$60=I$3)*(GMWQ!$ND$2:$ND$60=I$4)*(GMWQ!$NF$2:$NF$60=I$1),0),$E109-1966)</f>
        <v>59247</v>
      </c>
      <c r="J109" s="13" cm="1">
        <f t="array" ref="J109">INDEX(GMWQ!$A$2:$NF$60,MATCH(1,(GMWQ!$NE$2:$NE$60=J$3)*(GMWQ!$ND$2:$ND$60=J$4)*(GMWQ!$NF$2:$NF$60=J$1),0),$E109-1966)</f>
        <v>250560</v>
      </c>
      <c r="K109" s="13" cm="1">
        <f t="array" ref="K109">INDEX(GMWQ!$A$2:$NF$60,MATCH(1,(GMWQ!$NE$2:$NE$60=K$3)*(GMWQ!$ND$2:$ND$60=K$4)*(GMWQ!$NF$2:$NF$60=K$1),0),$E109-1966)</f>
        <v>100519</v>
      </c>
      <c r="L109" s="13" cm="1">
        <f t="array" ref="L109">INDEX(GMWQ!$A$2:$NF$60,MATCH(1,(GMWQ!$NE$2:$NE$60=L$3)*(GMWQ!$ND$2:$ND$60=L$4)*(GMWQ!$NF$2:$NF$60=L$1),0),$E109-1966)</f>
        <v>163306</v>
      </c>
      <c r="M109" s="13" cm="1">
        <f t="array" ref="M109">INDEX(GMWQ!$A$2:$NF$60,MATCH(1,(GMWQ!$NE$2:$NE$60=M$3)*(GMWQ!$ND$2:$ND$60=M$4)*(GMWQ!$NF$2:$NF$60=M$1),0),$E109-1966)</f>
        <v>253636</v>
      </c>
      <c r="N109" s="13" cm="1">
        <f t="array" ref="N109">INDEX(GMWQ!$A$2:$NF$60,MATCH(1,(GMWQ!$NE$2:$NE$60=N$3)*(GMWQ!$ND$2:$ND$60=N$4)*(GMWQ!$NF$2:$NF$60=N$1),0),$E109-1966)</f>
        <v>65.287790000000001</v>
      </c>
    </row>
    <row r="110" spans="1:14" x14ac:dyDescent="0.25">
      <c r="B110" s="13">
        <f t="shared" si="9"/>
        <v>1998</v>
      </c>
      <c r="C110" s="13">
        <f t="shared" si="9"/>
        <v>1998</v>
      </c>
      <c r="E110" s="13">
        <f t="shared" si="5"/>
        <v>2076</v>
      </c>
      <c r="F110" s="13" cm="1">
        <f t="array" ref="F110">INDEX(GMWQ!$A$2:$NF$60,MATCH(1,(GMWQ!$NE$2:$NE$60=F$3)*(GMWQ!$ND$2:$ND$60=F$4)*(GMWQ!$NF$2:$NF$60=F$1),0),$E110-1966)</f>
        <v>74.287930000000003</v>
      </c>
      <c r="G110" s="13" cm="1">
        <f t="array" ref="G110">INDEX(GMWQ!$A$2:$NF$60,MATCH(1,(GMWQ!$NE$2:$NE$60=G$3)*(GMWQ!$ND$2:$ND$60=G$4)*(GMWQ!$NF$2:$NF$60=G$1),0),$E110-1966)</f>
        <v>8468</v>
      </c>
      <c r="H110" s="13" cm="1">
        <f t="array" ref="H110">INDEX(GMWQ!$A$2:$NF$60,MATCH(1,(GMWQ!$NE$2:$NE$60=H$3)*(GMWQ!$ND$2:$ND$60=H$4)*(GMWQ!$NF$2:$NF$60=H$1),0),$E110-1966)</f>
        <v>285.15710000000001</v>
      </c>
      <c r="I110" s="13" cm="1">
        <f t="array" ref="I110">INDEX(GMWQ!$A$2:$NF$60,MATCH(1,(GMWQ!$NE$2:$NE$60=I$3)*(GMWQ!$ND$2:$ND$60=I$4)*(GMWQ!$NF$2:$NF$60=I$1),0),$E110-1966)</f>
        <v>61018</v>
      </c>
      <c r="J110" s="13" cm="1">
        <f t="array" ref="J110">INDEX(GMWQ!$A$2:$NF$60,MATCH(1,(GMWQ!$NE$2:$NE$60=J$3)*(GMWQ!$ND$2:$ND$60=J$4)*(GMWQ!$NF$2:$NF$60=J$1),0),$E110-1966)</f>
        <v>253902</v>
      </c>
      <c r="K110" s="13" cm="1">
        <f t="array" ref="K110">INDEX(GMWQ!$A$2:$NF$60,MATCH(1,(GMWQ!$NE$2:$NE$60=K$3)*(GMWQ!$ND$2:$ND$60=K$4)*(GMWQ!$NF$2:$NF$60=K$1),0),$E110-1966)</f>
        <v>101058</v>
      </c>
      <c r="L110" s="13" cm="1">
        <f t="array" ref="L110">INDEX(GMWQ!$A$2:$NF$60,MATCH(1,(GMWQ!$NE$2:$NE$60=L$3)*(GMWQ!$ND$2:$ND$60=L$4)*(GMWQ!$NF$2:$NF$60=L$1),0),$E110-1966)</f>
        <v>166168</v>
      </c>
      <c r="M110" s="13" cm="1">
        <f t="array" ref="M110">INDEX(GMWQ!$A$2:$NF$60,MATCH(1,(GMWQ!$NE$2:$NE$60=M$3)*(GMWQ!$ND$2:$ND$60=M$4)*(GMWQ!$NF$2:$NF$60=M$1),0),$E110-1966)</f>
        <v>257028</v>
      </c>
      <c r="N110" s="13" cm="1">
        <f t="array" ref="N110">INDEX(GMWQ!$A$2:$NF$60,MATCH(1,(GMWQ!$NE$2:$NE$60=N$3)*(GMWQ!$ND$2:$ND$60=N$4)*(GMWQ!$NF$2:$NF$60=N$1),0),$E110-1966)</f>
        <v>65.436549999999997</v>
      </c>
    </row>
    <row r="111" spans="1:14" x14ac:dyDescent="0.25">
      <c r="A111" s="13">
        <v>1999</v>
      </c>
      <c r="B111" s="13">
        <f t="shared" si="9"/>
        <v>1999</v>
      </c>
      <c r="C111" s="13">
        <f t="shared" si="9"/>
        <v>1998</v>
      </c>
      <c r="D111" s="13">
        <f t="shared" si="9"/>
        <v>1998</v>
      </c>
      <c r="E111" s="13">
        <f t="shared" si="5"/>
        <v>2077</v>
      </c>
      <c r="F111" s="13" cm="1">
        <f t="array" ref="F111">INDEX(GMWQ!$A$2:$NF$60,MATCH(1,(GMWQ!$NE$2:$NE$60=F$3)*(GMWQ!$ND$2:$ND$60=F$4)*(GMWQ!$NF$2:$NF$60=F$1),0),$E111-1966)</f>
        <v>76.114940000000004</v>
      </c>
      <c r="G111" s="13" cm="1">
        <f t="array" ref="G111">INDEX(GMWQ!$A$2:$NF$60,MATCH(1,(GMWQ!$NE$2:$NE$60=G$3)*(GMWQ!$ND$2:$ND$60=G$4)*(GMWQ!$NF$2:$NF$60=G$1),0),$E111-1966)</f>
        <v>8757</v>
      </c>
      <c r="H111" s="13" cm="1">
        <f t="array" ref="H111">INDEX(GMWQ!$A$2:$NF$60,MATCH(1,(GMWQ!$NE$2:$NE$60=H$3)*(GMWQ!$ND$2:$ND$60=H$4)*(GMWQ!$NF$2:$NF$60=H$1),0),$E111-1966)</f>
        <v>284.69069999999999</v>
      </c>
      <c r="I111" s="13" cm="1">
        <f t="array" ref="I111">INDEX(GMWQ!$A$2:$NF$60,MATCH(1,(GMWQ!$NE$2:$NE$60=I$3)*(GMWQ!$ND$2:$ND$60=I$4)*(GMWQ!$NF$2:$NF$60=I$1),0),$E111-1966)</f>
        <v>58057</v>
      </c>
      <c r="J111" s="13" cm="1">
        <f t="array" ref="J111">INDEX(GMWQ!$A$2:$NF$60,MATCH(1,(GMWQ!$NE$2:$NE$60=J$3)*(GMWQ!$ND$2:$ND$60=J$4)*(GMWQ!$NF$2:$NF$60=J$1),0),$E111-1966)</f>
        <v>255903</v>
      </c>
      <c r="K111" s="13" cm="1">
        <f t="array" ref="K111">INDEX(GMWQ!$A$2:$NF$60,MATCH(1,(GMWQ!$NE$2:$NE$60=K$3)*(GMWQ!$ND$2:$ND$60=K$4)*(GMWQ!$NF$2:$NF$60=K$1),0),$E111-1966)</f>
        <v>103815</v>
      </c>
      <c r="L111" s="13" cm="1">
        <f t="array" ref="L111">INDEX(GMWQ!$A$2:$NF$60,MATCH(1,(GMWQ!$NE$2:$NE$60=L$3)*(GMWQ!$ND$2:$ND$60=L$4)*(GMWQ!$NF$2:$NF$60=L$1),0),$E111-1966)</f>
        <v>165049</v>
      </c>
      <c r="M111" s="13" cm="1">
        <f t="array" ref="M111">INDEX(GMWQ!$A$2:$NF$60,MATCH(1,(GMWQ!$NE$2:$NE$60=M$3)*(GMWQ!$ND$2:$ND$60=M$4)*(GMWQ!$NF$2:$NF$60=M$1),0),$E111-1966)</f>
        <v>254037</v>
      </c>
      <c r="N111" s="13" cm="1">
        <f t="array" ref="N111">INDEX(GMWQ!$A$2:$NF$60,MATCH(1,(GMWQ!$NE$2:$NE$60=N$3)*(GMWQ!$ND$2:$ND$60=N$4)*(GMWQ!$NF$2:$NF$60=N$1),0),$E111-1966)</f>
        <v>65.678430000000006</v>
      </c>
    </row>
    <row r="112" spans="1:14" x14ac:dyDescent="0.25">
      <c r="B112" s="13">
        <f t="shared" si="9"/>
        <v>1999</v>
      </c>
      <c r="C112" s="13">
        <f t="shared" si="9"/>
        <v>1999</v>
      </c>
      <c r="E112" s="13">
        <f t="shared" si="5"/>
        <v>2078</v>
      </c>
      <c r="F112" s="13" cm="1">
        <f t="array" ref="F112">INDEX(GMWQ!$A$2:$NF$60,MATCH(1,(GMWQ!$NE$2:$NE$60=F$3)*(GMWQ!$ND$2:$ND$60=F$4)*(GMWQ!$NF$2:$NF$60=F$1),0),$E112-1966)</f>
        <v>77.443020000000004</v>
      </c>
      <c r="G112" s="13" cm="1">
        <f t="array" ref="G112">INDEX(GMWQ!$A$2:$NF$60,MATCH(1,(GMWQ!$NE$2:$NE$60=G$3)*(GMWQ!$ND$2:$ND$60=G$4)*(GMWQ!$NF$2:$NF$60=G$1),0),$E112-1966)</f>
        <v>8818</v>
      </c>
      <c r="H112" s="13" cm="1">
        <f t="array" ref="H112">INDEX(GMWQ!$A$2:$NF$60,MATCH(1,(GMWQ!$NE$2:$NE$60=H$3)*(GMWQ!$ND$2:$ND$60=H$4)*(GMWQ!$NF$2:$NF$60=H$1),0),$E112-1966)</f>
        <v>293.50729999999999</v>
      </c>
      <c r="I112" s="13" cm="1">
        <f t="array" ref="I112">INDEX(GMWQ!$A$2:$NF$60,MATCH(1,(GMWQ!$NE$2:$NE$60=I$3)*(GMWQ!$ND$2:$ND$60=I$4)*(GMWQ!$NF$2:$NF$60=I$1),0),$E112-1966)</f>
        <v>56566</v>
      </c>
      <c r="J112" s="13" cm="1">
        <f t="array" ref="J112">INDEX(GMWQ!$A$2:$NF$60,MATCH(1,(GMWQ!$NE$2:$NE$60=J$3)*(GMWQ!$ND$2:$ND$60=J$4)*(GMWQ!$NF$2:$NF$60=J$1),0),$E112-1966)</f>
        <v>258404</v>
      </c>
      <c r="K112" s="13" cm="1">
        <f t="array" ref="K112">INDEX(GMWQ!$A$2:$NF$60,MATCH(1,(GMWQ!$NE$2:$NE$60=K$3)*(GMWQ!$ND$2:$ND$60=K$4)*(GMWQ!$NF$2:$NF$60=K$1),0),$E112-1966)</f>
        <v>106514</v>
      </c>
      <c r="L112" s="13" cm="1">
        <f t="array" ref="L112">INDEX(GMWQ!$A$2:$NF$60,MATCH(1,(GMWQ!$NE$2:$NE$60=L$3)*(GMWQ!$ND$2:$ND$60=L$4)*(GMWQ!$NF$2:$NF$60=L$1),0),$E112-1966)</f>
        <v>172636</v>
      </c>
      <c r="M112" s="13" cm="1">
        <f t="array" ref="M112">INDEX(GMWQ!$A$2:$NF$60,MATCH(1,(GMWQ!$NE$2:$NE$60=M$3)*(GMWQ!$ND$2:$ND$60=M$4)*(GMWQ!$NF$2:$NF$60=M$1),0),$E112-1966)</f>
        <v>266557</v>
      </c>
      <c r="N112" s="13" cm="1">
        <f t="array" ref="N112">INDEX(GMWQ!$A$2:$NF$60,MATCH(1,(GMWQ!$NE$2:$NE$60=N$3)*(GMWQ!$ND$2:$ND$60=N$4)*(GMWQ!$NF$2:$NF$60=N$1),0),$E112-1966)</f>
        <v>65.559520000000006</v>
      </c>
    </row>
    <row r="113" spans="1:14" x14ac:dyDescent="0.25">
      <c r="B113" s="13">
        <f t="shared" si="9"/>
        <v>1999</v>
      </c>
      <c r="C113" s="13">
        <f t="shared" si="9"/>
        <v>1999</v>
      </c>
      <c r="E113" s="13">
        <f t="shared" ref="E113:E176" si="10">+E112+1</f>
        <v>2079</v>
      </c>
      <c r="F113" s="13" cm="1">
        <f t="array" ref="F113">INDEX(GMWQ!$A$2:$NF$60,MATCH(1,(GMWQ!$NE$2:$NE$60=F$3)*(GMWQ!$ND$2:$ND$60=F$4)*(GMWQ!$NF$2:$NF$60=F$1),0),$E113-1966)</f>
        <v>77.584969999999998</v>
      </c>
      <c r="G113" s="13" cm="1">
        <f t="array" ref="G113">INDEX(GMWQ!$A$2:$NF$60,MATCH(1,(GMWQ!$NE$2:$NE$60=G$3)*(GMWQ!$ND$2:$ND$60=G$4)*(GMWQ!$NF$2:$NF$60=G$1),0),$E113-1966)</f>
        <v>9094</v>
      </c>
      <c r="H113" s="13" cm="1">
        <f t="array" ref="H113">INDEX(GMWQ!$A$2:$NF$60,MATCH(1,(GMWQ!$NE$2:$NE$60=H$3)*(GMWQ!$ND$2:$ND$60=H$4)*(GMWQ!$NF$2:$NF$60=H$1),0),$E113-1966)</f>
        <v>299.82389999999998</v>
      </c>
      <c r="I113" s="13" cm="1">
        <f t="array" ref="I113">INDEX(GMWQ!$A$2:$NF$60,MATCH(1,(GMWQ!$NE$2:$NE$60=I$3)*(GMWQ!$ND$2:$ND$60=I$4)*(GMWQ!$NF$2:$NF$60=I$1),0),$E113-1966)</f>
        <v>55975</v>
      </c>
      <c r="J113" s="13" cm="1">
        <f t="array" ref="J113">INDEX(GMWQ!$A$2:$NF$60,MATCH(1,(GMWQ!$NE$2:$NE$60=J$3)*(GMWQ!$ND$2:$ND$60=J$4)*(GMWQ!$NF$2:$NF$60=J$1),0),$E113-1966)</f>
        <v>261604</v>
      </c>
      <c r="K113" s="13" cm="1">
        <f t="array" ref="K113">INDEX(GMWQ!$A$2:$NF$60,MATCH(1,(GMWQ!$NE$2:$NE$60=K$3)*(GMWQ!$ND$2:$ND$60=K$4)*(GMWQ!$NF$2:$NF$60=K$1),0),$E113-1966)</f>
        <v>108335</v>
      </c>
      <c r="L113" s="13" cm="1">
        <f t="array" ref="L113">INDEX(GMWQ!$A$2:$NF$60,MATCH(1,(GMWQ!$NE$2:$NE$60=L$3)*(GMWQ!$ND$2:$ND$60=L$4)*(GMWQ!$NF$2:$NF$60=L$1),0),$E113-1966)</f>
        <v>172330</v>
      </c>
      <c r="M113" s="13" cm="1">
        <f t="array" ref="M113">INDEX(GMWQ!$A$2:$NF$60,MATCH(1,(GMWQ!$NE$2:$NE$60=M$3)*(GMWQ!$ND$2:$ND$60=M$4)*(GMWQ!$NF$2:$NF$60=M$1),0),$E113-1966)</f>
        <v>267871</v>
      </c>
      <c r="N113" s="13" cm="1">
        <f t="array" ref="N113">INDEX(GMWQ!$A$2:$NF$60,MATCH(1,(GMWQ!$NE$2:$NE$60=N$3)*(GMWQ!$ND$2:$ND$60=N$4)*(GMWQ!$NF$2:$NF$60=N$1),0),$E113-1966)</f>
        <v>65.181330000000003</v>
      </c>
    </row>
    <row r="114" spans="1:14" x14ac:dyDescent="0.25">
      <c r="B114" s="13">
        <f t="shared" si="9"/>
        <v>1999</v>
      </c>
      <c r="C114" s="13">
        <f t="shared" si="9"/>
        <v>1999</v>
      </c>
      <c r="E114" s="13">
        <f t="shared" si="10"/>
        <v>2080</v>
      </c>
      <c r="F114" s="13" cm="1">
        <f t="array" ref="F114">INDEX(GMWQ!$A$2:$NF$60,MATCH(1,(GMWQ!$NE$2:$NE$60=F$3)*(GMWQ!$ND$2:$ND$60=F$4)*(GMWQ!$NF$2:$NF$60=F$1),0),$E114-1966)</f>
        <v>77.568190000000001</v>
      </c>
      <c r="G114" s="13" cm="1">
        <f t="array" ref="G114">INDEX(GMWQ!$A$2:$NF$60,MATCH(1,(GMWQ!$NE$2:$NE$60=G$3)*(GMWQ!$ND$2:$ND$60=G$4)*(GMWQ!$NF$2:$NF$60=G$1),0),$E114-1966)</f>
        <v>9184</v>
      </c>
      <c r="H114" s="13" cm="1">
        <f t="array" ref="H114">INDEX(GMWQ!$A$2:$NF$60,MATCH(1,(GMWQ!$NE$2:$NE$60=H$3)*(GMWQ!$ND$2:$ND$60=H$4)*(GMWQ!$NF$2:$NF$60=H$1),0),$E114-1966)</f>
        <v>303.68020000000001</v>
      </c>
      <c r="I114" s="13" cm="1">
        <f t="array" ref="I114">INDEX(GMWQ!$A$2:$NF$60,MATCH(1,(GMWQ!$NE$2:$NE$60=I$3)*(GMWQ!$ND$2:$ND$60=I$4)*(GMWQ!$NF$2:$NF$60=I$1),0),$E114-1966)</f>
        <v>59028</v>
      </c>
      <c r="J114" s="13" cm="1">
        <f t="array" ref="J114">INDEX(GMWQ!$A$2:$NF$60,MATCH(1,(GMWQ!$NE$2:$NE$60=J$3)*(GMWQ!$ND$2:$ND$60=J$4)*(GMWQ!$NF$2:$NF$60=J$1),0),$E114-1966)</f>
        <v>267337</v>
      </c>
      <c r="K114" s="13" cm="1">
        <f t="array" ref="K114">INDEX(GMWQ!$A$2:$NF$60,MATCH(1,(GMWQ!$NE$2:$NE$60=K$3)*(GMWQ!$ND$2:$ND$60=K$4)*(GMWQ!$NF$2:$NF$60=K$1),0),$E114-1966)</f>
        <v>109919</v>
      </c>
      <c r="L114" s="13" cm="1">
        <f t="array" ref="L114">INDEX(GMWQ!$A$2:$NF$60,MATCH(1,(GMWQ!$NE$2:$NE$60=L$3)*(GMWQ!$ND$2:$ND$60=L$4)*(GMWQ!$NF$2:$NF$60=L$1),0),$E114-1966)</f>
        <v>177162</v>
      </c>
      <c r="M114" s="13" cm="1">
        <f t="array" ref="M114">INDEX(GMWQ!$A$2:$NF$60,MATCH(1,(GMWQ!$NE$2:$NE$60=M$3)*(GMWQ!$ND$2:$ND$60=M$4)*(GMWQ!$NF$2:$NF$60=M$1),0),$E114-1966)</f>
        <v>274118</v>
      </c>
      <c r="N114" s="13" cm="1">
        <f t="array" ref="N114">INDEX(GMWQ!$A$2:$NF$60,MATCH(1,(GMWQ!$NE$2:$NE$60=N$3)*(GMWQ!$ND$2:$ND$60=N$4)*(GMWQ!$NF$2:$NF$60=N$1),0),$E114-1966)</f>
        <v>65.406419999999997</v>
      </c>
    </row>
    <row r="115" spans="1:14" x14ac:dyDescent="0.25">
      <c r="A115" s="13">
        <v>2000</v>
      </c>
      <c r="B115" s="13">
        <f t="shared" si="9"/>
        <v>2000</v>
      </c>
      <c r="C115" s="13">
        <f t="shared" si="9"/>
        <v>1999</v>
      </c>
      <c r="D115" s="13">
        <f t="shared" si="9"/>
        <v>1999</v>
      </c>
      <c r="E115" s="13">
        <f t="shared" si="10"/>
        <v>2081</v>
      </c>
      <c r="F115" s="13" cm="1">
        <f t="array" ref="F115">INDEX(GMWQ!$A$2:$NF$60,MATCH(1,(GMWQ!$NE$2:$NE$60=F$3)*(GMWQ!$ND$2:$ND$60=F$4)*(GMWQ!$NF$2:$NF$60=F$1),0),$E115-1966)</f>
        <v>77.594200000000001</v>
      </c>
      <c r="G115" s="13" cm="1">
        <f t="array" ref="G115">INDEX(GMWQ!$A$2:$NF$60,MATCH(1,(GMWQ!$NE$2:$NE$60=G$3)*(GMWQ!$ND$2:$ND$60=G$4)*(GMWQ!$NF$2:$NF$60=G$1),0),$E115-1966)</f>
        <v>9313</v>
      </c>
      <c r="H115" s="13" cm="1">
        <f t="array" ref="H115">INDEX(GMWQ!$A$2:$NF$60,MATCH(1,(GMWQ!$NE$2:$NE$60=H$3)*(GMWQ!$ND$2:$ND$60=H$4)*(GMWQ!$NF$2:$NF$60=H$1),0),$E115-1966)</f>
        <v>305.33330000000001</v>
      </c>
      <c r="I115" s="13" cm="1">
        <f t="array" ref="I115">INDEX(GMWQ!$A$2:$NF$60,MATCH(1,(GMWQ!$NE$2:$NE$60=I$3)*(GMWQ!$ND$2:$ND$60=I$4)*(GMWQ!$NF$2:$NF$60=I$1),0),$E115-1966)</f>
        <v>61022</v>
      </c>
      <c r="J115" s="13" cm="1">
        <f t="array" ref="J115">INDEX(GMWQ!$A$2:$NF$60,MATCH(1,(GMWQ!$NE$2:$NE$60=J$3)*(GMWQ!$ND$2:$ND$60=J$4)*(GMWQ!$NF$2:$NF$60=J$1),0),$E115-1966)</f>
        <v>272305</v>
      </c>
      <c r="K115" s="13" cm="1">
        <f t="array" ref="K115">INDEX(GMWQ!$A$2:$NF$60,MATCH(1,(GMWQ!$NE$2:$NE$60=K$3)*(GMWQ!$ND$2:$ND$60=K$4)*(GMWQ!$NF$2:$NF$60=K$1),0),$E115-1966)</f>
        <v>110532</v>
      </c>
      <c r="L115" s="13" cm="1">
        <f t="array" ref="L115">INDEX(GMWQ!$A$2:$NF$60,MATCH(1,(GMWQ!$NE$2:$NE$60=L$3)*(GMWQ!$ND$2:$ND$60=L$4)*(GMWQ!$NF$2:$NF$60=L$1),0),$E115-1966)</f>
        <v>178102</v>
      </c>
      <c r="M115" s="13" cm="1">
        <f t="array" ref="M115">INDEX(GMWQ!$A$2:$NF$60,MATCH(1,(GMWQ!$NE$2:$NE$60=M$3)*(GMWQ!$ND$2:$ND$60=M$4)*(GMWQ!$NF$2:$NF$60=M$1),0),$E115-1966)</f>
        <v>274370</v>
      </c>
      <c r="N115" s="13" cm="1">
        <f t="array" ref="N115">INDEX(GMWQ!$A$2:$NF$60,MATCH(1,(GMWQ!$NE$2:$NE$60=N$3)*(GMWQ!$ND$2:$ND$60=N$4)*(GMWQ!$NF$2:$NF$60=N$1),0),$E115-1966)</f>
        <v>65.636089999999996</v>
      </c>
    </row>
    <row r="116" spans="1:14" x14ac:dyDescent="0.25">
      <c r="B116" s="13">
        <f t="shared" si="9"/>
        <v>2000</v>
      </c>
      <c r="C116" s="13">
        <f t="shared" si="9"/>
        <v>2000</v>
      </c>
      <c r="E116" s="13">
        <f t="shared" si="10"/>
        <v>2082</v>
      </c>
      <c r="F116" s="13" cm="1">
        <f t="array" ref="F116">INDEX(GMWQ!$A$2:$NF$60,MATCH(1,(GMWQ!$NE$2:$NE$60=F$3)*(GMWQ!$ND$2:$ND$60=F$4)*(GMWQ!$NF$2:$NF$60=F$1),0),$E116-1966)</f>
        <v>78.701040000000006</v>
      </c>
      <c r="G116" s="13" cm="1">
        <f t="array" ref="G116">INDEX(GMWQ!$A$2:$NF$60,MATCH(1,(GMWQ!$NE$2:$NE$60=G$3)*(GMWQ!$ND$2:$ND$60=G$4)*(GMWQ!$NF$2:$NF$60=G$1),0),$E116-1966)</f>
        <v>9861</v>
      </c>
      <c r="H116" s="13" cm="1">
        <f t="array" ref="H116">INDEX(GMWQ!$A$2:$NF$60,MATCH(1,(GMWQ!$NE$2:$NE$60=H$3)*(GMWQ!$ND$2:$ND$60=H$4)*(GMWQ!$NF$2:$NF$60=H$1),0),$E116-1966)</f>
        <v>310.33330000000001</v>
      </c>
      <c r="I116" s="13" cm="1">
        <f t="array" ref="I116">INDEX(GMWQ!$A$2:$NF$60,MATCH(1,(GMWQ!$NE$2:$NE$60=I$3)*(GMWQ!$ND$2:$ND$60=I$4)*(GMWQ!$NF$2:$NF$60=I$1),0),$E116-1966)</f>
        <v>58869</v>
      </c>
      <c r="J116" s="13" cm="1">
        <f t="array" ref="J116">INDEX(GMWQ!$A$2:$NF$60,MATCH(1,(GMWQ!$NE$2:$NE$60=J$3)*(GMWQ!$ND$2:$ND$60=J$4)*(GMWQ!$NF$2:$NF$60=J$1),0),$E116-1966)</f>
        <v>273916</v>
      </c>
      <c r="K116" s="13" cm="1">
        <f t="array" ref="K116">INDEX(GMWQ!$A$2:$NF$60,MATCH(1,(GMWQ!$NE$2:$NE$60=K$3)*(GMWQ!$ND$2:$ND$60=K$4)*(GMWQ!$NF$2:$NF$60=K$1),0),$E116-1966)</f>
        <v>112629</v>
      </c>
      <c r="L116" s="13" cm="1">
        <f t="array" ref="L116">INDEX(GMWQ!$A$2:$NF$60,MATCH(1,(GMWQ!$NE$2:$NE$60=L$3)*(GMWQ!$ND$2:$ND$60=L$4)*(GMWQ!$NF$2:$NF$60=L$1),0),$E116-1966)</f>
        <v>179721</v>
      </c>
      <c r="M116" s="13" cm="1">
        <f t="array" ref="M116">INDEX(GMWQ!$A$2:$NF$60,MATCH(1,(GMWQ!$NE$2:$NE$60=M$3)*(GMWQ!$ND$2:$ND$60=M$4)*(GMWQ!$NF$2:$NF$60=M$1),0),$E116-1966)</f>
        <v>277466</v>
      </c>
      <c r="N116" s="13" cm="1">
        <f t="array" ref="N116">INDEX(GMWQ!$A$2:$NF$60,MATCH(1,(GMWQ!$NE$2:$NE$60=N$3)*(GMWQ!$ND$2:$ND$60=N$4)*(GMWQ!$NF$2:$NF$60=N$1),0),$E116-1966)</f>
        <v>65.484520000000003</v>
      </c>
    </row>
    <row r="117" spans="1:14" x14ac:dyDescent="0.25">
      <c r="B117" s="13">
        <f t="shared" si="9"/>
        <v>2000</v>
      </c>
      <c r="C117" s="13">
        <f t="shared" si="9"/>
        <v>2000</v>
      </c>
      <c r="E117" s="13">
        <f t="shared" si="10"/>
        <v>2083</v>
      </c>
      <c r="F117" s="13" cm="1">
        <f t="array" ref="F117">INDEX(GMWQ!$A$2:$NF$60,MATCH(1,(GMWQ!$NE$2:$NE$60=F$3)*(GMWQ!$ND$2:$ND$60=F$4)*(GMWQ!$NF$2:$NF$60=F$1),0),$E117-1966)</f>
        <v>79.935569999999998</v>
      </c>
      <c r="G117" s="13" cm="1">
        <f t="array" ref="G117">INDEX(GMWQ!$A$2:$NF$60,MATCH(1,(GMWQ!$NE$2:$NE$60=G$3)*(GMWQ!$ND$2:$ND$60=G$4)*(GMWQ!$NF$2:$NF$60=G$1),0),$E117-1966)</f>
        <v>9826</v>
      </c>
      <c r="H117" s="13" cm="1">
        <f t="array" ref="H117">INDEX(GMWQ!$A$2:$NF$60,MATCH(1,(GMWQ!$NE$2:$NE$60=H$3)*(GMWQ!$ND$2:$ND$60=H$4)*(GMWQ!$NF$2:$NF$60=H$1),0),$E117-1966)</f>
        <v>315</v>
      </c>
      <c r="I117" s="13" cm="1">
        <f t="array" ref="I117">INDEX(GMWQ!$A$2:$NF$60,MATCH(1,(GMWQ!$NE$2:$NE$60=I$3)*(GMWQ!$ND$2:$ND$60=I$4)*(GMWQ!$NF$2:$NF$60=I$1),0),$E117-1966)</f>
        <v>57825</v>
      </c>
      <c r="J117" s="13" cm="1">
        <f t="array" ref="J117">INDEX(GMWQ!$A$2:$NF$60,MATCH(1,(GMWQ!$NE$2:$NE$60=J$3)*(GMWQ!$ND$2:$ND$60=J$4)*(GMWQ!$NF$2:$NF$60=J$1),0),$E117-1966)</f>
        <v>276174</v>
      </c>
      <c r="K117" s="13" cm="1">
        <f t="array" ref="K117">INDEX(GMWQ!$A$2:$NF$60,MATCH(1,(GMWQ!$NE$2:$NE$60=K$3)*(GMWQ!$ND$2:$ND$60=K$4)*(GMWQ!$NF$2:$NF$60=K$1),0),$E117-1966)</f>
        <v>115403</v>
      </c>
      <c r="L117" s="13" cm="1">
        <f t="array" ref="L117">INDEX(GMWQ!$A$2:$NF$60,MATCH(1,(GMWQ!$NE$2:$NE$60=L$3)*(GMWQ!$ND$2:$ND$60=L$4)*(GMWQ!$NF$2:$NF$60=L$1),0),$E117-1966)</f>
        <v>183528</v>
      </c>
      <c r="M117" s="13" cm="1">
        <f t="array" ref="M117">INDEX(GMWQ!$A$2:$NF$60,MATCH(1,(GMWQ!$NE$2:$NE$60=M$3)*(GMWQ!$ND$2:$ND$60=M$4)*(GMWQ!$NF$2:$NF$60=M$1),0),$E117-1966)</f>
        <v>283106</v>
      </c>
      <c r="N117" s="13" cm="1">
        <f t="array" ref="N117">INDEX(GMWQ!$A$2:$NF$60,MATCH(1,(GMWQ!$NE$2:$NE$60=N$3)*(GMWQ!$ND$2:$ND$60=N$4)*(GMWQ!$NF$2:$NF$60=N$1),0),$E117-1966)</f>
        <v>65.551580000000001</v>
      </c>
    </row>
    <row r="118" spans="1:14" x14ac:dyDescent="0.25">
      <c r="B118" s="13">
        <f t="shared" si="9"/>
        <v>2000</v>
      </c>
      <c r="C118" s="13">
        <f t="shared" si="9"/>
        <v>2000</v>
      </c>
      <c r="E118" s="13">
        <f t="shared" si="10"/>
        <v>2084</v>
      </c>
      <c r="F118" s="13" cm="1">
        <f t="array" ref="F118">INDEX(GMWQ!$A$2:$NF$60,MATCH(1,(GMWQ!$NE$2:$NE$60=F$3)*(GMWQ!$ND$2:$ND$60=F$4)*(GMWQ!$NF$2:$NF$60=F$1),0),$E118-1966)</f>
        <v>81.523009999999999</v>
      </c>
      <c r="G118" s="13" cm="1">
        <f t="array" ref="G118">INDEX(GMWQ!$A$2:$NF$60,MATCH(1,(GMWQ!$NE$2:$NE$60=G$3)*(GMWQ!$ND$2:$ND$60=G$4)*(GMWQ!$NF$2:$NF$60=G$1),0),$E118-1966)</f>
        <v>10195</v>
      </c>
      <c r="H118" s="13" cm="1">
        <f t="array" ref="H118">INDEX(GMWQ!$A$2:$NF$60,MATCH(1,(GMWQ!$NE$2:$NE$60=H$3)*(GMWQ!$ND$2:$ND$60=H$4)*(GMWQ!$NF$2:$NF$60=H$1),0),$E118-1966)</f>
        <v>320.33330000000001</v>
      </c>
      <c r="I118" s="13" cm="1">
        <f t="array" ref="I118">INDEX(GMWQ!$A$2:$NF$60,MATCH(1,(GMWQ!$NE$2:$NE$60=I$3)*(GMWQ!$ND$2:$ND$60=I$4)*(GMWQ!$NF$2:$NF$60=I$1),0),$E118-1966)</f>
        <v>56273</v>
      </c>
      <c r="J118" s="13" cm="1">
        <f t="array" ref="J118">INDEX(GMWQ!$A$2:$NF$60,MATCH(1,(GMWQ!$NE$2:$NE$60=J$3)*(GMWQ!$ND$2:$ND$60=J$4)*(GMWQ!$NF$2:$NF$60=J$1),0),$E118-1966)</f>
        <v>278357</v>
      </c>
      <c r="K118" s="13" cm="1">
        <f t="array" ref="K118">INDEX(GMWQ!$A$2:$NF$60,MATCH(1,(GMWQ!$NE$2:$NE$60=K$3)*(GMWQ!$ND$2:$ND$60=K$4)*(GMWQ!$NF$2:$NF$60=K$1),0),$E118-1966)</f>
        <v>117809</v>
      </c>
      <c r="L118" s="13" cm="1">
        <f t="array" ref="L118">INDEX(GMWQ!$A$2:$NF$60,MATCH(1,(GMWQ!$NE$2:$NE$60=L$3)*(GMWQ!$ND$2:$ND$60=L$4)*(GMWQ!$NF$2:$NF$60=L$1),0),$E118-1966)</f>
        <v>186259</v>
      </c>
      <c r="M118" s="13" cm="1">
        <f t="array" ref="M118">INDEX(GMWQ!$A$2:$NF$60,MATCH(1,(GMWQ!$NE$2:$NE$60=M$3)*(GMWQ!$ND$2:$ND$60=M$4)*(GMWQ!$NF$2:$NF$60=M$1),0),$E118-1966)</f>
        <v>287523</v>
      </c>
      <c r="N118" s="13" cm="1">
        <f t="array" ref="N118">INDEX(GMWQ!$A$2:$NF$60,MATCH(1,(GMWQ!$NE$2:$NE$60=N$3)*(GMWQ!$ND$2:$ND$60=N$4)*(GMWQ!$NF$2:$NF$60=N$1),0),$E118-1966)</f>
        <v>65.450339999999997</v>
      </c>
    </row>
    <row r="119" spans="1:14" x14ac:dyDescent="0.25">
      <c r="A119" s="13">
        <v>2001</v>
      </c>
      <c r="B119" s="13">
        <f t="shared" si="9"/>
        <v>2001</v>
      </c>
      <c r="C119" s="13">
        <f t="shared" si="9"/>
        <v>2000</v>
      </c>
      <c r="D119" s="13">
        <f t="shared" si="9"/>
        <v>2000</v>
      </c>
      <c r="E119" s="13">
        <f t="shared" si="10"/>
        <v>2085</v>
      </c>
      <c r="F119" s="13" cm="1">
        <f t="array" ref="F119">INDEX(GMWQ!$A$2:$NF$60,MATCH(1,(GMWQ!$NE$2:$NE$60=F$3)*(GMWQ!$ND$2:$ND$60=F$4)*(GMWQ!$NF$2:$NF$60=F$1),0),$E119-1966)</f>
        <v>82.72627</v>
      </c>
      <c r="G119" s="13" cm="1">
        <f t="array" ref="G119">INDEX(GMWQ!$A$2:$NF$60,MATCH(1,(GMWQ!$NE$2:$NE$60=G$3)*(GMWQ!$ND$2:$ND$60=G$4)*(GMWQ!$NF$2:$NF$60=G$1),0),$E119-1966)</f>
        <v>10811</v>
      </c>
      <c r="H119" s="13" cm="1">
        <f t="array" ref="H119">INDEX(GMWQ!$A$2:$NF$60,MATCH(1,(GMWQ!$NE$2:$NE$60=H$3)*(GMWQ!$ND$2:$ND$60=H$4)*(GMWQ!$NF$2:$NF$60=H$1),0),$E119-1966)</f>
        <v>324</v>
      </c>
      <c r="I119" s="13" cm="1">
        <f t="array" ref="I119">INDEX(GMWQ!$A$2:$NF$60,MATCH(1,(GMWQ!$NE$2:$NE$60=I$3)*(GMWQ!$ND$2:$ND$60=I$4)*(GMWQ!$NF$2:$NF$60=I$1),0),$E119-1966)</f>
        <v>56614</v>
      </c>
      <c r="J119" s="13" cm="1">
        <f t="array" ref="J119">INDEX(GMWQ!$A$2:$NF$60,MATCH(1,(GMWQ!$NE$2:$NE$60=J$3)*(GMWQ!$ND$2:$ND$60=J$4)*(GMWQ!$NF$2:$NF$60=J$1),0),$E119-1966)</f>
        <v>282889</v>
      </c>
      <c r="K119" s="13" cm="1">
        <f t="array" ref="K119">INDEX(GMWQ!$A$2:$NF$60,MATCH(1,(GMWQ!$NE$2:$NE$60=K$3)*(GMWQ!$ND$2:$ND$60=K$4)*(GMWQ!$NF$2:$NF$60=K$1),0),$E119-1966)</f>
        <v>120543</v>
      </c>
      <c r="L119" s="13" cm="1">
        <f t="array" ref="L119">INDEX(GMWQ!$A$2:$NF$60,MATCH(1,(GMWQ!$NE$2:$NE$60=L$3)*(GMWQ!$ND$2:$ND$60=L$4)*(GMWQ!$NF$2:$NF$60=L$1),0),$E119-1966)</f>
        <v>189667</v>
      </c>
      <c r="M119" s="13" cm="1">
        <f t="array" ref="M119">INDEX(GMWQ!$A$2:$NF$60,MATCH(1,(GMWQ!$NE$2:$NE$60=M$3)*(GMWQ!$ND$2:$ND$60=M$4)*(GMWQ!$NF$2:$NF$60=M$1),0),$E119-1966)</f>
        <v>289476</v>
      </c>
      <c r="N119" s="13" cm="1">
        <f t="array" ref="N119">INDEX(GMWQ!$A$2:$NF$60,MATCH(1,(GMWQ!$NE$2:$NE$60=N$3)*(GMWQ!$ND$2:$ND$60=N$4)*(GMWQ!$NF$2:$NF$60=N$1),0),$E119-1966)</f>
        <v>66.186490000000006</v>
      </c>
    </row>
    <row r="120" spans="1:14" x14ac:dyDescent="0.25">
      <c r="B120" s="13">
        <f t="shared" si="9"/>
        <v>2001</v>
      </c>
      <c r="C120" s="13">
        <f t="shared" si="9"/>
        <v>2001</v>
      </c>
      <c r="E120" s="13">
        <f t="shared" si="10"/>
        <v>2086</v>
      </c>
      <c r="F120" s="13" cm="1">
        <f t="array" ref="F120">INDEX(GMWQ!$A$2:$NF$60,MATCH(1,(GMWQ!$NE$2:$NE$60=F$3)*(GMWQ!$ND$2:$ND$60=F$4)*(GMWQ!$NF$2:$NF$60=F$1),0),$E120-1966)</f>
        <v>82.110759999999999</v>
      </c>
      <c r="G120" s="13" cm="1">
        <f t="array" ref="G120">INDEX(GMWQ!$A$2:$NF$60,MATCH(1,(GMWQ!$NE$2:$NE$60=G$3)*(GMWQ!$ND$2:$ND$60=G$4)*(GMWQ!$NF$2:$NF$60=G$1),0),$E120-1966)</f>
        <v>9870</v>
      </c>
      <c r="H120" s="13" cm="1">
        <f t="array" ref="H120">INDEX(GMWQ!$A$2:$NF$60,MATCH(1,(GMWQ!$NE$2:$NE$60=H$3)*(GMWQ!$ND$2:$ND$60=H$4)*(GMWQ!$NF$2:$NF$60=H$1),0),$E120-1966)</f>
        <v>327</v>
      </c>
      <c r="I120" s="13" cm="1">
        <f t="array" ref="I120">INDEX(GMWQ!$A$2:$NF$60,MATCH(1,(GMWQ!$NE$2:$NE$60=I$3)*(GMWQ!$ND$2:$ND$60=I$4)*(GMWQ!$NF$2:$NF$60=I$1),0),$E120-1966)</f>
        <v>59422</v>
      </c>
      <c r="J120" s="13" cm="1">
        <f t="array" ref="J120">INDEX(GMWQ!$A$2:$NF$60,MATCH(1,(GMWQ!$NE$2:$NE$60=J$3)*(GMWQ!$ND$2:$ND$60=J$4)*(GMWQ!$NF$2:$NF$60=J$1),0),$E120-1966)</f>
        <v>286728</v>
      </c>
      <c r="K120" s="13" cm="1">
        <f t="array" ref="K120">INDEX(GMWQ!$A$2:$NF$60,MATCH(1,(GMWQ!$NE$2:$NE$60=K$3)*(GMWQ!$ND$2:$ND$60=K$4)*(GMWQ!$NF$2:$NF$60=K$1),0),$E120-1966)</f>
        <v>121007</v>
      </c>
      <c r="L120" s="13" cm="1">
        <f t="array" ref="L120">INDEX(GMWQ!$A$2:$NF$60,MATCH(1,(GMWQ!$NE$2:$NE$60=L$3)*(GMWQ!$ND$2:$ND$60=L$4)*(GMWQ!$NF$2:$NF$60=L$1),0),$E120-1966)</f>
        <v>188957</v>
      </c>
      <c r="M120" s="13" cm="1">
        <f t="array" ref="M120">INDEX(GMWQ!$A$2:$NF$60,MATCH(1,(GMWQ!$NE$2:$NE$60=M$3)*(GMWQ!$ND$2:$ND$60=M$4)*(GMWQ!$NF$2:$NF$60=M$1),0),$E120-1966)</f>
        <v>288052</v>
      </c>
      <c r="N120" s="13" cm="1">
        <f t="array" ref="N120">INDEX(GMWQ!$A$2:$NF$60,MATCH(1,(GMWQ!$NE$2:$NE$60=N$3)*(GMWQ!$ND$2:$ND$60=N$4)*(GMWQ!$NF$2:$NF$60=N$1),0),$E120-1966)</f>
        <v>66.201899999999995</v>
      </c>
    </row>
    <row r="121" spans="1:14" x14ac:dyDescent="0.25">
      <c r="B121" s="13">
        <f t="shared" si="9"/>
        <v>2001</v>
      </c>
      <c r="C121" s="13">
        <f t="shared" si="9"/>
        <v>2001</v>
      </c>
      <c r="E121" s="13">
        <f t="shared" si="10"/>
        <v>2087</v>
      </c>
      <c r="F121" s="13" cm="1">
        <f t="array" ref="F121">INDEX(GMWQ!$A$2:$NF$60,MATCH(1,(GMWQ!$NE$2:$NE$60=F$3)*(GMWQ!$ND$2:$ND$60=F$4)*(GMWQ!$NF$2:$NF$60=F$1),0),$E121-1966)</f>
        <v>82.220650000000006</v>
      </c>
      <c r="G121" s="13" cm="1">
        <f t="array" ref="G121">INDEX(GMWQ!$A$2:$NF$60,MATCH(1,(GMWQ!$NE$2:$NE$60=G$3)*(GMWQ!$ND$2:$ND$60=G$4)*(GMWQ!$NF$2:$NF$60=G$1),0),$E121-1966)</f>
        <v>10189</v>
      </c>
      <c r="H121" s="13" cm="1">
        <f t="array" ref="H121">INDEX(GMWQ!$A$2:$NF$60,MATCH(1,(GMWQ!$NE$2:$NE$60=H$3)*(GMWQ!$ND$2:$ND$60=H$4)*(GMWQ!$NF$2:$NF$60=H$1),0),$E121-1966)</f>
        <v>330</v>
      </c>
      <c r="I121" s="13" cm="1">
        <f t="array" ref="I121">INDEX(GMWQ!$A$2:$NF$60,MATCH(1,(GMWQ!$NE$2:$NE$60=I$3)*(GMWQ!$ND$2:$ND$60=I$4)*(GMWQ!$NF$2:$NF$60=I$1),0),$E121-1966)</f>
        <v>59828</v>
      </c>
      <c r="J121" s="13" cm="1">
        <f t="array" ref="J121">INDEX(GMWQ!$A$2:$NF$60,MATCH(1,(GMWQ!$NE$2:$NE$60=J$3)*(GMWQ!$ND$2:$ND$60=J$4)*(GMWQ!$NF$2:$NF$60=J$1),0),$E121-1966)</f>
        <v>288166</v>
      </c>
      <c r="K121" s="13" cm="1">
        <f t="array" ref="K121">INDEX(GMWQ!$A$2:$NF$60,MATCH(1,(GMWQ!$NE$2:$NE$60=K$3)*(GMWQ!$ND$2:$ND$60=K$4)*(GMWQ!$NF$2:$NF$60=K$1),0),$E121-1966)</f>
        <v>121622</v>
      </c>
      <c r="L121" s="13" cm="1">
        <f t="array" ref="L121">INDEX(GMWQ!$A$2:$NF$60,MATCH(1,(GMWQ!$NE$2:$NE$60=L$3)*(GMWQ!$ND$2:$ND$60=L$4)*(GMWQ!$NF$2:$NF$60=L$1),0),$E121-1966)</f>
        <v>190102</v>
      </c>
      <c r="M121" s="13" cm="1">
        <f t="array" ref="M121">INDEX(GMWQ!$A$2:$NF$60,MATCH(1,(GMWQ!$NE$2:$NE$60=M$3)*(GMWQ!$ND$2:$ND$60=M$4)*(GMWQ!$NF$2:$NF$60=M$1),0),$E121-1966)</f>
        <v>289545</v>
      </c>
      <c r="N121" s="13" cm="1">
        <f t="array" ref="N121">INDEX(GMWQ!$A$2:$NF$60,MATCH(1,(GMWQ!$NE$2:$NE$60=N$3)*(GMWQ!$ND$2:$ND$60=N$4)*(GMWQ!$NF$2:$NF$60=N$1),0),$E121-1966)</f>
        <v>66.264560000000003</v>
      </c>
    </row>
    <row r="122" spans="1:14" x14ac:dyDescent="0.25">
      <c r="B122" s="13">
        <f t="shared" si="9"/>
        <v>2001</v>
      </c>
      <c r="C122" s="13">
        <f t="shared" si="9"/>
        <v>2001</v>
      </c>
      <c r="E122" s="13">
        <f t="shared" si="10"/>
        <v>2088</v>
      </c>
      <c r="F122" s="13" cm="1">
        <f t="array" ref="F122">INDEX(GMWQ!$A$2:$NF$60,MATCH(1,(GMWQ!$NE$2:$NE$60=F$3)*(GMWQ!$ND$2:$ND$60=F$4)*(GMWQ!$NF$2:$NF$60=F$1),0),$E122-1966)</f>
        <v>82.690380000000005</v>
      </c>
      <c r="G122" s="13" cm="1">
        <f t="array" ref="G122">INDEX(GMWQ!$A$2:$NF$60,MATCH(1,(GMWQ!$NE$2:$NE$60=G$3)*(GMWQ!$ND$2:$ND$60=G$4)*(GMWQ!$NF$2:$NF$60=G$1),0),$E122-1966)</f>
        <v>10298</v>
      </c>
      <c r="H122" s="13" cm="1">
        <f t="array" ref="H122">INDEX(GMWQ!$A$2:$NF$60,MATCH(1,(GMWQ!$NE$2:$NE$60=H$3)*(GMWQ!$ND$2:$ND$60=H$4)*(GMWQ!$NF$2:$NF$60=H$1),0),$E122-1966)</f>
        <v>333.66669999999999</v>
      </c>
      <c r="I122" s="13" cm="1">
        <f t="array" ref="I122">INDEX(GMWQ!$A$2:$NF$60,MATCH(1,(GMWQ!$NE$2:$NE$60=I$3)*(GMWQ!$ND$2:$ND$60=I$4)*(GMWQ!$NF$2:$NF$60=I$1),0),$E122-1966)</f>
        <v>59188</v>
      </c>
      <c r="J122" s="13" cm="1">
        <f t="array" ref="J122">INDEX(GMWQ!$A$2:$NF$60,MATCH(1,(GMWQ!$NE$2:$NE$60=J$3)*(GMWQ!$ND$2:$ND$60=J$4)*(GMWQ!$NF$2:$NF$60=J$1),0),$E122-1966)</f>
        <v>288352</v>
      </c>
      <c r="K122" s="13" cm="1">
        <f t="array" ref="K122">INDEX(GMWQ!$A$2:$NF$60,MATCH(1,(GMWQ!$NE$2:$NE$60=K$3)*(GMWQ!$ND$2:$ND$60=K$4)*(GMWQ!$NF$2:$NF$60=K$1),0),$E122-1966)</f>
        <v>122776</v>
      </c>
      <c r="L122" s="13" cm="1">
        <f t="array" ref="L122">INDEX(GMWQ!$A$2:$NF$60,MATCH(1,(GMWQ!$NE$2:$NE$60=L$3)*(GMWQ!$ND$2:$ND$60=L$4)*(GMWQ!$NF$2:$NF$60=L$1),0),$E122-1966)</f>
        <v>191388</v>
      </c>
      <c r="M122" s="13" cm="1">
        <f t="array" ref="M122">INDEX(GMWQ!$A$2:$NF$60,MATCH(1,(GMWQ!$NE$2:$NE$60=M$3)*(GMWQ!$ND$2:$ND$60=M$4)*(GMWQ!$NF$2:$NF$60=M$1),0),$E122-1966)</f>
        <v>295002</v>
      </c>
      <c r="N122" s="13" cm="1">
        <f t="array" ref="N122">INDEX(GMWQ!$A$2:$NF$60,MATCH(1,(GMWQ!$NE$2:$NE$60=N$3)*(GMWQ!$ND$2:$ND$60=N$4)*(GMWQ!$NF$2:$NF$60=N$1),0),$E122-1966)</f>
        <v>65.423580000000001</v>
      </c>
    </row>
    <row r="123" spans="1:14" x14ac:dyDescent="0.25">
      <c r="A123" s="13">
        <v>2002</v>
      </c>
      <c r="B123" s="13">
        <f t="shared" si="9"/>
        <v>2002</v>
      </c>
      <c r="C123" s="13">
        <f t="shared" si="9"/>
        <v>2001</v>
      </c>
      <c r="D123" s="13">
        <f t="shared" si="9"/>
        <v>2001</v>
      </c>
      <c r="E123" s="13">
        <f t="shared" si="10"/>
        <v>2089</v>
      </c>
      <c r="F123" s="13" cm="1">
        <f t="array" ref="F123">INDEX(GMWQ!$A$2:$NF$60,MATCH(1,(GMWQ!$NE$2:$NE$60=F$3)*(GMWQ!$ND$2:$ND$60=F$4)*(GMWQ!$NF$2:$NF$60=F$1),0),$E123-1966)</f>
        <v>82.958079999999995</v>
      </c>
      <c r="G123" s="13" cm="1">
        <f t="array" ref="G123">INDEX(GMWQ!$A$2:$NF$60,MATCH(1,(GMWQ!$NE$2:$NE$60=G$3)*(GMWQ!$ND$2:$ND$60=G$4)*(GMWQ!$NF$2:$NF$60=G$1),0),$E123-1966)</f>
        <v>10629</v>
      </c>
      <c r="H123" s="13" cm="1">
        <f t="array" ref="H123">INDEX(GMWQ!$A$2:$NF$60,MATCH(1,(GMWQ!$NE$2:$NE$60=H$3)*(GMWQ!$ND$2:$ND$60=H$4)*(GMWQ!$NF$2:$NF$60=H$1),0),$E123-1966)</f>
        <v>333.66669999999999</v>
      </c>
      <c r="I123" s="13" cm="1">
        <f t="array" ref="I123">INDEX(GMWQ!$A$2:$NF$60,MATCH(1,(GMWQ!$NE$2:$NE$60=I$3)*(GMWQ!$ND$2:$ND$60=I$4)*(GMWQ!$NF$2:$NF$60=I$1),0),$E123-1966)</f>
        <v>60667</v>
      </c>
      <c r="J123" s="13" cm="1">
        <f t="array" ref="J123">INDEX(GMWQ!$A$2:$NF$60,MATCH(1,(GMWQ!$NE$2:$NE$60=J$3)*(GMWQ!$ND$2:$ND$60=J$4)*(GMWQ!$NF$2:$NF$60=J$1),0),$E123-1966)</f>
        <v>292486</v>
      </c>
      <c r="K123" s="13" cm="1">
        <f t="array" ref="K123">INDEX(GMWQ!$A$2:$NF$60,MATCH(1,(GMWQ!$NE$2:$NE$60=K$3)*(GMWQ!$ND$2:$ND$60=K$4)*(GMWQ!$NF$2:$NF$60=K$1),0),$E123-1966)</f>
        <v>123527</v>
      </c>
      <c r="L123" s="13" cm="1">
        <f t="array" ref="L123">INDEX(GMWQ!$A$2:$NF$60,MATCH(1,(GMWQ!$NE$2:$NE$60=L$3)*(GMWQ!$ND$2:$ND$60=L$4)*(GMWQ!$NF$2:$NF$60=L$1),0),$E123-1966)</f>
        <v>194378</v>
      </c>
      <c r="M123" s="13" cm="1">
        <f t="array" ref="M123">INDEX(GMWQ!$A$2:$NF$60,MATCH(1,(GMWQ!$NE$2:$NE$60=M$3)*(GMWQ!$ND$2:$ND$60=M$4)*(GMWQ!$NF$2:$NF$60=M$1),0),$E123-1966)</f>
        <v>295976</v>
      </c>
      <c r="N123" s="13" cm="1">
        <f t="array" ref="N123">INDEX(GMWQ!$A$2:$NF$60,MATCH(1,(GMWQ!$NE$2:$NE$60=N$3)*(GMWQ!$ND$2:$ND$60=N$4)*(GMWQ!$NF$2:$NF$60=N$1),0),$E123-1966)</f>
        <v>66.208780000000004</v>
      </c>
    </row>
    <row r="124" spans="1:14" x14ac:dyDescent="0.25">
      <c r="B124" s="13">
        <f t="shared" ref="B124:D139" si="11">+B120+1</f>
        <v>2002</v>
      </c>
      <c r="C124" s="13">
        <f t="shared" si="11"/>
        <v>2002</v>
      </c>
      <c r="E124" s="13">
        <f t="shared" si="10"/>
        <v>2090</v>
      </c>
      <c r="F124" s="13" cm="1">
        <f t="array" ref="F124">INDEX(GMWQ!$A$2:$NF$60,MATCH(1,(GMWQ!$NE$2:$NE$60=F$3)*(GMWQ!$ND$2:$ND$60=F$4)*(GMWQ!$NF$2:$NF$60=F$1),0),$E124-1966)</f>
        <v>82.72851</v>
      </c>
      <c r="G124" s="13" cm="1">
        <f t="array" ref="G124">INDEX(GMWQ!$A$2:$NF$60,MATCH(1,(GMWQ!$NE$2:$NE$60=G$3)*(GMWQ!$ND$2:$ND$60=G$4)*(GMWQ!$NF$2:$NF$60=G$1),0),$E124-1966)</f>
        <v>10379</v>
      </c>
      <c r="H124" s="13" cm="1">
        <f t="array" ref="H124">INDEX(GMWQ!$A$2:$NF$60,MATCH(1,(GMWQ!$NE$2:$NE$60=H$3)*(GMWQ!$ND$2:$ND$60=H$4)*(GMWQ!$NF$2:$NF$60=H$1),0),$E124-1966)</f>
        <v>339</v>
      </c>
      <c r="I124" s="13" cm="1">
        <f t="array" ref="I124">INDEX(GMWQ!$A$2:$NF$60,MATCH(1,(GMWQ!$NE$2:$NE$60=I$3)*(GMWQ!$ND$2:$ND$60=I$4)*(GMWQ!$NF$2:$NF$60=I$1),0),$E124-1966)</f>
        <v>62293</v>
      </c>
      <c r="J124" s="13" cm="1">
        <f t="array" ref="J124">INDEX(GMWQ!$A$2:$NF$60,MATCH(1,(GMWQ!$NE$2:$NE$60=J$3)*(GMWQ!$ND$2:$ND$60=J$4)*(GMWQ!$NF$2:$NF$60=J$1),0),$E124-1966)</f>
        <v>295516</v>
      </c>
      <c r="K124" s="13" cm="1">
        <f t="array" ref="K124">INDEX(GMWQ!$A$2:$NF$60,MATCH(1,(GMWQ!$NE$2:$NE$60=K$3)*(GMWQ!$ND$2:$ND$60=K$4)*(GMWQ!$NF$2:$NF$60=K$1),0),$E124-1966)</f>
        <v>123778</v>
      </c>
      <c r="L124" s="13" cm="1">
        <f t="array" ref="L124">INDEX(GMWQ!$A$2:$NF$60,MATCH(1,(GMWQ!$NE$2:$NE$60=L$3)*(GMWQ!$ND$2:$ND$60=L$4)*(GMWQ!$NF$2:$NF$60=L$1),0),$E124-1966)</f>
        <v>196467</v>
      </c>
      <c r="M124" s="13" cm="1">
        <f t="array" ref="M124">INDEX(GMWQ!$A$2:$NF$60,MATCH(1,(GMWQ!$NE$2:$NE$60=M$3)*(GMWQ!$ND$2:$ND$60=M$4)*(GMWQ!$NF$2:$NF$60=M$1),0),$E124-1966)</f>
        <v>298538</v>
      </c>
      <c r="N124" s="13" cm="1">
        <f t="array" ref="N124">INDEX(GMWQ!$A$2:$NF$60,MATCH(1,(GMWQ!$NE$2:$NE$60=N$3)*(GMWQ!$ND$2:$ND$60=N$4)*(GMWQ!$NF$2:$NF$60=N$1),0),$E124-1966)</f>
        <v>66.32405</v>
      </c>
    </row>
    <row r="125" spans="1:14" x14ac:dyDescent="0.25">
      <c r="B125" s="13">
        <f t="shared" si="11"/>
        <v>2002</v>
      </c>
      <c r="C125" s="13">
        <f t="shared" si="11"/>
        <v>2002</v>
      </c>
      <c r="E125" s="13">
        <f t="shared" si="10"/>
        <v>2091</v>
      </c>
      <c r="F125" s="13" cm="1">
        <f t="array" ref="F125">INDEX(GMWQ!$A$2:$NF$60,MATCH(1,(GMWQ!$NE$2:$NE$60=F$3)*(GMWQ!$ND$2:$ND$60=F$4)*(GMWQ!$NF$2:$NF$60=F$1),0),$E125-1966)</f>
        <v>82.795910000000006</v>
      </c>
      <c r="G125" s="13" cm="1">
        <f t="array" ref="G125">INDEX(GMWQ!$A$2:$NF$60,MATCH(1,(GMWQ!$NE$2:$NE$60=G$3)*(GMWQ!$ND$2:$ND$60=G$4)*(GMWQ!$NF$2:$NF$60=G$1),0),$E125-1966)</f>
        <v>10146</v>
      </c>
      <c r="H125" s="13" cm="1">
        <f t="array" ref="H125">INDEX(GMWQ!$A$2:$NF$60,MATCH(1,(GMWQ!$NE$2:$NE$60=H$3)*(GMWQ!$ND$2:$ND$60=H$4)*(GMWQ!$NF$2:$NF$60=H$1),0),$E125-1966)</f>
        <v>341.33330000000001</v>
      </c>
      <c r="I125" s="13" cm="1">
        <f t="array" ref="I125">INDEX(GMWQ!$A$2:$NF$60,MATCH(1,(GMWQ!$NE$2:$NE$60=I$3)*(GMWQ!$ND$2:$ND$60=I$4)*(GMWQ!$NF$2:$NF$60=I$1),0),$E125-1966)</f>
        <v>64473</v>
      </c>
      <c r="J125" s="13" cm="1">
        <f t="array" ref="J125">INDEX(GMWQ!$A$2:$NF$60,MATCH(1,(GMWQ!$NE$2:$NE$60=J$3)*(GMWQ!$ND$2:$ND$60=J$4)*(GMWQ!$NF$2:$NF$60=J$1),0),$E125-1966)</f>
        <v>299230</v>
      </c>
      <c r="K125" s="13" cm="1">
        <f t="array" ref="K125">INDEX(GMWQ!$A$2:$NF$60,MATCH(1,(GMWQ!$NE$2:$NE$60=K$3)*(GMWQ!$ND$2:$ND$60=K$4)*(GMWQ!$NF$2:$NF$60=K$1),0),$E125-1966)</f>
        <v>125016</v>
      </c>
      <c r="L125" s="13" cm="1">
        <f t="array" ref="L125">INDEX(GMWQ!$A$2:$NF$60,MATCH(1,(GMWQ!$NE$2:$NE$60=L$3)*(GMWQ!$ND$2:$ND$60=L$4)*(GMWQ!$NF$2:$NF$60=L$1),0),$E125-1966)</f>
        <v>196149</v>
      </c>
      <c r="M125" s="13" cm="1">
        <f t="array" ref="M125">INDEX(GMWQ!$A$2:$NF$60,MATCH(1,(GMWQ!$NE$2:$NE$60=M$3)*(GMWQ!$ND$2:$ND$60=M$4)*(GMWQ!$NF$2:$NF$60=M$1),0),$E125-1966)</f>
        <v>297567</v>
      </c>
      <c r="N125" s="13" cm="1">
        <f t="array" ref="N125">INDEX(GMWQ!$A$2:$NF$60,MATCH(1,(GMWQ!$NE$2:$NE$60=N$3)*(GMWQ!$ND$2:$ND$60=N$4)*(GMWQ!$NF$2:$NF$60=N$1),0),$E125-1966)</f>
        <v>66.400880000000001</v>
      </c>
    </row>
    <row r="126" spans="1:14" x14ac:dyDescent="0.25">
      <c r="B126" s="13">
        <f t="shared" si="11"/>
        <v>2002</v>
      </c>
      <c r="C126" s="13">
        <f t="shared" si="11"/>
        <v>2002</v>
      </c>
      <c r="E126" s="13">
        <f t="shared" si="10"/>
        <v>2092</v>
      </c>
      <c r="F126" s="13" cm="1">
        <f t="array" ref="F126">INDEX(GMWQ!$A$2:$NF$60,MATCH(1,(GMWQ!$NE$2:$NE$60=F$3)*(GMWQ!$ND$2:$ND$60=F$4)*(GMWQ!$NF$2:$NF$60=F$1),0),$E126-1966)</f>
        <v>83.353229999999996</v>
      </c>
      <c r="G126" s="13" cm="1">
        <f t="array" ref="G126">INDEX(GMWQ!$A$2:$NF$60,MATCH(1,(GMWQ!$NE$2:$NE$60=G$3)*(GMWQ!$ND$2:$ND$60=G$4)*(GMWQ!$NF$2:$NF$60=G$1),0),$E126-1966)</f>
        <v>10703</v>
      </c>
      <c r="H126" s="13" cm="1">
        <f t="array" ref="H126">INDEX(GMWQ!$A$2:$NF$60,MATCH(1,(GMWQ!$NE$2:$NE$60=H$3)*(GMWQ!$ND$2:$ND$60=H$4)*(GMWQ!$NF$2:$NF$60=H$1),0),$E126-1966)</f>
        <v>342.66669999999999</v>
      </c>
      <c r="I126" s="13" cm="1">
        <f t="array" ref="I126">INDEX(GMWQ!$A$2:$NF$60,MATCH(1,(GMWQ!$NE$2:$NE$60=I$3)*(GMWQ!$ND$2:$ND$60=I$4)*(GMWQ!$NF$2:$NF$60=I$1),0),$E126-1966)</f>
        <v>67224</v>
      </c>
      <c r="J126" s="13" cm="1">
        <f t="array" ref="J126">INDEX(GMWQ!$A$2:$NF$60,MATCH(1,(GMWQ!$NE$2:$NE$60=J$3)*(GMWQ!$ND$2:$ND$60=J$4)*(GMWQ!$NF$2:$NF$60=J$1),0),$E126-1966)</f>
        <v>304207</v>
      </c>
      <c r="K126" s="13" cm="1">
        <f t="array" ref="K126">INDEX(GMWQ!$A$2:$NF$60,MATCH(1,(GMWQ!$NE$2:$NE$60=K$3)*(GMWQ!$ND$2:$ND$60=K$4)*(GMWQ!$NF$2:$NF$60=K$1),0),$E126-1966)</f>
        <v>126386</v>
      </c>
      <c r="L126" s="13" cm="1">
        <f t="array" ref="L126">INDEX(GMWQ!$A$2:$NF$60,MATCH(1,(GMWQ!$NE$2:$NE$60=L$3)*(GMWQ!$ND$2:$ND$60=L$4)*(GMWQ!$NF$2:$NF$60=L$1),0),$E126-1966)</f>
        <v>198304</v>
      </c>
      <c r="M126" s="13" cm="1">
        <f t="array" ref="M126">INDEX(GMWQ!$A$2:$NF$60,MATCH(1,(GMWQ!$NE$2:$NE$60=M$3)*(GMWQ!$ND$2:$ND$60=M$4)*(GMWQ!$NF$2:$NF$60=M$1),0),$E126-1966)</f>
        <v>298904</v>
      </c>
      <c r="N126" s="13" cm="1">
        <f t="array" ref="N126">INDEX(GMWQ!$A$2:$NF$60,MATCH(1,(GMWQ!$NE$2:$NE$60=N$3)*(GMWQ!$ND$2:$ND$60=N$4)*(GMWQ!$NF$2:$NF$60=N$1),0),$E126-1966)</f>
        <v>66.814509999999999</v>
      </c>
    </row>
    <row r="127" spans="1:14" x14ac:dyDescent="0.25">
      <c r="A127" s="13">
        <v>2003</v>
      </c>
      <c r="B127" s="13">
        <f t="shared" si="11"/>
        <v>2003</v>
      </c>
      <c r="C127" s="13">
        <f t="shared" si="11"/>
        <v>2002</v>
      </c>
      <c r="D127" s="13">
        <f t="shared" si="11"/>
        <v>2002</v>
      </c>
      <c r="E127" s="13">
        <f t="shared" si="10"/>
        <v>2093</v>
      </c>
      <c r="F127" s="13" cm="1">
        <f t="array" ref="F127">INDEX(GMWQ!$A$2:$NF$60,MATCH(1,(GMWQ!$NE$2:$NE$60=F$3)*(GMWQ!$ND$2:$ND$60=F$4)*(GMWQ!$NF$2:$NF$60=F$1),0),$E127-1966)</f>
        <v>83.9208</v>
      </c>
      <c r="G127" s="13" cm="1">
        <f t="array" ref="G127">INDEX(GMWQ!$A$2:$NF$60,MATCH(1,(GMWQ!$NE$2:$NE$60=G$3)*(GMWQ!$ND$2:$ND$60=G$4)*(GMWQ!$NF$2:$NF$60=G$1),0),$E127-1966)</f>
        <v>10366</v>
      </c>
      <c r="H127" s="13" cm="1">
        <f t="array" ref="H127">INDEX(GMWQ!$A$2:$NF$60,MATCH(1,(GMWQ!$NE$2:$NE$60=H$3)*(GMWQ!$ND$2:$ND$60=H$4)*(GMWQ!$NF$2:$NF$60=H$1),0),$E127-1966)</f>
        <v>343</v>
      </c>
      <c r="I127" s="13" cm="1">
        <f t="array" ref="I127">INDEX(GMWQ!$A$2:$NF$60,MATCH(1,(GMWQ!$NE$2:$NE$60=I$3)*(GMWQ!$ND$2:$ND$60=I$4)*(GMWQ!$NF$2:$NF$60=I$1),0),$E127-1966)</f>
        <v>67091</v>
      </c>
      <c r="J127" s="13" cm="1">
        <f t="array" ref="J127">INDEX(GMWQ!$A$2:$NF$60,MATCH(1,(GMWQ!$NE$2:$NE$60=J$3)*(GMWQ!$ND$2:$ND$60=J$4)*(GMWQ!$NF$2:$NF$60=J$1),0),$E127-1966)</f>
        <v>307485</v>
      </c>
      <c r="K127" s="13" cm="1">
        <f t="array" ref="K127">INDEX(GMWQ!$A$2:$NF$60,MATCH(1,(GMWQ!$NE$2:$NE$60=K$3)*(GMWQ!$ND$2:$ND$60=K$4)*(GMWQ!$NF$2:$NF$60=K$1),0),$E127-1966)</f>
        <v>127744</v>
      </c>
      <c r="L127" s="13" cm="1">
        <f t="array" ref="L127">INDEX(GMWQ!$A$2:$NF$60,MATCH(1,(GMWQ!$NE$2:$NE$60=L$3)*(GMWQ!$ND$2:$ND$60=L$4)*(GMWQ!$NF$2:$NF$60=L$1),0),$E127-1966)</f>
        <v>200276</v>
      </c>
      <c r="M127" s="13" cm="1">
        <f t="array" ref="M127">INDEX(GMWQ!$A$2:$NF$60,MATCH(1,(GMWQ!$NE$2:$NE$60=M$3)*(GMWQ!$ND$2:$ND$60=M$4)*(GMWQ!$NF$2:$NF$60=M$1),0),$E127-1966)</f>
        <v>301081</v>
      </c>
      <c r="N127" s="13" cm="1">
        <f t="array" ref="N127">INDEX(GMWQ!$A$2:$NF$60,MATCH(1,(GMWQ!$NE$2:$NE$60=N$3)*(GMWQ!$ND$2:$ND$60=N$4)*(GMWQ!$NF$2:$NF$60=N$1),0),$E127-1966)</f>
        <v>66.957589999999996</v>
      </c>
    </row>
    <row r="128" spans="1:14" x14ac:dyDescent="0.25">
      <c r="B128" s="13">
        <f t="shared" si="11"/>
        <v>2003</v>
      </c>
      <c r="C128" s="13">
        <f t="shared" si="11"/>
        <v>2003</v>
      </c>
      <c r="E128" s="13">
        <f t="shared" si="10"/>
        <v>2094</v>
      </c>
      <c r="F128" s="13" cm="1">
        <f t="array" ref="F128">INDEX(GMWQ!$A$2:$NF$60,MATCH(1,(GMWQ!$NE$2:$NE$60=F$3)*(GMWQ!$ND$2:$ND$60=F$4)*(GMWQ!$NF$2:$NF$60=F$1),0),$E128-1966)</f>
        <v>83.920559999999995</v>
      </c>
      <c r="G128" s="13" cm="1">
        <f t="array" ref="G128">INDEX(GMWQ!$A$2:$NF$60,MATCH(1,(GMWQ!$NE$2:$NE$60=G$3)*(GMWQ!$ND$2:$ND$60=G$4)*(GMWQ!$NF$2:$NF$60=G$1),0),$E128-1966)</f>
        <v>11989</v>
      </c>
      <c r="H128" s="13" cm="1">
        <f t="array" ref="H128">INDEX(GMWQ!$A$2:$NF$60,MATCH(1,(GMWQ!$NE$2:$NE$60=H$3)*(GMWQ!$ND$2:$ND$60=H$4)*(GMWQ!$NF$2:$NF$60=H$1),0),$E128-1966)</f>
        <v>348</v>
      </c>
      <c r="I128" s="13" cm="1">
        <f t="array" ref="I128">INDEX(GMWQ!$A$2:$NF$60,MATCH(1,(GMWQ!$NE$2:$NE$60=I$3)*(GMWQ!$ND$2:$ND$60=I$4)*(GMWQ!$NF$2:$NF$60=I$1),0),$E128-1966)</f>
        <v>70002</v>
      </c>
      <c r="J128" s="13" cm="1">
        <f t="array" ref="J128">INDEX(GMWQ!$A$2:$NF$60,MATCH(1,(GMWQ!$NE$2:$NE$60=J$3)*(GMWQ!$ND$2:$ND$60=J$4)*(GMWQ!$NF$2:$NF$60=J$1),0),$E128-1966)</f>
        <v>312948</v>
      </c>
      <c r="K128" s="13" cm="1">
        <f t="array" ref="K128">INDEX(GMWQ!$A$2:$NF$60,MATCH(1,(GMWQ!$NE$2:$NE$60=K$3)*(GMWQ!$ND$2:$ND$60=K$4)*(GMWQ!$NF$2:$NF$60=K$1),0),$E128-1966)</f>
        <v>129189</v>
      </c>
      <c r="L128" s="13" cm="1">
        <f t="array" ref="L128">INDEX(GMWQ!$A$2:$NF$60,MATCH(1,(GMWQ!$NE$2:$NE$60=L$3)*(GMWQ!$ND$2:$ND$60=L$4)*(GMWQ!$NF$2:$NF$60=L$1),0),$E128-1966)</f>
        <v>201618</v>
      </c>
      <c r="M128" s="13" cm="1">
        <f t="array" ref="M128">INDEX(GMWQ!$A$2:$NF$60,MATCH(1,(GMWQ!$NE$2:$NE$60=M$3)*(GMWQ!$ND$2:$ND$60=M$4)*(GMWQ!$NF$2:$NF$60=M$1),0),$E128-1966)</f>
        <v>302934</v>
      </c>
      <c r="N128" s="13" cm="1">
        <f t="array" ref="N128">INDEX(GMWQ!$A$2:$NF$60,MATCH(1,(GMWQ!$NE$2:$NE$60=N$3)*(GMWQ!$ND$2:$ND$60=N$4)*(GMWQ!$NF$2:$NF$60=N$1),0),$E128-1966)</f>
        <v>66.95881</v>
      </c>
    </row>
    <row r="129" spans="1:14" x14ac:dyDescent="0.25">
      <c r="B129" s="13">
        <f t="shared" si="11"/>
        <v>2003</v>
      </c>
      <c r="C129" s="13">
        <f t="shared" si="11"/>
        <v>2003</v>
      </c>
      <c r="E129" s="13">
        <f t="shared" si="10"/>
        <v>2095</v>
      </c>
      <c r="F129" s="13" cm="1">
        <f t="array" ref="F129">INDEX(GMWQ!$A$2:$NF$60,MATCH(1,(GMWQ!$NE$2:$NE$60=F$3)*(GMWQ!$ND$2:$ND$60=F$4)*(GMWQ!$NF$2:$NF$60=F$1),0),$E129-1966)</f>
        <v>85.274410000000003</v>
      </c>
      <c r="G129" s="13" cm="1">
        <f t="array" ref="G129">INDEX(GMWQ!$A$2:$NF$60,MATCH(1,(GMWQ!$NE$2:$NE$60=G$3)*(GMWQ!$ND$2:$ND$60=G$4)*(GMWQ!$NF$2:$NF$60=G$1),0),$E129-1966)</f>
        <v>12409</v>
      </c>
      <c r="H129" s="13" cm="1">
        <f t="array" ref="H129">INDEX(GMWQ!$A$2:$NF$60,MATCH(1,(GMWQ!$NE$2:$NE$60=H$3)*(GMWQ!$ND$2:$ND$60=H$4)*(GMWQ!$NF$2:$NF$60=H$1),0),$E129-1966)</f>
        <v>352.66669999999999</v>
      </c>
      <c r="I129" s="13" cm="1">
        <f t="array" ref="I129">INDEX(GMWQ!$A$2:$NF$60,MATCH(1,(GMWQ!$NE$2:$NE$60=I$3)*(GMWQ!$ND$2:$ND$60=I$4)*(GMWQ!$NF$2:$NF$60=I$1),0),$E129-1966)</f>
        <v>71030</v>
      </c>
      <c r="J129" s="13" cm="1">
        <f t="array" ref="J129">INDEX(GMWQ!$A$2:$NF$60,MATCH(1,(GMWQ!$NE$2:$NE$60=J$3)*(GMWQ!$ND$2:$ND$60=J$4)*(GMWQ!$NF$2:$NF$60=J$1),0),$E129-1966)</f>
        <v>317463</v>
      </c>
      <c r="K129" s="13" cm="1">
        <f t="array" ref="K129">INDEX(GMWQ!$A$2:$NF$60,MATCH(1,(GMWQ!$NE$2:$NE$60=K$3)*(GMWQ!$ND$2:$ND$60=K$4)*(GMWQ!$NF$2:$NF$60=K$1),0),$E129-1966)</f>
        <v>131275</v>
      </c>
      <c r="L129" s="13" cm="1">
        <f t="array" ref="L129">INDEX(GMWQ!$A$2:$NF$60,MATCH(1,(GMWQ!$NE$2:$NE$60=L$3)*(GMWQ!$ND$2:$ND$60=L$4)*(GMWQ!$NF$2:$NF$60=L$1),0),$E129-1966)</f>
        <v>204034</v>
      </c>
      <c r="M129" s="13" cm="1">
        <f t="array" ref="M129">INDEX(GMWQ!$A$2:$NF$60,MATCH(1,(GMWQ!$NE$2:$NE$60=M$3)*(GMWQ!$ND$2:$ND$60=M$4)*(GMWQ!$NF$2:$NF$60=M$1),0),$E129-1966)</f>
        <v>304444</v>
      </c>
      <c r="N129" s="13" cm="1">
        <f t="array" ref="N129">INDEX(GMWQ!$A$2:$NF$60,MATCH(1,(GMWQ!$NE$2:$NE$60=N$3)*(GMWQ!$ND$2:$ND$60=N$4)*(GMWQ!$NF$2:$NF$60=N$1),0),$E129-1966)</f>
        <v>67.432900000000004</v>
      </c>
    </row>
    <row r="130" spans="1:14" x14ac:dyDescent="0.25">
      <c r="B130" s="13">
        <f t="shared" si="11"/>
        <v>2003</v>
      </c>
      <c r="C130" s="13">
        <f t="shared" si="11"/>
        <v>2003</v>
      </c>
      <c r="E130" s="13">
        <f t="shared" si="10"/>
        <v>2096</v>
      </c>
      <c r="F130" s="13" cm="1">
        <f t="array" ref="F130">INDEX(GMWQ!$A$2:$NF$60,MATCH(1,(GMWQ!$NE$2:$NE$60=F$3)*(GMWQ!$ND$2:$ND$60=F$4)*(GMWQ!$NF$2:$NF$60=F$1),0),$E130-1966)</f>
        <v>85.869309999999999</v>
      </c>
      <c r="G130" s="13" cm="1">
        <f t="array" ref="G130">INDEX(GMWQ!$A$2:$NF$60,MATCH(1,(GMWQ!$NE$2:$NE$60=G$3)*(GMWQ!$ND$2:$ND$60=G$4)*(GMWQ!$NF$2:$NF$60=G$1),0),$E130-1966)</f>
        <v>12408</v>
      </c>
      <c r="H130" s="13" cm="1">
        <f t="array" ref="H130">INDEX(GMWQ!$A$2:$NF$60,MATCH(1,(GMWQ!$NE$2:$NE$60=H$3)*(GMWQ!$ND$2:$ND$60=H$4)*(GMWQ!$NF$2:$NF$60=H$1),0),$E130-1966)</f>
        <v>357</v>
      </c>
      <c r="I130" s="13" cm="1">
        <f t="array" ref="I130">INDEX(GMWQ!$A$2:$NF$60,MATCH(1,(GMWQ!$NE$2:$NE$60=I$3)*(GMWQ!$ND$2:$ND$60=I$4)*(GMWQ!$NF$2:$NF$60=I$1),0),$E130-1966)</f>
        <v>69510</v>
      </c>
      <c r="J130" s="13" cm="1">
        <f t="array" ref="J130">INDEX(GMWQ!$A$2:$NF$60,MATCH(1,(GMWQ!$NE$2:$NE$60=J$3)*(GMWQ!$ND$2:$ND$60=J$4)*(GMWQ!$NF$2:$NF$60=J$1),0),$E130-1966)</f>
        <v>320438</v>
      </c>
      <c r="K130" s="13" cm="1">
        <f t="array" ref="K130">INDEX(GMWQ!$A$2:$NF$60,MATCH(1,(GMWQ!$NE$2:$NE$60=K$3)*(GMWQ!$ND$2:$ND$60=K$4)*(GMWQ!$NF$2:$NF$60=K$1),0),$E130-1966)</f>
        <v>133492</v>
      </c>
      <c r="L130" s="13" cm="1">
        <f t="array" ref="L130">INDEX(GMWQ!$A$2:$NF$60,MATCH(1,(GMWQ!$NE$2:$NE$60=L$3)*(GMWQ!$ND$2:$ND$60=L$4)*(GMWQ!$NF$2:$NF$60=L$1),0),$E130-1966)</f>
        <v>207685</v>
      </c>
      <c r="M130" s="13" cm="1">
        <f t="array" ref="M130">INDEX(GMWQ!$A$2:$NF$60,MATCH(1,(GMWQ!$NE$2:$NE$60=M$3)*(GMWQ!$ND$2:$ND$60=M$4)*(GMWQ!$NF$2:$NF$60=M$1),0),$E130-1966)</f>
        <v>308695</v>
      </c>
      <c r="N130" s="13" cm="1">
        <f t="array" ref="N130">INDEX(GMWQ!$A$2:$NF$60,MATCH(1,(GMWQ!$NE$2:$NE$60=N$3)*(GMWQ!$ND$2:$ND$60=N$4)*(GMWQ!$NF$2:$NF$60=N$1),0),$E130-1966)</f>
        <v>67.700289999999995</v>
      </c>
    </row>
    <row r="131" spans="1:14" x14ac:dyDescent="0.25">
      <c r="A131" s="13">
        <v>2004</v>
      </c>
      <c r="B131" s="13">
        <f t="shared" si="11"/>
        <v>2004</v>
      </c>
      <c r="C131" s="13">
        <f t="shared" si="11"/>
        <v>2003</v>
      </c>
      <c r="D131" s="13">
        <f t="shared" si="11"/>
        <v>2003</v>
      </c>
      <c r="E131" s="13">
        <f t="shared" si="10"/>
        <v>2097</v>
      </c>
      <c r="F131" s="13" cm="1">
        <f t="array" ref="F131">INDEX(GMWQ!$A$2:$NF$60,MATCH(1,(GMWQ!$NE$2:$NE$60=F$3)*(GMWQ!$ND$2:$ND$60=F$4)*(GMWQ!$NF$2:$NF$60=F$1),0),$E131-1966)</f>
        <v>87.352059999999994</v>
      </c>
      <c r="G131" s="13" cm="1">
        <f t="array" ref="G131">INDEX(GMWQ!$A$2:$NF$60,MATCH(1,(GMWQ!$NE$2:$NE$60=G$3)*(GMWQ!$ND$2:$ND$60=G$4)*(GMWQ!$NF$2:$NF$60=G$1),0),$E131-1966)</f>
        <v>12662</v>
      </c>
      <c r="H131" s="13" cm="1">
        <f t="array" ref="H131">INDEX(GMWQ!$A$2:$NF$60,MATCH(1,(GMWQ!$NE$2:$NE$60=H$3)*(GMWQ!$ND$2:$ND$60=H$4)*(GMWQ!$NF$2:$NF$60=H$1),0),$E131-1966)</f>
        <v>359</v>
      </c>
      <c r="I131" s="13" cm="1">
        <f t="array" ref="I131">INDEX(GMWQ!$A$2:$NF$60,MATCH(1,(GMWQ!$NE$2:$NE$60=I$3)*(GMWQ!$ND$2:$ND$60=I$4)*(GMWQ!$NF$2:$NF$60=I$1),0),$E131-1966)</f>
        <v>66971</v>
      </c>
      <c r="J131" s="13" cm="1">
        <f t="array" ref="J131">INDEX(GMWQ!$A$2:$NF$60,MATCH(1,(GMWQ!$NE$2:$NE$60=J$3)*(GMWQ!$ND$2:$ND$60=J$4)*(GMWQ!$NF$2:$NF$60=J$1),0),$E131-1966)</f>
        <v>322778</v>
      </c>
      <c r="K131" s="13" cm="1">
        <f t="array" ref="K131">INDEX(GMWQ!$A$2:$NF$60,MATCH(1,(GMWQ!$NE$2:$NE$60=K$3)*(GMWQ!$ND$2:$ND$60=K$4)*(GMWQ!$NF$2:$NF$60=K$1),0),$E131-1966)</f>
        <v>135940</v>
      </c>
      <c r="L131" s="13" cm="1">
        <f t="array" ref="L131">INDEX(GMWQ!$A$2:$NF$60,MATCH(1,(GMWQ!$NE$2:$NE$60=L$3)*(GMWQ!$ND$2:$ND$60=L$4)*(GMWQ!$NF$2:$NF$60=L$1),0),$E131-1966)</f>
        <v>208995</v>
      </c>
      <c r="M131" s="13" cm="1">
        <f t="array" ref="M131">INDEX(GMWQ!$A$2:$NF$60,MATCH(1,(GMWQ!$NE$2:$NE$60=M$3)*(GMWQ!$ND$2:$ND$60=M$4)*(GMWQ!$NF$2:$NF$60=M$1),0),$E131-1966)</f>
        <v>309585</v>
      </c>
      <c r="N131" s="13" cm="1">
        <f t="array" ref="N131">INDEX(GMWQ!$A$2:$NF$60,MATCH(1,(GMWQ!$NE$2:$NE$60=N$3)*(GMWQ!$ND$2:$ND$60=N$4)*(GMWQ!$NF$2:$NF$60=N$1),0),$E131-1966)</f>
        <v>67.947680000000005</v>
      </c>
    </row>
    <row r="132" spans="1:14" x14ac:dyDescent="0.25">
      <c r="B132" s="13">
        <f t="shared" si="11"/>
        <v>2004</v>
      </c>
      <c r="C132" s="13">
        <f t="shared" si="11"/>
        <v>2004</v>
      </c>
      <c r="E132" s="13">
        <f t="shared" si="10"/>
        <v>2098</v>
      </c>
      <c r="F132" s="13" cm="1">
        <f t="array" ref="F132">INDEX(GMWQ!$A$2:$NF$60,MATCH(1,(GMWQ!$NE$2:$NE$60=F$3)*(GMWQ!$ND$2:$ND$60=F$4)*(GMWQ!$NF$2:$NF$60=F$1),0),$E132-1966)</f>
        <v>87.178790000000006</v>
      </c>
      <c r="G132" s="13" cm="1">
        <f t="array" ref="G132">INDEX(GMWQ!$A$2:$NF$60,MATCH(1,(GMWQ!$NE$2:$NE$60=G$3)*(GMWQ!$ND$2:$ND$60=G$4)*(GMWQ!$NF$2:$NF$60=G$1),0),$E132-1966)</f>
        <v>12920</v>
      </c>
      <c r="H132" s="13" cm="1">
        <f t="array" ref="H132">INDEX(GMWQ!$A$2:$NF$60,MATCH(1,(GMWQ!$NE$2:$NE$60=H$3)*(GMWQ!$ND$2:$ND$60=H$4)*(GMWQ!$NF$2:$NF$60=H$1),0),$E132-1966)</f>
        <v>363</v>
      </c>
      <c r="I132" s="13" cm="1">
        <f t="array" ref="I132">INDEX(GMWQ!$A$2:$NF$60,MATCH(1,(GMWQ!$NE$2:$NE$60=I$3)*(GMWQ!$ND$2:$ND$60=I$4)*(GMWQ!$NF$2:$NF$60=I$1),0),$E132-1966)</f>
        <v>72939</v>
      </c>
      <c r="J132" s="13" cm="1">
        <f t="array" ref="J132">INDEX(GMWQ!$A$2:$NF$60,MATCH(1,(GMWQ!$NE$2:$NE$60=J$3)*(GMWQ!$ND$2:$ND$60=J$4)*(GMWQ!$NF$2:$NF$60=J$1),0),$E132-1966)</f>
        <v>329732</v>
      </c>
      <c r="K132" s="13" cm="1">
        <f t="array" ref="K132">INDEX(GMWQ!$A$2:$NF$60,MATCH(1,(GMWQ!$NE$2:$NE$60=K$3)*(GMWQ!$ND$2:$ND$60=K$4)*(GMWQ!$NF$2:$NF$60=K$1),0),$E132-1966)</f>
        <v>136348</v>
      </c>
      <c r="L132" s="13" cm="1">
        <f t="array" ref="L132">INDEX(GMWQ!$A$2:$NF$60,MATCH(1,(GMWQ!$NE$2:$NE$60=L$3)*(GMWQ!$ND$2:$ND$60=L$4)*(GMWQ!$NF$2:$NF$60=L$1),0),$E132-1966)</f>
        <v>212236</v>
      </c>
      <c r="M132" s="13" cm="1">
        <f t="array" ref="M132">INDEX(GMWQ!$A$2:$NF$60,MATCH(1,(GMWQ!$NE$2:$NE$60=M$3)*(GMWQ!$ND$2:$ND$60=M$4)*(GMWQ!$NF$2:$NF$60=M$1),0),$E132-1966)</f>
        <v>312396</v>
      </c>
      <c r="N132" s="13" cm="1">
        <f t="array" ref="N132">INDEX(GMWQ!$A$2:$NF$60,MATCH(1,(GMWQ!$NE$2:$NE$60=N$3)*(GMWQ!$ND$2:$ND$60=N$4)*(GMWQ!$NF$2:$NF$60=N$1),0),$E132-1966)</f>
        <v>68.298940000000002</v>
      </c>
    </row>
    <row r="133" spans="1:14" x14ac:dyDescent="0.25">
      <c r="B133" s="13">
        <f t="shared" si="11"/>
        <v>2004</v>
      </c>
      <c r="C133" s="13">
        <f t="shared" si="11"/>
        <v>2004</v>
      </c>
      <c r="E133" s="13">
        <f t="shared" si="10"/>
        <v>2099</v>
      </c>
      <c r="F133" s="13" cm="1">
        <f t="array" ref="F133">INDEX(GMWQ!$A$2:$NF$60,MATCH(1,(GMWQ!$NE$2:$NE$60=F$3)*(GMWQ!$ND$2:$ND$60=F$4)*(GMWQ!$NF$2:$NF$60=F$1),0),$E133-1966)</f>
        <v>88.723380000000006</v>
      </c>
      <c r="G133" s="13" cm="1">
        <f t="array" ref="G133">INDEX(GMWQ!$A$2:$NF$60,MATCH(1,(GMWQ!$NE$2:$NE$60=G$3)*(GMWQ!$ND$2:$ND$60=G$4)*(GMWQ!$NF$2:$NF$60=G$1),0),$E133-1966)</f>
        <v>13279</v>
      </c>
      <c r="H133" s="13" cm="1">
        <f t="array" ref="H133">INDEX(GMWQ!$A$2:$NF$60,MATCH(1,(GMWQ!$NE$2:$NE$60=H$3)*(GMWQ!$ND$2:$ND$60=H$4)*(GMWQ!$NF$2:$NF$60=H$1),0),$E133-1966)</f>
        <v>367</v>
      </c>
      <c r="I133" s="13" cm="1">
        <f t="array" ref="I133">INDEX(GMWQ!$A$2:$NF$60,MATCH(1,(GMWQ!$NE$2:$NE$60=I$3)*(GMWQ!$ND$2:$ND$60=I$4)*(GMWQ!$NF$2:$NF$60=I$1),0),$E133-1966)</f>
        <v>71100</v>
      </c>
      <c r="J133" s="13" cm="1">
        <f t="array" ref="J133">INDEX(GMWQ!$A$2:$NF$60,MATCH(1,(GMWQ!$NE$2:$NE$60=J$3)*(GMWQ!$ND$2:$ND$60=J$4)*(GMWQ!$NF$2:$NF$60=J$1),0),$E133-1966)</f>
        <v>331592</v>
      </c>
      <c r="K133" s="13" cm="1">
        <f t="array" ref="K133">INDEX(GMWQ!$A$2:$NF$60,MATCH(1,(GMWQ!$NE$2:$NE$60=K$3)*(GMWQ!$ND$2:$ND$60=K$4)*(GMWQ!$NF$2:$NF$60=K$1),0),$E133-1966)</f>
        <v>139004</v>
      </c>
      <c r="L133" s="13" cm="1">
        <f t="array" ref="L133">INDEX(GMWQ!$A$2:$NF$60,MATCH(1,(GMWQ!$NE$2:$NE$60=L$3)*(GMWQ!$ND$2:$ND$60=L$4)*(GMWQ!$NF$2:$NF$60=L$1),0),$E133-1966)</f>
        <v>214798</v>
      </c>
      <c r="M133" s="13" cm="1">
        <f t="array" ref="M133">INDEX(GMWQ!$A$2:$NF$60,MATCH(1,(GMWQ!$NE$2:$NE$60=M$3)*(GMWQ!$ND$2:$ND$60=M$4)*(GMWQ!$NF$2:$NF$60=M$1),0),$E133-1966)</f>
        <v>314574</v>
      </c>
      <c r="N133" s="13" cm="1">
        <f t="array" ref="N133">INDEX(GMWQ!$A$2:$NF$60,MATCH(1,(GMWQ!$NE$2:$NE$60=N$3)*(GMWQ!$ND$2:$ND$60=N$4)*(GMWQ!$NF$2:$NF$60=N$1),0),$E133-1966)</f>
        <v>68.639510000000001</v>
      </c>
    </row>
    <row r="134" spans="1:14" x14ac:dyDescent="0.25">
      <c r="B134" s="13">
        <f t="shared" si="11"/>
        <v>2004</v>
      </c>
      <c r="C134" s="13">
        <f t="shared" si="11"/>
        <v>2004</v>
      </c>
      <c r="E134" s="13">
        <f t="shared" si="10"/>
        <v>2100</v>
      </c>
      <c r="F134" s="13" cm="1">
        <f t="array" ref="F134">INDEX(GMWQ!$A$2:$NF$60,MATCH(1,(GMWQ!$NE$2:$NE$60=F$3)*(GMWQ!$ND$2:$ND$60=F$4)*(GMWQ!$NF$2:$NF$60=F$1),0),$E134-1966)</f>
        <v>90.059650000000005</v>
      </c>
      <c r="G134" s="13" cm="1">
        <f t="array" ref="G134">INDEX(GMWQ!$A$2:$NF$60,MATCH(1,(GMWQ!$NE$2:$NE$60=G$3)*(GMWQ!$ND$2:$ND$60=G$4)*(GMWQ!$NF$2:$NF$60=G$1),0),$E134-1966)</f>
        <v>13669</v>
      </c>
      <c r="H134" s="13" cm="1">
        <f t="array" ref="H134">INDEX(GMWQ!$A$2:$NF$60,MATCH(1,(GMWQ!$NE$2:$NE$60=H$3)*(GMWQ!$ND$2:$ND$60=H$4)*(GMWQ!$NF$2:$NF$60=H$1),0),$E134-1966)</f>
        <v>372.33330000000001</v>
      </c>
      <c r="I134" s="13" cm="1">
        <f t="array" ref="I134">INDEX(GMWQ!$A$2:$NF$60,MATCH(1,(GMWQ!$NE$2:$NE$60=I$3)*(GMWQ!$ND$2:$ND$60=I$4)*(GMWQ!$NF$2:$NF$60=I$1),0),$E134-1966)</f>
        <v>73776</v>
      </c>
      <c r="J134" s="13" cm="1">
        <f t="array" ref="J134">INDEX(GMWQ!$A$2:$NF$60,MATCH(1,(GMWQ!$NE$2:$NE$60=J$3)*(GMWQ!$ND$2:$ND$60=J$4)*(GMWQ!$NF$2:$NF$60=J$1),0),$E134-1966)</f>
        <v>338535</v>
      </c>
      <c r="K134" s="13" cm="1">
        <f t="array" ref="K134">INDEX(GMWQ!$A$2:$NF$60,MATCH(1,(GMWQ!$NE$2:$NE$60=K$3)*(GMWQ!$ND$2:$ND$60=K$4)*(GMWQ!$NF$2:$NF$60=K$1),0),$E134-1966)</f>
        <v>141394</v>
      </c>
      <c r="L134" s="13" cm="1">
        <f t="array" ref="L134">INDEX(GMWQ!$A$2:$NF$60,MATCH(1,(GMWQ!$NE$2:$NE$60=L$3)*(GMWQ!$ND$2:$ND$60=L$4)*(GMWQ!$NF$2:$NF$60=L$1),0),$E134-1966)</f>
        <v>216771</v>
      </c>
      <c r="M134" s="13" cm="1">
        <f t="array" ref="M134">INDEX(GMWQ!$A$2:$NF$60,MATCH(1,(GMWQ!$NE$2:$NE$60=M$3)*(GMWQ!$ND$2:$ND$60=M$4)*(GMWQ!$NF$2:$NF$60=M$1),0),$E134-1966)</f>
        <v>315137</v>
      </c>
      <c r="N134" s="13" cm="1">
        <f t="array" ref="N134">INDEX(GMWQ!$A$2:$NF$60,MATCH(1,(GMWQ!$NE$2:$NE$60=N$3)*(GMWQ!$ND$2:$ND$60=N$4)*(GMWQ!$NF$2:$NF$60=N$1),0),$E134-1966)</f>
        <v>69.152760000000001</v>
      </c>
    </row>
    <row r="135" spans="1:14" x14ac:dyDescent="0.25">
      <c r="A135" s="13">
        <v>2005</v>
      </c>
      <c r="B135" s="13">
        <f t="shared" si="11"/>
        <v>2005</v>
      </c>
      <c r="C135" s="13">
        <f t="shared" si="11"/>
        <v>2004</v>
      </c>
      <c r="D135" s="13">
        <f t="shared" si="11"/>
        <v>2004</v>
      </c>
      <c r="E135" s="13">
        <f t="shared" si="10"/>
        <v>2101</v>
      </c>
      <c r="F135" s="13" cm="1">
        <f t="array" ref="F135">INDEX(GMWQ!$A$2:$NF$60,MATCH(1,(GMWQ!$NE$2:$NE$60=F$3)*(GMWQ!$ND$2:$ND$60=F$4)*(GMWQ!$NF$2:$NF$60=F$1),0),$E135-1966)</f>
        <v>91.265820000000005</v>
      </c>
      <c r="G135" s="13" cm="1">
        <f t="array" ref="G135">INDEX(GMWQ!$A$2:$NF$60,MATCH(1,(GMWQ!$NE$2:$NE$60=G$3)*(GMWQ!$ND$2:$ND$60=G$4)*(GMWQ!$NF$2:$NF$60=G$1),0),$E135-1966)</f>
        <v>13668</v>
      </c>
      <c r="H135" s="13" cm="1">
        <f t="array" ref="H135">INDEX(GMWQ!$A$2:$NF$60,MATCH(1,(GMWQ!$NE$2:$NE$60=H$3)*(GMWQ!$ND$2:$ND$60=H$4)*(GMWQ!$NF$2:$NF$60=H$1),0),$E135-1966)</f>
        <v>375.33330000000001</v>
      </c>
      <c r="I135" s="13" cm="1">
        <f t="array" ref="I135">INDEX(GMWQ!$A$2:$NF$60,MATCH(1,(GMWQ!$NE$2:$NE$60=I$3)*(GMWQ!$ND$2:$ND$60=I$4)*(GMWQ!$NF$2:$NF$60=I$1),0),$E135-1966)</f>
        <v>72678</v>
      </c>
      <c r="J135" s="13" cm="1">
        <f t="array" ref="J135">INDEX(GMWQ!$A$2:$NF$60,MATCH(1,(GMWQ!$NE$2:$NE$60=J$3)*(GMWQ!$ND$2:$ND$60=J$4)*(GMWQ!$NF$2:$NF$60=J$1),0),$E135-1966)</f>
        <v>341254</v>
      </c>
      <c r="K135" s="13" cm="1">
        <f t="array" ref="K135">INDEX(GMWQ!$A$2:$NF$60,MATCH(1,(GMWQ!$NE$2:$NE$60=K$3)*(GMWQ!$ND$2:$ND$60=K$4)*(GMWQ!$NF$2:$NF$60=K$1),0),$E135-1966)</f>
        <v>144176</v>
      </c>
      <c r="L135" s="13" cm="1">
        <f t="array" ref="L135">INDEX(GMWQ!$A$2:$NF$60,MATCH(1,(GMWQ!$NE$2:$NE$60=L$3)*(GMWQ!$ND$2:$ND$60=L$4)*(GMWQ!$NF$2:$NF$60=L$1),0),$E135-1966)</f>
        <v>218799</v>
      </c>
      <c r="M135" s="13" cm="1">
        <f t="array" ref="M135">INDEX(GMWQ!$A$2:$NF$60,MATCH(1,(GMWQ!$NE$2:$NE$60=M$3)*(GMWQ!$ND$2:$ND$60=M$4)*(GMWQ!$NF$2:$NF$60=M$1),0),$E135-1966)</f>
        <v>317057</v>
      </c>
      <c r="N135" s="13" cm="1">
        <f t="array" ref="N135">INDEX(GMWQ!$A$2:$NF$60,MATCH(1,(GMWQ!$NE$2:$NE$60=N$3)*(GMWQ!$ND$2:$ND$60=N$4)*(GMWQ!$NF$2:$NF$60=N$1),0),$E135-1966)</f>
        <v>69.367230000000006</v>
      </c>
    </row>
    <row r="136" spans="1:14" x14ac:dyDescent="0.25">
      <c r="B136" s="13">
        <f t="shared" si="11"/>
        <v>2005</v>
      </c>
      <c r="C136" s="13">
        <f t="shared" si="11"/>
        <v>2005</v>
      </c>
      <c r="E136" s="13">
        <f t="shared" si="10"/>
        <v>2102</v>
      </c>
      <c r="F136" s="13" cm="1">
        <f t="array" ref="F136">INDEX(GMWQ!$A$2:$NF$60,MATCH(1,(GMWQ!$NE$2:$NE$60=F$3)*(GMWQ!$ND$2:$ND$60=F$4)*(GMWQ!$NF$2:$NF$60=F$1),0),$E136-1966)</f>
        <v>90.49091</v>
      </c>
      <c r="G136" s="13" cm="1">
        <f t="array" ref="G136">INDEX(GMWQ!$A$2:$NF$60,MATCH(1,(GMWQ!$NE$2:$NE$60=G$3)*(GMWQ!$ND$2:$ND$60=G$4)*(GMWQ!$NF$2:$NF$60=G$1),0),$E136-1966)</f>
        <v>14205</v>
      </c>
      <c r="H136" s="13" cm="1">
        <f t="array" ref="H136">INDEX(GMWQ!$A$2:$NF$60,MATCH(1,(GMWQ!$NE$2:$NE$60=H$3)*(GMWQ!$ND$2:$ND$60=H$4)*(GMWQ!$NF$2:$NF$60=H$1),0),$E136-1966)</f>
        <v>379.66669999999999</v>
      </c>
      <c r="I136" s="13" cm="1">
        <f t="array" ref="I136">INDEX(GMWQ!$A$2:$NF$60,MATCH(1,(GMWQ!$NE$2:$NE$60=I$3)*(GMWQ!$ND$2:$ND$60=I$4)*(GMWQ!$NF$2:$NF$60=I$1),0),$E136-1966)</f>
        <v>78380</v>
      </c>
      <c r="J136" s="13" cm="1">
        <f t="array" ref="J136">INDEX(GMWQ!$A$2:$NF$60,MATCH(1,(GMWQ!$NE$2:$NE$60=J$3)*(GMWQ!$ND$2:$ND$60=J$4)*(GMWQ!$NF$2:$NF$60=J$1),0),$E136-1966)</f>
        <v>348491</v>
      </c>
      <c r="K136" s="13" cm="1">
        <f t="array" ref="K136">INDEX(GMWQ!$A$2:$NF$60,MATCH(1,(GMWQ!$NE$2:$NE$60=K$3)*(GMWQ!$ND$2:$ND$60=K$4)*(GMWQ!$NF$2:$NF$60=K$1),0),$E136-1966)</f>
        <v>143428</v>
      </c>
      <c r="L136" s="13" cm="1">
        <f t="array" ref="L136">INDEX(GMWQ!$A$2:$NF$60,MATCH(1,(GMWQ!$NE$2:$NE$60=L$3)*(GMWQ!$ND$2:$ND$60=L$4)*(GMWQ!$NF$2:$NF$60=L$1),0),$E136-1966)</f>
        <v>221465</v>
      </c>
      <c r="M136" s="13" cm="1">
        <f t="array" ref="M136">INDEX(GMWQ!$A$2:$NF$60,MATCH(1,(GMWQ!$NE$2:$NE$60=M$3)*(GMWQ!$ND$2:$ND$60=M$4)*(GMWQ!$NF$2:$NF$60=M$1),0),$E136-1966)</f>
        <v>320657</v>
      </c>
      <c r="N136" s="13" cm="1">
        <f t="array" ref="N136">INDEX(GMWQ!$A$2:$NF$60,MATCH(1,(GMWQ!$NE$2:$NE$60=N$3)*(GMWQ!$ND$2:$ND$60=N$4)*(GMWQ!$NF$2:$NF$60=N$1),0),$E136-1966)</f>
        <v>69.342179999999999</v>
      </c>
    </row>
    <row r="137" spans="1:14" x14ac:dyDescent="0.25">
      <c r="B137" s="13">
        <f t="shared" si="11"/>
        <v>2005</v>
      </c>
      <c r="C137" s="13">
        <f t="shared" si="11"/>
        <v>2005</v>
      </c>
      <c r="E137" s="13">
        <f t="shared" si="10"/>
        <v>2103</v>
      </c>
      <c r="F137" s="13" cm="1">
        <f t="array" ref="F137">INDEX(GMWQ!$A$2:$NF$60,MATCH(1,(GMWQ!$NE$2:$NE$60=F$3)*(GMWQ!$ND$2:$ND$60=F$4)*(GMWQ!$NF$2:$NF$60=F$1),0),$E137-1966)</f>
        <v>91.347210000000004</v>
      </c>
      <c r="G137" s="13" cm="1">
        <f t="array" ref="G137">INDEX(GMWQ!$A$2:$NF$60,MATCH(1,(GMWQ!$NE$2:$NE$60=G$3)*(GMWQ!$ND$2:$ND$60=G$4)*(GMWQ!$NF$2:$NF$60=G$1),0),$E137-1966)</f>
        <v>14681</v>
      </c>
      <c r="H137" s="13" cm="1">
        <f t="array" ref="H137">INDEX(GMWQ!$A$2:$NF$60,MATCH(1,(GMWQ!$NE$2:$NE$60=H$3)*(GMWQ!$ND$2:$ND$60=H$4)*(GMWQ!$NF$2:$NF$60=H$1),0),$E137-1966)</f>
        <v>385.33330000000001</v>
      </c>
      <c r="I137" s="13" cm="1">
        <f t="array" ref="I137">INDEX(GMWQ!$A$2:$NF$60,MATCH(1,(GMWQ!$NE$2:$NE$60=I$3)*(GMWQ!$ND$2:$ND$60=I$4)*(GMWQ!$NF$2:$NF$60=I$1),0),$E137-1966)</f>
        <v>77251</v>
      </c>
      <c r="J137" s="13" cm="1">
        <f t="array" ref="J137">INDEX(GMWQ!$A$2:$NF$60,MATCH(1,(GMWQ!$NE$2:$NE$60=J$3)*(GMWQ!$ND$2:$ND$60=J$4)*(GMWQ!$NF$2:$NF$60=J$1),0),$E137-1966)</f>
        <v>352001</v>
      </c>
      <c r="K137" s="13" cm="1">
        <f t="array" ref="K137">INDEX(GMWQ!$A$2:$NF$60,MATCH(1,(GMWQ!$NE$2:$NE$60=K$3)*(GMWQ!$ND$2:$ND$60=K$4)*(GMWQ!$NF$2:$NF$60=K$1),0),$E137-1966)</f>
        <v>145595</v>
      </c>
      <c r="L137" s="13" cm="1">
        <f t="array" ref="L137">INDEX(GMWQ!$A$2:$NF$60,MATCH(1,(GMWQ!$NE$2:$NE$60=L$3)*(GMWQ!$ND$2:$ND$60=L$4)*(GMWQ!$NF$2:$NF$60=L$1),0),$E137-1966)</f>
        <v>224312</v>
      </c>
      <c r="M137" s="13" cm="1">
        <f t="array" ref="M137">INDEX(GMWQ!$A$2:$NF$60,MATCH(1,(GMWQ!$NE$2:$NE$60=M$3)*(GMWQ!$ND$2:$ND$60=M$4)*(GMWQ!$NF$2:$NF$60=M$1),0),$E137-1966)</f>
        <v>322465</v>
      </c>
      <c r="N137" s="13" cm="1">
        <f t="array" ref="N137">INDEX(GMWQ!$A$2:$NF$60,MATCH(1,(GMWQ!$NE$2:$NE$60=N$3)*(GMWQ!$ND$2:$ND$60=N$4)*(GMWQ!$NF$2:$NF$60=N$1),0),$E137-1966)</f>
        <v>69.850290000000001</v>
      </c>
    </row>
    <row r="138" spans="1:14" x14ac:dyDescent="0.25">
      <c r="B138" s="13">
        <f t="shared" si="11"/>
        <v>2005</v>
      </c>
      <c r="C138" s="13">
        <f t="shared" si="11"/>
        <v>2005</v>
      </c>
      <c r="E138" s="13">
        <f t="shared" si="10"/>
        <v>2104</v>
      </c>
      <c r="F138" s="13" cm="1">
        <f t="array" ref="F138">INDEX(GMWQ!$A$2:$NF$60,MATCH(1,(GMWQ!$NE$2:$NE$60=F$3)*(GMWQ!$ND$2:$ND$60=F$4)*(GMWQ!$NF$2:$NF$60=F$1),0),$E138-1966)</f>
        <v>90.819419999999994</v>
      </c>
      <c r="G138" s="13" cm="1">
        <f t="array" ref="G138">INDEX(GMWQ!$A$2:$NF$60,MATCH(1,(GMWQ!$NE$2:$NE$60=G$3)*(GMWQ!$ND$2:$ND$60=G$4)*(GMWQ!$NF$2:$NF$60=G$1),0),$E138-1966)</f>
        <v>14643</v>
      </c>
      <c r="H138" s="13" cm="1">
        <f t="array" ref="H138">INDEX(GMWQ!$A$2:$NF$60,MATCH(1,(GMWQ!$NE$2:$NE$60=H$3)*(GMWQ!$ND$2:$ND$60=H$4)*(GMWQ!$NF$2:$NF$60=H$1),0),$E138-1966)</f>
        <v>389.33330000000001</v>
      </c>
      <c r="I138" s="13" cm="1">
        <f t="array" ref="I138">INDEX(GMWQ!$A$2:$NF$60,MATCH(1,(GMWQ!$NE$2:$NE$60=I$3)*(GMWQ!$ND$2:$ND$60=I$4)*(GMWQ!$NF$2:$NF$60=I$1),0),$E138-1966)</f>
        <v>81107</v>
      </c>
      <c r="J138" s="13" cm="1">
        <f t="array" ref="J138">INDEX(GMWQ!$A$2:$NF$60,MATCH(1,(GMWQ!$NE$2:$NE$60=J$3)*(GMWQ!$ND$2:$ND$60=J$4)*(GMWQ!$NF$2:$NF$60=J$1),0),$E138-1966)</f>
        <v>357003</v>
      </c>
      <c r="K138" s="13" cm="1">
        <f t="array" ref="K138">INDEX(GMWQ!$A$2:$NF$60,MATCH(1,(GMWQ!$NE$2:$NE$60=K$3)*(GMWQ!$ND$2:$ND$60=K$4)*(GMWQ!$NF$2:$NF$60=K$1),0),$E138-1966)</f>
        <v>145226</v>
      </c>
      <c r="L138" s="13" cm="1">
        <f t="array" ref="L138">INDEX(GMWQ!$A$2:$NF$60,MATCH(1,(GMWQ!$NE$2:$NE$60=L$3)*(GMWQ!$ND$2:$ND$60=L$4)*(GMWQ!$NF$2:$NF$60=L$1),0),$E138-1966)</f>
        <v>226448</v>
      </c>
      <c r="M138" s="13" cm="1">
        <f t="array" ref="M138">INDEX(GMWQ!$A$2:$NF$60,MATCH(1,(GMWQ!$NE$2:$NE$60=M$3)*(GMWQ!$ND$2:$ND$60=M$4)*(GMWQ!$NF$2:$NF$60=M$1),0),$E138-1966)</f>
        <v>322562</v>
      </c>
      <c r="N138" s="13" cm="1">
        <f t="array" ref="N138">INDEX(GMWQ!$A$2:$NF$60,MATCH(1,(GMWQ!$NE$2:$NE$60=N$3)*(GMWQ!$ND$2:$ND$60=N$4)*(GMWQ!$NF$2:$NF$60=N$1),0),$E138-1966)</f>
        <v>70.488200000000006</v>
      </c>
    </row>
    <row r="139" spans="1:14" x14ac:dyDescent="0.25">
      <c r="A139" s="13">
        <v>2006</v>
      </c>
      <c r="B139" s="13">
        <f t="shared" si="11"/>
        <v>2006</v>
      </c>
      <c r="C139" s="13">
        <f t="shared" si="11"/>
        <v>2005</v>
      </c>
      <c r="D139" s="13">
        <f t="shared" si="11"/>
        <v>2005</v>
      </c>
      <c r="E139" s="13">
        <f t="shared" si="10"/>
        <v>2105</v>
      </c>
      <c r="F139" s="13" cm="1">
        <f t="array" ref="F139">INDEX(GMWQ!$A$2:$NF$60,MATCH(1,(GMWQ!$NE$2:$NE$60=F$3)*(GMWQ!$ND$2:$ND$60=F$4)*(GMWQ!$NF$2:$NF$60=F$1),0),$E139-1966)</f>
        <v>93.32159</v>
      </c>
      <c r="G139" s="13" cm="1">
        <f t="array" ref="G139">INDEX(GMWQ!$A$2:$NF$60,MATCH(1,(GMWQ!$NE$2:$NE$60=G$3)*(GMWQ!$ND$2:$ND$60=G$4)*(GMWQ!$NF$2:$NF$60=G$1),0),$E139-1966)</f>
        <v>14713</v>
      </c>
      <c r="H139" s="13" cm="1">
        <f t="array" ref="H139">INDEX(GMWQ!$A$2:$NF$60,MATCH(1,(GMWQ!$NE$2:$NE$60=H$3)*(GMWQ!$ND$2:$ND$60=H$4)*(GMWQ!$NF$2:$NF$60=H$1),0),$E139-1966)</f>
        <v>393.66669999999999</v>
      </c>
      <c r="I139" s="13" cm="1">
        <f t="array" ref="I139">INDEX(GMWQ!$A$2:$NF$60,MATCH(1,(GMWQ!$NE$2:$NE$60=I$3)*(GMWQ!$ND$2:$ND$60=I$4)*(GMWQ!$NF$2:$NF$60=I$1),0),$E139-1966)</f>
        <v>76934</v>
      </c>
      <c r="J139" s="13" cm="1">
        <f t="array" ref="J139">INDEX(GMWQ!$A$2:$NF$60,MATCH(1,(GMWQ!$NE$2:$NE$60=J$3)*(GMWQ!$ND$2:$ND$60=J$4)*(GMWQ!$NF$2:$NF$60=J$1),0),$E139-1966)</f>
        <v>361213</v>
      </c>
      <c r="K139" s="13" cm="1">
        <f t="array" ref="K139">INDEX(GMWQ!$A$2:$NF$60,MATCH(1,(GMWQ!$NE$2:$NE$60=K$3)*(GMWQ!$ND$2:$ND$60=K$4)*(GMWQ!$NF$2:$NF$60=K$1),0),$E139-1966)</f>
        <v>150695</v>
      </c>
      <c r="L139" s="13" cm="1">
        <f t="array" ref="L139">INDEX(GMWQ!$A$2:$NF$60,MATCH(1,(GMWQ!$NE$2:$NE$60=L$3)*(GMWQ!$ND$2:$ND$60=L$4)*(GMWQ!$NF$2:$NF$60=L$1),0),$E139-1966)</f>
        <v>229729</v>
      </c>
      <c r="M139" s="13" cm="1">
        <f t="array" ref="M139">INDEX(GMWQ!$A$2:$NF$60,MATCH(1,(GMWQ!$NE$2:$NE$60=M$3)*(GMWQ!$ND$2:$ND$60=M$4)*(GMWQ!$NF$2:$NF$60=M$1),0),$E139-1966)</f>
        <v>325138</v>
      </c>
      <c r="N139" s="13" cm="1">
        <f t="array" ref="N139">INDEX(GMWQ!$A$2:$NF$60,MATCH(1,(GMWQ!$NE$2:$NE$60=N$3)*(GMWQ!$ND$2:$ND$60=N$4)*(GMWQ!$NF$2:$NF$60=N$1),0),$E139-1966)</f>
        <v>70.940950000000001</v>
      </c>
    </row>
    <row r="140" spans="1:14" x14ac:dyDescent="0.25">
      <c r="B140" s="13">
        <f t="shared" ref="B140:D155" si="12">+B136+1</f>
        <v>2006</v>
      </c>
      <c r="C140" s="13">
        <f t="shared" si="12"/>
        <v>2006</v>
      </c>
      <c r="E140" s="13">
        <f t="shared" si="10"/>
        <v>2106</v>
      </c>
      <c r="F140" s="13" cm="1">
        <f t="array" ref="F140">INDEX(GMWQ!$A$2:$NF$60,MATCH(1,(GMWQ!$NE$2:$NE$60=F$3)*(GMWQ!$ND$2:$ND$60=F$4)*(GMWQ!$NF$2:$NF$60=F$1),0),$E140-1966)</f>
        <v>92.744410000000002</v>
      </c>
      <c r="G140" s="13" cm="1">
        <f t="array" ref="G140">INDEX(GMWQ!$A$2:$NF$60,MATCH(1,(GMWQ!$NE$2:$NE$60=G$3)*(GMWQ!$ND$2:$ND$60=G$4)*(GMWQ!$NF$2:$NF$60=G$1),0),$E140-1966)</f>
        <v>14863</v>
      </c>
      <c r="H140" s="13" cm="1">
        <f t="array" ref="H140">INDEX(GMWQ!$A$2:$NF$60,MATCH(1,(GMWQ!$NE$2:$NE$60=H$3)*(GMWQ!$ND$2:$ND$60=H$4)*(GMWQ!$NF$2:$NF$60=H$1),0),$E140-1966)</f>
        <v>397.66669999999999</v>
      </c>
      <c r="I140" s="13" cm="1">
        <f t="array" ref="I140">INDEX(GMWQ!$A$2:$NF$60,MATCH(1,(GMWQ!$NE$2:$NE$60=I$3)*(GMWQ!$ND$2:$ND$60=I$4)*(GMWQ!$NF$2:$NF$60=I$1),0),$E140-1966)</f>
        <v>83060</v>
      </c>
      <c r="J140" s="13" cm="1">
        <f t="array" ref="J140">INDEX(GMWQ!$A$2:$NF$60,MATCH(1,(GMWQ!$NE$2:$NE$60=J$3)*(GMWQ!$ND$2:$ND$60=J$4)*(GMWQ!$NF$2:$NF$60=J$1),0),$E140-1966)</f>
        <v>367042</v>
      </c>
      <c r="K140" s="13" cm="1">
        <f t="array" ref="K140">INDEX(GMWQ!$A$2:$NF$60,MATCH(1,(GMWQ!$NE$2:$NE$60=K$3)*(GMWQ!$ND$2:$ND$60=K$4)*(GMWQ!$NF$2:$NF$60=K$1),0),$E140-1966)</f>
        <v>151290</v>
      </c>
      <c r="L140" s="13" cm="1">
        <f t="array" ref="L140">INDEX(GMWQ!$A$2:$NF$60,MATCH(1,(GMWQ!$NE$2:$NE$60=L$3)*(GMWQ!$ND$2:$ND$60=L$4)*(GMWQ!$NF$2:$NF$60=L$1),0),$E140-1966)</f>
        <v>231892</v>
      </c>
      <c r="M140" s="13" cm="1">
        <f t="array" ref="M140">INDEX(GMWQ!$A$2:$NF$60,MATCH(1,(GMWQ!$NE$2:$NE$60=M$3)*(GMWQ!$ND$2:$ND$60=M$4)*(GMWQ!$NF$2:$NF$60=M$1),0),$E140-1966)</f>
        <v>323889</v>
      </c>
      <c r="N140" s="13" cm="1">
        <f t="array" ref="N140">INDEX(GMWQ!$A$2:$NF$60,MATCH(1,(GMWQ!$NE$2:$NE$60=N$3)*(GMWQ!$ND$2:$ND$60=N$4)*(GMWQ!$NF$2:$NF$60=N$1),0),$E140-1966)</f>
        <v>71.759450000000001</v>
      </c>
    </row>
    <row r="141" spans="1:14" x14ac:dyDescent="0.25">
      <c r="B141" s="13">
        <f t="shared" si="12"/>
        <v>2006</v>
      </c>
      <c r="C141" s="13">
        <f t="shared" si="12"/>
        <v>2006</v>
      </c>
      <c r="E141" s="13">
        <f t="shared" si="10"/>
        <v>2107</v>
      </c>
      <c r="F141" s="13" cm="1">
        <f t="array" ref="F141">INDEX(GMWQ!$A$2:$NF$60,MATCH(1,(GMWQ!$NE$2:$NE$60=F$3)*(GMWQ!$ND$2:$ND$60=F$4)*(GMWQ!$NF$2:$NF$60=F$1),0),$E141-1966)</f>
        <v>93.980130000000003</v>
      </c>
      <c r="G141" s="13" cm="1">
        <f t="array" ref="G141">INDEX(GMWQ!$A$2:$NF$60,MATCH(1,(GMWQ!$NE$2:$NE$60=G$3)*(GMWQ!$ND$2:$ND$60=G$4)*(GMWQ!$NF$2:$NF$60=G$1),0),$E141-1966)</f>
        <v>15292</v>
      </c>
      <c r="H141" s="13" cm="1">
        <f t="array" ref="H141">INDEX(GMWQ!$A$2:$NF$60,MATCH(1,(GMWQ!$NE$2:$NE$60=H$3)*(GMWQ!$ND$2:$ND$60=H$4)*(GMWQ!$NF$2:$NF$60=H$1),0),$E141-1966)</f>
        <v>401.33330000000001</v>
      </c>
      <c r="I141" s="13" cm="1">
        <f t="array" ref="I141">INDEX(GMWQ!$A$2:$NF$60,MATCH(1,(GMWQ!$NE$2:$NE$60=I$3)*(GMWQ!$ND$2:$ND$60=I$4)*(GMWQ!$NF$2:$NF$60=I$1),0),$E141-1966)</f>
        <v>82467</v>
      </c>
      <c r="J141" s="13" cm="1">
        <f t="array" ref="J141">INDEX(GMWQ!$A$2:$NF$60,MATCH(1,(GMWQ!$NE$2:$NE$60=J$3)*(GMWQ!$ND$2:$ND$60=J$4)*(GMWQ!$NF$2:$NF$60=J$1),0),$E141-1966)</f>
        <v>370883</v>
      </c>
      <c r="K141" s="13" cm="1">
        <f t="array" ref="K141">INDEX(GMWQ!$A$2:$NF$60,MATCH(1,(GMWQ!$NE$2:$NE$60=K$3)*(GMWQ!$ND$2:$ND$60=K$4)*(GMWQ!$NF$2:$NF$60=K$1),0),$E141-1966)</f>
        <v>152963</v>
      </c>
      <c r="L141" s="13" cm="1">
        <f t="array" ref="L141">INDEX(GMWQ!$A$2:$NF$60,MATCH(1,(GMWQ!$NE$2:$NE$60=L$3)*(GMWQ!$ND$2:$ND$60=L$4)*(GMWQ!$NF$2:$NF$60=L$1),0),$E141-1966)</f>
        <v>236075</v>
      </c>
      <c r="M141" s="13" cm="1">
        <f t="array" ref="M141">INDEX(GMWQ!$A$2:$NF$60,MATCH(1,(GMWQ!$NE$2:$NE$60=M$3)*(GMWQ!$ND$2:$ND$60=M$4)*(GMWQ!$NF$2:$NF$60=M$1),0),$E141-1966)</f>
        <v>327580</v>
      </c>
      <c r="N141" s="13" cm="1">
        <f t="array" ref="N141">INDEX(GMWQ!$A$2:$NF$60,MATCH(1,(GMWQ!$NE$2:$NE$60=N$3)*(GMWQ!$ND$2:$ND$60=N$4)*(GMWQ!$NF$2:$NF$60=N$1),0),$E141-1966)</f>
        <v>72.252660000000006</v>
      </c>
    </row>
    <row r="142" spans="1:14" x14ac:dyDescent="0.25">
      <c r="B142" s="13">
        <f t="shared" si="12"/>
        <v>2006</v>
      </c>
      <c r="C142" s="13">
        <f t="shared" si="12"/>
        <v>2006</v>
      </c>
      <c r="E142" s="13">
        <f t="shared" si="10"/>
        <v>2108</v>
      </c>
      <c r="F142" s="13" cm="1">
        <f t="array" ref="F142">INDEX(GMWQ!$A$2:$NF$60,MATCH(1,(GMWQ!$NE$2:$NE$60=F$3)*(GMWQ!$ND$2:$ND$60=F$4)*(GMWQ!$NF$2:$NF$60=F$1),0),$E142-1966)</f>
        <v>95.982370000000003</v>
      </c>
      <c r="G142" s="13" cm="1">
        <f t="array" ref="G142">INDEX(GMWQ!$A$2:$NF$60,MATCH(1,(GMWQ!$NE$2:$NE$60=G$3)*(GMWQ!$ND$2:$ND$60=G$4)*(GMWQ!$NF$2:$NF$60=G$1),0),$E142-1966)</f>
        <v>15652</v>
      </c>
      <c r="H142" s="13" cm="1">
        <f t="array" ref="H142">INDEX(GMWQ!$A$2:$NF$60,MATCH(1,(GMWQ!$NE$2:$NE$60=H$3)*(GMWQ!$ND$2:$ND$60=H$4)*(GMWQ!$NF$2:$NF$60=H$1),0),$E142-1966)</f>
        <v>408</v>
      </c>
      <c r="I142" s="13" cm="1">
        <f t="array" ref="I142">INDEX(GMWQ!$A$2:$NF$60,MATCH(1,(GMWQ!$NE$2:$NE$60=I$3)*(GMWQ!$ND$2:$ND$60=I$4)*(GMWQ!$NF$2:$NF$60=I$1),0),$E142-1966)</f>
        <v>78146</v>
      </c>
      <c r="J142" s="13" cm="1">
        <f t="array" ref="J142">INDEX(GMWQ!$A$2:$NF$60,MATCH(1,(GMWQ!$NE$2:$NE$60=J$3)*(GMWQ!$ND$2:$ND$60=J$4)*(GMWQ!$NF$2:$NF$60=J$1),0),$E142-1966)</f>
        <v>372900</v>
      </c>
      <c r="K142" s="13" cm="1">
        <f t="array" ref="K142">INDEX(GMWQ!$A$2:$NF$60,MATCH(1,(GMWQ!$NE$2:$NE$60=K$3)*(GMWQ!$ND$2:$ND$60=K$4)*(GMWQ!$NF$2:$NF$60=K$1),0),$E142-1966)</f>
        <v>155495</v>
      </c>
      <c r="L142" s="13" cm="1">
        <f t="array" ref="L142">INDEX(GMWQ!$A$2:$NF$60,MATCH(1,(GMWQ!$NE$2:$NE$60=L$3)*(GMWQ!$ND$2:$ND$60=L$4)*(GMWQ!$NF$2:$NF$60=L$1),0),$E142-1966)</f>
        <v>237463</v>
      </c>
      <c r="M142" s="13" cm="1">
        <f t="array" ref="M142">INDEX(GMWQ!$A$2:$NF$60,MATCH(1,(GMWQ!$NE$2:$NE$60=M$3)*(GMWQ!$ND$2:$ND$60=M$4)*(GMWQ!$NF$2:$NF$60=M$1),0),$E142-1966)</f>
        <v>328682</v>
      </c>
      <c r="N142" s="13" cm="1">
        <f t="array" ref="N142">INDEX(GMWQ!$A$2:$NF$60,MATCH(1,(GMWQ!$NE$2:$NE$60=N$3)*(GMWQ!$ND$2:$ND$60=N$4)*(GMWQ!$NF$2:$NF$60=N$1),0),$E142-1966)</f>
        <v>72.382469999999998</v>
      </c>
    </row>
    <row r="143" spans="1:14" x14ac:dyDescent="0.25">
      <c r="A143" s="13">
        <v>2007</v>
      </c>
      <c r="B143" s="13">
        <f t="shared" si="12"/>
        <v>2007</v>
      </c>
      <c r="C143" s="13">
        <f t="shared" si="12"/>
        <v>2006</v>
      </c>
      <c r="D143" s="13">
        <f t="shared" si="12"/>
        <v>2006</v>
      </c>
      <c r="E143" s="13">
        <f t="shared" si="10"/>
        <v>2109</v>
      </c>
      <c r="F143" s="13" cm="1">
        <f t="array" ref="F143">INDEX(GMWQ!$A$2:$NF$60,MATCH(1,(GMWQ!$NE$2:$NE$60=F$3)*(GMWQ!$ND$2:$ND$60=F$4)*(GMWQ!$NF$2:$NF$60=F$1),0),$E143-1966)</f>
        <v>97.296390000000002</v>
      </c>
      <c r="G143" s="13" cm="1">
        <f t="array" ref="G143">INDEX(GMWQ!$A$2:$NF$60,MATCH(1,(GMWQ!$NE$2:$NE$60=G$3)*(GMWQ!$ND$2:$ND$60=G$4)*(GMWQ!$NF$2:$NF$60=G$1),0),$E143-1966)</f>
        <v>15661</v>
      </c>
      <c r="H143" s="13" cm="1">
        <f t="array" ref="H143">INDEX(GMWQ!$A$2:$NF$60,MATCH(1,(GMWQ!$NE$2:$NE$60=H$3)*(GMWQ!$ND$2:$ND$60=H$4)*(GMWQ!$NF$2:$NF$60=H$1),0),$E143-1966)</f>
        <v>417</v>
      </c>
      <c r="I143" s="13" cm="1">
        <f t="array" ref="I143">INDEX(GMWQ!$A$2:$NF$60,MATCH(1,(GMWQ!$NE$2:$NE$60=I$3)*(GMWQ!$ND$2:$ND$60=I$4)*(GMWQ!$NF$2:$NF$60=I$1),0),$E143-1966)</f>
        <v>76454</v>
      </c>
      <c r="J143" s="13" cm="1">
        <f t="array" ref="J143">INDEX(GMWQ!$A$2:$NF$60,MATCH(1,(GMWQ!$NE$2:$NE$60=J$3)*(GMWQ!$ND$2:$ND$60=J$4)*(GMWQ!$NF$2:$NF$60=J$1),0),$E143-1966)</f>
        <v>376958</v>
      </c>
      <c r="K143" s="13" cm="1">
        <f t="array" ref="K143">INDEX(GMWQ!$A$2:$NF$60,MATCH(1,(GMWQ!$NE$2:$NE$60=K$3)*(GMWQ!$ND$2:$ND$60=K$4)*(GMWQ!$NF$2:$NF$60=K$1),0),$E143-1966)</f>
        <v>161456</v>
      </c>
      <c r="L143" s="13" cm="1">
        <f t="array" ref="L143">INDEX(GMWQ!$A$2:$NF$60,MATCH(1,(GMWQ!$NE$2:$NE$60=L$3)*(GMWQ!$ND$2:$ND$60=L$4)*(GMWQ!$NF$2:$NF$60=L$1),0),$E143-1966)</f>
        <v>243111</v>
      </c>
      <c r="M143" s="13" cm="1">
        <f t="array" ref="M143">INDEX(GMWQ!$A$2:$NF$60,MATCH(1,(GMWQ!$NE$2:$NE$60=M$3)*(GMWQ!$ND$2:$ND$60=M$4)*(GMWQ!$NF$2:$NF$60=M$1),0),$E143-1966)</f>
        <v>339067</v>
      </c>
      <c r="N143" s="13" cm="1">
        <f t="array" ref="N143">INDEX(GMWQ!$A$2:$NF$60,MATCH(1,(GMWQ!$NE$2:$NE$60=N$3)*(GMWQ!$ND$2:$ND$60=N$4)*(GMWQ!$NF$2:$NF$60=N$1),0),$E143-1966)</f>
        <v>71.805189999999996</v>
      </c>
    </row>
    <row r="144" spans="1:14" x14ac:dyDescent="0.25">
      <c r="B144" s="13">
        <f t="shared" si="12"/>
        <v>2007</v>
      </c>
      <c r="C144" s="13">
        <f t="shared" si="12"/>
        <v>2007</v>
      </c>
      <c r="E144" s="13">
        <f t="shared" si="10"/>
        <v>2110</v>
      </c>
      <c r="F144" s="13" cm="1">
        <f t="array" ref="F144">INDEX(GMWQ!$A$2:$NF$60,MATCH(1,(GMWQ!$NE$2:$NE$60=F$3)*(GMWQ!$ND$2:$ND$60=F$4)*(GMWQ!$NF$2:$NF$60=F$1),0),$E144-1966)</f>
        <v>97.197559999999996</v>
      </c>
      <c r="G144" s="13" cm="1">
        <f t="array" ref="G144">INDEX(GMWQ!$A$2:$NF$60,MATCH(1,(GMWQ!$NE$2:$NE$60=G$3)*(GMWQ!$ND$2:$ND$60=G$4)*(GMWQ!$NF$2:$NF$60=G$1),0),$E144-1966)</f>
        <v>16295</v>
      </c>
      <c r="H144" s="13" cm="1">
        <f t="array" ref="H144">INDEX(GMWQ!$A$2:$NF$60,MATCH(1,(GMWQ!$NE$2:$NE$60=H$3)*(GMWQ!$ND$2:$ND$60=H$4)*(GMWQ!$NF$2:$NF$60=H$1),0),$E144-1966)</f>
        <v>415.33330000000001</v>
      </c>
      <c r="I144" s="13" cm="1">
        <f t="array" ref="I144">INDEX(GMWQ!$A$2:$NF$60,MATCH(1,(GMWQ!$NE$2:$NE$60=I$3)*(GMWQ!$ND$2:$ND$60=I$4)*(GMWQ!$NF$2:$NF$60=I$1),0),$E144-1966)</f>
        <v>84643</v>
      </c>
      <c r="J144" s="13" cm="1">
        <f t="array" ref="J144">INDEX(GMWQ!$A$2:$NF$60,MATCH(1,(GMWQ!$NE$2:$NE$60=J$3)*(GMWQ!$ND$2:$ND$60=J$4)*(GMWQ!$NF$2:$NF$60=J$1),0),$E144-1966)</f>
        <v>386144</v>
      </c>
      <c r="K144" s="13" cm="1">
        <f t="array" ref="K144">INDEX(GMWQ!$A$2:$NF$60,MATCH(1,(GMWQ!$NE$2:$NE$60=K$3)*(GMWQ!$ND$2:$ND$60=K$4)*(GMWQ!$NF$2:$NF$60=K$1),0),$E144-1966)</f>
        <v>160452</v>
      </c>
      <c r="L144" s="13" cm="1">
        <f t="array" ref="L144">INDEX(GMWQ!$A$2:$NF$60,MATCH(1,(GMWQ!$NE$2:$NE$60=L$3)*(GMWQ!$ND$2:$ND$60=L$4)*(GMWQ!$NF$2:$NF$60=L$1),0),$E144-1966)</f>
        <v>244614</v>
      </c>
      <c r="M144" s="13" cm="1">
        <f t="array" ref="M144">INDEX(GMWQ!$A$2:$NF$60,MATCH(1,(GMWQ!$NE$2:$NE$60=M$3)*(GMWQ!$ND$2:$ND$60=M$4)*(GMWQ!$NF$2:$NF$60=M$1),0),$E144-1966)</f>
        <v>336009</v>
      </c>
      <c r="N144" s="13" cm="1">
        <f t="array" ref="N144">INDEX(GMWQ!$A$2:$NF$60,MATCH(1,(GMWQ!$NE$2:$NE$60=N$3)*(GMWQ!$ND$2:$ND$60=N$4)*(GMWQ!$NF$2:$NF$60=N$1),0),$E144-1966)</f>
        <v>72.88503</v>
      </c>
    </row>
    <row r="145" spans="1:14" x14ac:dyDescent="0.25">
      <c r="B145" s="13">
        <f t="shared" si="12"/>
        <v>2007</v>
      </c>
      <c r="C145" s="13">
        <f t="shared" si="12"/>
        <v>2007</v>
      </c>
      <c r="E145" s="13">
        <f t="shared" si="10"/>
        <v>2111</v>
      </c>
      <c r="F145" s="13" cm="1">
        <f t="array" ref="F145">INDEX(GMWQ!$A$2:$NF$60,MATCH(1,(GMWQ!$NE$2:$NE$60=F$3)*(GMWQ!$ND$2:$ND$60=F$4)*(GMWQ!$NF$2:$NF$60=F$1),0),$E145-1966)</f>
        <v>98.634910000000005</v>
      </c>
      <c r="G145" s="13" cm="1">
        <f t="array" ref="G145">INDEX(GMWQ!$A$2:$NF$60,MATCH(1,(GMWQ!$NE$2:$NE$60=G$3)*(GMWQ!$ND$2:$ND$60=G$4)*(GMWQ!$NF$2:$NF$60=G$1),0),$E145-1966)</f>
        <v>16680</v>
      </c>
      <c r="H145" s="13" cm="1">
        <f t="array" ref="H145">INDEX(GMWQ!$A$2:$NF$60,MATCH(1,(GMWQ!$NE$2:$NE$60=H$3)*(GMWQ!$ND$2:$ND$60=H$4)*(GMWQ!$NF$2:$NF$60=H$1),0),$E145-1966)</f>
        <v>422</v>
      </c>
      <c r="I145" s="13" cm="1">
        <f t="array" ref="I145">INDEX(GMWQ!$A$2:$NF$60,MATCH(1,(GMWQ!$NE$2:$NE$60=I$3)*(GMWQ!$ND$2:$ND$60=I$4)*(GMWQ!$NF$2:$NF$60=I$1),0),$E145-1966)</f>
        <v>82980</v>
      </c>
      <c r="J145" s="13" cm="1">
        <f t="array" ref="J145">INDEX(GMWQ!$A$2:$NF$60,MATCH(1,(GMWQ!$NE$2:$NE$60=J$3)*(GMWQ!$ND$2:$ND$60=J$4)*(GMWQ!$NF$2:$NF$60=J$1),0),$E145-1966)</f>
        <v>389291</v>
      </c>
      <c r="K145" s="13" cm="1">
        <f t="array" ref="K145">INDEX(GMWQ!$A$2:$NF$60,MATCH(1,(GMWQ!$NE$2:$NE$60=K$3)*(GMWQ!$ND$2:$ND$60=K$4)*(GMWQ!$NF$2:$NF$60=K$1),0),$E145-1966)</f>
        <v>164131</v>
      </c>
      <c r="L145" s="13" cm="1">
        <f t="array" ref="L145">INDEX(GMWQ!$A$2:$NF$60,MATCH(1,(GMWQ!$NE$2:$NE$60=L$3)*(GMWQ!$ND$2:$ND$60=L$4)*(GMWQ!$NF$2:$NF$60=L$1),0),$E145-1966)</f>
        <v>248998</v>
      </c>
      <c r="M145" s="13" cm="1">
        <f t="array" ref="M145">INDEX(GMWQ!$A$2:$NF$60,MATCH(1,(GMWQ!$NE$2:$NE$60=M$3)*(GMWQ!$ND$2:$ND$60=M$4)*(GMWQ!$NF$2:$NF$60=M$1),0),$E145-1966)</f>
        <v>340647</v>
      </c>
      <c r="N145" s="13" cm="1">
        <f t="array" ref="N145">INDEX(GMWQ!$A$2:$NF$60,MATCH(1,(GMWQ!$NE$2:$NE$60=N$3)*(GMWQ!$ND$2:$ND$60=N$4)*(GMWQ!$NF$2:$NF$60=N$1),0),$E145-1966)</f>
        <v>73.206900000000005</v>
      </c>
    </row>
    <row r="146" spans="1:14" x14ac:dyDescent="0.25">
      <c r="B146" s="13">
        <f t="shared" si="12"/>
        <v>2007</v>
      </c>
      <c r="C146" s="13">
        <f t="shared" si="12"/>
        <v>2007</v>
      </c>
      <c r="E146" s="13">
        <f t="shared" si="10"/>
        <v>2112</v>
      </c>
      <c r="F146" s="13" cm="1">
        <f t="array" ref="F146">INDEX(GMWQ!$A$2:$NF$60,MATCH(1,(GMWQ!$NE$2:$NE$60=F$3)*(GMWQ!$ND$2:$ND$60=F$4)*(GMWQ!$NF$2:$NF$60=F$1),0),$E146-1966)</f>
        <v>97.96114</v>
      </c>
      <c r="G146" s="13" cm="1">
        <f t="array" ref="G146">INDEX(GMWQ!$A$2:$NF$60,MATCH(1,(GMWQ!$NE$2:$NE$60=G$3)*(GMWQ!$ND$2:$ND$60=G$4)*(GMWQ!$NF$2:$NF$60=G$1),0),$E146-1966)</f>
        <v>17084</v>
      </c>
      <c r="H146" s="13" cm="1">
        <f t="array" ref="H146">INDEX(GMWQ!$A$2:$NF$60,MATCH(1,(GMWQ!$NE$2:$NE$60=H$3)*(GMWQ!$ND$2:$ND$60=H$4)*(GMWQ!$NF$2:$NF$60=H$1),0),$E146-1966)</f>
        <v>425</v>
      </c>
      <c r="I146" s="13" cm="1">
        <f t="array" ref="I146">INDEX(GMWQ!$A$2:$NF$60,MATCH(1,(GMWQ!$NE$2:$NE$60=I$3)*(GMWQ!$ND$2:$ND$60=I$4)*(GMWQ!$NF$2:$NF$60=I$1),0),$E146-1966)</f>
        <v>85474</v>
      </c>
      <c r="J146" s="13" cm="1">
        <f t="array" ref="J146">INDEX(GMWQ!$A$2:$NF$60,MATCH(1,(GMWQ!$NE$2:$NE$60=J$3)*(GMWQ!$ND$2:$ND$60=J$4)*(GMWQ!$NF$2:$NF$60=J$1),0),$E146-1966)</f>
        <v>392244</v>
      </c>
      <c r="K146" s="13" cm="1">
        <f t="array" ref="K146">INDEX(GMWQ!$A$2:$NF$60,MATCH(1,(GMWQ!$NE$2:$NE$60=K$3)*(GMWQ!$ND$2:$ND$60=K$4)*(GMWQ!$NF$2:$NF$60=K$1),0),$E146-1966)</f>
        <v>165275</v>
      </c>
      <c r="L146" s="13" cm="1">
        <f t="array" ref="L146">INDEX(GMWQ!$A$2:$NF$60,MATCH(1,(GMWQ!$NE$2:$NE$60=L$3)*(GMWQ!$ND$2:$ND$60=L$4)*(GMWQ!$NF$2:$NF$60=L$1),0),$E146-1966)</f>
        <v>249640</v>
      </c>
      <c r="M146" s="13" cm="1">
        <f t="array" ref="M146">INDEX(GMWQ!$A$2:$NF$60,MATCH(1,(GMWQ!$NE$2:$NE$60=M$3)*(GMWQ!$ND$2:$ND$60=M$4)*(GMWQ!$NF$2:$NF$60=M$1),0),$E146-1966)</f>
        <v>340314</v>
      </c>
      <c r="N146" s="13" cm="1">
        <f t="array" ref="N146">INDEX(GMWQ!$A$2:$NF$60,MATCH(1,(GMWQ!$NE$2:$NE$60=N$3)*(GMWQ!$ND$2:$ND$60=N$4)*(GMWQ!$NF$2:$NF$60=N$1),0),$E146-1966)</f>
        <v>73.403729999999996</v>
      </c>
    </row>
    <row r="147" spans="1:14" x14ac:dyDescent="0.25">
      <c r="A147" s="13">
        <v>2008</v>
      </c>
      <c r="B147" s="13">
        <f t="shared" si="12"/>
        <v>2008</v>
      </c>
      <c r="C147" s="13">
        <f t="shared" si="12"/>
        <v>2007</v>
      </c>
      <c r="D147" s="13">
        <f t="shared" si="12"/>
        <v>2007</v>
      </c>
      <c r="E147" s="13">
        <f t="shared" si="10"/>
        <v>2113</v>
      </c>
      <c r="F147" s="13" cm="1">
        <f t="array" ref="F147">INDEX(GMWQ!$A$2:$NF$60,MATCH(1,(GMWQ!$NE$2:$NE$60=F$3)*(GMWQ!$ND$2:$ND$60=F$4)*(GMWQ!$NF$2:$NF$60=F$1),0),$E147-1966)</f>
        <v>99.501630000000006</v>
      </c>
      <c r="G147" s="13" cm="1">
        <f t="array" ref="G147">INDEX(GMWQ!$A$2:$NF$60,MATCH(1,(GMWQ!$NE$2:$NE$60=G$3)*(GMWQ!$ND$2:$ND$60=G$4)*(GMWQ!$NF$2:$NF$60=G$1),0),$E147-1966)</f>
        <v>17891</v>
      </c>
      <c r="H147" s="13" cm="1">
        <f t="array" ref="H147">INDEX(GMWQ!$A$2:$NF$60,MATCH(1,(GMWQ!$NE$2:$NE$60=H$3)*(GMWQ!$ND$2:$ND$60=H$4)*(GMWQ!$NF$2:$NF$60=H$1),0),$E147-1966)</f>
        <v>433.66669999999999</v>
      </c>
      <c r="I147" s="13" cm="1">
        <f t="array" ref="I147">INDEX(GMWQ!$A$2:$NF$60,MATCH(1,(GMWQ!$NE$2:$NE$60=I$3)*(GMWQ!$ND$2:$ND$60=I$4)*(GMWQ!$NF$2:$NF$60=I$1),0),$E147-1966)</f>
        <v>84691</v>
      </c>
      <c r="J147" s="13" cm="1">
        <f t="array" ref="J147">INDEX(GMWQ!$A$2:$NF$60,MATCH(1,(GMWQ!$NE$2:$NE$60=J$3)*(GMWQ!$ND$2:$ND$60=J$4)*(GMWQ!$NF$2:$NF$60=J$1),0),$E147-1966)</f>
        <v>397800</v>
      </c>
      <c r="K147" s="13" cm="1">
        <f t="array" ref="K147">INDEX(GMWQ!$A$2:$NF$60,MATCH(1,(GMWQ!$NE$2:$NE$60=K$3)*(GMWQ!$ND$2:$ND$60=K$4)*(GMWQ!$NF$2:$NF$60=K$1),0),$E147-1966)</f>
        <v>168351</v>
      </c>
      <c r="L147" s="13" cm="1">
        <f t="array" ref="L147">INDEX(GMWQ!$A$2:$NF$60,MATCH(1,(GMWQ!$NE$2:$NE$60=L$3)*(GMWQ!$ND$2:$ND$60=L$4)*(GMWQ!$NF$2:$NF$60=L$1),0),$E147-1966)</f>
        <v>249920</v>
      </c>
      <c r="M147" s="13" cm="1">
        <f t="array" ref="M147">INDEX(GMWQ!$A$2:$NF$60,MATCH(1,(GMWQ!$NE$2:$NE$60=M$3)*(GMWQ!$ND$2:$ND$60=M$4)*(GMWQ!$NF$2:$NF$60=M$1),0),$E147-1966)</f>
        <v>335815</v>
      </c>
      <c r="N147" s="13" cm="1">
        <f t="array" ref="N147">INDEX(GMWQ!$A$2:$NF$60,MATCH(1,(GMWQ!$NE$2:$NE$60=N$3)*(GMWQ!$ND$2:$ND$60=N$4)*(GMWQ!$NF$2:$NF$60=N$1),0),$E147-1966)</f>
        <v>74.486329999999995</v>
      </c>
    </row>
    <row r="148" spans="1:14" x14ac:dyDescent="0.25">
      <c r="B148" s="13">
        <f t="shared" si="12"/>
        <v>2008</v>
      </c>
      <c r="C148" s="13">
        <f t="shared" si="12"/>
        <v>2008</v>
      </c>
      <c r="E148" s="13">
        <f t="shared" si="10"/>
        <v>2114</v>
      </c>
      <c r="F148" s="13" cm="1">
        <f t="array" ref="F148">INDEX(GMWQ!$A$2:$NF$60,MATCH(1,(GMWQ!$NE$2:$NE$60=F$3)*(GMWQ!$ND$2:$ND$60=F$4)*(GMWQ!$NF$2:$NF$60=F$1),0),$E148-1966)</f>
        <v>98.887450000000001</v>
      </c>
      <c r="G148" s="13" cm="1">
        <f t="array" ref="G148">INDEX(GMWQ!$A$2:$NF$60,MATCH(1,(GMWQ!$NE$2:$NE$60=G$3)*(GMWQ!$ND$2:$ND$60=G$4)*(GMWQ!$NF$2:$NF$60=G$1),0),$E148-1966)</f>
        <v>17172</v>
      </c>
      <c r="H148" s="13" cm="1">
        <f t="array" ref="H148">INDEX(GMWQ!$A$2:$NF$60,MATCH(1,(GMWQ!$NE$2:$NE$60=H$3)*(GMWQ!$ND$2:$ND$60=H$4)*(GMWQ!$NF$2:$NF$60=H$1),0),$E148-1966)</f>
        <v>433</v>
      </c>
      <c r="I148" s="13" cm="1">
        <f t="array" ref="I148">INDEX(GMWQ!$A$2:$NF$60,MATCH(1,(GMWQ!$NE$2:$NE$60=I$3)*(GMWQ!$ND$2:$ND$60=I$4)*(GMWQ!$NF$2:$NF$60=I$1),0),$E148-1966)</f>
        <v>87843</v>
      </c>
      <c r="J148" s="13" cm="1">
        <f t="array" ref="J148">INDEX(GMWQ!$A$2:$NF$60,MATCH(1,(GMWQ!$NE$2:$NE$60=J$3)*(GMWQ!$ND$2:$ND$60=J$4)*(GMWQ!$NF$2:$NF$60=J$1),0),$E148-1966)</f>
        <v>400685</v>
      </c>
      <c r="K148" s="13" cm="1">
        <f t="array" ref="K148">INDEX(GMWQ!$A$2:$NF$60,MATCH(1,(GMWQ!$NE$2:$NE$60=K$3)*(GMWQ!$ND$2:$ND$60=K$4)*(GMWQ!$NF$2:$NF$60=K$1),0),$E148-1966)</f>
        <v>166617</v>
      </c>
      <c r="L148" s="13" cm="1">
        <f t="array" ref="L148">INDEX(GMWQ!$A$2:$NF$60,MATCH(1,(GMWQ!$NE$2:$NE$60=L$3)*(GMWQ!$ND$2:$ND$60=L$4)*(GMWQ!$NF$2:$NF$60=L$1),0),$E148-1966)</f>
        <v>256466</v>
      </c>
      <c r="M148" s="13" cm="1">
        <f t="array" ref="M148">INDEX(GMWQ!$A$2:$NF$60,MATCH(1,(GMWQ!$NE$2:$NE$60=M$3)*(GMWQ!$ND$2:$ND$60=M$4)*(GMWQ!$NF$2:$NF$60=M$1),0),$E148-1966)</f>
        <v>339732</v>
      </c>
      <c r="N148" s="13" cm="1">
        <f t="array" ref="N148">INDEX(GMWQ!$A$2:$NF$60,MATCH(1,(GMWQ!$NE$2:$NE$60=N$3)*(GMWQ!$ND$2:$ND$60=N$4)*(GMWQ!$NF$2:$NF$60=N$1),0),$E148-1966)</f>
        <v>75.595219999999998</v>
      </c>
    </row>
    <row r="149" spans="1:14" x14ac:dyDescent="0.25">
      <c r="B149" s="13">
        <f t="shared" si="12"/>
        <v>2008</v>
      </c>
      <c r="C149" s="13">
        <f t="shared" si="12"/>
        <v>2008</v>
      </c>
      <c r="E149" s="13">
        <f t="shared" si="10"/>
        <v>2115</v>
      </c>
      <c r="F149" s="13" cm="1">
        <f t="array" ref="F149">INDEX(GMWQ!$A$2:$NF$60,MATCH(1,(GMWQ!$NE$2:$NE$60=F$3)*(GMWQ!$ND$2:$ND$60=F$4)*(GMWQ!$NF$2:$NF$60=F$1),0),$E149-1966)</f>
        <v>100.008</v>
      </c>
      <c r="G149" s="13" cm="1">
        <f t="array" ref="G149">INDEX(GMWQ!$A$2:$NF$60,MATCH(1,(GMWQ!$NE$2:$NE$60=G$3)*(GMWQ!$ND$2:$ND$60=G$4)*(GMWQ!$NF$2:$NF$60=G$1),0),$E149-1966)</f>
        <v>17328</v>
      </c>
      <c r="H149" s="13" cm="1">
        <f t="array" ref="H149">INDEX(GMWQ!$A$2:$NF$60,MATCH(1,(GMWQ!$NE$2:$NE$60=H$3)*(GMWQ!$ND$2:$ND$60=H$4)*(GMWQ!$NF$2:$NF$60=H$1),0),$E149-1966)</f>
        <v>434.66669999999999</v>
      </c>
      <c r="I149" s="13" cm="1">
        <f t="array" ref="I149">INDEX(GMWQ!$A$2:$NF$60,MATCH(1,(GMWQ!$NE$2:$NE$60=I$3)*(GMWQ!$ND$2:$ND$60=I$4)*(GMWQ!$NF$2:$NF$60=I$1),0),$E149-1966)</f>
        <v>90586</v>
      </c>
      <c r="J149" s="13" cm="1">
        <f t="array" ref="J149">INDEX(GMWQ!$A$2:$NF$60,MATCH(1,(GMWQ!$NE$2:$NE$60=J$3)*(GMWQ!$ND$2:$ND$60=J$4)*(GMWQ!$NF$2:$NF$60=J$1),0),$E149-1966)</f>
        <v>399994</v>
      </c>
      <c r="K149" s="13" cm="1">
        <f t="array" ref="K149">INDEX(GMWQ!$A$2:$NF$60,MATCH(1,(GMWQ!$NE$2:$NE$60=K$3)*(GMWQ!$ND$2:$ND$60=K$4)*(GMWQ!$NF$2:$NF$60=K$1),0),$E149-1966)</f>
        <v>166080</v>
      </c>
      <c r="L149" s="13" cm="1">
        <f t="array" ref="L149">INDEX(GMWQ!$A$2:$NF$60,MATCH(1,(GMWQ!$NE$2:$NE$60=L$3)*(GMWQ!$ND$2:$ND$60=L$4)*(GMWQ!$NF$2:$NF$60=L$1),0),$E149-1966)</f>
        <v>255800</v>
      </c>
      <c r="M149" s="13" cm="1">
        <f t="array" ref="M149">INDEX(GMWQ!$A$2:$NF$60,MATCH(1,(GMWQ!$NE$2:$NE$60=M$3)*(GMWQ!$ND$2:$ND$60=M$4)*(GMWQ!$NF$2:$NF$60=M$1),0),$E149-1966)</f>
        <v>333684</v>
      </c>
      <c r="N149" s="13" cm="1">
        <f t="array" ref="N149">INDEX(GMWQ!$A$2:$NF$60,MATCH(1,(GMWQ!$NE$2:$NE$60=N$3)*(GMWQ!$ND$2:$ND$60=N$4)*(GMWQ!$NF$2:$NF$60=N$1),0),$E149-1966)</f>
        <v>76.739900000000006</v>
      </c>
    </row>
    <row r="150" spans="1:14" x14ac:dyDescent="0.25">
      <c r="B150" s="13">
        <f t="shared" si="12"/>
        <v>2008</v>
      </c>
      <c r="C150" s="13">
        <f t="shared" si="12"/>
        <v>2008</v>
      </c>
      <c r="E150" s="13">
        <f t="shared" si="10"/>
        <v>2116</v>
      </c>
      <c r="F150" s="13" cm="1">
        <f t="array" ref="F150">INDEX(GMWQ!$A$2:$NF$60,MATCH(1,(GMWQ!$NE$2:$NE$60=F$3)*(GMWQ!$ND$2:$ND$60=F$4)*(GMWQ!$NF$2:$NF$60=F$1),0),$E150-1966)</f>
        <v>101.60299999999999</v>
      </c>
      <c r="G150" s="13" cm="1">
        <f t="array" ref="G150">INDEX(GMWQ!$A$2:$NF$60,MATCH(1,(GMWQ!$NE$2:$NE$60=G$3)*(GMWQ!$ND$2:$ND$60=G$4)*(GMWQ!$NF$2:$NF$60=G$1),0),$E150-1966)</f>
        <v>17305</v>
      </c>
      <c r="H150" s="13" cm="1">
        <f t="array" ref="H150">INDEX(GMWQ!$A$2:$NF$60,MATCH(1,(GMWQ!$NE$2:$NE$60=H$3)*(GMWQ!$ND$2:$ND$60=H$4)*(GMWQ!$NF$2:$NF$60=H$1),0),$E150-1966)</f>
        <v>436.33330000000001</v>
      </c>
      <c r="I150" s="13" cm="1">
        <f t="array" ref="I150">INDEX(GMWQ!$A$2:$NF$60,MATCH(1,(GMWQ!$NE$2:$NE$60=I$3)*(GMWQ!$ND$2:$ND$60=I$4)*(GMWQ!$NF$2:$NF$60=I$1),0),$E150-1966)</f>
        <v>87779</v>
      </c>
      <c r="J150" s="13" cm="1">
        <f t="array" ref="J150">INDEX(GMWQ!$A$2:$NF$60,MATCH(1,(GMWQ!$NE$2:$NE$60=J$3)*(GMWQ!$ND$2:$ND$60=J$4)*(GMWQ!$NF$2:$NF$60=J$1),0),$E150-1966)</f>
        <v>395121</v>
      </c>
      <c r="K150" s="13" cm="1">
        <f t="array" ref="K150">INDEX(GMWQ!$A$2:$NF$60,MATCH(1,(GMWQ!$NE$2:$NE$60=K$3)*(GMWQ!$ND$2:$ND$60=K$4)*(GMWQ!$NF$2:$NF$60=K$1),0),$E150-1966)</f>
        <v>164352</v>
      </c>
      <c r="L150" s="13" cm="1">
        <f t="array" ref="L150">INDEX(GMWQ!$A$2:$NF$60,MATCH(1,(GMWQ!$NE$2:$NE$60=L$3)*(GMWQ!$ND$2:$ND$60=L$4)*(GMWQ!$NF$2:$NF$60=L$1),0),$E150-1966)</f>
        <v>258834</v>
      </c>
      <c r="M150" s="13" cm="1">
        <f t="array" ref="M150">INDEX(GMWQ!$A$2:$NF$60,MATCH(1,(GMWQ!$NE$2:$NE$60=M$3)*(GMWQ!$ND$2:$ND$60=M$4)*(GMWQ!$NF$2:$NF$60=M$1),0),$E150-1966)</f>
        <v>340023</v>
      </c>
      <c r="N150" s="13" cm="1">
        <f t="array" ref="N150">INDEX(GMWQ!$A$2:$NF$60,MATCH(1,(GMWQ!$NE$2:$NE$60=N$3)*(GMWQ!$ND$2:$ND$60=N$4)*(GMWQ!$NF$2:$NF$60=N$1),0),$E150-1966)</f>
        <v>76.126390000000001</v>
      </c>
    </row>
    <row r="151" spans="1:14" x14ac:dyDescent="0.25">
      <c r="A151" s="13">
        <v>2009</v>
      </c>
      <c r="B151" s="13">
        <f t="shared" si="12"/>
        <v>2009</v>
      </c>
      <c r="C151" s="13">
        <f t="shared" si="12"/>
        <v>2008</v>
      </c>
      <c r="D151" s="13">
        <f t="shared" si="12"/>
        <v>2008</v>
      </c>
      <c r="E151" s="13">
        <f t="shared" si="10"/>
        <v>2117</v>
      </c>
      <c r="F151" s="13" cm="1">
        <f t="array" ref="F151">INDEX(GMWQ!$A$2:$NF$60,MATCH(1,(GMWQ!$NE$2:$NE$60=F$3)*(GMWQ!$ND$2:$ND$60=F$4)*(GMWQ!$NF$2:$NF$60=F$1),0),$E151-1966)</f>
        <v>102.3583</v>
      </c>
      <c r="G151" s="13" cm="1">
        <f t="array" ref="G151">INDEX(GMWQ!$A$2:$NF$60,MATCH(1,(GMWQ!$NE$2:$NE$60=G$3)*(GMWQ!$ND$2:$ND$60=G$4)*(GMWQ!$NF$2:$NF$60=G$1),0),$E151-1966)</f>
        <v>16825</v>
      </c>
      <c r="H151" s="13" cm="1">
        <f t="array" ref="H151">INDEX(GMWQ!$A$2:$NF$60,MATCH(1,(GMWQ!$NE$2:$NE$60=H$3)*(GMWQ!$ND$2:$ND$60=H$4)*(GMWQ!$NF$2:$NF$60=H$1),0),$E151-1966)</f>
        <v>421</v>
      </c>
      <c r="I151" s="13" cm="1">
        <f t="array" ref="I151">INDEX(GMWQ!$A$2:$NF$60,MATCH(1,(GMWQ!$NE$2:$NE$60=I$3)*(GMWQ!$ND$2:$ND$60=I$4)*(GMWQ!$NF$2:$NF$60=I$1),0),$E151-1966)</f>
        <v>87453</v>
      </c>
      <c r="J151" s="13" cm="1">
        <f t="array" ref="J151">INDEX(GMWQ!$A$2:$NF$60,MATCH(1,(GMWQ!$NE$2:$NE$60=J$3)*(GMWQ!$ND$2:$ND$60=J$4)*(GMWQ!$NF$2:$NF$60=J$1),0),$E151-1966)</f>
        <v>386874</v>
      </c>
      <c r="K151" s="13" cm="1">
        <f t="array" ref="K151">INDEX(GMWQ!$A$2:$NF$60,MATCH(1,(GMWQ!$NE$2:$NE$60=K$3)*(GMWQ!$ND$2:$ND$60=K$4)*(GMWQ!$NF$2:$NF$60=K$1),0),$E151-1966)</f>
        <v>161431</v>
      </c>
      <c r="L151" s="13" cm="1">
        <f t="array" ref="L151">INDEX(GMWQ!$A$2:$NF$60,MATCH(1,(GMWQ!$NE$2:$NE$60=L$3)*(GMWQ!$ND$2:$ND$60=L$4)*(GMWQ!$NF$2:$NF$60=L$1),0),$E151-1966)</f>
        <v>256355</v>
      </c>
      <c r="M151" s="13" cm="1">
        <f t="array" ref="M151">INDEX(GMWQ!$A$2:$NF$60,MATCH(1,(GMWQ!$NE$2:$NE$60=M$3)*(GMWQ!$ND$2:$ND$60=M$4)*(GMWQ!$NF$2:$NF$60=M$1),0),$E151-1966)</f>
        <v>335761</v>
      </c>
      <c r="N151" s="13" cm="1">
        <f t="array" ref="N151">INDEX(GMWQ!$A$2:$NF$60,MATCH(1,(GMWQ!$NE$2:$NE$60=N$3)*(GMWQ!$ND$2:$ND$60=N$4)*(GMWQ!$NF$2:$NF$60=N$1),0),$E151-1966)</f>
        <v>76.341520000000003</v>
      </c>
    </row>
    <row r="152" spans="1:14" x14ac:dyDescent="0.25">
      <c r="B152" s="13">
        <f t="shared" si="12"/>
        <v>2009</v>
      </c>
      <c r="C152" s="13">
        <f t="shared" si="12"/>
        <v>2009</v>
      </c>
      <c r="E152" s="13">
        <f t="shared" si="10"/>
        <v>2118</v>
      </c>
      <c r="F152" s="13" cm="1">
        <f t="array" ref="F152">INDEX(GMWQ!$A$2:$NF$60,MATCH(1,(GMWQ!$NE$2:$NE$60=F$3)*(GMWQ!$ND$2:$ND$60=F$4)*(GMWQ!$NF$2:$NF$60=F$1),0),$E152-1966)</f>
        <v>104.1228</v>
      </c>
      <c r="G152" s="13" cm="1">
        <f t="array" ref="G152">INDEX(GMWQ!$A$2:$NF$60,MATCH(1,(GMWQ!$NE$2:$NE$60=G$3)*(GMWQ!$ND$2:$ND$60=G$4)*(GMWQ!$NF$2:$NF$60=G$1),0),$E152-1966)</f>
        <v>17195</v>
      </c>
      <c r="H152" s="13" cm="1">
        <f t="array" ref="H152">INDEX(GMWQ!$A$2:$NF$60,MATCH(1,(GMWQ!$NE$2:$NE$60=H$3)*(GMWQ!$ND$2:$ND$60=H$4)*(GMWQ!$NF$2:$NF$60=H$1),0),$E152-1966)</f>
        <v>437.66669999999999</v>
      </c>
      <c r="I152" s="13" cm="1">
        <f t="array" ref="I152">INDEX(GMWQ!$A$2:$NF$60,MATCH(1,(GMWQ!$NE$2:$NE$60=I$3)*(GMWQ!$ND$2:$ND$60=I$4)*(GMWQ!$NF$2:$NF$60=I$1),0),$E152-1966)</f>
        <v>84343</v>
      </c>
      <c r="J152" s="13" cm="1">
        <f t="array" ref="J152">INDEX(GMWQ!$A$2:$NF$60,MATCH(1,(GMWQ!$NE$2:$NE$60=J$3)*(GMWQ!$ND$2:$ND$60=J$4)*(GMWQ!$NF$2:$NF$60=J$1),0),$E152-1966)</f>
        <v>386553</v>
      </c>
      <c r="K152" s="13" cm="1">
        <f t="array" ref="K152">INDEX(GMWQ!$A$2:$NF$60,MATCH(1,(GMWQ!$NE$2:$NE$60=K$3)*(GMWQ!$ND$2:$ND$60=K$4)*(GMWQ!$NF$2:$NF$60=K$1),0),$E152-1966)</f>
        <v>164197</v>
      </c>
      <c r="L152" s="13" cm="1">
        <f t="array" ref="L152">INDEX(GMWQ!$A$2:$NF$60,MATCH(1,(GMWQ!$NE$2:$NE$60=L$3)*(GMWQ!$ND$2:$ND$60=L$4)*(GMWQ!$NF$2:$NF$60=L$1),0),$E152-1966)</f>
        <v>263934</v>
      </c>
      <c r="M152" s="13" cm="1">
        <f t="array" ref="M152">INDEX(GMWQ!$A$2:$NF$60,MATCH(1,(GMWQ!$NE$2:$NE$60=M$3)*(GMWQ!$ND$2:$ND$60=M$4)*(GMWQ!$NF$2:$NF$60=M$1),0),$E152-1966)</f>
        <v>344826</v>
      </c>
      <c r="N152" s="13" cm="1">
        <f t="array" ref="N152">INDEX(GMWQ!$A$2:$NF$60,MATCH(1,(GMWQ!$NE$2:$NE$60=N$3)*(GMWQ!$ND$2:$ND$60=N$4)*(GMWQ!$NF$2:$NF$60=N$1),0),$E152-1966)</f>
        <v>76.476780000000005</v>
      </c>
    </row>
    <row r="153" spans="1:14" x14ac:dyDescent="0.25">
      <c r="B153" s="13">
        <f t="shared" si="12"/>
        <v>2009</v>
      </c>
      <c r="C153" s="13">
        <f t="shared" si="12"/>
        <v>2009</v>
      </c>
      <c r="E153" s="13">
        <f t="shared" si="10"/>
        <v>2119</v>
      </c>
      <c r="F153" s="13" cm="1">
        <f t="array" ref="F153">INDEX(GMWQ!$A$2:$NF$60,MATCH(1,(GMWQ!$NE$2:$NE$60=F$3)*(GMWQ!$ND$2:$ND$60=F$4)*(GMWQ!$NF$2:$NF$60=F$1),0),$E153-1966)</f>
        <v>103.6772</v>
      </c>
      <c r="G153" s="13" cm="1">
        <f t="array" ref="G153">INDEX(GMWQ!$A$2:$NF$60,MATCH(1,(GMWQ!$NE$2:$NE$60=G$3)*(GMWQ!$ND$2:$ND$60=G$4)*(GMWQ!$NF$2:$NF$60=G$1),0),$E153-1966)</f>
        <v>17157</v>
      </c>
      <c r="H153" s="13" cm="1">
        <f t="array" ref="H153">INDEX(GMWQ!$A$2:$NF$60,MATCH(1,(GMWQ!$NE$2:$NE$60=H$3)*(GMWQ!$ND$2:$ND$60=H$4)*(GMWQ!$NF$2:$NF$60=H$1),0),$E153-1966)</f>
        <v>438</v>
      </c>
      <c r="I153" s="13" cm="1">
        <f t="array" ref="I153">INDEX(GMWQ!$A$2:$NF$60,MATCH(1,(GMWQ!$NE$2:$NE$60=I$3)*(GMWQ!$ND$2:$ND$60=I$4)*(GMWQ!$NF$2:$NF$60=I$1),0),$E153-1966)</f>
        <v>86567</v>
      </c>
      <c r="J153" s="13" cm="1">
        <f t="array" ref="J153">INDEX(GMWQ!$A$2:$NF$60,MATCH(1,(GMWQ!$NE$2:$NE$60=J$3)*(GMWQ!$ND$2:$ND$60=J$4)*(GMWQ!$NF$2:$NF$60=J$1),0),$E153-1966)</f>
        <v>388596</v>
      </c>
      <c r="K153" s="13" cm="1">
        <f t="array" ref="K153">INDEX(GMWQ!$A$2:$NF$60,MATCH(1,(GMWQ!$NE$2:$NE$60=K$3)*(GMWQ!$ND$2:$ND$60=K$4)*(GMWQ!$NF$2:$NF$60=K$1),0),$E153-1966)</f>
        <v>164164</v>
      </c>
      <c r="L153" s="13" cm="1">
        <f t="array" ref="L153">INDEX(GMWQ!$A$2:$NF$60,MATCH(1,(GMWQ!$NE$2:$NE$60=L$3)*(GMWQ!$ND$2:$ND$60=L$4)*(GMWQ!$NF$2:$NF$60=L$1),0),$E153-1966)</f>
        <v>262968</v>
      </c>
      <c r="M153" s="13" cm="1">
        <f t="array" ref="M153">INDEX(GMWQ!$A$2:$NF$60,MATCH(1,(GMWQ!$NE$2:$NE$60=M$3)*(GMWQ!$ND$2:$ND$60=M$4)*(GMWQ!$NF$2:$NF$60=M$1),0),$E153-1966)</f>
        <v>343613</v>
      </c>
      <c r="N153" s="13" cm="1">
        <f t="array" ref="N153">INDEX(GMWQ!$A$2:$NF$60,MATCH(1,(GMWQ!$NE$2:$NE$60=N$3)*(GMWQ!$ND$2:$ND$60=N$4)*(GMWQ!$NF$2:$NF$60=N$1),0),$E153-1966)</f>
        <v>76.458629999999999</v>
      </c>
    </row>
    <row r="154" spans="1:14" x14ac:dyDescent="0.25">
      <c r="B154" s="13">
        <f t="shared" si="12"/>
        <v>2009</v>
      </c>
      <c r="C154" s="13">
        <f t="shared" si="12"/>
        <v>2009</v>
      </c>
      <c r="E154" s="13">
        <f t="shared" si="10"/>
        <v>2120</v>
      </c>
      <c r="F154" s="13" cm="1">
        <f t="array" ref="F154">INDEX(GMWQ!$A$2:$NF$60,MATCH(1,(GMWQ!$NE$2:$NE$60=F$3)*(GMWQ!$ND$2:$ND$60=F$4)*(GMWQ!$NF$2:$NF$60=F$1),0),$E154-1966)</f>
        <v>104.8081</v>
      </c>
      <c r="G154" s="13" cm="1">
        <f t="array" ref="G154">INDEX(GMWQ!$A$2:$NF$60,MATCH(1,(GMWQ!$NE$2:$NE$60=G$3)*(GMWQ!$ND$2:$ND$60=G$4)*(GMWQ!$NF$2:$NF$60=G$1),0),$E154-1966)</f>
        <v>17618</v>
      </c>
      <c r="H154" s="13" cm="1">
        <f t="array" ref="H154">INDEX(GMWQ!$A$2:$NF$60,MATCH(1,(GMWQ!$NE$2:$NE$60=H$3)*(GMWQ!$ND$2:$ND$60=H$4)*(GMWQ!$NF$2:$NF$60=H$1),0),$E154-1966)</f>
        <v>439.66669999999999</v>
      </c>
      <c r="I154" s="13" cm="1">
        <f t="array" ref="I154">INDEX(GMWQ!$A$2:$NF$60,MATCH(1,(GMWQ!$NE$2:$NE$60=I$3)*(GMWQ!$ND$2:$ND$60=I$4)*(GMWQ!$NF$2:$NF$60=I$1),0),$E154-1966)</f>
        <v>81654</v>
      </c>
      <c r="J154" s="13" cm="1">
        <f t="array" ref="J154">INDEX(GMWQ!$A$2:$NF$60,MATCH(1,(GMWQ!$NE$2:$NE$60=J$3)*(GMWQ!$ND$2:$ND$60=J$4)*(GMWQ!$NF$2:$NF$60=J$1),0),$E154-1966)</f>
        <v>386779</v>
      </c>
      <c r="K154" s="13" cm="1">
        <f t="array" ref="K154">INDEX(GMWQ!$A$2:$NF$60,MATCH(1,(GMWQ!$NE$2:$NE$60=K$3)*(GMWQ!$ND$2:$ND$60=K$4)*(GMWQ!$NF$2:$NF$60=K$1),0),$E154-1966)</f>
        <v>164349</v>
      </c>
      <c r="L154" s="13" cm="1">
        <f t="array" ref="L154">INDEX(GMWQ!$A$2:$NF$60,MATCH(1,(GMWQ!$NE$2:$NE$60=L$3)*(GMWQ!$ND$2:$ND$60=L$4)*(GMWQ!$NF$2:$NF$60=L$1),0),$E154-1966)</f>
        <v>263925</v>
      </c>
      <c r="M154" s="13" cm="1">
        <f t="array" ref="M154">INDEX(GMWQ!$A$2:$NF$60,MATCH(1,(GMWQ!$NE$2:$NE$60=M$3)*(GMWQ!$ND$2:$ND$60=M$4)*(GMWQ!$NF$2:$NF$60=M$1),0),$E154-1966)</f>
        <v>346368</v>
      </c>
      <c r="N154" s="13" cm="1">
        <f t="array" ref="N154">INDEX(GMWQ!$A$2:$NF$60,MATCH(1,(GMWQ!$NE$2:$NE$60=N$3)*(GMWQ!$ND$2:$ND$60=N$4)*(GMWQ!$NF$2:$NF$60=N$1),0),$E154-1966)</f>
        <v>76.089389999999995</v>
      </c>
    </row>
    <row r="155" spans="1:14" x14ac:dyDescent="0.25">
      <c r="A155" s="13">
        <v>2010</v>
      </c>
      <c r="B155" s="13">
        <f t="shared" si="12"/>
        <v>2010</v>
      </c>
      <c r="C155" s="13">
        <f t="shared" si="12"/>
        <v>2009</v>
      </c>
      <c r="D155" s="13">
        <f t="shared" si="12"/>
        <v>2009</v>
      </c>
      <c r="E155" s="13">
        <f t="shared" si="10"/>
        <v>2121</v>
      </c>
      <c r="F155" s="13" cm="1">
        <f t="array" ref="F155">INDEX(GMWQ!$A$2:$NF$60,MATCH(1,(GMWQ!$NE$2:$NE$60=F$3)*(GMWQ!$ND$2:$ND$60=F$4)*(GMWQ!$NF$2:$NF$60=F$1),0),$E155-1966)</f>
        <v>104.5424</v>
      </c>
      <c r="G155" s="13" cm="1">
        <f t="array" ref="G155">INDEX(GMWQ!$A$2:$NF$60,MATCH(1,(GMWQ!$NE$2:$NE$60=G$3)*(GMWQ!$ND$2:$ND$60=G$4)*(GMWQ!$NF$2:$NF$60=G$1),0),$E155-1966)</f>
        <v>18831</v>
      </c>
      <c r="H155" s="13" cm="1">
        <f t="array" ref="H155">INDEX(GMWQ!$A$2:$NF$60,MATCH(1,(GMWQ!$NE$2:$NE$60=H$3)*(GMWQ!$ND$2:$ND$60=H$4)*(GMWQ!$NF$2:$NF$60=H$1),0),$E155-1966)</f>
        <v>442</v>
      </c>
      <c r="I155" s="13" cm="1">
        <f t="array" ref="I155">INDEX(GMWQ!$A$2:$NF$60,MATCH(1,(GMWQ!$NE$2:$NE$60=I$3)*(GMWQ!$ND$2:$ND$60=I$4)*(GMWQ!$NF$2:$NF$60=I$1),0),$E155-1966)</f>
        <v>86382</v>
      </c>
      <c r="J155" s="13" cm="1">
        <f t="array" ref="J155">INDEX(GMWQ!$A$2:$NF$60,MATCH(1,(GMWQ!$NE$2:$NE$60=J$3)*(GMWQ!$ND$2:$ND$60=J$4)*(GMWQ!$NF$2:$NF$60=J$1),0),$E155-1966)</f>
        <v>396176</v>
      </c>
      <c r="K155" s="13" cm="1">
        <f t="array" ref="K155">INDEX(GMWQ!$A$2:$NF$60,MATCH(1,(GMWQ!$NE$2:$NE$60=K$3)*(GMWQ!$ND$2:$ND$60=K$4)*(GMWQ!$NF$2:$NF$60=K$1),0),$E155-1966)</f>
        <v>164017</v>
      </c>
      <c r="L155" s="13" cm="1">
        <f t="array" ref="L155">INDEX(GMWQ!$A$2:$NF$60,MATCH(1,(GMWQ!$NE$2:$NE$60=L$3)*(GMWQ!$ND$2:$ND$60=L$4)*(GMWQ!$NF$2:$NF$60=L$1),0),$E155-1966)</f>
        <v>264273</v>
      </c>
      <c r="M155" s="13" cm="1">
        <f t="array" ref="M155">INDEX(GMWQ!$A$2:$NF$60,MATCH(1,(GMWQ!$NE$2:$NE$60=M$3)*(GMWQ!$ND$2:$ND$60=M$4)*(GMWQ!$NF$2:$NF$60=M$1),0),$E155-1966)</f>
        <v>346769</v>
      </c>
      <c r="N155" s="13" cm="1">
        <f t="array" ref="N155">INDEX(GMWQ!$A$2:$NF$60,MATCH(1,(GMWQ!$NE$2:$NE$60=N$3)*(GMWQ!$ND$2:$ND$60=N$4)*(GMWQ!$NF$2:$NF$60=N$1),0),$E155-1966)</f>
        <v>76.08305</v>
      </c>
    </row>
    <row r="156" spans="1:14" x14ac:dyDescent="0.25">
      <c r="B156" s="13">
        <f t="shared" ref="B156:D171" si="13">+B152+1</f>
        <v>2010</v>
      </c>
      <c r="C156" s="13">
        <f t="shared" si="13"/>
        <v>2010</v>
      </c>
      <c r="E156" s="13">
        <f t="shared" si="10"/>
        <v>2122</v>
      </c>
      <c r="F156" s="13" cm="1">
        <f t="array" ref="F156">INDEX(GMWQ!$A$2:$NF$60,MATCH(1,(GMWQ!$NE$2:$NE$60=F$3)*(GMWQ!$ND$2:$ND$60=F$4)*(GMWQ!$NF$2:$NF$60=F$1),0),$E156-1966)</f>
        <v>103.5501</v>
      </c>
      <c r="G156" s="13" cm="1">
        <f t="array" ref="G156">INDEX(GMWQ!$A$2:$NF$60,MATCH(1,(GMWQ!$NE$2:$NE$60=G$3)*(GMWQ!$ND$2:$ND$60=G$4)*(GMWQ!$NF$2:$NF$60=G$1),0),$E156-1966)</f>
        <v>17422</v>
      </c>
      <c r="H156" s="13" cm="1">
        <f t="array" ref="H156">INDEX(GMWQ!$A$2:$NF$60,MATCH(1,(GMWQ!$NE$2:$NE$60=H$3)*(GMWQ!$ND$2:$ND$60=H$4)*(GMWQ!$NF$2:$NF$60=H$1),0),$E156-1966)</f>
        <v>442</v>
      </c>
      <c r="I156" s="13" cm="1">
        <f t="array" ref="I156">INDEX(GMWQ!$A$2:$NF$60,MATCH(1,(GMWQ!$NE$2:$NE$60=I$3)*(GMWQ!$ND$2:$ND$60=I$4)*(GMWQ!$NF$2:$NF$60=I$1),0),$E156-1966)</f>
        <v>85496</v>
      </c>
      <c r="J156" s="13" cm="1">
        <f t="array" ref="J156">INDEX(GMWQ!$A$2:$NF$60,MATCH(1,(GMWQ!$NE$2:$NE$60=J$3)*(GMWQ!$ND$2:$ND$60=J$4)*(GMWQ!$NF$2:$NF$60=J$1),0),$E156-1966)</f>
        <v>401223</v>
      </c>
      <c r="K156" s="13" cm="1">
        <f t="array" ref="K156">INDEX(GMWQ!$A$2:$NF$60,MATCH(1,(GMWQ!$NE$2:$NE$60=K$3)*(GMWQ!$ND$2:$ND$60=K$4)*(GMWQ!$NF$2:$NF$60=K$1),0),$E156-1966)</f>
        <v>163805</v>
      </c>
      <c r="L156" s="13" cm="1">
        <f t="array" ref="L156">INDEX(GMWQ!$A$2:$NF$60,MATCH(1,(GMWQ!$NE$2:$NE$60=L$3)*(GMWQ!$ND$2:$ND$60=L$4)*(GMWQ!$NF$2:$NF$60=L$1),0),$E156-1966)</f>
        <v>267166</v>
      </c>
      <c r="M156" s="13" cm="1">
        <f t="array" ref="M156">INDEX(GMWQ!$A$2:$NF$60,MATCH(1,(GMWQ!$NE$2:$NE$60=M$3)*(GMWQ!$ND$2:$ND$60=M$4)*(GMWQ!$NF$2:$NF$60=M$1),0),$E156-1966)</f>
        <v>347421</v>
      </c>
      <c r="N156" s="13" cm="1">
        <f t="array" ref="N156">INDEX(GMWQ!$A$2:$NF$60,MATCH(1,(GMWQ!$NE$2:$NE$60=N$3)*(GMWQ!$ND$2:$ND$60=N$4)*(GMWQ!$NF$2:$NF$60=N$1),0),$E156-1966)</f>
        <v>76.802760000000006</v>
      </c>
    </row>
    <row r="157" spans="1:14" x14ac:dyDescent="0.25">
      <c r="B157" s="13">
        <f t="shared" si="13"/>
        <v>2010</v>
      </c>
      <c r="C157" s="13">
        <f t="shared" si="13"/>
        <v>2010</v>
      </c>
      <c r="E157" s="13">
        <f t="shared" si="10"/>
        <v>2123</v>
      </c>
      <c r="F157" s="13" cm="1">
        <f t="array" ref="F157">INDEX(GMWQ!$A$2:$NF$60,MATCH(1,(GMWQ!$NE$2:$NE$60=F$3)*(GMWQ!$ND$2:$ND$60=F$4)*(GMWQ!$NF$2:$NF$60=F$1),0),$E157-1966)</f>
        <v>103.9633</v>
      </c>
      <c r="G157" s="13" cm="1">
        <f t="array" ref="G157">INDEX(GMWQ!$A$2:$NF$60,MATCH(1,(GMWQ!$NE$2:$NE$60=G$3)*(GMWQ!$ND$2:$ND$60=G$4)*(GMWQ!$NF$2:$NF$60=G$1),0),$E157-1966)</f>
        <v>17548</v>
      </c>
      <c r="H157" s="13" cm="1">
        <f t="array" ref="H157">INDEX(GMWQ!$A$2:$NF$60,MATCH(1,(GMWQ!$NE$2:$NE$60=H$3)*(GMWQ!$ND$2:$ND$60=H$4)*(GMWQ!$NF$2:$NF$60=H$1),0),$E157-1966)</f>
        <v>444.66669999999999</v>
      </c>
      <c r="I157" s="13" cm="1">
        <f t="array" ref="I157">INDEX(GMWQ!$A$2:$NF$60,MATCH(1,(GMWQ!$NE$2:$NE$60=I$3)*(GMWQ!$ND$2:$ND$60=I$4)*(GMWQ!$NF$2:$NF$60=I$1),0),$E157-1966)</f>
        <v>90085</v>
      </c>
      <c r="J157" s="13" cm="1">
        <f t="array" ref="J157">INDEX(GMWQ!$A$2:$NF$60,MATCH(1,(GMWQ!$NE$2:$NE$60=J$3)*(GMWQ!$ND$2:$ND$60=J$4)*(GMWQ!$NF$2:$NF$60=J$1),0),$E157-1966)</f>
        <v>404365</v>
      </c>
      <c r="K157" s="13" cm="1">
        <f t="array" ref="K157">INDEX(GMWQ!$A$2:$NF$60,MATCH(1,(GMWQ!$NE$2:$NE$60=K$3)*(GMWQ!$ND$2:$ND$60=K$4)*(GMWQ!$NF$2:$NF$60=K$1),0),$E157-1966)</f>
        <v>165789</v>
      </c>
      <c r="L157" s="13" cm="1">
        <f t="array" ref="L157">INDEX(GMWQ!$A$2:$NF$60,MATCH(1,(GMWQ!$NE$2:$NE$60=L$3)*(GMWQ!$ND$2:$ND$60=L$4)*(GMWQ!$NF$2:$NF$60=L$1),0),$E157-1966)</f>
        <v>267993</v>
      </c>
      <c r="M157" s="13" cm="1">
        <f t="array" ref="M157">INDEX(GMWQ!$A$2:$NF$60,MATCH(1,(GMWQ!$NE$2:$NE$60=M$3)*(GMWQ!$ND$2:$ND$60=M$4)*(GMWQ!$NF$2:$NF$60=M$1),0),$E157-1966)</f>
        <v>346091</v>
      </c>
      <c r="N157" s="13" cm="1">
        <f t="array" ref="N157">INDEX(GMWQ!$A$2:$NF$60,MATCH(1,(GMWQ!$NE$2:$NE$60=N$3)*(GMWQ!$ND$2:$ND$60=N$4)*(GMWQ!$NF$2:$NF$60=N$1),0),$E157-1966)</f>
        <v>77.31653</v>
      </c>
    </row>
    <row r="158" spans="1:14" x14ac:dyDescent="0.25">
      <c r="B158" s="13">
        <f t="shared" si="13"/>
        <v>2010</v>
      </c>
      <c r="C158" s="13">
        <f t="shared" si="13"/>
        <v>2010</v>
      </c>
      <c r="E158" s="13">
        <f t="shared" si="10"/>
        <v>2124</v>
      </c>
      <c r="F158" s="13" cm="1">
        <f t="array" ref="F158">INDEX(GMWQ!$A$2:$NF$60,MATCH(1,(GMWQ!$NE$2:$NE$60=F$3)*(GMWQ!$ND$2:$ND$60=F$4)*(GMWQ!$NF$2:$NF$60=F$1),0),$E158-1966)</f>
        <v>103.9308</v>
      </c>
      <c r="G158" s="13" cm="1">
        <f t="array" ref="G158">INDEX(GMWQ!$A$2:$NF$60,MATCH(1,(GMWQ!$NE$2:$NE$60=G$3)*(GMWQ!$ND$2:$ND$60=G$4)*(GMWQ!$NF$2:$NF$60=G$1),0),$E158-1966)</f>
        <v>17762</v>
      </c>
      <c r="H158" s="13" cm="1">
        <f t="array" ref="H158">INDEX(GMWQ!$A$2:$NF$60,MATCH(1,(GMWQ!$NE$2:$NE$60=H$3)*(GMWQ!$ND$2:$ND$60=H$4)*(GMWQ!$NF$2:$NF$60=H$1),0),$E158-1966)</f>
        <v>448</v>
      </c>
      <c r="I158" s="13" cm="1">
        <f t="array" ref="I158">INDEX(GMWQ!$A$2:$NF$60,MATCH(1,(GMWQ!$NE$2:$NE$60=I$3)*(GMWQ!$ND$2:$ND$60=I$4)*(GMWQ!$NF$2:$NF$60=I$1),0),$E158-1966)</f>
        <v>91218</v>
      </c>
      <c r="J158" s="13" cm="1">
        <f t="array" ref="J158">INDEX(GMWQ!$A$2:$NF$60,MATCH(1,(GMWQ!$NE$2:$NE$60=J$3)*(GMWQ!$ND$2:$ND$60=J$4)*(GMWQ!$NF$2:$NF$60=J$1),0),$E158-1966)</f>
        <v>406789</v>
      </c>
      <c r="K158" s="13" cm="1">
        <f t="array" ref="K158">INDEX(GMWQ!$A$2:$NF$60,MATCH(1,(GMWQ!$NE$2:$NE$60=K$3)*(GMWQ!$ND$2:$ND$60=K$4)*(GMWQ!$NF$2:$NF$60=K$1),0),$E158-1966)</f>
        <v>166084</v>
      </c>
      <c r="L158" s="13" cm="1">
        <f t="array" ref="L158">INDEX(GMWQ!$A$2:$NF$60,MATCH(1,(GMWQ!$NE$2:$NE$60=L$3)*(GMWQ!$ND$2:$ND$60=L$4)*(GMWQ!$NF$2:$NF$60=L$1),0),$E158-1966)</f>
        <v>268198</v>
      </c>
      <c r="M158" s="13" cm="1">
        <f t="array" ref="M158">INDEX(GMWQ!$A$2:$NF$60,MATCH(1,(GMWQ!$NE$2:$NE$60=M$3)*(GMWQ!$ND$2:$ND$60=M$4)*(GMWQ!$NF$2:$NF$60=M$1),0),$E158-1966)</f>
        <v>343460</v>
      </c>
      <c r="N158" s="13" cm="1">
        <f t="array" ref="N158">INDEX(GMWQ!$A$2:$NF$60,MATCH(1,(GMWQ!$NE$2:$NE$60=N$3)*(GMWQ!$ND$2:$ND$60=N$4)*(GMWQ!$NF$2:$NF$60=N$1),0),$E158-1966)</f>
        <v>77.98997</v>
      </c>
    </row>
    <row r="159" spans="1:14" x14ac:dyDescent="0.25">
      <c r="A159" s="13">
        <v>2011</v>
      </c>
      <c r="B159" s="13">
        <f t="shared" si="13"/>
        <v>2011</v>
      </c>
      <c r="C159" s="13">
        <f t="shared" si="13"/>
        <v>2010</v>
      </c>
      <c r="D159" s="13">
        <f t="shared" si="13"/>
        <v>2010</v>
      </c>
      <c r="E159" s="13">
        <f t="shared" si="10"/>
        <v>2125</v>
      </c>
      <c r="F159" s="13" cm="1">
        <f t="array" ref="F159">INDEX(GMWQ!$A$2:$NF$60,MATCH(1,(GMWQ!$NE$2:$NE$60=F$3)*(GMWQ!$ND$2:$ND$60=F$4)*(GMWQ!$NF$2:$NF$60=F$1),0),$E159-1966)</f>
        <v>106.2204</v>
      </c>
      <c r="G159" s="13" cm="1">
        <f t="array" ref="G159">INDEX(GMWQ!$A$2:$NF$60,MATCH(1,(GMWQ!$NE$2:$NE$60=G$3)*(GMWQ!$ND$2:$ND$60=G$4)*(GMWQ!$NF$2:$NF$60=G$1),0),$E159-1966)</f>
        <v>18475</v>
      </c>
      <c r="H159" s="13" cm="1">
        <f t="array" ref="H159">INDEX(GMWQ!$A$2:$NF$60,MATCH(1,(GMWQ!$NE$2:$NE$60=H$3)*(GMWQ!$ND$2:$ND$60=H$4)*(GMWQ!$NF$2:$NF$60=H$1),0),$E159-1966)</f>
        <v>454.66669999999999</v>
      </c>
      <c r="I159" s="13" cm="1">
        <f t="array" ref="I159">INDEX(GMWQ!$A$2:$NF$60,MATCH(1,(GMWQ!$NE$2:$NE$60=I$3)*(GMWQ!$ND$2:$ND$60=I$4)*(GMWQ!$NF$2:$NF$60=I$1),0),$E159-1966)</f>
        <v>89806</v>
      </c>
      <c r="J159" s="13" cm="1">
        <f t="array" ref="J159">INDEX(GMWQ!$A$2:$NF$60,MATCH(1,(GMWQ!$NE$2:$NE$60=J$3)*(GMWQ!$ND$2:$ND$60=J$4)*(GMWQ!$NF$2:$NF$60=J$1),0),$E159-1966)</f>
        <v>414806</v>
      </c>
      <c r="K159" s="13" cm="1">
        <f t="array" ref="K159">INDEX(GMWQ!$A$2:$NF$60,MATCH(1,(GMWQ!$NE$2:$NE$60=K$3)*(GMWQ!$ND$2:$ND$60=K$4)*(GMWQ!$NF$2:$NF$60=K$1),0),$E159-1966)</f>
        <v>170699</v>
      </c>
      <c r="L159" s="13" cm="1">
        <f t="array" ref="L159">INDEX(GMWQ!$A$2:$NF$60,MATCH(1,(GMWQ!$NE$2:$NE$60=L$3)*(GMWQ!$ND$2:$ND$60=L$4)*(GMWQ!$NF$2:$NF$60=L$1),0),$E159-1966)</f>
        <v>265811</v>
      </c>
      <c r="M159" s="13" cm="1">
        <f t="array" ref="M159">INDEX(GMWQ!$A$2:$NF$60,MATCH(1,(GMWQ!$NE$2:$NE$60=M$3)*(GMWQ!$ND$2:$ND$60=M$4)*(GMWQ!$NF$2:$NF$60=M$1),0),$E159-1966)</f>
        <v>334416</v>
      </c>
      <c r="N159" s="13" cm="1">
        <f t="array" ref="N159">INDEX(GMWQ!$A$2:$NF$60,MATCH(1,(GMWQ!$NE$2:$NE$60=N$3)*(GMWQ!$ND$2:$ND$60=N$4)*(GMWQ!$NF$2:$NF$60=N$1),0),$E159-1966)</f>
        <v>79.4221</v>
      </c>
    </row>
    <row r="160" spans="1:14" x14ac:dyDescent="0.25">
      <c r="B160" s="13">
        <f t="shared" si="13"/>
        <v>2011</v>
      </c>
      <c r="C160" s="13">
        <f t="shared" si="13"/>
        <v>2011</v>
      </c>
      <c r="E160" s="13">
        <f t="shared" si="10"/>
        <v>2126</v>
      </c>
      <c r="F160" s="13" cm="1">
        <f t="array" ref="F160">INDEX(GMWQ!$A$2:$NF$60,MATCH(1,(GMWQ!$NE$2:$NE$60=F$3)*(GMWQ!$ND$2:$ND$60=F$4)*(GMWQ!$NF$2:$NF$60=F$1),0),$E160-1966)</f>
        <v>105.1857</v>
      </c>
      <c r="G160" s="13" cm="1">
        <f t="array" ref="G160">INDEX(GMWQ!$A$2:$NF$60,MATCH(1,(GMWQ!$NE$2:$NE$60=G$3)*(GMWQ!$ND$2:$ND$60=G$4)*(GMWQ!$NF$2:$NF$60=G$1),0),$E160-1966)</f>
        <v>18242</v>
      </c>
      <c r="H160" s="13" cm="1">
        <f t="array" ref="H160">INDEX(GMWQ!$A$2:$NF$60,MATCH(1,(GMWQ!$NE$2:$NE$60=H$3)*(GMWQ!$ND$2:$ND$60=H$4)*(GMWQ!$NF$2:$NF$60=H$1),0),$E160-1966)</f>
        <v>453.33330000000001</v>
      </c>
      <c r="I160" s="13" cm="1">
        <f t="array" ref="I160">INDEX(GMWQ!$A$2:$NF$60,MATCH(1,(GMWQ!$NE$2:$NE$60=I$3)*(GMWQ!$ND$2:$ND$60=I$4)*(GMWQ!$NF$2:$NF$60=I$1),0),$E160-1966)</f>
        <v>90019</v>
      </c>
      <c r="J160" s="13" cm="1">
        <f t="array" ref="J160">INDEX(GMWQ!$A$2:$NF$60,MATCH(1,(GMWQ!$NE$2:$NE$60=J$3)*(GMWQ!$ND$2:$ND$60=J$4)*(GMWQ!$NF$2:$NF$60=J$1),0),$E160-1966)</f>
        <v>412364</v>
      </c>
      <c r="K160" s="13" cm="1">
        <f t="array" ref="K160">INDEX(GMWQ!$A$2:$NF$60,MATCH(1,(GMWQ!$NE$2:$NE$60=K$3)*(GMWQ!$ND$2:$ND$60=K$4)*(GMWQ!$NF$2:$NF$60=K$1),0),$E160-1966)</f>
        <v>168973</v>
      </c>
      <c r="L160" s="13" cm="1">
        <f t="array" ref="L160">INDEX(GMWQ!$A$2:$NF$60,MATCH(1,(GMWQ!$NE$2:$NE$60=L$3)*(GMWQ!$ND$2:$ND$60=L$4)*(GMWQ!$NF$2:$NF$60=L$1),0),$E160-1966)</f>
        <v>271167</v>
      </c>
      <c r="M160" s="13" cm="1">
        <f t="array" ref="M160">INDEX(GMWQ!$A$2:$NF$60,MATCH(1,(GMWQ!$NE$2:$NE$60=M$3)*(GMWQ!$ND$2:$ND$60=M$4)*(GMWQ!$NF$2:$NF$60=M$1),0),$E160-1966)</f>
        <v>339976</v>
      </c>
      <c r="N160" s="13" cm="1">
        <f t="array" ref="N160">INDEX(GMWQ!$A$2:$NF$60,MATCH(1,(GMWQ!$NE$2:$NE$60=N$3)*(GMWQ!$ND$2:$ND$60=N$4)*(GMWQ!$NF$2:$NF$60=N$1),0),$E160-1966)</f>
        <v>79.756460000000004</v>
      </c>
    </row>
    <row r="161" spans="1:14" x14ac:dyDescent="0.25">
      <c r="B161" s="13">
        <f t="shared" si="13"/>
        <v>2011</v>
      </c>
      <c r="C161" s="13">
        <f t="shared" si="13"/>
        <v>2011</v>
      </c>
      <c r="E161" s="13">
        <f t="shared" si="10"/>
        <v>2127</v>
      </c>
      <c r="F161" s="13" cm="1">
        <f t="array" ref="F161">INDEX(GMWQ!$A$2:$NF$60,MATCH(1,(GMWQ!$NE$2:$NE$60=F$3)*(GMWQ!$ND$2:$ND$60=F$4)*(GMWQ!$NF$2:$NF$60=F$1),0),$E161-1966)</f>
        <v>104.4241</v>
      </c>
      <c r="G161" s="13" cm="1">
        <f t="array" ref="G161">INDEX(GMWQ!$A$2:$NF$60,MATCH(1,(GMWQ!$NE$2:$NE$60=G$3)*(GMWQ!$ND$2:$ND$60=G$4)*(GMWQ!$NF$2:$NF$60=G$1),0),$E161-1966)</f>
        <v>18350</v>
      </c>
      <c r="H161" s="13" cm="1">
        <f t="array" ref="H161">INDEX(GMWQ!$A$2:$NF$60,MATCH(1,(GMWQ!$NE$2:$NE$60=H$3)*(GMWQ!$ND$2:$ND$60=H$4)*(GMWQ!$NF$2:$NF$60=H$1),0),$E161-1966)</f>
        <v>454.66669999999999</v>
      </c>
      <c r="I161" s="13" cm="1">
        <f t="array" ref="I161">INDEX(GMWQ!$A$2:$NF$60,MATCH(1,(GMWQ!$NE$2:$NE$60=I$3)*(GMWQ!$ND$2:$ND$60=I$4)*(GMWQ!$NF$2:$NF$60=I$1),0),$E161-1966)</f>
        <v>91757</v>
      </c>
      <c r="J161" s="13" cm="1">
        <f t="array" ref="J161">INDEX(GMWQ!$A$2:$NF$60,MATCH(1,(GMWQ!$NE$2:$NE$60=J$3)*(GMWQ!$ND$2:$ND$60=J$4)*(GMWQ!$NF$2:$NF$60=J$1),0),$E161-1966)</f>
        <v>416115</v>
      </c>
      <c r="K161" s="13" cm="1">
        <f t="array" ref="K161">INDEX(GMWQ!$A$2:$NF$60,MATCH(1,(GMWQ!$NE$2:$NE$60=K$3)*(GMWQ!$ND$2:$ND$60=K$4)*(GMWQ!$NF$2:$NF$60=K$1),0),$E161-1966)</f>
        <v>168143</v>
      </c>
      <c r="L161" s="13" cm="1">
        <f t="array" ref="L161">INDEX(GMWQ!$A$2:$NF$60,MATCH(1,(GMWQ!$NE$2:$NE$60=L$3)*(GMWQ!$ND$2:$ND$60=L$4)*(GMWQ!$NF$2:$NF$60=L$1),0),$E161-1966)</f>
        <v>273285</v>
      </c>
      <c r="M161" s="13" cm="1">
        <f t="array" ref="M161">INDEX(GMWQ!$A$2:$NF$60,MATCH(1,(GMWQ!$NE$2:$NE$60=M$3)*(GMWQ!$ND$2:$ND$60=M$4)*(GMWQ!$NF$2:$NF$60=M$1),0),$E161-1966)</f>
        <v>339972</v>
      </c>
      <c r="N161" s="13" cm="1">
        <f t="array" ref="N161">INDEX(GMWQ!$A$2:$NF$60,MATCH(1,(GMWQ!$NE$2:$NE$60=N$3)*(GMWQ!$ND$2:$ND$60=N$4)*(GMWQ!$NF$2:$NF$60=N$1),0),$E161-1966)</f>
        <v>80.362750000000005</v>
      </c>
    </row>
    <row r="162" spans="1:14" x14ac:dyDescent="0.25">
      <c r="B162" s="13">
        <f t="shared" si="13"/>
        <v>2011</v>
      </c>
      <c r="C162" s="13">
        <f t="shared" si="13"/>
        <v>2011</v>
      </c>
      <c r="E162" s="13">
        <f t="shared" si="10"/>
        <v>2128</v>
      </c>
      <c r="F162" s="13" cm="1">
        <f t="array" ref="F162">INDEX(GMWQ!$A$2:$NF$60,MATCH(1,(GMWQ!$NE$2:$NE$60=F$3)*(GMWQ!$ND$2:$ND$60=F$4)*(GMWQ!$NF$2:$NF$60=F$1),0),$E162-1966)</f>
        <v>104.49979999999999</v>
      </c>
      <c r="G162" s="13" cm="1">
        <f t="array" ref="G162">INDEX(GMWQ!$A$2:$NF$60,MATCH(1,(GMWQ!$NE$2:$NE$60=G$3)*(GMWQ!$ND$2:$ND$60=G$4)*(GMWQ!$NF$2:$NF$60=G$1),0),$E162-1966)</f>
        <v>18382</v>
      </c>
      <c r="H162" s="13" cm="1">
        <f t="array" ref="H162">INDEX(GMWQ!$A$2:$NF$60,MATCH(1,(GMWQ!$NE$2:$NE$60=H$3)*(GMWQ!$ND$2:$ND$60=H$4)*(GMWQ!$NF$2:$NF$60=H$1),0),$E162-1966)</f>
        <v>456.66669999999999</v>
      </c>
      <c r="I162" s="13" cm="1">
        <f t="array" ref="I162">INDEX(GMWQ!$A$2:$NF$60,MATCH(1,(GMWQ!$NE$2:$NE$60=I$3)*(GMWQ!$ND$2:$ND$60=I$4)*(GMWQ!$NF$2:$NF$60=I$1),0),$E162-1966)</f>
        <v>95118</v>
      </c>
      <c r="J162" s="13" cm="1">
        <f t="array" ref="J162">INDEX(GMWQ!$A$2:$NF$60,MATCH(1,(GMWQ!$NE$2:$NE$60=J$3)*(GMWQ!$ND$2:$ND$60=J$4)*(GMWQ!$NF$2:$NF$60=J$1),0),$E162-1966)</f>
        <v>419305</v>
      </c>
      <c r="K162" s="13" cm="1">
        <f t="array" ref="K162">INDEX(GMWQ!$A$2:$NF$60,MATCH(1,(GMWQ!$NE$2:$NE$60=K$3)*(GMWQ!$ND$2:$ND$60=K$4)*(GMWQ!$NF$2:$NF$60=K$1),0),$E162-1966)</f>
        <v>168220</v>
      </c>
      <c r="L162" s="13" cm="1">
        <f t="array" ref="L162">INDEX(GMWQ!$A$2:$NF$60,MATCH(1,(GMWQ!$NE$2:$NE$60=L$3)*(GMWQ!$ND$2:$ND$60=L$4)*(GMWQ!$NF$2:$NF$60=L$1),0),$E162-1966)</f>
        <v>273407</v>
      </c>
      <c r="M162" s="13" cm="1">
        <f t="array" ref="M162">INDEX(GMWQ!$A$2:$NF$60,MATCH(1,(GMWQ!$NE$2:$NE$60=M$3)*(GMWQ!$ND$2:$ND$60=M$4)*(GMWQ!$NF$2:$NF$60=M$1),0),$E162-1966)</f>
        <v>337625</v>
      </c>
      <c r="N162" s="13" cm="1">
        <f t="array" ref="N162">INDEX(GMWQ!$A$2:$NF$60,MATCH(1,(GMWQ!$NE$2:$NE$60=N$3)*(GMWQ!$ND$2:$ND$60=N$4)*(GMWQ!$NF$2:$NF$60=N$1),0),$E162-1966)</f>
        <v>80.965869999999995</v>
      </c>
    </row>
    <row r="163" spans="1:14" x14ac:dyDescent="0.25">
      <c r="A163" s="13">
        <v>2012</v>
      </c>
      <c r="B163" s="13">
        <f t="shared" si="13"/>
        <v>2012</v>
      </c>
      <c r="C163" s="13">
        <f t="shared" si="13"/>
        <v>2011</v>
      </c>
      <c r="D163" s="13">
        <f t="shared" si="13"/>
        <v>2011</v>
      </c>
      <c r="E163" s="13">
        <f t="shared" si="10"/>
        <v>2129</v>
      </c>
      <c r="F163" s="13" cm="1">
        <f t="array" ref="F163">INDEX(GMWQ!$A$2:$NF$60,MATCH(1,(GMWQ!$NE$2:$NE$60=F$3)*(GMWQ!$ND$2:$ND$60=F$4)*(GMWQ!$NF$2:$NF$60=F$1),0),$E163-1966)</f>
        <v>105.1093</v>
      </c>
      <c r="G163" s="13" cm="1">
        <f t="array" ref="G163">INDEX(GMWQ!$A$2:$NF$60,MATCH(1,(GMWQ!$NE$2:$NE$60=G$3)*(GMWQ!$ND$2:$ND$60=G$4)*(GMWQ!$NF$2:$NF$60=G$1),0),$E163-1966)</f>
        <v>18603</v>
      </c>
      <c r="H163" s="13" cm="1">
        <f t="array" ref="H163">INDEX(GMWQ!$A$2:$NF$60,MATCH(1,(GMWQ!$NE$2:$NE$60=H$3)*(GMWQ!$ND$2:$ND$60=H$4)*(GMWQ!$NF$2:$NF$60=H$1),0),$E163-1966)</f>
        <v>457</v>
      </c>
      <c r="I163" s="13" cm="1">
        <f t="array" ref="I163">INDEX(GMWQ!$A$2:$NF$60,MATCH(1,(GMWQ!$NE$2:$NE$60=I$3)*(GMWQ!$ND$2:$ND$60=I$4)*(GMWQ!$NF$2:$NF$60=I$1),0),$E163-1966)</f>
        <v>93359</v>
      </c>
      <c r="J163" s="13" cm="1">
        <f t="array" ref="J163">INDEX(GMWQ!$A$2:$NF$60,MATCH(1,(GMWQ!$NE$2:$NE$60=J$3)*(GMWQ!$ND$2:$ND$60=J$4)*(GMWQ!$NF$2:$NF$60=J$1),0),$E163-1966)</f>
        <v>424540</v>
      </c>
      <c r="K163" s="13" cm="1">
        <f t="array" ref="K163">INDEX(GMWQ!$A$2:$NF$60,MATCH(1,(GMWQ!$NE$2:$NE$60=K$3)*(GMWQ!$ND$2:$ND$60=K$4)*(GMWQ!$NF$2:$NF$60=K$1),0),$E163-1966)</f>
        <v>170232</v>
      </c>
      <c r="L163" s="13" cm="1">
        <f t="array" ref="L163">INDEX(GMWQ!$A$2:$NF$60,MATCH(1,(GMWQ!$NE$2:$NE$60=L$3)*(GMWQ!$ND$2:$ND$60=L$4)*(GMWQ!$NF$2:$NF$60=L$1),0),$E163-1966)</f>
        <v>279309</v>
      </c>
      <c r="M163" s="13" cm="1">
        <f t="array" ref="M163">INDEX(GMWQ!$A$2:$NF$60,MATCH(1,(GMWQ!$NE$2:$NE$60=M$3)*(GMWQ!$ND$2:$ND$60=M$4)*(GMWQ!$NF$2:$NF$60=M$1),0),$E163-1966)</f>
        <v>344680</v>
      </c>
      <c r="N163" s="13" cm="1">
        <f t="array" ref="N163">INDEX(GMWQ!$A$2:$NF$60,MATCH(1,(GMWQ!$NE$2:$NE$60=N$3)*(GMWQ!$ND$2:$ND$60=N$4)*(GMWQ!$NF$2:$NF$60=N$1),0),$E163-1966)</f>
        <v>81.013279999999995</v>
      </c>
    </row>
    <row r="164" spans="1:14" x14ac:dyDescent="0.25">
      <c r="B164" s="13">
        <f t="shared" si="13"/>
        <v>2012</v>
      </c>
      <c r="C164" s="13">
        <f t="shared" si="13"/>
        <v>2012</v>
      </c>
      <c r="E164" s="13">
        <f t="shared" si="10"/>
        <v>2130</v>
      </c>
      <c r="F164" s="13" cm="1">
        <f t="array" ref="F164">INDEX(GMWQ!$A$2:$NF$60,MATCH(1,(GMWQ!$NE$2:$NE$60=F$3)*(GMWQ!$ND$2:$ND$60=F$4)*(GMWQ!$NF$2:$NF$60=F$1),0),$E164-1966)</f>
        <v>105.9355</v>
      </c>
      <c r="G164" s="13" cm="1">
        <f t="array" ref="G164">INDEX(GMWQ!$A$2:$NF$60,MATCH(1,(GMWQ!$NE$2:$NE$60=G$3)*(GMWQ!$ND$2:$ND$60=G$4)*(GMWQ!$NF$2:$NF$60=G$1),0),$E164-1966)</f>
        <v>19029</v>
      </c>
      <c r="H164" s="13" cm="1">
        <f t="array" ref="H164">INDEX(GMWQ!$A$2:$NF$60,MATCH(1,(GMWQ!$NE$2:$NE$60=H$3)*(GMWQ!$ND$2:$ND$60=H$4)*(GMWQ!$NF$2:$NF$60=H$1),0),$E164-1966)</f>
        <v>460.66669999999999</v>
      </c>
      <c r="I164" s="13" cm="1">
        <f t="array" ref="I164">INDEX(GMWQ!$A$2:$NF$60,MATCH(1,(GMWQ!$NE$2:$NE$60=I$3)*(GMWQ!$ND$2:$ND$60=I$4)*(GMWQ!$NF$2:$NF$60=I$1),0),$E164-1966)</f>
        <v>92968</v>
      </c>
      <c r="J164" s="13" cm="1">
        <f t="array" ref="J164">INDEX(GMWQ!$A$2:$NF$60,MATCH(1,(GMWQ!$NE$2:$NE$60=J$3)*(GMWQ!$ND$2:$ND$60=J$4)*(GMWQ!$NF$2:$NF$60=J$1),0),$E164-1966)</f>
        <v>424939</v>
      </c>
      <c r="K164" s="13" cm="1">
        <f t="array" ref="K164">INDEX(GMWQ!$A$2:$NF$60,MATCH(1,(GMWQ!$NE$2:$NE$60=K$3)*(GMWQ!$ND$2:$ND$60=K$4)*(GMWQ!$NF$2:$NF$60=K$1),0),$E164-1966)</f>
        <v>171221</v>
      </c>
      <c r="L164" s="13" cm="1">
        <f t="array" ref="L164">INDEX(GMWQ!$A$2:$NF$60,MATCH(1,(GMWQ!$NE$2:$NE$60=L$3)*(GMWQ!$ND$2:$ND$60=L$4)*(GMWQ!$NF$2:$NF$60=L$1),0),$E164-1966)</f>
        <v>283629</v>
      </c>
      <c r="M164" s="13" cm="1">
        <f t="array" ref="M164">INDEX(GMWQ!$A$2:$NF$60,MATCH(1,(GMWQ!$NE$2:$NE$60=M$3)*(GMWQ!$ND$2:$ND$60=M$4)*(GMWQ!$NF$2:$NF$60=M$1),0),$E164-1966)</f>
        <v>348062</v>
      </c>
      <c r="N164" s="13" cm="1">
        <f t="array" ref="N164">INDEX(GMWQ!$A$2:$NF$60,MATCH(1,(GMWQ!$NE$2:$NE$60=N$3)*(GMWQ!$ND$2:$ND$60=N$4)*(GMWQ!$NF$2:$NF$60=N$1),0),$E164-1966)</f>
        <v>81.476389999999995</v>
      </c>
    </row>
    <row r="165" spans="1:14" x14ac:dyDescent="0.25">
      <c r="B165" s="13">
        <f t="shared" si="13"/>
        <v>2012</v>
      </c>
      <c r="C165" s="13">
        <f t="shared" si="13"/>
        <v>2012</v>
      </c>
      <c r="E165" s="13">
        <f t="shared" si="10"/>
        <v>2131</v>
      </c>
      <c r="F165" s="13" cm="1">
        <f t="array" ref="F165">INDEX(GMWQ!$A$2:$NF$60,MATCH(1,(GMWQ!$NE$2:$NE$60=F$3)*(GMWQ!$ND$2:$ND$60=F$4)*(GMWQ!$NF$2:$NF$60=F$1),0),$E165-1966)</f>
        <v>105.08540000000001</v>
      </c>
      <c r="G165" s="13" cm="1">
        <f t="array" ref="G165">INDEX(GMWQ!$A$2:$NF$60,MATCH(1,(GMWQ!$NE$2:$NE$60=G$3)*(GMWQ!$ND$2:$ND$60=G$4)*(GMWQ!$NF$2:$NF$60=G$1),0),$E165-1966)</f>
        <v>19095</v>
      </c>
      <c r="H165" s="13" cm="1">
        <f t="array" ref="H165">INDEX(GMWQ!$A$2:$NF$60,MATCH(1,(GMWQ!$NE$2:$NE$60=H$3)*(GMWQ!$ND$2:$ND$60=H$4)*(GMWQ!$NF$2:$NF$60=H$1),0),$E165-1966)</f>
        <v>463</v>
      </c>
      <c r="I165" s="13" cm="1">
        <f t="array" ref="I165">INDEX(GMWQ!$A$2:$NF$60,MATCH(1,(GMWQ!$NE$2:$NE$60=I$3)*(GMWQ!$ND$2:$ND$60=I$4)*(GMWQ!$NF$2:$NF$60=I$1),0),$E165-1966)</f>
        <v>98031</v>
      </c>
      <c r="J165" s="13" cm="1">
        <f t="array" ref="J165">INDEX(GMWQ!$A$2:$NF$60,MATCH(1,(GMWQ!$NE$2:$NE$60=J$3)*(GMWQ!$ND$2:$ND$60=J$4)*(GMWQ!$NF$2:$NF$60=J$1),0),$E165-1966)</f>
        <v>430964</v>
      </c>
      <c r="K165" s="13" cm="1">
        <f t="array" ref="K165">INDEX(GMWQ!$A$2:$NF$60,MATCH(1,(GMWQ!$NE$2:$NE$60=K$3)*(GMWQ!$ND$2:$ND$60=K$4)*(GMWQ!$NF$2:$NF$60=K$1),0),$E165-1966)</f>
        <v>171212</v>
      </c>
      <c r="L165" s="13" cm="1">
        <f t="array" ref="L165">INDEX(GMWQ!$A$2:$NF$60,MATCH(1,(GMWQ!$NE$2:$NE$60=L$3)*(GMWQ!$ND$2:$ND$60=L$4)*(GMWQ!$NF$2:$NF$60=L$1),0),$E165-1966)</f>
        <v>282123</v>
      </c>
      <c r="M165" s="13" cm="1">
        <f t="array" ref="M165">INDEX(GMWQ!$A$2:$NF$60,MATCH(1,(GMWQ!$NE$2:$NE$60=M$3)*(GMWQ!$ND$2:$ND$60=M$4)*(GMWQ!$NF$2:$NF$60=M$1),0),$E165-1966)</f>
        <v>346678</v>
      </c>
      <c r="N165" s="13" cm="1">
        <f t="array" ref="N165">INDEX(GMWQ!$A$2:$NF$60,MATCH(1,(GMWQ!$NE$2:$NE$60=N$3)*(GMWQ!$ND$2:$ND$60=N$4)*(GMWQ!$NF$2:$NF$60=N$1),0),$E165-1966)</f>
        <v>81.39188</v>
      </c>
    </row>
    <row r="166" spans="1:14" x14ac:dyDescent="0.25">
      <c r="B166" s="13">
        <f t="shared" si="13"/>
        <v>2012</v>
      </c>
      <c r="C166" s="13">
        <f t="shared" si="13"/>
        <v>2012</v>
      </c>
      <c r="E166" s="13">
        <f t="shared" si="10"/>
        <v>2132</v>
      </c>
      <c r="F166" s="13" cm="1">
        <f t="array" ref="F166">INDEX(GMWQ!$A$2:$NF$60,MATCH(1,(GMWQ!$NE$2:$NE$60=F$3)*(GMWQ!$ND$2:$ND$60=F$4)*(GMWQ!$NF$2:$NF$60=F$1),0),$E166-1966)</f>
        <v>105.78</v>
      </c>
      <c r="G166" s="13" cm="1">
        <f t="array" ref="G166">INDEX(GMWQ!$A$2:$NF$60,MATCH(1,(GMWQ!$NE$2:$NE$60=G$3)*(GMWQ!$ND$2:$ND$60=G$4)*(GMWQ!$NF$2:$NF$60=G$1),0),$E166-1966)</f>
        <v>18982</v>
      </c>
      <c r="H166" s="13" cm="1">
        <f t="array" ref="H166">INDEX(GMWQ!$A$2:$NF$60,MATCH(1,(GMWQ!$NE$2:$NE$60=H$3)*(GMWQ!$ND$2:$ND$60=H$4)*(GMWQ!$NF$2:$NF$60=H$1),0),$E166-1966)</f>
        <v>462</v>
      </c>
      <c r="I166" s="13" cm="1">
        <f t="array" ref="I166">INDEX(GMWQ!$A$2:$NF$60,MATCH(1,(GMWQ!$NE$2:$NE$60=I$3)*(GMWQ!$ND$2:$ND$60=I$4)*(GMWQ!$NF$2:$NF$60=I$1),0),$E166-1966)</f>
        <v>98174</v>
      </c>
      <c r="J166" s="13" cm="1">
        <f t="array" ref="J166">INDEX(GMWQ!$A$2:$NF$60,MATCH(1,(GMWQ!$NE$2:$NE$60=J$3)*(GMWQ!$ND$2:$ND$60=J$4)*(GMWQ!$NF$2:$NF$60=J$1),0),$E166-1966)</f>
        <v>433272</v>
      </c>
      <c r="K166" s="13" cm="1">
        <f t="array" ref="K166">INDEX(GMWQ!$A$2:$NF$60,MATCH(1,(GMWQ!$NE$2:$NE$60=K$3)*(GMWQ!$ND$2:$ND$60=K$4)*(GMWQ!$NF$2:$NF$60=K$1),0),$E166-1966)</f>
        <v>172650</v>
      </c>
      <c r="L166" s="13" cm="1">
        <f t="array" ref="L166">INDEX(GMWQ!$A$2:$NF$60,MATCH(1,(GMWQ!$NE$2:$NE$60=L$3)*(GMWQ!$ND$2:$ND$60=L$4)*(GMWQ!$NF$2:$NF$60=L$1),0),$E166-1966)</f>
        <v>283875</v>
      </c>
      <c r="M166" s="13" cm="1">
        <f t="array" ref="M166">INDEX(GMWQ!$A$2:$NF$60,MATCH(1,(GMWQ!$NE$2:$NE$60=M$3)*(GMWQ!$ND$2:$ND$60=M$4)*(GMWQ!$NF$2:$NF$60=M$1),0),$E166-1966)</f>
        <v>345765</v>
      </c>
      <c r="N166" s="13" cm="1">
        <f t="array" ref="N166">INDEX(GMWQ!$A$2:$NF$60,MATCH(1,(GMWQ!$NE$2:$NE$60=N$3)*(GMWQ!$ND$2:$ND$60=N$4)*(GMWQ!$NF$2:$NF$60=N$1),0),$E166-1966)</f>
        <v>81.973290000000006</v>
      </c>
    </row>
    <row r="167" spans="1:14" x14ac:dyDescent="0.25">
      <c r="A167" s="13">
        <v>2013</v>
      </c>
      <c r="B167" s="13">
        <f t="shared" si="13"/>
        <v>2013</v>
      </c>
      <c r="C167" s="13">
        <f t="shared" si="13"/>
        <v>2012</v>
      </c>
      <c r="D167" s="13">
        <f t="shared" si="13"/>
        <v>2012</v>
      </c>
      <c r="E167" s="13">
        <f t="shared" si="10"/>
        <v>2133</v>
      </c>
      <c r="F167" s="13" cm="1">
        <f t="array" ref="F167">INDEX(GMWQ!$A$2:$NF$60,MATCH(1,(GMWQ!$NE$2:$NE$60=F$3)*(GMWQ!$ND$2:$ND$60=F$4)*(GMWQ!$NF$2:$NF$60=F$1),0),$E167-1966)</f>
        <v>105.813</v>
      </c>
      <c r="G167" s="13" cm="1">
        <f t="array" ref="G167">INDEX(GMWQ!$A$2:$NF$60,MATCH(1,(GMWQ!$NE$2:$NE$60=G$3)*(GMWQ!$ND$2:$ND$60=G$4)*(GMWQ!$NF$2:$NF$60=G$1),0),$E167-1966)</f>
        <v>18597</v>
      </c>
      <c r="H167" s="13" cm="1">
        <f t="array" ref="H167">INDEX(GMWQ!$A$2:$NF$60,MATCH(1,(GMWQ!$NE$2:$NE$60=H$3)*(GMWQ!$ND$2:$ND$60=H$4)*(GMWQ!$NF$2:$NF$60=H$1),0),$E167-1966)</f>
        <v>459.33330000000001</v>
      </c>
      <c r="I167" s="13" cm="1">
        <f t="array" ref="I167">INDEX(GMWQ!$A$2:$NF$60,MATCH(1,(GMWQ!$NE$2:$NE$60=I$3)*(GMWQ!$ND$2:$ND$60=I$4)*(GMWQ!$NF$2:$NF$60=I$1),0),$E167-1966)</f>
        <v>100765</v>
      </c>
      <c r="J167" s="13" cm="1">
        <f t="array" ref="J167">INDEX(GMWQ!$A$2:$NF$60,MATCH(1,(GMWQ!$NE$2:$NE$60=J$3)*(GMWQ!$ND$2:$ND$60=J$4)*(GMWQ!$NF$2:$NF$60=J$1),0),$E167-1966)</f>
        <v>438283</v>
      </c>
      <c r="K167" s="13" cm="1">
        <f t="array" ref="K167">INDEX(GMWQ!$A$2:$NF$60,MATCH(1,(GMWQ!$NE$2:$NE$60=K$3)*(GMWQ!$ND$2:$ND$60=K$4)*(GMWQ!$NF$2:$NF$60=K$1),0),$E167-1966)</f>
        <v>173499</v>
      </c>
      <c r="L167" s="13" cm="1">
        <f t="array" ref="L167">INDEX(GMWQ!$A$2:$NF$60,MATCH(1,(GMWQ!$NE$2:$NE$60=L$3)*(GMWQ!$ND$2:$ND$60=L$4)*(GMWQ!$NF$2:$NF$60=L$1),0),$E167-1966)</f>
        <v>284075</v>
      </c>
      <c r="M167" s="13" cm="1">
        <f t="array" ref="M167">INDEX(GMWQ!$A$2:$NF$60,MATCH(1,(GMWQ!$NE$2:$NE$60=M$3)*(GMWQ!$ND$2:$ND$60=M$4)*(GMWQ!$NF$2:$NF$60=M$1),0),$E167-1966)</f>
        <v>342890</v>
      </c>
      <c r="N167" s="13" cm="1">
        <f t="array" ref="N167">INDEX(GMWQ!$A$2:$NF$60,MATCH(1,(GMWQ!$NE$2:$NE$60=N$3)*(GMWQ!$ND$2:$ND$60=N$4)*(GMWQ!$NF$2:$NF$60=N$1),0),$E167-1966)</f>
        <v>82.801770000000005</v>
      </c>
    </row>
    <row r="168" spans="1:14" x14ac:dyDescent="0.25">
      <c r="B168" s="13">
        <f t="shared" si="13"/>
        <v>2013</v>
      </c>
      <c r="C168" s="13">
        <f t="shared" si="13"/>
        <v>2013</v>
      </c>
      <c r="E168" s="13">
        <f t="shared" si="10"/>
        <v>2134</v>
      </c>
      <c r="F168" s="13" cm="1">
        <f t="array" ref="F168">INDEX(GMWQ!$A$2:$NF$60,MATCH(1,(GMWQ!$NE$2:$NE$60=F$3)*(GMWQ!$ND$2:$ND$60=F$4)*(GMWQ!$NF$2:$NF$60=F$1),0),$E168-1966)</f>
        <v>108.6726</v>
      </c>
      <c r="G168" s="13" cm="1">
        <f t="array" ref="G168">INDEX(GMWQ!$A$2:$NF$60,MATCH(1,(GMWQ!$NE$2:$NE$60=G$3)*(GMWQ!$ND$2:$ND$60=G$4)*(GMWQ!$NF$2:$NF$60=G$1),0),$E168-1966)</f>
        <v>19598</v>
      </c>
      <c r="H168" s="13" cm="1">
        <f t="array" ref="H168">INDEX(GMWQ!$A$2:$NF$60,MATCH(1,(GMWQ!$NE$2:$NE$60=H$3)*(GMWQ!$ND$2:$ND$60=H$4)*(GMWQ!$NF$2:$NF$60=H$1),0),$E168-1966)</f>
        <v>470.33330000000001</v>
      </c>
      <c r="I168" s="13" cm="1">
        <f t="array" ref="I168">INDEX(GMWQ!$A$2:$NF$60,MATCH(1,(GMWQ!$NE$2:$NE$60=I$3)*(GMWQ!$ND$2:$ND$60=I$4)*(GMWQ!$NF$2:$NF$60=I$1),0),$E168-1966)</f>
        <v>96733</v>
      </c>
      <c r="J168" s="13" cm="1">
        <f t="array" ref="J168">INDEX(GMWQ!$A$2:$NF$60,MATCH(1,(GMWQ!$NE$2:$NE$60=J$3)*(GMWQ!$ND$2:$ND$60=J$4)*(GMWQ!$NF$2:$NF$60=J$1),0),$E168-1966)</f>
        <v>442095</v>
      </c>
      <c r="K168" s="13" cm="1">
        <f t="array" ref="K168">INDEX(GMWQ!$A$2:$NF$60,MATCH(1,(GMWQ!$NE$2:$NE$60=K$3)*(GMWQ!$ND$2:$ND$60=K$4)*(GMWQ!$NF$2:$NF$60=K$1),0),$E168-1966)</f>
        <v>179878</v>
      </c>
      <c r="L168" s="13" cm="1">
        <f t="array" ref="L168">INDEX(GMWQ!$A$2:$NF$60,MATCH(1,(GMWQ!$NE$2:$NE$60=L$3)*(GMWQ!$ND$2:$ND$60=L$4)*(GMWQ!$NF$2:$NF$60=L$1),0),$E168-1966)</f>
        <v>292417</v>
      </c>
      <c r="M168" s="13" cm="1">
        <f t="array" ref="M168">INDEX(GMWQ!$A$2:$NF$60,MATCH(1,(GMWQ!$NE$2:$NE$60=M$3)*(GMWQ!$ND$2:$ND$60=M$4)*(GMWQ!$NF$2:$NF$60=M$1),0),$E168-1966)</f>
        <v>350923</v>
      </c>
      <c r="N168" s="13" cm="1">
        <f t="array" ref="N168">INDEX(GMWQ!$A$2:$NF$60,MATCH(1,(GMWQ!$NE$2:$NE$60=N$3)*(GMWQ!$ND$2:$ND$60=N$4)*(GMWQ!$NF$2:$NF$60=N$1),0),$E168-1966)</f>
        <v>83.297870000000003</v>
      </c>
    </row>
    <row r="169" spans="1:14" x14ac:dyDescent="0.25">
      <c r="B169" s="13">
        <f t="shared" si="13"/>
        <v>2013</v>
      </c>
      <c r="C169" s="13">
        <f t="shared" si="13"/>
        <v>2013</v>
      </c>
      <c r="E169" s="13">
        <f t="shared" si="10"/>
        <v>2135</v>
      </c>
      <c r="F169" s="13" cm="1">
        <f t="array" ref="F169">INDEX(GMWQ!$A$2:$NF$60,MATCH(1,(GMWQ!$NE$2:$NE$60=F$3)*(GMWQ!$ND$2:$ND$60=F$4)*(GMWQ!$NF$2:$NF$60=F$1),0),$E169-1966)</f>
        <v>108.0243</v>
      </c>
      <c r="G169" s="13" cm="1">
        <f t="array" ref="G169">INDEX(GMWQ!$A$2:$NF$60,MATCH(1,(GMWQ!$NE$2:$NE$60=G$3)*(GMWQ!$ND$2:$ND$60=G$4)*(GMWQ!$NF$2:$NF$60=G$1),0),$E169-1966)</f>
        <v>19195</v>
      </c>
      <c r="H169" s="13" cm="1">
        <f t="array" ref="H169">INDEX(GMWQ!$A$2:$NF$60,MATCH(1,(GMWQ!$NE$2:$NE$60=H$3)*(GMWQ!$ND$2:$ND$60=H$4)*(GMWQ!$NF$2:$NF$60=H$1),0),$E169-1966)</f>
        <v>466</v>
      </c>
      <c r="I169" s="13" cm="1">
        <f t="array" ref="I169">INDEX(GMWQ!$A$2:$NF$60,MATCH(1,(GMWQ!$NE$2:$NE$60=I$3)*(GMWQ!$ND$2:$ND$60=I$4)*(GMWQ!$NF$2:$NF$60=I$1),0),$E169-1966)</f>
        <v>99537</v>
      </c>
      <c r="J169" s="13" cm="1">
        <f t="array" ref="J169">INDEX(GMWQ!$A$2:$NF$60,MATCH(1,(GMWQ!$NE$2:$NE$60=J$3)*(GMWQ!$ND$2:$ND$60=J$4)*(GMWQ!$NF$2:$NF$60=J$1),0),$E169-1966)</f>
        <v>448800</v>
      </c>
      <c r="K169" s="13" cm="1">
        <f t="array" ref="K169">INDEX(GMWQ!$A$2:$NF$60,MATCH(1,(GMWQ!$NE$2:$NE$60=K$3)*(GMWQ!$ND$2:$ND$60=K$4)*(GMWQ!$NF$2:$NF$60=K$1),0),$E169-1966)</f>
        <v>180937</v>
      </c>
      <c r="L169" s="13" cm="1">
        <f t="array" ref="L169">INDEX(GMWQ!$A$2:$NF$60,MATCH(1,(GMWQ!$NE$2:$NE$60=L$3)*(GMWQ!$ND$2:$ND$60=L$4)*(GMWQ!$NF$2:$NF$60=L$1),0),$E169-1966)</f>
        <v>298338</v>
      </c>
      <c r="M169" s="13" cm="1">
        <f t="array" ref="M169">INDEX(GMWQ!$A$2:$NF$60,MATCH(1,(GMWQ!$NE$2:$NE$60=M$3)*(GMWQ!$ND$2:$ND$60=M$4)*(GMWQ!$NF$2:$NF$60=M$1),0),$E169-1966)</f>
        <v>357263</v>
      </c>
      <c r="N169" s="13" cm="1">
        <f t="array" ref="N169">INDEX(GMWQ!$A$2:$NF$60,MATCH(1,(GMWQ!$NE$2:$NE$60=N$3)*(GMWQ!$ND$2:$ND$60=N$4)*(GMWQ!$NF$2:$NF$60=N$1),0),$E169-1966)</f>
        <v>83.487459999999999</v>
      </c>
    </row>
    <row r="170" spans="1:14" x14ac:dyDescent="0.25">
      <c r="B170" s="13">
        <f t="shared" si="13"/>
        <v>2013</v>
      </c>
      <c r="C170" s="13">
        <f t="shared" si="13"/>
        <v>2013</v>
      </c>
      <c r="E170" s="13">
        <f t="shared" si="10"/>
        <v>2136</v>
      </c>
      <c r="F170" s="13" cm="1">
        <f t="array" ref="F170">INDEX(GMWQ!$A$2:$NF$60,MATCH(1,(GMWQ!$NE$2:$NE$60=F$3)*(GMWQ!$ND$2:$ND$60=F$4)*(GMWQ!$NF$2:$NF$60=F$1),0),$E170-1966)</f>
        <v>108.1934</v>
      </c>
      <c r="G170" s="13" cm="1">
        <f t="array" ref="G170">INDEX(GMWQ!$A$2:$NF$60,MATCH(1,(GMWQ!$NE$2:$NE$60=G$3)*(GMWQ!$ND$2:$ND$60=G$4)*(GMWQ!$NF$2:$NF$60=G$1),0),$E170-1966)</f>
        <v>19482</v>
      </c>
      <c r="H170" s="13" cm="1">
        <f t="array" ref="H170">INDEX(GMWQ!$A$2:$NF$60,MATCH(1,(GMWQ!$NE$2:$NE$60=H$3)*(GMWQ!$ND$2:$ND$60=H$4)*(GMWQ!$NF$2:$NF$60=H$1),0),$E170-1966)</f>
        <v>466.66669999999999</v>
      </c>
      <c r="I170" s="13" cm="1">
        <f t="array" ref="I170">INDEX(GMWQ!$A$2:$NF$60,MATCH(1,(GMWQ!$NE$2:$NE$60=I$3)*(GMWQ!$ND$2:$ND$60=I$4)*(GMWQ!$NF$2:$NF$60=I$1),0),$E170-1966)</f>
        <v>99553</v>
      </c>
      <c r="J170" s="13" cm="1">
        <f t="array" ref="J170">INDEX(GMWQ!$A$2:$NF$60,MATCH(1,(GMWQ!$NE$2:$NE$60=J$3)*(GMWQ!$ND$2:$ND$60=J$4)*(GMWQ!$NF$2:$NF$60=J$1),0),$E170-1966)</f>
        <v>452183</v>
      </c>
      <c r="K170" s="13" cm="1">
        <f t="array" ref="K170">INDEX(GMWQ!$A$2:$NF$60,MATCH(1,(GMWQ!$NE$2:$NE$60=K$3)*(GMWQ!$ND$2:$ND$60=K$4)*(GMWQ!$NF$2:$NF$60=K$1),0),$E170-1966)</f>
        <v>183254</v>
      </c>
      <c r="L170" s="13" cm="1">
        <f t="array" ref="L170">INDEX(GMWQ!$A$2:$NF$60,MATCH(1,(GMWQ!$NE$2:$NE$60=L$3)*(GMWQ!$ND$2:$ND$60=L$4)*(GMWQ!$NF$2:$NF$60=L$1),0),$E170-1966)</f>
        <v>300976</v>
      </c>
      <c r="M170" s="13" cm="1">
        <f t="array" ref="M170">INDEX(GMWQ!$A$2:$NF$60,MATCH(1,(GMWQ!$NE$2:$NE$60=M$3)*(GMWQ!$ND$2:$ND$60=M$4)*(GMWQ!$NF$2:$NF$60=M$1),0),$E170-1966)</f>
        <v>360126</v>
      </c>
      <c r="N170" s="13" cm="1">
        <f t="array" ref="N170">INDEX(GMWQ!$A$2:$NF$60,MATCH(1,(GMWQ!$NE$2:$NE$60=N$3)*(GMWQ!$ND$2:$ND$60=N$4)*(GMWQ!$NF$2:$NF$60=N$1),0),$E170-1966)</f>
        <v>83.510570000000001</v>
      </c>
    </row>
    <row r="171" spans="1:14" x14ac:dyDescent="0.25">
      <c r="A171" s="13">
        <v>2014</v>
      </c>
      <c r="B171" s="13">
        <f t="shared" si="13"/>
        <v>2014</v>
      </c>
      <c r="C171" s="13">
        <f t="shared" si="13"/>
        <v>2013</v>
      </c>
      <c r="D171" s="13">
        <f t="shared" si="13"/>
        <v>2013</v>
      </c>
      <c r="E171" s="13">
        <f t="shared" si="10"/>
        <v>2137</v>
      </c>
      <c r="F171" s="13" cm="1">
        <f t="array" ref="F171">INDEX(GMWQ!$A$2:$NF$60,MATCH(1,(GMWQ!$NE$2:$NE$60=F$3)*(GMWQ!$ND$2:$ND$60=F$4)*(GMWQ!$NF$2:$NF$60=F$1),0),$E171-1966)</f>
        <v>108.4132</v>
      </c>
      <c r="G171" s="13" cm="1">
        <f t="array" ref="G171">INDEX(GMWQ!$A$2:$NF$60,MATCH(1,(GMWQ!$NE$2:$NE$60=G$3)*(GMWQ!$ND$2:$ND$60=G$4)*(GMWQ!$NF$2:$NF$60=G$1),0),$E171-1966)</f>
        <v>19571</v>
      </c>
      <c r="H171" s="13" cm="1">
        <f t="array" ref="H171">INDEX(GMWQ!$A$2:$NF$60,MATCH(1,(GMWQ!$NE$2:$NE$60=H$3)*(GMWQ!$ND$2:$ND$60=H$4)*(GMWQ!$NF$2:$NF$60=H$1),0),$E171-1966)</f>
        <v>467.33330000000001</v>
      </c>
      <c r="I171" s="13" cm="1">
        <f t="array" ref="I171">INDEX(GMWQ!$A$2:$NF$60,MATCH(1,(GMWQ!$NE$2:$NE$60=I$3)*(GMWQ!$ND$2:$ND$60=I$4)*(GMWQ!$NF$2:$NF$60=I$1),0),$E171-1966)</f>
        <v>99297</v>
      </c>
      <c r="J171" s="13" cm="1">
        <f t="array" ref="J171">INDEX(GMWQ!$A$2:$NF$60,MATCH(1,(GMWQ!$NE$2:$NE$60=J$3)*(GMWQ!$ND$2:$ND$60=J$4)*(GMWQ!$NF$2:$NF$60=J$1),0),$E171-1966)</f>
        <v>457683</v>
      </c>
      <c r="K171" s="13" cm="1">
        <f t="array" ref="K171">INDEX(GMWQ!$A$2:$NF$60,MATCH(1,(GMWQ!$NE$2:$NE$60=K$3)*(GMWQ!$ND$2:$ND$60=K$4)*(GMWQ!$NF$2:$NF$60=K$1),0),$E171-1966)</f>
        <v>185644</v>
      </c>
      <c r="L171" s="13" cm="1">
        <f t="array" ref="L171">INDEX(GMWQ!$A$2:$NF$60,MATCH(1,(GMWQ!$NE$2:$NE$60=L$3)*(GMWQ!$ND$2:$ND$60=L$4)*(GMWQ!$NF$2:$NF$60=L$1),0),$E171-1966)</f>
        <v>301406</v>
      </c>
      <c r="M171" s="13" cm="1">
        <f t="array" ref="M171">INDEX(GMWQ!$A$2:$NF$60,MATCH(1,(GMWQ!$NE$2:$NE$60=M$3)*(GMWQ!$ND$2:$ND$60=M$4)*(GMWQ!$NF$2:$NF$60=M$1),0),$E171-1966)</f>
        <v>359009</v>
      </c>
      <c r="N171" s="13" cm="1">
        <f t="array" ref="N171">INDEX(GMWQ!$A$2:$NF$60,MATCH(1,(GMWQ!$NE$2:$NE$60=N$3)*(GMWQ!$ND$2:$ND$60=N$4)*(GMWQ!$NF$2:$NF$60=N$1),0),$E171-1966)</f>
        <v>83.915139999999994</v>
      </c>
    </row>
    <row r="172" spans="1:14" x14ac:dyDescent="0.25">
      <c r="B172" s="13">
        <f t="shared" ref="B172:D187" si="14">+B168+1</f>
        <v>2014</v>
      </c>
      <c r="C172" s="13">
        <f t="shared" si="14"/>
        <v>2014</v>
      </c>
      <c r="E172" s="13">
        <f t="shared" si="10"/>
        <v>2138</v>
      </c>
      <c r="F172" s="13" cm="1">
        <f t="array" ref="F172">INDEX(GMWQ!$A$2:$NF$60,MATCH(1,(GMWQ!$NE$2:$NE$60=F$3)*(GMWQ!$ND$2:$ND$60=F$4)*(GMWQ!$NF$2:$NF$60=F$1),0),$E172-1966)</f>
        <v>107.0247</v>
      </c>
      <c r="G172" s="13" cm="1">
        <f t="array" ref="G172">INDEX(GMWQ!$A$2:$NF$60,MATCH(1,(GMWQ!$NE$2:$NE$60=G$3)*(GMWQ!$ND$2:$ND$60=G$4)*(GMWQ!$NF$2:$NF$60=G$1),0),$E172-1966)</f>
        <v>19575</v>
      </c>
      <c r="H172" s="13" cm="1">
        <f t="array" ref="H172">INDEX(GMWQ!$A$2:$NF$60,MATCH(1,(GMWQ!$NE$2:$NE$60=H$3)*(GMWQ!$ND$2:$ND$60=H$4)*(GMWQ!$NF$2:$NF$60=H$1),0),$E172-1966)</f>
        <v>469.33330000000001</v>
      </c>
      <c r="I172" s="13" cm="1">
        <f t="array" ref="I172">INDEX(GMWQ!$A$2:$NF$60,MATCH(1,(GMWQ!$NE$2:$NE$60=I$3)*(GMWQ!$ND$2:$ND$60=I$4)*(GMWQ!$NF$2:$NF$60=I$1),0),$E172-1966)</f>
        <v>103492</v>
      </c>
      <c r="J172" s="13" cm="1">
        <f t="array" ref="J172">INDEX(GMWQ!$A$2:$NF$60,MATCH(1,(GMWQ!$NE$2:$NE$60=J$3)*(GMWQ!$ND$2:$ND$60=J$4)*(GMWQ!$NF$2:$NF$60=J$1),0),$E172-1966)</f>
        <v>461549</v>
      </c>
      <c r="K172" s="13" cm="1">
        <f t="array" ref="K172">INDEX(GMWQ!$A$2:$NF$60,MATCH(1,(GMWQ!$NE$2:$NE$60=K$3)*(GMWQ!$ND$2:$ND$60=K$4)*(GMWQ!$NF$2:$NF$60=K$1),0),$E172-1966)</f>
        <v>185557</v>
      </c>
      <c r="L172" s="13" cm="1">
        <f t="array" ref="L172">INDEX(GMWQ!$A$2:$NF$60,MATCH(1,(GMWQ!$NE$2:$NE$60=L$3)*(GMWQ!$ND$2:$ND$60=L$4)*(GMWQ!$NF$2:$NF$60=L$1),0),$E172-1966)</f>
        <v>304476</v>
      </c>
      <c r="M172" s="13" cm="1">
        <f t="array" ref="M172">INDEX(GMWQ!$A$2:$NF$60,MATCH(1,(GMWQ!$NE$2:$NE$60=M$3)*(GMWQ!$ND$2:$ND$60=M$4)*(GMWQ!$NF$2:$NF$60=M$1),0),$E172-1966)</f>
        <v>359599</v>
      </c>
      <c r="N172" s="13" cm="1">
        <f t="array" ref="N172">INDEX(GMWQ!$A$2:$NF$60,MATCH(1,(GMWQ!$NE$2:$NE$60=N$3)*(GMWQ!$ND$2:$ND$60=N$4)*(GMWQ!$NF$2:$NF$60=N$1),0),$E172-1966)</f>
        <v>84.584509999999995</v>
      </c>
    </row>
    <row r="173" spans="1:14" x14ac:dyDescent="0.25">
      <c r="B173" s="13">
        <f t="shared" si="14"/>
        <v>2014</v>
      </c>
      <c r="C173" s="13">
        <f t="shared" si="14"/>
        <v>2014</v>
      </c>
      <c r="E173" s="13">
        <f t="shared" si="10"/>
        <v>2139</v>
      </c>
      <c r="F173" s="13" cm="1">
        <f t="array" ref="F173">INDEX(GMWQ!$A$2:$NF$60,MATCH(1,(GMWQ!$NE$2:$NE$60=F$3)*(GMWQ!$ND$2:$ND$60=F$4)*(GMWQ!$NF$2:$NF$60=F$1),0),$E173-1966)</f>
        <v>105.9806</v>
      </c>
      <c r="G173" s="13" cm="1">
        <f t="array" ref="G173">INDEX(GMWQ!$A$2:$NF$60,MATCH(1,(GMWQ!$NE$2:$NE$60=G$3)*(GMWQ!$ND$2:$ND$60=G$4)*(GMWQ!$NF$2:$NF$60=G$1),0),$E173-1966)</f>
        <v>19825</v>
      </c>
      <c r="H173" s="13" cm="1">
        <f t="array" ref="H173">INDEX(GMWQ!$A$2:$NF$60,MATCH(1,(GMWQ!$NE$2:$NE$60=H$3)*(GMWQ!$ND$2:$ND$60=H$4)*(GMWQ!$NF$2:$NF$60=H$1),0),$E173-1966)</f>
        <v>470</v>
      </c>
      <c r="I173" s="13" cm="1">
        <f t="array" ref="I173">INDEX(GMWQ!$A$2:$NF$60,MATCH(1,(GMWQ!$NE$2:$NE$60=I$3)*(GMWQ!$ND$2:$ND$60=I$4)*(GMWQ!$NF$2:$NF$60=I$1),0),$E173-1966)</f>
        <v>111995</v>
      </c>
      <c r="J173" s="13" cm="1">
        <f t="array" ref="J173">INDEX(GMWQ!$A$2:$NF$60,MATCH(1,(GMWQ!$NE$2:$NE$60=J$3)*(GMWQ!$ND$2:$ND$60=J$4)*(GMWQ!$NF$2:$NF$60=J$1),0),$E173-1966)</f>
        <v>470624</v>
      </c>
      <c r="K173" s="13" cm="1">
        <f t="array" ref="K173">INDEX(GMWQ!$A$2:$NF$60,MATCH(1,(GMWQ!$NE$2:$NE$60=K$3)*(GMWQ!$ND$2:$ND$60=K$4)*(GMWQ!$NF$2:$NF$60=K$1),0),$E173-1966)</f>
        <v>185399</v>
      </c>
      <c r="L173" s="13" cm="1">
        <f t="array" ref="L173">INDEX(GMWQ!$A$2:$NF$60,MATCH(1,(GMWQ!$NE$2:$NE$60=L$3)*(GMWQ!$ND$2:$ND$60=L$4)*(GMWQ!$NF$2:$NF$60=L$1),0),$E173-1966)</f>
        <v>303765</v>
      </c>
      <c r="M173" s="13" cm="1">
        <f t="array" ref="M173">INDEX(GMWQ!$A$2:$NF$60,MATCH(1,(GMWQ!$NE$2:$NE$60=M$3)*(GMWQ!$ND$2:$ND$60=M$4)*(GMWQ!$NF$2:$NF$60=M$1),0),$E173-1966)</f>
        <v>359708</v>
      </c>
      <c r="N173" s="13" cm="1">
        <f t="array" ref="N173">INDEX(GMWQ!$A$2:$NF$60,MATCH(1,(GMWQ!$NE$2:$NE$60=N$3)*(GMWQ!$ND$2:$ND$60=N$4)*(GMWQ!$NF$2:$NF$60=N$1),0),$E173-1966)</f>
        <v>84.351870000000005</v>
      </c>
    </row>
    <row r="174" spans="1:14" x14ac:dyDescent="0.25">
      <c r="B174" s="13">
        <f t="shared" si="14"/>
        <v>2014</v>
      </c>
      <c r="C174" s="13">
        <f t="shared" si="14"/>
        <v>2014</v>
      </c>
      <c r="E174" s="13">
        <f t="shared" si="10"/>
        <v>2140</v>
      </c>
      <c r="F174" s="13" cm="1">
        <f t="array" ref="F174">INDEX(GMWQ!$A$2:$NF$60,MATCH(1,(GMWQ!$NE$2:$NE$60=F$3)*(GMWQ!$ND$2:$ND$60=F$4)*(GMWQ!$NF$2:$NF$60=F$1),0),$E174-1966)</f>
        <v>106.4263</v>
      </c>
      <c r="G174" s="13" cm="1">
        <f t="array" ref="G174">INDEX(GMWQ!$A$2:$NF$60,MATCH(1,(GMWQ!$NE$2:$NE$60=G$3)*(GMWQ!$ND$2:$ND$60=G$4)*(GMWQ!$NF$2:$NF$60=G$1),0),$E174-1966)</f>
        <v>19993</v>
      </c>
      <c r="H174" s="13" cm="1">
        <f t="array" ref="H174">INDEX(GMWQ!$A$2:$NF$60,MATCH(1,(GMWQ!$NE$2:$NE$60=H$3)*(GMWQ!$ND$2:$ND$60=H$4)*(GMWQ!$NF$2:$NF$60=H$1),0),$E174-1966)</f>
        <v>476</v>
      </c>
      <c r="I174" s="13" cm="1">
        <f t="array" ref="I174">INDEX(GMWQ!$A$2:$NF$60,MATCH(1,(GMWQ!$NE$2:$NE$60=I$3)*(GMWQ!$ND$2:$ND$60=I$4)*(GMWQ!$NF$2:$NF$60=I$1),0),$E174-1966)</f>
        <v>110568</v>
      </c>
      <c r="J174" s="13" cm="1">
        <f t="array" ref="J174">INDEX(GMWQ!$A$2:$NF$60,MATCH(1,(GMWQ!$NE$2:$NE$60=J$3)*(GMWQ!$ND$2:$ND$60=J$4)*(GMWQ!$NF$2:$NF$60=J$1),0),$E174-1966)</f>
        <v>472658</v>
      </c>
      <c r="K174" s="13" cm="1">
        <f t="array" ref="K174">INDEX(GMWQ!$A$2:$NF$60,MATCH(1,(GMWQ!$NE$2:$NE$60=K$3)*(GMWQ!$ND$2:$ND$60=K$4)*(GMWQ!$NF$2:$NF$60=K$1),0),$E174-1966)</f>
        <v>187477</v>
      </c>
      <c r="L174" s="13" cm="1">
        <f t="array" ref="L174">INDEX(GMWQ!$A$2:$NF$60,MATCH(1,(GMWQ!$NE$2:$NE$60=L$3)*(GMWQ!$ND$2:$ND$60=L$4)*(GMWQ!$NF$2:$NF$60=L$1),0),$E174-1966)</f>
        <v>307306</v>
      </c>
      <c r="M174" s="13" cm="1">
        <f t="array" ref="M174">INDEX(GMWQ!$A$2:$NF$60,MATCH(1,(GMWQ!$NE$2:$NE$60=M$3)*(GMWQ!$ND$2:$ND$60=M$4)*(GMWQ!$NF$2:$NF$60=M$1),0),$E174-1966)</f>
        <v>364730</v>
      </c>
      <c r="N174" s="13" cm="1">
        <f t="array" ref="N174">INDEX(GMWQ!$A$2:$NF$60,MATCH(1,(GMWQ!$NE$2:$NE$60=N$3)*(GMWQ!$ND$2:$ND$60=N$4)*(GMWQ!$NF$2:$NF$60=N$1),0),$E174-1966)</f>
        <v>84.100880000000004</v>
      </c>
    </row>
    <row r="175" spans="1:14" x14ac:dyDescent="0.25">
      <c r="A175" s="13">
        <v>2015</v>
      </c>
      <c r="B175" s="13">
        <f t="shared" si="14"/>
        <v>2015</v>
      </c>
      <c r="C175" s="13">
        <f t="shared" si="14"/>
        <v>2014</v>
      </c>
      <c r="D175" s="13">
        <f t="shared" si="14"/>
        <v>2014</v>
      </c>
      <c r="E175" s="13">
        <f t="shared" si="10"/>
        <v>2141</v>
      </c>
      <c r="F175" s="13" cm="1">
        <f t="array" ref="F175">INDEX(GMWQ!$A$2:$NF$60,MATCH(1,(GMWQ!$NE$2:$NE$60=F$3)*(GMWQ!$ND$2:$ND$60=F$4)*(GMWQ!$NF$2:$NF$60=F$1),0),$E175-1966)</f>
        <v>107.6554</v>
      </c>
      <c r="G175" s="13" cm="1">
        <f t="array" ref="G175">INDEX(GMWQ!$A$2:$NF$60,MATCH(1,(GMWQ!$NE$2:$NE$60=G$3)*(GMWQ!$ND$2:$ND$60=G$4)*(GMWQ!$NF$2:$NF$60=G$1),0),$E175-1966)</f>
        <v>20426</v>
      </c>
      <c r="H175" s="13" cm="1">
        <f t="array" ref="H175">INDEX(GMWQ!$A$2:$NF$60,MATCH(1,(GMWQ!$NE$2:$NE$60=H$3)*(GMWQ!$ND$2:$ND$60=H$4)*(GMWQ!$NF$2:$NF$60=H$1),0),$E175-1966)</f>
        <v>478</v>
      </c>
      <c r="I175" s="13" cm="1">
        <f t="array" ref="I175">INDEX(GMWQ!$A$2:$NF$60,MATCH(1,(GMWQ!$NE$2:$NE$60=I$3)*(GMWQ!$ND$2:$ND$60=I$4)*(GMWQ!$NF$2:$NF$60=I$1),0),$E175-1966)</f>
        <v>108361</v>
      </c>
      <c r="J175" s="13" cm="1">
        <f t="array" ref="J175">INDEX(GMWQ!$A$2:$NF$60,MATCH(1,(GMWQ!$NE$2:$NE$60=J$3)*(GMWQ!$ND$2:$ND$60=J$4)*(GMWQ!$NF$2:$NF$60=J$1),0),$E175-1966)</f>
        <v>474680</v>
      </c>
      <c r="K175" s="13" cm="1">
        <f t="array" ref="K175">INDEX(GMWQ!$A$2:$NF$60,MATCH(1,(GMWQ!$NE$2:$NE$60=K$3)*(GMWQ!$ND$2:$ND$60=K$4)*(GMWQ!$NF$2:$NF$60=K$1),0),$E175-1966)</f>
        <v>190040</v>
      </c>
      <c r="L175" s="13" cm="1">
        <f t="array" ref="L175">INDEX(GMWQ!$A$2:$NF$60,MATCH(1,(GMWQ!$NE$2:$NE$60=L$3)*(GMWQ!$ND$2:$ND$60=L$4)*(GMWQ!$NF$2:$NF$60=L$1),0),$E175-1966)</f>
        <v>311832</v>
      </c>
      <c r="M175" s="13" cm="1">
        <f t="array" ref="M175">INDEX(GMWQ!$A$2:$NF$60,MATCH(1,(GMWQ!$NE$2:$NE$60=M$3)*(GMWQ!$ND$2:$ND$60=M$4)*(GMWQ!$NF$2:$NF$60=M$1),0),$E175-1966)</f>
        <v>372232</v>
      </c>
      <c r="N175" s="13" cm="1">
        <f t="array" ref="N175">INDEX(GMWQ!$A$2:$NF$60,MATCH(1,(GMWQ!$NE$2:$NE$60=N$3)*(GMWQ!$ND$2:$ND$60=N$4)*(GMWQ!$NF$2:$NF$60=N$1),0),$E175-1966)</f>
        <v>83.648219999999995</v>
      </c>
    </row>
    <row r="176" spans="1:14" x14ac:dyDescent="0.25">
      <c r="B176" s="13">
        <f t="shared" si="14"/>
        <v>2015</v>
      </c>
      <c r="C176" s="13">
        <f t="shared" si="14"/>
        <v>2015</v>
      </c>
      <c r="E176" s="13">
        <f t="shared" si="10"/>
        <v>2142</v>
      </c>
      <c r="F176" s="13" cm="1">
        <f t="array" ref="F176">INDEX(GMWQ!$A$2:$NF$60,MATCH(1,(GMWQ!$NE$2:$NE$60=F$3)*(GMWQ!$ND$2:$ND$60=F$4)*(GMWQ!$NF$2:$NF$60=F$1),0),$E176-1966)</f>
        <v>107.7436</v>
      </c>
      <c r="G176" s="13" cm="1">
        <f t="array" ref="G176">INDEX(GMWQ!$A$2:$NF$60,MATCH(1,(GMWQ!$NE$2:$NE$60=G$3)*(GMWQ!$ND$2:$ND$60=G$4)*(GMWQ!$NF$2:$NF$60=G$1),0),$E176-1966)</f>
        <v>20839</v>
      </c>
      <c r="H176" s="13" cm="1">
        <f t="array" ref="H176">INDEX(GMWQ!$A$2:$NF$60,MATCH(1,(GMWQ!$NE$2:$NE$60=H$3)*(GMWQ!$ND$2:$ND$60=H$4)*(GMWQ!$NF$2:$NF$60=H$1),0),$E176-1966)</f>
        <v>481.33330000000001</v>
      </c>
      <c r="I176" s="13" cm="1">
        <f t="array" ref="I176">INDEX(GMWQ!$A$2:$NF$60,MATCH(1,(GMWQ!$NE$2:$NE$60=I$3)*(GMWQ!$ND$2:$ND$60=I$4)*(GMWQ!$NF$2:$NF$60=I$1),0),$E176-1966)</f>
        <v>106717</v>
      </c>
      <c r="J176" s="13" cm="1">
        <f t="array" ref="J176">INDEX(GMWQ!$A$2:$NF$60,MATCH(1,(GMWQ!$NE$2:$NE$60=J$3)*(GMWQ!$ND$2:$ND$60=J$4)*(GMWQ!$NF$2:$NF$60=J$1),0),$E176-1966)</f>
        <v>476591</v>
      </c>
      <c r="K176" s="13" cm="1">
        <f t="array" ref="K176">INDEX(GMWQ!$A$2:$NF$60,MATCH(1,(GMWQ!$NE$2:$NE$60=K$3)*(GMWQ!$ND$2:$ND$60=K$4)*(GMWQ!$NF$2:$NF$60=K$1),0),$E176-1966)</f>
        <v>190920</v>
      </c>
      <c r="L176" s="13" cm="1">
        <f t="array" ref="L176">INDEX(GMWQ!$A$2:$NF$60,MATCH(1,(GMWQ!$NE$2:$NE$60=L$3)*(GMWQ!$ND$2:$ND$60=L$4)*(GMWQ!$NF$2:$NF$60=L$1),0),$E176-1966)</f>
        <v>319853</v>
      </c>
      <c r="M176" s="13" cm="1">
        <f t="array" ref="M176">INDEX(GMWQ!$A$2:$NF$60,MATCH(1,(GMWQ!$NE$2:$NE$60=M$3)*(GMWQ!$ND$2:$ND$60=M$4)*(GMWQ!$NF$2:$NF$60=M$1),0),$E176-1966)</f>
        <v>381179</v>
      </c>
      <c r="N176" s="13" cm="1">
        <f t="array" ref="N176">INDEX(GMWQ!$A$2:$NF$60,MATCH(1,(GMWQ!$NE$2:$NE$60=N$3)*(GMWQ!$ND$2:$ND$60=N$4)*(GMWQ!$NF$2:$NF$60=N$1),0),$E176-1966)</f>
        <v>83.837639999999993</v>
      </c>
    </row>
    <row r="177" spans="1:14" x14ac:dyDescent="0.25">
      <c r="B177" s="13">
        <f t="shared" si="14"/>
        <v>2015</v>
      </c>
      <c r="C177" s="13">
        <f t="shared" si="14"/>
        <v>2015</v>
      </c>
      <c r="E177" s="13">
        <f t="shared" ref="E177:E240" si="15">+E176+1</f>
        <v>2143</v>
      </c>
      <c r="F177" s="13" cm="1">
        <f t="array" ref="F177">INDEX(GMWQ!$A$2:$NF$60,MATCH(1,(GMWQ!$NE$2:$NE$60=F$3)*(GMWQ!$ND$2:$ND$60=F$4)*(GMWQ!$NF$2:$NF$60=F$1),0),$E177-1966)</f>
        <v>108.6159</v>
      </c>
      <c r="G177" s="13" cm="1">
        <f t="array" ref="G177">INDEX(GMWQ!$A$2:$NF$60,MATCH(1,(GMWQ!$NE$2:$NE$60=G$3)*(GMWQ!$ND$2:$ND$60=G$4)*(GMWQ!$NF$2:$NF$60=G$1),0),$E177-1966)</f>
        <v>20846</v>
      </c>
      <c r="H177" s="13" cm="1">
        <f t="array" ref="H177">INDEX(GMWQ!$A$2:$NF$60,MATCH(1,(GMWQ!$NE$2:$NE$60=H$3)*(GMWQ!$ND$2:$ND$60=H$4)*(GMWQ!$NF$2:$NF$60=H$1),0),$E177-1966)</f>
        <v>483.66669999999999</v>
      </c>
      <c r="I177" s="13" cm="1">
        <f t="array" ref="I177">INDEX(GMWQ!$A$2:$NF$60,MATCH(1,(GMWQ!$NE$2:$NE$60=I$3)*(GMWQ!$ND$2:$ND$60=I$4)*(GMWQ!$NF$2:$NF$60=I$1),0),$E177-1966)</f>
        <v>103717</v>
      </c>
      <c r="J177" s="13" cm="1">
        <f t="array" ref="J177">INDEX(GMWQ!$A$2:$NF$60,MATCH(1,(GMWQ!$NE$2:$NE$60=J$3)*(GMWQ!$ND$2:$ND$60=J$4)*(GMWQ!$NF$2:$NF$60=J$1),0),$E177-1966)</f>
        <v>479924</v>
      </c>
      <c r="K177" s="13" cm="1">
        <f t="array" ref="K177">INDEX(GMWQ!$A$2:$NF$60,MATCH(1,(GMWQ!$NE$2:$NE$60=K$3)*(GMWQ!$ND$2:$ND$60=K$4)*(GMWQ!$NF$2:$NF$60=K$1),0),$E177-1966)</f>
        <v>193493</v>
      </c>
      <c r="L177" s="13" cm="1">
        <f t="array" ref="L177">INDEX(GMWQ!$A$2:$NF$60,MATCH(1,(GMWQ!$NE$2:$NE$60=L$3)*(GMWQ!$ND$2:$ND$60=L$4)*(GMWQ!$NF$2:$NF$60=L$1),0),$E177-1966)</f>
        <v>327096</v>
      </c>
      <c r="M177" s="13" cm="1">
        <f t="array" ref="M177">INDEX(GMWQ!$A$2:$NF$60,MATCH(1,(GMWQ!$NE$2:$NE$60=M$3)*(GMWQ!$ND$2:$ND$60=M$4)*(GMWQ!$NF$2:$NF$60=M$1),0),$E177-1966)</f>
        <v>388638</v>
      </c>
      <c r="N177" s="13" cm="1">
        <f t="array" ref="N177">INDEX(GMWQ!$A$2:$NF$60,MATCH(1,(GMWQ!$NE$2:$NE$60=N$3)*(GMWQ!$ND$2:$ND$60=N$4)*(GMWQ!$NF$2:$NF$60=N$1),0),$E177-1966)</f>
        <v>84.055049999999994</v>
      </c>
    </row>
    <row r="178" spans="1:14" x14ac:dyDescent="0.25">
      <c r="B178" s="13">
        <f t="shared" si="14"/>
        <v>2015</v>
      </c>
      <c r="C178" s="13">
        <f t="shared" si="14"/>
        <v>2015</v>
      </c>
      <c r="E178" s="13">
        <f t="shared" si="15"/>
        <v>2144</v>
      </c>
      <c r="F178" s="13" cm="1">
        <f t="array" ref="F178">INDEX(GMWQ!$A$2:$NF$60,MATCH(1,(GMWQ!$NE$2:$NE$60=F$3)*(GMWQ!$ND$2:$ND$60=F$4)*(GMWQ!$NF$2:$NF$60=F$1),0),$E178-1966)</f>
        <v>108.54730000000001</v>
      </c>
      <c r="G178" s="13" cm="1">
        <f t="array" ref="G178">INDEX(GMWQ!$A$2:$NF$60,MATCH(1,(GMWQ!$NE$2:$NE$60=G$3)*(GMWQ!$ND$2:$ND$60=G$4)*(GMWQ!$NF$2:$NF$60=G$1),0),$E178-1966)</f>
        <v>21129</v>
      </c>
      <c r="H178" s="13" cm="1">
        <f t="array" ref="H178">INDEX(GMWQ!$A$2:$NF$60,MATCH(1,(GMWQ!$NE$2:$NE$60=H$3)*(GMWQ!$ND$2:$ND$60=H$4)*(GMWQ!$NF$2:$NF$60=H$1),0),$E178-1966)</f>
        <v>485</v>
      </c>
      <c r="I178" s="13" cm="1">
        <f t="array" ref="I178">INDEX(GMWQ!$A$2:$NF$60,MATCH(1,(GMWQ!$NE$2:$NE$60=I$3)*(GMWQ!$ND$2:$ND$60=I$4)*(GMWQ!$NF$2:$NF$60=I$1),0),$E178-1966)</f>
        <v>107050</v>
      </c>
      <c r="J178" s="13" cm="1">
        <f t="array" ref="J178">INDEX(GMWQ!$A$2:$NF$60,MATCH(1,(GMWQ!$NE$2:$NE$60=J$3)*(GMWQ!$ND$2:$ND$60=J$4)*(GMWQ!$NF$2:$NF$60=J$1),0),$E178-1966)</f>
        <v>485256</v>
      </c>
      <c r="K178" s="13" cm="1">
        <f t="array" ref="K178">INDEX(GMWQ!$A$2:$NF$60,MATCH(1,(GMWQ!$NE$2:$NE$60=K$3)*(GMWQ!$ND$2:$ND$60=K$4)*(GMWQ!$NF$2:$NF$60=K$1),0),$E178-1966)</f>
        <v>194472</v>
      </c>
      <c r="L178" s="13" cm="1">
        <f t="array" ref="L178">INDEX(GMWQ!$A$2:$NF$60,MATCH(1,(GMWQ!$NE$2:$NE$60=L$3)*(GMWQ!$ND$2:$ND$60=L$4)*(GMWQ!$NF$2:$NF$60=L$1),0),$E178-1966)</f>
        <v>327429</v>
      </c>
      <c r="M178" s="13" cm="1">
        <f t="array" ref="M178">INDEX(GMWQ!$A$2:$NF$60,MATCH(1,(GMWQ!$NE$2:$NE$60=M$3)*(GMWQ!$ND$2:$ND$60=M$4)*(GMWQ!$NF$2:$NF$60=M$1),0),$E178-1966)</f>
        <v>388470</v>
      </c>
      <c r="N178" s="13" cm="1">
        <f t="array" ref="N178">INDEX(GMWQ!$A$2:$NF$60,MATCH(1,(GMWQ!$NE$2:$NE$60=N$3)*(GMWQ!$ND$2:$ND$60=N$4)*(GMWQ!$NF$2:$NF$60=N$1),0),$E178-1966)</f>
        <v>84.16037</v>
      </c>
    </row>
    <row r="179" spans="1:14" x14ac:dyDescent="0.25">
      <c r="A179" s="13">
        <v>2016</v>
      </c>
      <c r="B179" s="13">
        <f t="shared" si="14"/>
        <v>2016</v>
      </c>
      <c r="C179" s="13">
        <f t="shared" si="14"/>
        <v>2015</v>
      </c>
      <c r="D179" s="13">
        <f t="shared" si="14"/>
        <v>2015</v>
      </c>
      <c r="E179" s="13">
        <f t="shared" si="15"/>
        <v>2145</v>
      </c>
      <c r="F179" s="13" cm="1">
        <f t="array" ref="F179">INDEX(GMWQ!$A$2:$NF$60,MATCH(1,(GMWQ!$NE$2:$NE$60=F$3)*(GMWQ!$ND$2:$ND$60=F$4)*(GMWQ!$NF$2:$NF$60=F$1),0),$E179-1966)</f>
        <v>109.2957</v>
      </c>
      <c r="G179" s="13" cm="1">
        <f t="array" ref="G179">INDEX(GMWQ!$A$2:$NF$60,MATCH(1,(GMWQ!$NE$2:$NE$60=G$3)*(GMWQ!$ND$2:$ND$60=G$4)*(GMWQ!$NF$2:$NF$60=G$1),0),$E179-1966)</f>
        <v>20549</v>
      </c>
      <c r="H179" s="13" cm="1">
        <f t="array" ref="H179">INDEX(GMWQ!$A$2:$NF$60,MATCH(1,(GMWQ!$NE$2:$NE$60=H$3)*(GMWQ!$ND$2:$ND$60=H$4)*(GMWQ!$NF$2:$NF$60=H$1),0),$E179-1966)</f>
        <v>488.33330000000001</v>
      </c>
      <c r="I179" s="13" cm="1">
        <f t="array" ref="I179">INDEX(GMWQ!$A$2:$NF$60,MATCH(1,(GMWQ!$NE$2:$NE$60=I$3)*(GMWQ!$ND$2:$ND$60=I$4)*(GMWQ!$NF$2:$NF$60=I$1),0),$E179-1966)</f>
        <v>107542</v>
      </c>
      <c r="J179" s="13" cm="1">
        <f t="array" ref="J179">INDEX(GMWQ!$A$2:$NF$60,MATCH(1,(GMWQ!$NE$2:$NE$60=J$3)*(GMWQ!$ND$2:$ND$60=J$4)*(GMWQ!$NF$2:$NF$60=J$1),0),$E179-1966)</f>
        <v>489683</v>
      </c>
      <c r="K179" s="13" cm="1">
        <f t="array" ref="K179">INDEX(GMWQ!$A$2:$NF$60,MATCH(1,(GMWQ!$NE$2:$NE$60=K$3)*(GMWQ!$ND$2:$ND$60=K$4)*(GMWQ!$NF$2:$NF$60=K$1),0),$E179-1966)</f>
        <v>196738</v>
      </c>
      <c r="L179" s="13" cm="1">
        <f t="array" ref="L179">INDEX(GMWQ!$A$2:$NF$60,MATCH(1,(GMWQ!$NE$2:$NE$60=L$3)*(GMWQ!$ND$2:$ND$60=L$4)*(GMWQ!$NF$2:$NF$60=L$1),0),$E179-1966)</f>
        <v>326493</v>
      </c>
      <c r="M179" s="13" cm="1">
        <f t="array" ref="M179">INDEX(GMWQ!$A$2:$NF$60,MATCH(1,(GMWQ!$NE$2:$NE$60=M$3)*(GMWQ!$ND$2:$ND$60=M$4)*(GMWQ!$NF$2:$NF$60=M$1),0),$E179-1966)</f>
        <v>386874</v>
      </c>
      <c r="N179" s="13" cm="1">
        <f t="array" ref="N179">INDEX(GMWQ!$A$2:$NF$60,MATCH(1,(GMWQ!$NE$2:$NE$60=N$3)*(GMWQ!$ND$2:$ND$60=N$4)*(GMWQ!$NF$2:$NF$60=N$1),0),$E179-1966)</f>
        <v>84.271649999999994</v>
      </c>
    </row>
    <row r="180" spans="1:14" x14ac:dyDescent="0.25">
      <c r="B180" s="13">
        <f t="shared" si="14"/>
        <v>2016</v>
      </c>
      <c r="C180" s="13">
        <f t="shared" si="14"/>
        <v>2016</v>
      </c>
      <c r="E180" s="13">
        <f t="shared" si="15"/>
        <v>2146</v>
      </c>
      <c r="F180" s="13" cm="1">
        <f t="array" ref="F180">INDEX(GMWQ!$A$2:$NF$60,MATCH(1,(GMWQ!$NE$2:$NE$60=F$3)*(GMWQ!$ND$2:$ND$60=F$4)*(GMWQ!$NF$2:$NF$60=F$1),0),$E180-1966)</f>
        <v>110.5784</v>
      </c>
      <c r="G180" s="13" cm="1">
        <f t="array" ref="G180">INDEX(GMWQ!$A$2:$NF$60,MATCH(1,(GMWQ!$NE$2:$NE$60=G$3)*(GMWQ!$ND$2:$ND$60=G$4)*(GMWQ!$NF$2:$NF$60=G$1),0),$E180-1966)</f>
        <v>22462</v>
      </c>
      <c r="H180" s="13" cm="1">
        <f t="array" ref="H180">INDEX(GMWQ!$A$2:$NF$60,MATCH(1,(GMWQ!$NE$2:$NE$60=H$3)*(GMWQ!$ND$2:$ND$60=H$4)*(GMWQ!$NF$2:$NF$60=H$1),0),$E180-1966)</f>
        <v>493.66669999999999</v>
      </c>
      <c r="I180" s="13" cm="1">
        <f t="array" ref="I180">INDEX(GMWQ!$A$2:$NF$60,MATCH(1,(GMWQ!$NE$2:$NE$60=I$3)*(GMWQ!$ND$2:$ND$60=I$4)*(GMWQ!$NF$2:$NF$60=I$1),0),$E180-1966)</f>
        <v>106640</v>
      </c>
      <c r="J180" s="13" cm="1">
        <f t="array" ref="J180">INDEX(GMWQ!$A$2:$NF$60,MATCH(1,(GMWQ!$NE$2:$NE$60=J$3)*(GMWQ!$ND$2:$ND$60=J$4)*(GMWQ!$NF$2:$NF$60=J$1),0),$E180-1966)</f>
        <v>493710</v>
      </c>
      <c r="K180" s="13" cm="1">
        <f t="array" ref="K180">INDEX(GMWQ!$A$2:$NF$60,MATCH(1,(GMWQ!$NE$2:$NE$60=K$3)*(GMWQ!$ND$2:$ND$60=K$4)*(GMWQ!$NF$2:$NF$60=K$1),0),$E180-1966)</f>
        <v>198487</v>
      </c>
      <c r="L180" s="13" cm="1">
        <f t="array" ref="L180">INDEX(GMWQ!$A$2:$NF$60,MATCH(1,(GMWQ!$NE$2:$NE$60=L$3)*(GMWQ!$ND$2:$ND$60=L$4)*(GMWQ!$NF$2:$NF$60=L$1),0),$E180-1966)</f>
        <v>328471</v>
      </c>
      <c r="M180" s="13" cm="1">
        <f t="array" ref="M180">INDEX(GMWQ!$A$2:$NF$60,MATCH(1,(GMWQ!$NE$2:$NE$60=M$3)*(GMWQ!$ND$2:$ND$60=M$4)*(GMWQ!$NF$2:$NF$60=M$1),0),$E180-1966)</f>
        <v>387633</v>
      </c>
      <c r="N180" s="13" cm="1">
        <f t="array" ref="N180">INDEX(GMWQ!$A$2:$NF$60,MATCH(1,(GMWQ!$NE$2:$NE$60=N$3)*(GMWQ!$ND$2:$ND$60=N$4)*(GMWQ!$NF$2:$NF$60=N$1),0),$E180-1966)</f>
        <v>84.642039999999994</v>
      </c>
    </row>
    <row r="181" spans="1:14" x14ac:dyDescent="0.25">
      <c r="B181" s="13">
        <f t="shared" si="14"/>
        <v>2016</v>
      </c>
      <c r="C181" s="13">
        <f t="shared" si="14"/>
        <v>2016</v>
      </c>
      <c r="E181" s="13">
        <f t="shared" si="15"/>
        <v>2147</v>
      </c>
      <c r="F181" s="13" cm="1">
        <f t="array" ref="F181">INDEX(GMWQ!$A$2:$NF$60,MATCH(1,(GMWQ!$NE$2:$NE$60=F$3)*(GMWQ!$ND$2:$ND$60=F$4)*(GMWQ!$NF$2:$NF$60=F$1),0),$E181-1966)</f>
        <v>111.0078</v>
      </c>
      <c r="G181" s="13" cm="1">
        <f t="array" ref="G181">INDEX(GMWQ!$A$2:$NF$60,MATCH(1,(GMWQ!$NE$2:$NE$60=G$3)*(GMWQ!$ND$2:$ND$60=G$4)*(GMWQ!$NF$2:$NF$60=G$1),0),$E181-1966)</f>
        <v>22802</v>
      </c>
      <c r="H181" s="13" cm="1">
        <f t="array" ref="H181">INDEX(GMWQ!$A$2:$NF$60,MATCH(1,(GMWQ!$NE$2:$NE$60=H$3)*(GMWQ!$ND$2:$ND$60=H$4)*(GMWQ!$NF$2:$NF$60=H$1),0),$E181-1966)</f>
        <v>495</v>
      </c>
      <c r="I181" s="13" cm="1">
        <f t="array" ref="I181">INDEX(GMWQ!$A$2:$NF$60,MATCH(1,(GMWQ!$NE$2:$NE$60=I$3)*(GMWQ!$ND$2:$ND$60=I$4)*(GMWQ!$NF$2:$NF$60=I$1),0),$E181-1966)</f>
        <v>110732</v>
      </c>
      <c r="J181" s="13" cm="1">
        <f t="array" ref="J181">INDEX(GMWQ!$A$2:$NF$60,MATCH(1,(GMWQ!$NE$2:$NE$60=J$3)*(GMWQ!$ND$2:$ND$60=J$4)*(GMWQ!$NF$2:$NF$60=J$1),0),$E181-1966)</f>
        <v>500801</v>
      </c>
      <c r="K181" s="13" cm="1">
        <f t="array" ref="K181">INDEX(GMWQ!$A$2:$NF$60,MATCH(1,(GMWQ!$NE$2:$NE$60=K$3)*(GMWQ!$ND$2:$ND$60=K$4)*(GMWQ!$NF$2:$NF$60=K$1),0),$E181-1966)</f>
        <v>199991</v>
      </c>
      <c r="L181" s="13" cm="1">
        <f t="array" ref="L181">INDEX(GMWQ!$A$2:$NF$60,MATCH(1,(GMWQ!$NE$2:$NE$60=L$3)*(GMWQ!$ND$2:$ND$60=L$4)*(GMWQ!$NF$2:$NF$60=L$1),0),$E181-1966)</f>
        <v>328528</v>
      </c>
      <c r="M181" s="13" cm="1">
        <f t="array" ref="M181">INDEX(GMWQ!$A$2:$NF$60,MATCH(1,(GMWQ!$NE$2:$NE$60=M$3)*(GMWQ!$ND$2:$ND$60=M$4)*(GMWQ!$NF$2:$NF$60=M$1),0),$E181-1966)</f>
        <v>384657</v>
      </c>
      <c r="N181" s="13" cm="1">
        <f t="array" ref="N181">INDEX(GMWQ!$A$2:$NF$60,MATCH(1,(GMWQ!$NE$2:$NE$60=N$3)*(GMWQ!$ND$2:$ND$60=N$4)*(GMWQ!$NF$2:$NF$60=N$1),0),$E181-1966)</f>
        <v>85.312160000000006</v>
      </c>
    </row>
    <row r="182" spans="1:14" x14ac:dyDescent="0.25">
      <c r="B182" s="13">
        <f t="shared" si="14"/>
        <v>2016</v>
      </c>
      <c r="C182" s="13">
        <f t="shared" si="14"/>
        <v>2016</v>
      </c>
      <c r="E182" s="13">
        <f t="shared" si="15"/>
        <v>2148</v>
      </c>
      <c r="F182" s="13" cm="1">
        <f t="array" ref="F182">INDEX(GMWQ!$A$2:$NF$60,MATCH(1,(GMWQ!$NE$2:$NE$60=F$3)*(GMWQ!$ND$2:$ND$60=F$4)*(GMWQ!$NF$2:$NF$60=F$1),0),$E182-1966)</f>
        <v>110.4295</v>
      </c>
      <c r="G182" s="13" cm="1">
        <f t="array" ref="G182">INDEX(GMWQ!$A$2:$NF$60,MATCH(1,(GMWQ!$NE$2:$NE$60=G$3)*(GMWQ!$ND$2:$ND$60=G$4)*(GMWQ!$NF$2:$NF$60=G$1),0),$E182-1966)</f>
        <v>23011</v>
      </c>
      <c r="H182" s="13" cm="1">
        <f t="array" ref="H182">INDEX(GMWQ!$A$2:$NF$60,MATCH(1,(GMWQ!$NE$2:$NE$60=H$3)*(GMWQ!$ND$2:$ND$60=H$4)*(GMWQ!$NF$2:$NF$60=H$1),0),$E182-1966)</f>
        <v>497</v>
      </c>
      <c r="I182" s="13" cm="1">
        <f t="array" ref="I182">INDEX(GMWQ!$A$2:$NF$60,MATCH(1,(GMWQ!$NE$2:$NE$60=I$3)*(GMWQ!$ND$2:$ND$60=I$4)*(GMWQ!$NF$2:$NF$60=I$1),0),$E182-1966)</f>
        <v>114569</v>
      </c>
      <c r="J182" s="13" cm="1">
        <f t="array" ref="J182">INDEX(GMWQ!$A$2:$NF$60,MATCH(1,(GMWQ!$NE$2:$NE$60=J$3)*(GMWQ!$ND$2:$ND$60=J$4)*(GMWQ!$NF$2:$NF$60=J$1),0),$E182-1966)</f>
        <v>507451</v>
      </c>
      <c r="K182" s="13" cm="1">
        <f t="array" ref="K182">INDEX(GMWQ!$A$2:$NF$60,MATCH(1,(GMWQ!$NE$2:$NE$60=K$3)*(GMWQ!$ND$2:$ND$60=K$4)*(GMWQ!$NF$2:$NF$60=K$1),0),$E182-1966)</f>
        <v>200011</v>
      </c>
      <c r="L182" s="13" cm="1">
        <f t="array" ref="L182">INDEX(GMWQ!$A$2:$NF$60,MATCH(1,(GMWQ!$NE$2:$NE$60=L$3)*(GMWQ!$ND$2:$ND$60=L$4)*(GMWQ!$NF$2:$NF$60=L$1),0),$E182-1966)</f>
        <v>327875</v>
      </c>
      <c r="M182" s="13" cm="1">
        <f t="array" ref="M182">INDEX(GMWQ!$A$2:$NF$60,MATCH(1,(GMWQ!$NE$2:$NE$60=M$3)*(GMWQ!$ND$2:$ND$60=M$4)*(GMWQ!$NF$2:$NF$60=M$1),0),$E182-1966)</f>
        <v>381981</v>
      </c>
      <c r="N182" s="13" cm="1">
        <f t="array" ref="N182">INDEX(GMWQ!$A$2:$NF$60,MATCH(1,(GMWQ!$NE$2:$NE$60=N$3)*(GMWQ!$ND$2:$ND$60=N$4)*(GMWQ!$NF$2:$NF$60=N$1),0),$E182-1966)</f>
        <v>85.729079999999996</v>
      </c>
    </row>
    <row r="183" spans="1:14" x14ac:dyDescent="0.25">
      <c r="A183" s="13">
        <v>2017</v>
      </c>
      <c r="B183" s="13">
        <f t="shared" si="14"/>
        <v>2017</v>
      </c>
      <c r="C183" s="13">
        <f t="shared" si="14"/>
        <v>2016</v>
      </c>
      <c r="D183" s="13">
        <f t="shared" si="14"/>
        <v>2016</v>
      </c>
      <c r="E183" s="13">
        <f t="shared" si="15"/>
        <v>2149</v>
      </c>
      <c r="F183" s="13" cm="1">
        <f t="array" ref="F183">INDEX(GMWQ!$A$2:$NF$60,MATCH(1,(GMWQ!$NE$2:$NE$60=F$3)*(GMWQ!$ND$2:$ND$60=F$4)*(GMWQ!$NF$2:$NF$60=F$1),0),$E183-1966)</f>
        <v>111.2424</v>
      </c>
      <c r="G183" s="13" cm="1">
        <f t="array" ref="G183">INDEX(GMWQ!$A$2:$NF$60,MATCH(1,(GMWQ!$NE$2:$NE$60=G$3)*(GMWQ!$ND$2:$ND$60=G$4)*(GMWQ!$NF$2:$NF$60=G$1),0),$E183-1966)</f>
        <v>23425</v>
      </c>
      <c r="H183" s="13" cm="1">
        <f t="array" ref="H183">INDEX(GMWQ!$A$2:$NF$60,MATCH(1,(GMWQ!$NE$2:$NE$60=H$3)*(GMWQ!$ND$2:$ND$60=H$4)*(GMWQ!$NF$2:$NF$60=H$1),0),$E183-1966)</f>
        <v>499</v>
      </c>
      <c r="I183" s="13" cm="1">
        <f t="array" ref="I183">INDEX(GMWQ!$A$2:$NF$60,MATCH(1,(GMWQ!$NE$2:$NE$60=I$3)*(GMWQ!$ND$2:$ND$60=I$4)*(GMWQ!$NF$2:$NF$60=I$1),0),$E183-1966)</f>
        <v>115888</v>
      </c>
      <c r="J183" s="13" cm="1">
        <f t="array" ref="J183">INDEX(GMWQ!$A$2:$NF$60,MATCH(1,(GMWQ!$NE$2:$NE$60=J$3)*(GMWQ!$ND$2:$ND$60=J$4)*(GMWQ!$NF$2:$NF$60=J$1),0),$E183-1966)</f>
        <v>513814</v>
      </c>
      <c r="K183" s="13" cm="1">
        <f t="array" ref="K183">INDEX(GMWQ!$A$2:$NF$60,MATCH(1,(GMWQ!$NE$2:$NE$60=K$3)*(GMWQ!$ND$2:$ND$60=K$4)*(GMWQ!$NF$2:$NF$60=K$1),0),$E183-1966)</f>
        <v>203434</v>
      </c>
      <c r="L183" s="13" cm="1">
        <f t="array" ref="L183">INDEX(GMWQ!$A$2:$NF$60,MATCH(1,(GMWQ!$NE$2:$NE$60=L$3)*(GMWQ!$ND$2:$ND$60=L$4)*(GMWQ!$NF$2:$NF$60=L$1),0),$E183-1966)</f>
        <v>328068</v>
      </c>
      <c r="M183" s="13" cm="1">
        <f t="array" ref="M183">INDEX(GMWQ!$A$2:$NF$60,MATCH(1,(GMWQ!$NE$2:$NE$60=M$3)*(GMWQ!$ND$2:$ND$60=M$4)*(GMWQ!$NF$2:$NF$60=M$1),0),$E183-1966)</f>
        <v>382290</v>
      </c>
      <c r="N183" s="13" cm="1">
        <f t="array" ref="N183">INDEX(GMWQ!$A$2:$NF$60,MATCH(1,(GMWQ!$NE$2:$NE$60=N$3)*(GMWQ!$ND$2:$ND$60=N$4)*(GMWQ!$NF$2:$NF$60=N$1),0),$E183-1966)</f>
        <v>85.749889999999994</v>
      </c>
    </row>
    <row r="184" spans="1:14" x14ac:dyDescent="0.25">
      <c r="B184" s="13">
        <f t="shared" si="14"/>
        <v>2017</v>
      </c>
      <c r="C184" s="13">
        <f t="shared" si="14"/>
        <v>2017</v>
      </c>
      <c r="E184" s="13">
        <f t="shared" si="15"/>
        <v>2150</v>
      </c>
      <c r="F184" s="13" cm="1">
        <f t="array" ref="F184">INDEX(GMWQ!$A$2:$NF$60,MATCH(1,(GMWQ!$NE$2:$NE$60=F$3)*(GMWQ!$ND$2:$ND$60=F$4)*(GMWQ!$NF$2:$NF$60=F$1),0),$E184-1966)</f>
        <v>112.0501</v>
      </c>
      <c r="G184" s="13" cm="1">
        <f t="array" ref="G184">INDEX(GMWQ!$A$2:$NF$60,MATCH(1,(GMWQ!$NE$2:$NE$60=G$3)*(GMWQ!$ND$2:$ND$60=G$4)*(GMWQ!$NF$2:$NF$60=G$1),0),$E184-1966)</f>
        <v>23645</v>
      </c>
      <c r="H184" s="13" cm="1">
        <f t="array" ref="H184">INDEX(GMWQ!$A$2:$NF$60,MATCH(1,(GMWQ!$NE$2:$NE$60=H$3)*(GMWQ!$ND$2:$ND$60=H$4)*(GMWQ!$NF$2:$NF$60=H$1),0),$E184-1966)</f>
        <v>504.33330000000001</v>
      </c>
      <c r="I184" s="13" cm="1">
        <f t="array" ref="I184">INDEX(GMWQ!$A$2:$NF$60,MATCH(1,(GMWQ!$NE$2:$NE$60=I$3)*(GMWQ!$ND$2:$ND$60=I$4)*(GMWQ!$NF$2:$NF$60=I$1),0),$E184-1966)</f>
        <v>114975</v>
      </c>
      <c r="J184" s="13" cm="1">
        <f t="array" ref="J184">INDEX(GMWQ!$A$2:$NF$60,MATCH(1,(GMWQ!$NE$2:$NE$60=J$3)*(GMWQ!$ND$2:$ND$60=J$4)*(GMWQ!$NF$2:$NF$60=J$1),0),$E184-1966)</f>
        <v>517656</v>
      </c>
      <c r="K184" s="13" cm="1">
        <f t="array" ref="K184">INDEX(GMWQ!$A$2:$NF$60,MATCH(1,(GMWQ!$NE$2:$NE$60=K$3)*(GMWQ!$ND$2:$ND$60=K$4)*(GMWQ!$NF$2:$NF$60=K$1),0),$E184-1966)</f>
        <v>206362</v>
      </c>
      <c r="L184" s="13" cm="1">
        <f t="array" ref="L184">INDEX(GMWQ!$A$2:$NF$60,MATCH(1,(GMWQ!$NE$2:$NE$60=L$3)*(GMWQ!$ND$2:$ND$60=L$4)*(GMWQ!$NF$2:$NF$60=L$1),0),$E184-1966)</f>
        <v>337489</v>
      </c>
      <c r="M184" s="13" cm="1">
        <f t="array" ref="M184">INDEX(GMWQ!$A$2:$NF$60,MATCH(1,(GMWQ!$NE$2:$NE$60=M$3)*(GMWQ!$ND$2:$ND$60=M$4)*(GMWQ!$NF$2:$NF$60=M$1),0),$E184-1966)</f>
        <v>390332</v>
      </c>
      <c r="N184" s="13" cm="1">
        <f t="array" ref="N184">INDEX(GMWQ!$A$2:$NF$60,MATCH(1,(GMWQ!$NE$2:$NE$60=N$3)*(GMWQ!$ND$2:$ND$60=N$4)*(GMWQ!$NF$2:$NF$60=N$1),0),$E184-1966)</f>
        <v>86.408259999999999</v>
      </c>
    </row>
    <row r="185" spans="1:14" x14ac:dyDescent="0.25">
      <c r="B185" s="13">
        <f t="shared" si="14"/>
        <v>2017</v>
      </c>
      <c r="C185" s="13">
        <f t="shared" si="14"/>
        <v>2017</v>
      </c>
      <c r="E185" s="13">
        <f t="shared" si="15"/>
        <v>2151</v>
      </c>
      <c r="F185" s="13" cm="1">
        <f t="array" ref="F185">INDEX(GMWQ!$A$2:$NF$60,MATCH(1,(GMWQ!$NE$2:$NE$60=F$3)*(GMWQ!$ND$2:$ND$60=F$4)*(GMWQ!$NF$2:$NF$60=F$1),0),$E185-1966)</f>
        <v>111.80800000000001</v>
      </c>
      <c r="G185" s="13" cm="1">
        <f t="array" ref="G185">INDEX(GMWQ!$A$2:$NF$60,MATCH(1,(GMWQ!$NE$2:$NE$60=G$3)*(GMWQ!$ND$2:$ND$60=G$4)*(GMWQ!$NF$2:$NF$60=G$1),0),$E185-1966)</f>
        <v>23594</v>
      </c>
      <c r="H185" s="13" cm="1">
        <f t="array" ref="H185">INDEX(GMWQ!$A$2:$NF$60,MATCH(1,(GMWQ!$NE$2:$NE$60=H$3)*(GMWQ!$ND$2:$ND$60=H$4)*(GMWQ!$NF$2:$NF$60=H$1),0),$E185-1966)</f>
        <v>506.66669999999999</v>
      </c>
      <c r="I185" s="13" cm="1">
        <f t="array" ref="I185">INDEX(GMWQ!$A$2:$NF$60,MATCH(1,(GMWQ!$NE$2:$NE$60=I$3)*(GMWQ!$ND$2:$ND$60=I$4)*(GMWQ!$NF$2:$NF$60=I$1),0),$E185-1966)</f>
        <v>115131</v>
      </c>
      <c r="J185" s="13" cm="1">
        <f t="array" ref="J185">INDEX(GMWQ!$A$2:$NF$60,MATCH(1,(GMWQ!$NE$2:$NE$60=J$3)*(GMWQ!$ND$2:$ND$60=J$4)*(GMWQ!$NF$2:$NF$60=J$1),0),$E185-1966)</f>
        <v>521257</v>
      </c>
      <c r="K185" s="13" cm="1">
        <f t="array" ref="K185">INDEX(GMWQ!$A$2:$NF$60,MATCH(1,(GMWQ!$NE$2:$NE$60=K$3)*(GMWQ!$ND$2:$ND$60=K$4)*(GMWQ!$NF$2:$NF$60=K$1),0),$E185-1966)</f>
        <v>207984</v>
      </c>
      <c r="L185" s="13" cm="1">
        <f t="array" ref="L185">INDEX(GMWQ!$A$2:$NF$60,MATCH(1,(GMWQ!$NE$2:$NE$60=L$3)*(GMWQ!$ND$2:$ND$60=L$4)*(GMWQ!$NF$2:$NF$60=L$1),0),$E185-1966)</f>
        <v>339566</v>
      </c>
      <c r="M185" s="13" cm="1">
        <f t="array" ref="M185">INDEX(GMWQ!$A$2:$NF$60,MATCH(1,(GMWQ!$NE$2:$NE$60=M$3)*(GMWQ!$ND$2:$ND$60=M$4)*(GMWQ!$NF$2:$NF$60=M$1),0),$E185-1966)</f>
        <v>390954</v>
      </c>
      <c r="N185" s="13" cm="1">
        <f t="array" ref="N185">INDEX(GMWQ!$A$2:$NF$60,MATCH(1,(GMWQ!$NE$2:$NE$60=N$3)*(GMWQ!$ND$2:$ND$60=N$4)*(GMWQ!$NF$2:$NF$60=N$1),0),$E185-1966)</f>
        <v>86.781720000000007</v>
      </c>
    </row>
    <row r="186" spans="1:14" x14ac:dyDescent="0.25">
      <c r="B186" s="13">
        <f t="shared" si="14"/>
        <v>2017</v>
      </c>
      <c r="C186" s="13">
        <f t="shared" si="14"/>
        <v>2017</v>
      </c>
      <c r="E186" s="13">
        <f t="shared" si="15"/>
        <v>2152</v>
      </c>
      <c r="F186" s="13" cm="1">
        <f t="array" ref="F186">INDEX(GMWQ!$A$2:$NF$60,MATCH(1,(GMWQ!$NE$2:$NE$60=F$3)*(GMWQ!$ND$2:$ND$60=F$4)*(GMWQ!$NF$2:$NF$60=F$1),0),$E186-1966)</f>
        <v>111.70650000000001</v>
      </c>
      <c r="G186" s="13" cm="1">
        <f t="array" ref="G186">INDEX(GMWQ!$A$2:$NF$60,MATCH(1,(GMWQ!$NE$2:$NE$60=G$3)*(GMWQ!$ND$2:$ND$60=G$4)*(GMWQ!$NF$2:$NF$60=G$1),0),$E186-1966)</f>
        <v>23997</v>
      </c>
      <c r="H186" s="13" cm="1">
        <f t="array" ref="H186">INDEX(GMWQ!$A$2:$NF$60,MATCH(1,(GMWQ!$NE$2:$NE$60=H$3)*(GMWQ!$ND$2:$ND$60=H$4)*(GMWQ!$NF$2:$NF$60=H$1),0),$E186-1966)</f>
        <v>510.33330000000001</v>
      </c>
      <c r="I186" s="13" cm="1">
        <f t="array" ref="I186">INDEX(GMWQ!$A$2:$NF$60,MATCH(1,(GMWQ!$NE$2:$NE$60=I$3)*(GMWQ!$ND$2:$ND$60=I$4)*(GMWQ!$NF$2:$NF$60=I$1),0),$E186-1966)</f>
        <v>120994</v>
      </c>
      <c r="J186" s="13" cm="1">
        <f t="array" ref="J186">INDEX(GMWQ!$A$2:$NF$60,MATCH(1,(GMWQ!$NE$2:$NE$60=J$3)*(GMWQ!$ND$2:$ND$60=J$4)*(GMWQ!$NF$2:$NF$60=J$1),0),$E186-1966)</f>
        <v>529755</v>
      </c>
      <c r="K186" s="13" cm="1">
        <f t="array" ref="K186">INDEX(GMWQ!$A$2:$NF$60,MATCH(1,(GMWQ!$NE$2:$NE$60=K$3)*(GMWQ!$ND$2:$ND$60=K$4)*(GMWQ!$NF$2:$NF$60=K$1),0),$E186-1966)</f>
        <v>209502</v>
      </c>
      <c r="L186" s="13" cm="1">
        <f t="array" ref="L186">INDEX(GMWQ!$A$2:$NF$60,MATCH(1,(GMWQ!$NE$2:$NE$60=L$3)*(GMWQ!$ND$2:$ND$60=L$4)*(GMWQ!$NF$2:$NF$60=L$1),0),$E186-1966)</f>
        <v>341950</v>
      </c>
      <c r="M186" s="13" cm="1">
        <f t="array" ref="M186">INDEX(GMWQ!$A$2:$NF$60,MATCH(1,(GMWQ!$NE$2:$NE$60=M$3)*(GMWQ!$ND$2:$ND$60=M$4)*(GMWQ!$NF$2:$NF$60=M$1),0),$E186-1966)</f>
        <v>391273</v>
      </c>
      <c r="N186" s="13" cm="1">
        <f t="array" ref="N186">INDEX(GMWQ!$A$2:$NF$60,MATCH(1,(GMWQ!$NE$2:$NE$60=N$3)*(GMWQ!$ND$2:$ND$60=N$4)*(GMWQ!$NF$2:$NF$60=N$1),0),$E186-1966)</f>
        <v>87.314229999999995</v>
      </c>
    </row>
    <row r="187" spans="1:14" x14ac:dyDescent="0.25">
      <c r="A187" s="13">
        <v>2018</v>
      </c>
      <c r="B187" s="13">
        <f t="shared" si="14"/>
        <v>2018</v>
      </c>
      <c r="C187" s="13">
        <f t="shared" si="14"/>
        <v>2017</v>
      </c>
      <c r="D187" s="13">
        <f t="shared" si="14"/>
        <v>2017</v>
      </c>
      <c r="E187" s="13">
        <f t="shared" si="15"/>
        <v>2153</v>
      </c>
      <c r="F187" s="13" cm="1">
        <f t="array" ref="F187">INDEX(GMWQ!$A$2:$NF$60,MATCH(1,(GMWQ!$NE$2:$NE$60=F$3)*(GMWQ!$ND$2:$ND$60=F$4)*(GMWQ!$NF$2:$NF$60=F$1),0),$E187-1966)</f>
        <v>114.07389999999999</v>
      </c>
      <c r="G187" s="13" cm="1">
        <f t="array" ref="G187">INDEX(GMWQ!$A$2:$NF$60,MATCH(1,(GMWQ!$NE$2:$NE$60=G$3)*(GMWQ!$ND$2:$ND$60=G$4)*(GMWQ!$NF$2:$NF$60=G$1),0),$E187-1966)</f>
        <v>24296</v>
      </c>
      <c r="H187" s="13" cm="1">
        <f t="array" ref="H187">INDEX(GMWQ!$A$2:$NF$60,MATCH(1,(GMWQ!$NE$2:$NE$60=H$3)*(GMWQ!$ND$2:$ND$60=H$4)*(GMWQ!$NF$2:$NF$60=H$1),0),$E187-1966)</f>
        <v>512</v>
      </c>
      <c r="I187" s="13" cm="1">
        <f t="array" ref="I187">INDEX(GMWQ!$A$2:$NF$60,MATCH(1,(GMWQ!$NE$2:$NE$60=I$3)*(GMWQ!$ND$2:$ND$60=I$4)*(GMWQ!$NF$2:$NF$60=I$1),0),$E187-1966)</f>
        <v>116160</v>
      </c>
      <c r="J187" s="13" cm="1">
        <f t="array" ref="J187">INDEX(GMWQ!$A$2:$NF$60,MATCH(1,(GMWQ!$NE$2:$NE$60=J$3)*(GMWQ!$ND$2:$ND$60=J$4)*(GMWQ!$NF$2:$NF$60=J$1),0),$E187-1966)</f>
        <v>531131</v>
      </c>
      <c r="K187" s="13" cm="1">
        <f t="array" ref="K187">INDEX(GMWQ!$A$2:$NF$60,MATCH(1,(GMWQ!$NE$2:$NE$60=K$3)*(GMWQ!$ND$2:$ND$60=K$4)*(GMWQ!$NF$2:$NF$60=K$1),0),$E187-1966)</f>
        <v>213466</v>
      </c>
      <c r="L187" s="13" cm="1">
        <f t="array" ref="L187">INDEX(GMWQ!$A$2:$NF$60,MATCH(1,(GMWQ!$NE$2:$NE$60=L$3)*(GMWQ!$ND$2:$ND$60=L$4)*(GMWQ!$NF$2:$NF$60=L$1),0),$E187-1966)</f>
        <v>347760</v>
      </c>
      <c r="M187" s="13" cm="1">
        <f t="array" ref="M187">INDEX(GMWQ!$A$2:$NF$60,MATCH(1,(GMWQ!$NE$2:$NE$60=M$3)*(GMWQ!$ND$2:$ND$60=M$4)*(GMWQ!$NF$2:$NF$60=M$1),0),$E187-1966)</f>
        <v>395975</v>
      </c>
      <c r="N187" s="13" cm="1">
        <f t="array" ref="N187">INDEX(GMWQ!$A$2:$NF$60,MATCH(1,(GMWQ!$NE$2:$NE$60=N$3)*(GMWQ!$ND$2:$ND$60=N$4)*(GMWQ!$NF$2:$NF$60=N$1),0),$E187-1966)</f>
        <v>87.805499999999995</v>
      </c>
    </row>
    <row r="188" spans="1:14" x14ac:dyDescent="0.25">
      <c r="B188" s="13">
        <f t="shared" ref="B188:D203" si="16">+B184+1</f>
        <v>2018</v>
      </c>
      <c r="C188" s="13">
        <f t="shared" si="16"/>
        <v>2018</v>
      </c>
      <c r="E188" s="13">
        <f t="shared" si="15"/>
        <v>2154</v>
      </c>
      <c r="F188" s="13" cm="1">
        <f t="array" ref="F188">INDEX(GMWQ!$A$2:$NF$60,MATCH(1,(GMWQ!$NE$2:$NE$60=F$3)*(GMWQ!$ND$2:$ND$60=F$4)*(GMWQ!$NF$2:$NF$60=F$1),0),$E188-1966)</f>
        <v>113.6866</v>
      </c>
      <c r="G188" s="13" cm="1">
        <f t="array" ref="G188">INDEX(GMWQ!$A$2:$NF$60,MATCH(1,(GMWQ!$NE$2:$NE$60=G$3)*(GMWQ!$ND$2:$ND$60=G$4)*(GMWQ!$NF$2:$NF$60=G$1),0),$E188-1966)</f>
        <v>24403</v>
      </c>
      <c r="H188" s="13" cm="1">
        <f t="array" ref="H188">INDEX(GMWQ!$A$2:$NF$60,MATCH(1,(GMWQ!$NE$2:$NE$60=H$3)*(GMWQ!$ND$2:$ND$60=H$4)*(GMWQ!$NF$2:$NF$60=H$1),0),$E188-1966)</f>
        <v>516.66669999999999</v>
      </c>
      <c r="I188" s="13" cm="1">
        <f t="array" ref="I188">INDEX(GMWQ!$A$2:$NF$60,MATCH(1,(GMWQ!$NE$2:$NE$60=I$3)*(GMWQ!$ND$2:$ND$60=I$4)*(GMWQ!$NF$2:$NF$60=I$1),0),$E188-1966)</f>
        <v>117940</v>
      </c>
      <c r="J188" s="13" cm="1">
        <f t="array" ref="J188">INDEX(GMWQ!$A$2:$NF$60,MATCH(1,(GMWQ!$NE$2:$NE$60=J$3)*(GMWQ!$ND$2:$ND$60=J$4)*(GMWQ!$NF$2:$NF$60=J$1),0),$E188-1966)</f>
        <v>535707</v>
      </c>
      <c r="K188" s="13" cm="1">
        <f t="array" ref="K188">INDEX(GMWQ!$A$2:$NF$60,MATCH(1,(GMWQ!$NE$2:$NE$60=K$3)*(GMWQ!$ND$2:$ND$60=K$4)*(GMWQ!$NF$2:$NF$60=K$1),0),$E188-1966)</f>
        <v>212838</v>
      </c>
      <c r="L188" s="13" cm="1">
        <f t="array" ref="L188">INDEX(GMWQ!$A$2:$NF$60,MATCH(1,(GMWQ!$NE$2:$NE$60=L$3)*(GMWQ!$ND$2:$ND$60=L$4)*(GMWQ!$NF$2:$NF$60=L$1),0),$E188-1966)</f>
        <v>347383</v>
      </c>
      <c r="M188" s="13" cm="1">
        <f t="array" ref="M188">INDEX(GMWQ!$A$2:$NF$60,MATCH(1,(GMWQ!$NE$2:$NE$60=M$3)*(GMWQ!$ND$2:$ND$60=M$4)*(GMWQ!$NF$2:$NF$60=M$1),0),$E188-1966)</f>
        <v>394175</v>
      </c>
      <c r="N188" s="13" cm="1">
        <f t="array" ref="N188">INDEX(GMWQ!$A$2:$NF$60,MATCH(1,(GMWQ!$NE$2:$NE$60=N$3)*(GMWQ!$ND$2:$ND$60=N$4)*(GMWQ!$NF$2:$NF$60=N$1),0),$E188-1966)</f>
        <v>88.070499999999996</v>
      </c>
    </row>
    <row r="189" spans="1:14" x14ac:dyDescent="0.25">
      <c r="B189" s="13">
        <f t="shared" si="16"/>
        <v>2018</v>
      </c>
      <c r="C189" s="13">
        <f t="shared" si="16"/>
        <v>2018</v>
      </c>
      <c r="E189" s="13">
        <f t="shared" si="15"/>
        <v>2155</v>
      </c>
      <c r="F189" s="13" cm="1">
        <f t="array" ref="F189">INDEX(GMWQ!$A$2:$NF$60,MATCH(1,(GMWQ!$NE$2:$NE$60=F$3)*(GMWQ!$ND$2:$ND$60=F$4)*(GMWQ!$NF$2:$NF$60=F$1),0),$E189-1966)</f>
        <v>115.17919999999999</v>
      </c>
      <c r="G189" s="13" cm="1">
        <f t="array" ref="G189">INDEX(GMWQ!$A$2:$NF$60,MATCH(1,(GMWQ!$NE$2:$NE$60=G$3)*(GMWQ!$ND$2:$ND$60=G$4)*(GMWQ!$NF$2:$NF$60=G$1),0),$E189-1966)</f>
        <v>24535</v>
      </c>
      <c r="H189" s="13" cm="1">
        <f t="array" ref="H189">INDEX(GMWQ!$A$2:$NF$60,MATCH(1,(GMWQ!$NE$2:$NE$60=H$3)*(GMWQ!$ND$2:$ND$60=H$4)*(GMWQ!$NF$2:$NF$60=H$1),0),$E189-1966)</f>
        <v>522.33330000000001</v>
      </c>
      <c r="I189" s="13" cm="1">
        <f t="array" ref="I189">INDEX(GMWQ!$A$2:$NF$60,MATCH(1,(GMWQ!$NE$2:$NE$60=I$3)*(GMWQ!$ND$2:$ND$60=I$4)*(GMWQ!$NF$2:$NF$60=I$1),0),$E189-1966)</f>
        <v>117461</v>
      </c>
      <c r="J189" s="13" cm="1">
        <f t="array" ref="J189">INDEX(GMWQ!$A$2:$NF$60,MATCH(1,(GMWQ!$NE$2:$NE$60=J$3)*(GMWQ!$ND$2:$ND$60=J$4)*(GMWQ!$NF$2:$NF$60=J$1),0),$E189-1966)</f>
        <v>540205</v>
      </c>
      <c r="K189" s="13" cm="1">
        <f t="array" ref="K189">INDEX(GMWQ!$A$2:$NF$60,MATCH(1,(GMWQ!$NE$2:$NE$60=K$3)*(GMWQ!$ND$2:$ND$60=K$4)*(GMWQ!$NF$2:$NF$60=K$1),0),$E189-1966)</f>
        <v>216683</v>
      </c>
      <c r="L189" s="13" cm="1">
        <f t="array" ref="L189">INDEX(GMWQ!$A$2:$NF$60,MATCH(1,(GMWQ!$NE$2:$NE$60=L$3)*(GMWQ!$ND$2:$ND$60=L$4)*(GMWQ!$NF$2:$NF$60=L$1),0),$E189-1966)</f>
        <v>350601</v>
      </c>
      <c r="M189" s="13" cm="1">
        <f t="array" ref="M189">INDEX(GMWQ!$A$2:$NF$60,MATCH(1,(GMWQ!$NE$2:$NE$60=M$3)*(GMWQ!$ND$2:$ND$60=M$4)*(GMWQ!$NF$2:$NF$60=M$1),0),$E189-1966)</f>
        <v>395431</v>
      </c>
      <c r="N189" s="13" cm="1">
        <f t="array" ref="N189">INDEX(GMWQ!$A$2:$NF$60,MATCH(1,(GMWQ!$NE$2:$NE$60=N$3)*(GMWQ!$ND$2:$ND$60=N$4)*(GMWQ!$NF$2:$NF$60=N$1),0),$E189-1966)</f>
        <v>88.574029999999993</v>
      </c>
    </row>
    <row r="190" spans="1:14" x14ac:dyDescent="0.25">
      <c r="B190" s="13">
        <f t="shared" si="16"/>
        <v>2018</v>
      </c>
      <c r="C190" s="13">
        <f t="shared" si="16"/>
        <v>2018</v>
      </c>
      <c r="E190" s="13">
        <f t="shared" si="15"/>
        <v>2156</v>
      </c>
      <c r="F190" s="13" cm="1">
        <f t="array" ref="F190">INDEX(GMWQ!$A$2:$NF$60,MATCH(1,(GMWQ!$NE$2:$NE$60=F$3)*(GMWQ!$ND$2:$ND$60=F$4)*(GMWQ!$NF$2:$NF$60=F$1),0),$E190-1966)</f>
        <v>116.4156</v>
      </c>
      <c r="G190" s="13" cm="1">
        <f t="array" ref="G190">INDEX(GMWQ!$A$2:$NF$60,MATCH(1,(GMWQ!$NE$2:$NE$60=G$3)*(GMWQ!$ND$2:$ND$60=G$4)*(GMWQ!$NF$2:$NF$60=G$1),0),$E190-1966)</f>
        <v>24830</v>
      </c>
      <c r="H190" s="13" cm="1">
        <f t="array" ref="H190">INDEX(GMWQ!$A$2:$NF$60,MATCH(1,(GMWQ!$NE$2:$NE$60=H$3)*(GMWQ!$ND$2:$ND$60=H$4)*(GMWQ!$NF$2:$NF$60=H$1),0),$E190-1966)</f>
        <v>528</v>
      </c>
      <c r="I190" s="13" cm="1">
        <f t="array" ref="I190">INDEX(GMWQ!$A$2:$NF$60,MATCH(1,(GMWQ!$NE$2:$NE$60=I$3)*(GMWQ!$ND$2:$ND$60=I$4)*(GMWQ!$NF$2:$NF$60=I$1),0),$E190-1966)</f>
        <v>117040</v>
      </c>
      <c r="J190" s="13" cm="1">
        <f t="array" ref="J190">INDEX(GMWQ!$A$2:$NF$60,MATCH(1,(GMWQ!$NE$2:$NE$60=J$3)*(GMWQ!$ND$2:$ND$60=J$4)*(GMWQ!$NF$2:$NF$60=J$1),0),$E190-1966)</f>
        <v>545261</v>
      </c>
      <c r="K190" s="13" cm="1">
        <f t="array" ref="K190">INDEX(GMWQ!$A$2:$NF$60,MATCH(1,(GMWQ!$NE$2:$NE$60=K$3)*(GMWQ!$ND$2:$ND$60=K$4)*(GMWQ!$NF$2:$NF$60=K$1),0),$E190-1966)</f>
        <v>219523</v>
      </c>
      <c r="L190" s="13" cm="1">
        <f t="array" ref="L190">INDEX(GMWQ!$A$2:$NF$60,MATCH(1,(GMWQ!$NE$2:$NE$60=L$3)*(GMWQ!$ND$2:$ND$60=L$4)*(GMWQ!$NF$2:$NF$60=L$1),0),$E190-1966)</f>
        <v>356695</v>
      </c>
      <c r="M190" s="13" cm="1">
        <f t="array" ref="M190">INDEX(GMWQ!$A$2:$NF$60,MATCH(1,(GMWQ!$NE$2:$NE$60=M$3)*(GMWQ!$ND$2:$ND$60=M$4)*(GMWQ!$NF$2:$NF$60=M$1),0),$E190-1966)</f>
        <v>400106</v>
      </c>
      <c r="N190" s="13" cm="1">
        <f t="array" ref="N190">INDEX(GMWQ!$A$2:$NF$60,MATCH(1,(GMWQ!$NE$2:$NE$60=N$3)*(GMWQ!$ND$2:$ND$60=N$4)*(GMWQ!$NF$2:$NF$60=N$1),0),$E190-1966)</f>
        <v>89.073130000000006</v>
      </c>
    </row>
    <row r="191" spans="1:14" x14ac:dyDescent="0.25">
      <c r="A191" s="13">
        <v>2019</v>
      </c>
      <c r="B191" s="13">
        <f t="shared" si="16"/>
        <v>2019</v>
      </c>
      <c r="C191" s="13">
        <f t="shared" si="16"/>
        <v>2018</v>
      </c>
      <c r="D191" s="13">
        <f t="shared" si="16"/>
        <v>2018</v>
      </c>
      <c r="E191" s="13">
        <f t="shared" si="15"/>
        <v>2157</v>
      </c>
      <c r="F191" s="13" cm="1">
        <f t="array" ref="F191">INDEX(GMWQ!$A$2:$NF$60,MATCH(1,(GMWQ!$NE$2:$NE$60=F$3)*(GMWQ!$ND$2:$ND$60=F$4)*(GMWQ!$NF$2:$NF$60=F$1),0),$E191-1966)</f>
        <v>116.8866</v>
      </c>
      <c r="G191" s="13" cm="1">
        <f t="array" ref="G191">INDEX(GMWQ!$A$2:$NF$60,MATCH(1,(GMWQ!$NE$2:$NE$60=G$3)*(GMWQ!$ND$2:$ND$60=G$4)*(GMWQ!$NF$2:$NF$60=G$1),0),$E191-1966)</f>
        <v>25806</v>
      </c>
      <c r="H191" s="13" cm="1">
        <f t="array" ref="H191">INDEX(GMWQ!$A$2:$NF$60,MATCH(1,(GMWQ!$NE$2:$NE$60=H$3)*(GMWQ!$ND$2:$ND$60=H$4)*(GMWQ!$NF$2:$NF$60=H$1),0),$E191-1966)</f>
        <v>528.66669999999999</v>
      </c>
      <c r="I191" s="13" cm="1">
        <f t="array" ref="I191">INDEX(GMWQ!$A$2:$NF$60,MATCH(1,(GMWQ!$NE$2:$NE$60=I$3)*(GMWQ!$ND$2:$ND$60=I$4)*(GMWQ!$NF$2:$NF$60=I$1),0),$E191-1966)</f>
        <v>116521</v>
      </c>
      <c r="J191" s="13" cm="1">
        <f t="array" ref="J191">INDEX(GMWQ!$A$2:$NF$60,MATCH(1,(GMWQ!$NE$2:$NE$60=J$3)*(GMWQ!$ND$2:$ND$60=J$4)*(GMWQ!$NF$2:$NF$60=J$1),0),$E191-1966)</f>
        <v>549060</v>
      </c>
      <c r="K191" s="13" cm="1">
        <f t="array" ref="K191">INDEX(GMWQ!$A$2:$NF$60,MATCH(1,(GMWQ!$NE$2:$NE$60=K$3)*(GMWQ!$ND$2:$ND$60=K$4)*(GMWQ!$NF$2:$NF$60=K$1),0),$E191-1966)</f>
        <v>220691</v>
      </c>
      <c r="L191" s="13" cm="1">
        <f t="array" ref="L191">INDEX(GMWQ!$A$2:$NF$60,MATCH(1,(GMWQ!$NE$2:$NE$60=L$3)*(GMWQ!$ND$2:$ND$60=L$4)*(GMWQ!$NF$2:$NF$60=L$1),0),$E191-1966)</f>
        <v>356202</v>
      </c>
      <c r="M191" s="13" cm="1">
        <f t="array" ref="M191">INDEX(GMWQ!$A$2:$NF$60,MATCH(1,(GMWQ!$NE$2:$NE$60=M$3)*(GMWQ!$ND$2:$ND$60=M$4)*(GMWQ!$NF$2:$NF$60=M$1),0),$E191-1966)</f>
        <v>399632</v>
      </c>
      <c r="N191" s="13" cm="1">
        <f t="array" ref="N191">INDEX(GMWQ!$A$2:$NF$60,MATCH(1,(GMWQ!$NE$2:$NE$60=N$3)*(GMWQ!$ND$2:$ND$60=N$4)*(GMWQ!$NF$2:$NF$60=N$1),0),$E191-1966)</f>
        <v>89.182159999999996</v>
      </c>
    </row>
    <row r="192" spans="1:14" x14ac:dyDescent="0.25">
      <c r="B192" s="13">
        <f t="shared" si="16"/>
        <v>2019</v>
      </c>
      <c r="C192" s="13">
        <f t="shared" si="16"/>
        <v>2019</v>
      </c>
      <c r="E192" s="13">
        <f t="shared" si="15"/>
        <v>2158</v>
      </c>
      <c r="F192" s="13" cm="1">
        <f t="array" ref="F192">INDEX(GMWQ!$A$2:$NF$60,MATCH(1,(GMWQ!$NE$2:$NE$60=F$3)*(GMWQ!$ND$2:$ND$60=F$4)*(GMWQ!$NF$2:$NF$60=F$1),0),$E192-1966)</f>
        <v>118.69540000000001</v>
      </c>
      <c r="G192" s="13" cm="1">
        <f t="array" ref="G192">INDEX(GMWQ!$A$2:$NF$60,MATCH(1,(GMWQ!$NE$2:$NE$60=G$3)*(GMWQ!$ND$2:$ND$60=G$4)*(GMWQ!$NF$2:$NF$60=G$1),0),$E192-1966)</f>
        <v>26406</v>
      </c>
      <c r="H192" s="13" cm="1">
        <f t="array" ref="H192">INDEX(GMWQ!$A$2:$NF$60,MATCH(1,(GMWQ!$NE$2:$NE$60=H$3)*(GMWQ!$ND$2:$ND$60=H$4)*(GMWQ!$NF$2:$NF$60=H$1),0),$E192-1966)</f>
        <v>537</v>
      </c>
      <c r="I192" s="13" cm="1">
        <f t="array" ref="I192">INDEX(GMWQ!$A$2:$NF$60,MATCH(1,(GMWQ!$NE$2:$NE$60=I$3)*(GMWQ!$ND$2:$ND$60=I$4)*(GMWQ!$NF$2:$NF$60=I$1),0),$E192-1966)</f>
        <v>118367</v>
      </c>
      <c r="J192" s="13" cm="1">
        <f t="array" ref="J192">INDEX(GMWQ!$A$2:$NF$60,MATCH(1,(GMWQ!$NE$2:$NE$60=J$3)*(GMWQ!$ND$2:$ND$60=J$4)*(GMWQ!$NF$2:$NF$60=J$1),0),$E192-1966)</f>
        <v>556104</v>
      </c>
      <c r="K192" s="13" cm="1">
        <f t="array" ref="K192">INDEX(GMWQ!$A$2:$NF$60,MATCH(1,(GMWQ!$NE$2:$NE$60=K$3)*(GMWQ!$ND$2:$ND$60=K$4)*(GMWQ!$NF$2:$NF$60=K$1),0),$E192-1966)</f>
        <v>224186</v>
      </c>
      <c r="L192" s="13" cm="1">
        <f t="array" ref="L192">INDEX(GMWQ!$A$2:$NF$60,MATCH(1,(GMWQ!$NE$2:$NE$60=L$3)*(GMWQ!$ND$2:$ND$60=L$4)*(GMWQ!$NF$2:$NF$60=L$1),0),$E192-1966)</f>
        <v>363432</v>
      </c>
      <c r="M192" s="13" cm="1">
        <f t="array" ref="M192">INDEX(GMWQ!$A$2:$NF$60,MATCH(1,(GMWQ!$NE$2:$NE$60=M$3)*(GMWQ!$ND$2:$ND$60=M$4)*(GMWQ!$NF$2:$NF$60=M$1),0),$E192-1966)</f>
        <v>405211</v>
      </c>
      <c r="N192" s="13" cm="1">
        <f t="array" ref="N192">INDEX(GMWQ!$A$2:$NF$60,MATCH(1,(GMWQ!$NE$2:$NE$60=N$3)*(GMWQ!$ND$2:$ND$60=N$4)*(GMWQ!$NF$2:$NF$60=N$1),0),$E192-1966)</f>
        <v>89.604060000000004</v>
      </c>
    </row>
    <row r="193" spans="1:14" x14ac:dyDescent="0.25">
      <c r="B193" s="13">
        <f t="shared" si="16"/>
        <v>2019</v>
      </c>
      <c r="C193" s="13">
        <f t="shared" si="16"/>
        <v>2019</v>
      </c>
      <c r="E193" s="13">
        <f t="shared" si="15"/>
        <v>2159</v>
      </c>
      <c r="F193" s="13" cm="1">
        <f t="array" ref="F193">INDEX(GMWQ!$A$2:$NF$60,MATCH(1,(GMWQ!$NE$2:$NE$60=F$3)*(GMWQ!$ND$2:$ND$60=F$4)*(GMWQ!$NF$2:$NF$60=F$1),0),$E193-1966)</f>
        <v>118.1284</v>
      </c>
      <c r="G193" s="13" cm="1">
        <f t="array" ref="G193">INDEX(GMWQ!$A$2:$NF$60,MATCH(1,(GMWQ!$NE$2:$NE$60=G$3)*(GMWQ!$ND$2:$ND$60=G$4)*(GMWQ!$NF$2:$NF$60=G$1),0),$E193-1966)</f>
        <v>27085</v>
      </c>
      <c r="H193" s="13" cm="1">
        <f t="array" ref="H193">INDEX(GMWQ!$A$2:$NF$60,MATCH(1,(GMWQ!$NE$2:$NE$60=H$3)*(GMWQ!$ND$2:$ND$60=H$4)*(GMWQ!$NF$2:$NF$60=H$1),0),$E193-1966)</f>
        <v>542.33330000000001</v>
      </c>
      <c r="I193" s="13" cm="1">
        <f t="array" ref="I193">INDEX(GMWQ!$A$2:$NF$60,MATCH(1,(GMWQ!$NE$2:$NE$60=I$3)*(GMWQ!$ND$2:$ND$60=I$4)*(GMWQ!$NF$2:$NF$60=I$1),0),$E193-1966)</f>
        <v>124088</v>
      </c>
      <c r="J193" s="13" cm="1">
        <f t="array" ref="J193">INDEX(GMWQ!$A$2:$NF$60,MATCH(1,(GMWQ!$NE$2:$NE$60=J$3)*(GMWQ!$ND$2:$ND$60=J$4)*(GMWQ!$NF$2:$NF$60=J$1),0),$E193-1966)</f>
        <v>562999</v>
      </c>
      <c r="K193" s="13" cm="1">
        <f t="array" ref="K193">INDEX(GMWQ!$A$2:$NF$60,MATCH(1,(GMWQ!$NE$2:$NE$60=K$3)*(GMWQ!$ND$2:$ND$60=K$4)*(GMWQ!$NF$2:$NF$60=K$1),0),$E193-1966)</f>
        <v>223552</v>
      </c>
      <c r="L193" s="13" cm="1">
        <f t="array" ref="L193">INDEX(GMWQ!$A$2:$NF$60,MATCH(1,(GMWQ!$NE$2:$NE$60=L$3)*(GMWQ!$ND$2:$ND$60=L$4)*(GMWQ!$NF$2:$NF$60=L$1),0),$E193-1966)</f>
        <v>365191</v>
      </c>
      <c r="M193" s="13" cm="1">
        <f t="array" ref="M193">INDEX(GMWQ!$A$2:$NF$60,MATCH(1,(GMWQ!$NE$2:$NE$60=M$3)*(GMWQ!$ND$2:$ND$60=M$4)*(GMWQ!$NF$2:$NF$60=M$1),0),$E193-1966)</f>
        <v>405428</v>
      </c>
      <c r="N193" s="13" cm="1">
        <f t="array" ref="N193">INDEX(GMWQ!$A$2:$NF$60,MATCH(1,(GMWQ!$NE$2:$NE$60=N$3)*(GMWQ!$ND$2:$ND$60=N$4)*(GMWQ!$NF$2:$NF$60=N$1),0),$E193-1966)</f>
        <v>89.94605</v>
      </c>
    </row>
    <row r="194" spans="1:14" x14ac:dyDescent="0.25">
      <c r="B194" s="13">
        <f t="shared" si="16"/>
        <v>2019</v>
      </c>
      <c r="C194" s="13">
        <f t="shared" si="16"/>
        <v>2019</v>
      </c>
      <c r="E194" s="13">
        <f t="shared" si="15"/>
        <v>2160</v>
      </c>
      <c r="F194" s="13" cm="1">
        <f t="array" ref="F194">INDEX(GMWQ!$A$2:$NF$60,MATCH(1,(GMWQ!$NE$2:$NE$60=F$3)*(GMWQ!$ND$2:$ND$60=F$4)*(GMWQ!$NF$2:$NF$60=F$1),0),$E194-1966)</f>
        <v>118.05759999999999</v>
      </c>
      <c r="G194" s="13" cm="1">
        <f t="array" ref="G194">INDEX(GMWQ!$A$2:$NF$60,MATCH(1,(GMWQ!$NE$2:$NE$60=G$3)*(GMWQ!$ND$2:$ND$60=G$4)*(GMWQ!$NF$2:$NF$60=G$1),0),$E194-1966)</f>
        <v>27639</v>
      </c>
      <c r="H194" s="13" cm="1">
        <f t="array" ref="H194">INDEX(GMWQ!$A$2:$NF$60,MATCH(1,(GMWQ!$NE$2:$NE$60=H$3)*(GMWQ!$ND$2:$ND$60=H$4)*(GMWQ!$NF$2:$NF$60=H$1),0),$E194-1966)</f>
        <v>542.33330000000001</v>
      </c>
      <c r="I194" s="13" cm="1">
        <f t="array" ref="I194">INDEX(GMWQ!$A$2:$NF$60,MATCH(1,(GMWQ!$NE$2:$NE$60=I$3)*(GMWQ!$ND$2:$ND$60=I$4)*(GMWQ!$NF$2:$NF$60=I$1),0),$E194-1966)</f>
        <v>126032</v>
      </c>
      <c r="J194" s="13" cm="1">
        <f t="array" ref="J194">INDEX(GMWQ!$A$2:$NF$60,MATCH(1,(GMWQ!$NE$2:$NE$60=J$3)*(GMWQ!$ND$2:$ND$60=J$4)*(GMWQ!$NF$2:$NF$60=J$1),0),$E194-1966)</f>
        <v>565758</v>
      </c>
      <c r="K194" s="13" cm="1">
        <f t="array" ref="K194">INDEX(GMWQ!$A$2:$NF$60,MATCH(1,(GMWQ!$NE$2:$NE$60=K$3)*(GMWQ!$ND$2:$ND$60=K$4)*(GMWQ!$NF$2:$NF$60=K$1),0),$E194-1966)</f>
        <v>223933</v>
      </c>
      <c r="L194" s="13" cm="1">
        <f t="array" ref="L194">INDEX(GMWQ!$A$2:$NF$60,MATCH(1,(GMWQ!$NE$2:$NE$60=L$3)*(GMWQ!$ND$2:$ND$60=L$4)*(GMWQ!$NF$2:$NF$60=L$1),0),$E194-1966)</f>
        <v>368137</v>
      </c>
      <c r="M194" s="13" cm="1">
        <f t="array" ref="M194">INDEX(GMWQ!$A$2:$NF$60,MATCH(1,(GMWQ!$NE$2:$NE$60=M$3)*(GMWQ!$ND$2:$ND$60=M$4)*(GMWQ!$NF$2:$NF$60=M$1),0),$E194-1966)</f>
        <v>407970</v>
      </c>
      <c r="N194" s="13" cm="1">
        <f t="array" ref="N194">INDEX(GMWQ!$A$2:$NF$60,MATCH(1,(GMWQ!$NE$2:$NE$60=N$3)*(GMWQ!$ND$2:$ND$60=N$4)*(GMWQ!$NF$2:$NF$60=N$1),0),$E194-1966)</f>
        <v>90.039550000000006</v>
      </c>
    </row>
    <row r="195" spans="1:14" x14ac:dyDescent="0.25">
      <c r="A195" s="13">
        <v>2020</v>
      </c>
      <c r="B195" s="13">
        <f t="shared" si="16"/>
        <v>2020</v>
      </c>
      <c r="C195" s="13">
        <f t="shared" si="16"/>
        <v>2019</v>
      </c>
      <c r="D195" s="13">
        <f t="shared" si="16"/>
        <v>2019</v>
      </c>
      <c r="E195" s="13">
        <f t="shared" si="15"/>
        <v>2161</v>
      </c>
      <c r="F195" s="13" cm="1">
        <f t="array" ref="F195">INDEX(GMWQ!$A$2:$NF$60,MATCH(1,(GMWQ!$NE$2:$NE$60=F$3)*(GMWQ!$ND$2:$ND$60=F$4)*(GMWQ!$NF$2:$NF$60=F$1),0),$E195-1966)</f>
        <v>121.4135</v>
      </c>
      <c r="G195" s="13" cm="1">
        <f t="array" ref="G195">INDEX(GMWQ!$A$2:$NF$60,MATCH(1,(GMWQ!$NE$2:$NE$60=G$3)*(GMWQ!$ND$2:$ND$60=G$4)*(GMWQ!$NF$2:$NF$60=G$1),0),$E195-1966)</f>
        <v>27453</v>
      </c>
      <c r="H195" s="13" cm="1">
        <f t="array" ref="H195">INDEX(GMWQ!$A$2:$NF$60,MATCH(1,(GMWQ!$NE$2:$NE$60=H$3)*(GMWQ!$ND$2:$ND$60=H$4)*(GMWQ!$NF$2:$NF$60=H$1),0),$E195-1966)</f>
        <v>540.33330000000001</v>
      </c>
      <c r="I195" s="13" cm="1">
        <f t="array" ref="I195">INDEX(GMWQ!$A$2:$NF$60,MATCH(1,(GMWQ!$NE$2:$NE$60=I$3)*(GMWQ!$ND$2:$ND$60=I$4)*(GMWQ!$NF$2:$NF$60=I$1),0),$E195-1966)</f>
        <v>120061</v>
      </c>
      <c r="J195" s="13" cm="1">
        <f t="array" ref="J195">INDEX(GMWQ!$A$2:$NF$60,MATCH(1,(GMWQ!$NE$2:$NE$60=J$3)*(GMWQ!$ND$2:$ND$60=J$4)*(GMWQ!$NF$2:$NF$60=J$1),0),$E195-1966)</f>
        <v>555891</v>
      </c>
      <c r="K195" s="13" cm="1">
        <f t="array" ref="K195">INDEX(GMWQ!$A$2:$NF$60,MATCH(1,(GMWQ!$NE$2:$NE$60=K$3)*(GMWQ!$ND$2:$ND$60=K$4)*(GMWQ!$NF$2:$NF$60=K$1),0),$E195-1966)</f>
        <v>224277</v>
      </c>
      <c r="L195" s="13" cm="1">
        <f t="array" ref="L195">INDEX(GMWQ!$A$2:$NF$60,MATCH(1,(GMWQ!$NE$2:$NE$60=L$3)*(GMWQ!$ND$2:$ND$60=L$4)*(GMWQ!$NF$2:$NF$60=L$1),0),$E195-1966)</f>
        <v>361420</v>
      </c>
      <c r="M195" s="13" cm="1">
        <f t="array" ref="M195">INDEX(GMWQ!$A$2:$NF$60,MATCH(1,(GMWQ!$NE$2:$NE$60=M$3)*(GMWQ!$ND$2:$ND$60=M$4)*(GMWQ!$NF$2:$NF$60=M$1),0),$E195-1966)</f>
        <v>402584</v>
      </c>
      <c r="N195" s="13" cm="1">
        <f t="array" ref="N195">INDEX(GMWQ!$A$2:$NF$60,MATCH(1,(GMWQ!$NE$2:$NE$60=N$3)*(GMWQ!$ND$2:$ND$60=N$4)*(GMWQ!$NF$2:$NF$60=N$1),0),$E195-1966)</f>
        <v>89.551130000000001</v>
      </c>
    </row>
    <row r="196" spans="1:14" x14ac:dyDescent="0.25">
      <c r="B196" s="13">
        <f t="shared" si="16"/>
        <v>2020</v>
      </c>
      <c r="C196" s="13">
        <f t="shared" si="16"/>
        <v>2020</v>
      </c>
      <c r="E196" s="13">
        <f t="shared" si="15"/>
        <v>2162</v>
      </c>
      <c r="F196" s="13" cm="1">
        <f t="array" ref="F196">INDEX(GMWQ!$A$2:$NF$60,MATCH(1,(GMWQ!$NE$2:$NE$60=F$3)*(GMWQ!$ND$2:$ND$60=F$4)*(GMWQ!$NF$2:$NF$60=F$1),0),$E196-1966)</f>
        <v>148.0633</v>
      </c>
      <c r="G196" s="13" cm="1">
        <f t="array" ref="G196">INDEX(GMWQ!$A$2:$NF$60,MATCH(1,(GMWQ!$NE$2:$NE$60=G$3)*(GMWQ!$ND$2:$ND$60=G$4)*(GMWQ!$NF$2:$NF$60=G$1),0),$E196-1966)</f>
        <v>27064</v>
      </c>
      <c r="H196" s="13" cm="1">
        <f t="array" ref="H196">INDEX(GMWQ!$A$2:$NF$60,MATCH(1,(GMWQ!$NE$2:$NE$60=H$3)*(GMWQ!$ND$2:$ND$60=H$4)*(GMWQ!$NF$2:$NF$60=H$1),0),$E196-1966)</f>
        <v>531</v>
      </c>
      <c r="I196" s="13" cm="1">
        <f t="array" ref="I196">INDEX(GMWQ!$A$2:$NF$60,MATCH(1,(GMWQ!$NE$2:$NE$60=I$3)*(GMWQ!$ND$2:$ND$60=I$4)*(GMWQ!$NF$2:$NF$60=I$1),0),$E196-1966)</f>
        <v>115664</v>
      </c>
      <c r="J196" s="13" cm="1">
        <f t="array" ref="J196">INDEX(GMWQ!$A$2:$NF$60,MATCH(1,(GMWQ!$NE$2:$NE$60=J$3)*(GMWQ!$ND$2:$ND$60=J$4)*(GMWQ!$NF$2:$NF$60=J$1),0),$E196-1966)</f>
        <v>476160</v>
      </c>
      <c r="K196" s="13" cm="1">
        <f t="array" ref="K196">INDEX(GMWQ!$A$2:$NF$60,MATCH(1,(GMWQ!$NE$2:$NE$60=K$3)*(GMWQ!$ND$2:$ND$60=K$4)*(GMWQ!$NF$2:$NF$60=K$1),0),$E196-1966)</f>
        <v>217448</v>
      </c>
      <c r="L196" s="13" cm="1">
        <f t="array" ref="L196">INDEX(GMWQ!$A$2:$NF$60,MATCH(1,(GMWQ!$NE$2:$NE$60=L$3)*(GMWQ!$ND$2:$ND$60=L$4)*(GMWQ!$NF$2:$NF$60=L$1),0),$E196-1966)</f>
        <v>356361</v>
      </c>
      <c r="M196" s="13" cm="1">
        <f t="array" ref="M196">INDEX(GMWQ!$A$2:$NF$60,MATCH(1,(GMWQ!$NE$2:$NE$60=M$3)*(GMWQ!$ND$2:$ND$60=M$4)*(GMWQ!$NF$2:$NF$60=M$1),0),$E196-1966)</f>
        <v>394596</v>
      </c>
      <c r="N196" s="13" cm="1">
        <f t="array" ref="N196">INDEX(GMWQ!$A$2:$NF$60,MATCH(1,(GMWQ!$NE$2:$NE$60=N$3)*(GMWQ!$ND$2:$ND$60=N$4)*(GMWQ!$NF$2:$NF$60=N$1),0),$E196-1966)</f>
        <v>89.435910000000007</v>
      </c>
    </row>
    <row r="197" spans="1:14" x14ac:dyDescent="0.25">
      <c r="B197" s="13">
        <f t="shared" si="16"/>
        <v>2020</v>
      </c>
      <c r="C197" s="13">
        <f t="shared" si="16"/>
        <v>2020</v>
      </c>
      <c r="E197" s="13">
        <f t="shared" si="15"/>
        <v>2163</v>
      </c>
      <c r="F197" s="13" cm="1">
        <f t="array" ref="F197">INDEX(GMWQ!$A$2:$NF$60,MATCH(1,(GMWQ!$NE$2:$NE$60=F$3)*(GMWQ!$ND$2:$ND$60=F$4)*(GMWQ!$NF$2:$NF$60=F$1),0),$E197-1966)</f>
        <v>130.36799999999999</v>
      </c>
      <c r="G197" s="13" cm="1">
        <f t="array" ref="G197">INDEX(GMWQ!$A$2:$NF$60,MATCH(1,(GMWQ!$NE$2:$NE$60=G$3)*(GMWQ!$ND$2:$ND$60=G$4)*(GMWQ!$NF$2:$NF$60=G$1),0),$E197-1966)</f>
        <v>27978</v>
      </c>
      <c r="H197" s="13" cm="1">
        <f t="array" ref="H197">INDEX(GMWQ!$A$2:$NF$60,MATCH(1,(GMWQ!$NE$2:$NE$60=H$3)*(GMWQ!$ND$2:$ND$60=H$4)*(GMWQ!$NF$2:$NF$60=H$1),0),$E197-1966)</f>
        <v>550.33330000000001</v>
      </c>
      <c r="I197" s="13" cm="1">
        <f t="array" ref="I197">INDEX(GMWQ!$A$2:$NF$60,MATCH(1,(GMWQ!$NE$2:$NE$60=I$3)*(GMWQ!$ND$2:$ND$60=I$4)*(GMWQ!$NF$2:$NF$60=I$1),0),$E197-1966)</f>
        <v>125991</v>
      </c>
      <c r="J197" s="13" cm="1">
        <f t="array" ref="J197">INDEX(GMWQ!$A$2:$NF$60,MATCH(1,(GMWQ!$NE$2:$NE$60=J$3)*(GMWQ!$ND$2:$ND$60=J$4)*(GMWQ!$NF$2:$NF$60=J$1),0),$E197-1966)</f>
        <v>533806</v>
      </c>
      <c r="K197" s="13" cm="1">
        <f t="array" ref="K197">INDEX(GMWQ!$A$2:$NF$60,MATCH(1,(GMWQ!$NE$2:$NE$60=K$3)*(GMWQ!$ND$2:$ND$60=K$4)*(GMWQ!$NF$2:$NF$60=K$1),0),$E197-1966)</f>
        <v>222275</v>
      </c>
      <c r="L197" s="13" cm="1">
        <f t="array" ref="L197">INDEX(GMWQ!$A$2:$NF$60,MATCH(1,(GMWQ!$NE$2:$NE$60=L$3)*(GMWQ!$ND$2:$ND$60=L$4)*(GMWQ!$NF$2:$NF$60=L$1),0),$E197-1966)</f>
        <v>367470</v>
      </c>
      <c r="M197" s="13" cm="1">
        <f t="array" ref="M197">INDEX(GMWQ!$A$2:$NF$60,MATCH(1,(GMWQ!$NE$2:$NE$60=M$3)*(GMWQ!$ND$2:$ND$60=M$4)*(GMWQ!$NF$2:$NF$60=M$1),0),$E197-1966)</f>
        <v>406593</v>
      </c>
      <c r="N197" s="13" cm="1">
        <f t="array" ref="N197">INDEX(GMWQ!$A$2:$NF$60,MATCH(1,(GMWQ!$NE$2:$NE$60=N$3)*(GMWQ!$ND$2:$ND$60=N$4)*(GMWQ!$NF$2:$NF$60=N$1),0),$E197-1966)</f>
        <v>89.978999999999999</v>
      </c>
    </row>
    <row r="198" spans="1:14" x14ac:dyDescent="0.25">
      <c r="B198" s="13">
        <f t="shared" si="16"/>
        <v>2020</v>
      </c>
      <c r="C198" s="13">
        <f t="shared" si="16"/>
        <v>2020</v>
      </c>
      <c r="E198" s="13">
        <f t="shared" si="15"/>
        <v>2164</v>
      </c>
      <c r="F198" s="13" cm="1">
        <f t="array" ref="F198">INDEX(GMWQ!$A$2:$NF$60,MATCH(1,(GMWQ!$NE$2:$NE$60=F$3)*(GMWQ!$ND$2:$ND$60=F$4)*(GMWQ!$NF$2:$NF$60=F$1),0),$E198-1966)</f>
        <v>131.90299999999999</v>
      </c>
      <c r="G198" s="13" cm="1">
        <f t="array" ref="G198">INDEX(GMWQ!$A$2:$NF$60,MATCH(1,(GMWQ!$NE$2:$NE$60=G$3)*(GMWQ!$ND$2:$ND$60=G$4)*(GMWQ!$NF$2:$NF$60=G$1),0),$E198-1966)</f>
        <v>28812</v>
      </c>
      <c r="H198" s="13" cm="1">
        <f t="array" ref="H198">INDEX(GMWQ!$A$2:$NF$60,MATCH(1,(GMWQ!$NE$2:$NE$60=H$3)*(GMWQ!$ND$2:$ND$60=H$4)*(GMWQ!$NF$2:$NF$60=H$1),0),$E198-1966)</f>
        <v>567</v>
      </c>
      <c r="I198" s="13" cm="1">
        <f t="array" ref="I198">INDEX(GMWQ!$A$2:$NF$60,MATCH(1,(GMWQ!$NE$2:$NE$60=I$3)*(GMWQ!$ND$2:$ND$60=I$4)*(GMWQ!$NF$2:$NF$60=I$1),0),$E198-1966)</f>
        <v>117012</v>
      </c>
      <c r="J198" s="13" cm="1">
        <f t="array" ref="J198">INDEX(GMWQ!$A$2:$NF$60,MATCH(1,(GMWQ!$NE$2:$NE$60=J$3)*(GMWQ!$ND$2:$ND$60=J$4)*(GMWQ!$NF$2:$NF$60=J$1),0),$E198-1966)</f>
        <v>537629</v>
      </c>
      <c r="K198" s="13" cm="1">
        <f t="array" ref="K198">INDEX(GMWQ!$A$2:$NF$60,MATCH(1,(GMWQ!$NE$2:$NE$60=K$3)*(GMWQ!$ND$2:$ND$60=K$4)*(GMWQ!$NF$2:$NF$60=K$1),0),$E198-1966)</f>
        <v>228380</v>
      </c>
      <c r="L198" s="13" cm="1">
        <f t="array" ref="L198">INDEX(GMWQ!$A$2:$NF$60,MATCH(1,(GMWQ!$NE$2:$NE$60=L$3)*(GMWQ!$ND$2:$ND$60=L$4)*(GMWQ!$NF$2:$NF$60=L$1),0),$E198-1966)</f>
        <v>369157</v>
      </c>
      <c r="M198" s="13" cm="1">
        <f t="array" ref="M198">INDEX(GMWQ!$A$2:$NF$60,MATCH(1,(GMWQ!$NE$2:$NE$60=M$3)*(GMWQ!$ND$2:$ND$60=M$4)*(GMWQ!$NF$2:$NF$60=M$1),0),$E198-1966)</f>
        <v>408367</v>
      </c>
      <c r="N198" s="13" cm="1">
        <f t="array" ref="N198">INDEX(GMWQ!$A$2:$NF$60,MATCH(1,(GMWQ!$NE$2:$NE$60=N$3)*(GMWQ!$ND$2:$ND$60=N$4)*(GMWQ!$NF$2:$NF$60=N$1),0),$E198-1966)</f>
        <v>90.053640000000001</v>
      </c>
    </row>
    <row r="199" spans="1:14" x14ac:dyDescent="0.25">
      <c r="A199" s="13">
        <v>2021</v>
      </c>
      <c r="B199" s="13">
        <f t="shared" si="16"/>
        <v>2021</v>
      </c>
      <c r="C199" s="13">
        <f t="shared" si="16"/>
        <v>2020</v>
      </c>
      <c r="D199" s="13">
        <f t="shared" si="16"/>
        <v>2020</v>
      </c>
      <c r="E199" s="13">
        <f t="shared" si="15"/>
        <v>2165</v>
      </c>
      <c r="F199" s="13" cm="1">
        <f t="array" ref="F199">INDEX(GMWQ!$A$2:$NF$60,MATCH(1,(GMWQ!$NE$2:$NE$60=F$3)*(GMWQ!$ND$2:$ND$60=F$4)*(GMWQ!$NF$2:$NF$60=F$1),0),$E199-1966)</f>
        <v>133.5222</v>
      </c>
      <c r="G199" s="13" cm="1">
        <f t="array" ref="G199">INDEX(GMWQ!$A$2:$NF$60,MATCH(1,(GMWQ!$NE$2:$NE$60=G$3)*(GMWQ!$ND$2:$ND$60=G$4)*(GMWQ!$NF$2:$NF$60=G$1),0),$E199-1966)</f>
        <v>28828</v>
      </c>
      <c r="H199" s="13" cm="1">
        <f t="array" ref="H199">INDEX(GMWQ!$A$2:$NF$60,MATCH(1,(GMWQ!$NE$2:$NE$60=H$3)*(GMWQ!$ND$2:$ND$60=H$4)*(GMWQ!$NF$2:$NF$60=H$1),0),$E199-1966)</f>
        <v>563</v>
      </c>
      <c r="I199" s="13" cm="1">
        <f t="array" ref="I199">INDEX(GMWQ!$A$2:$NF$60,MATCH(1,(GMWQ!$NE$2:$NE$60=I$3)*(GMWQ!$ND$2:$ND$60=I$4)*(GMWQ!$NF$2:$NF$60=I$1),0),$E199-1966)</f>
        <v>118117</v>
      </c>
      <c r="J199" s="13" cm="1">
        <f t="array" ref="J199">INDEX(GMWQ!$A$2:$NF$60,MATCH(1,(GMWQ!$NE$2:$NE$60=J$3)*(GMWQ!$ND$2:$ND$60=J$4)*(GMWQ!$NF$2:$NF$60=J$1),0),$E199-1966)</f>
        <v>537992</v>
      </c>
      <c r="K199" s="13" cm="1">
        <f t="array" ref="K199">INDEX(GMWQ!$A$2:$NF$60,MATCH(1,(GMWQ!$NE$2:$NE$60=K$3)*(GMWQ!$ND$2:$ND$60=K$4)*(GMWQ!$NF$2:$NF$60=K$1),0),$E199-1966)</f>
        <v>229592</v>
      </c>
      <c r="L199" s="13" cm="1">
        <f t="array" ref="L199">INDEX(GMWQ!$A$2:$NF$60,MATCH(1,(GMWQ!$NE$2:$NE$60=L$3)*(GMWQ!$ND$2:$ND$60=L$4)*(GMWQ!$NF$2:$NF$60=L$1),0),$E199-1966)</f>
        <v>374602</v>
      </c>
      <c r="M199" s="13" cm="1">
        <f t="array" ref="M199">INDEX(GMWQ!$A$2:$NF$60,MATCH(1,(GMWQ!$NE$2:$NE$60=M$3)*(GMWQ!$ND$2:$ND$60=M$4)*(GMWQ!$NF$2:$NF$60=M$1),0),$E199-1966)</f>
        <v>411074</v>
      </c>
      <c r="N199" s="13" cm="1">
        <f t="array" ref="N199">INDEX(GMWQ!$A$2:$NF$60,MATCH(1,(GMWQ!$NE$2:$NE$60=N$3)*(GMWQ!$ND$2:$ND$60=N$4)*(GMWQ!$NF$2:$NF$60=N$1),0),$E199-1966)</f>
        <v>90.55059</v>
      </c>
    </row>
    <row r="200" spans="1:14" x14ac:dyDescent="0.25">
      <c r="B200" s="13">
        <f t="shared" si="16"/>
        <v>2021</v>
      </c>
      <c r="C200" s="13">
        <f t="shared" si="16"/>
        <v>2021</v>
      </c>
      <c r="E200" s="13">
        <f t="shared" si="15"/>
        <v>2166</v>
      </c>
      <c r="F200" s="13" cm="1">
        <f t="array" ref="F200">INDEX(GMWQ!$A$2:$NF$60,MATCH(1,(GMWQ!$NE$2:$NE$60=F$3)*(GMWQ!$ND$2:$ND$60=F$4)*(GMWQ!$NF$2:$NF$60=F$1),0),$E200-1966)</f>
        <v>127.8947</v>
      </c>
      <c r="G200" s="13" cm="1">
        <f t="array" ref="G200">INDEX(GMWQ!$A$2:$NF$60,MATCH(1,(GMWQ!$NE$2:$NE$60=G$3)*(GMWQ!$ND$2:$ND$60=G$4)*(GMWQ!$NF$2:$NF$60=G$1),0),$E200-1966)</f>
        <v>29940</v>
      </c>
      <c r="H200" s="13" cm="1">
        <f t="array" ref="H200">INDEX(GMWQ!$A$2:$NF$60,MATCH(1,(GMWQ!$NE$2:$NE$60=H$3)*(GMWQ!$ND$2:$ND$60=H$4)*(GMWQ!$NF$2:$NF$60=H$1),0),$E200-1966)</f>
        <v>578</v>
      </c>
      <c r="I200" s="13" cm="1">
        <f t="array" ref="I200">INDEX(GMWQ!$A$2:$NF$60,MATCH(1,(GMWQ!$NE$2:$NE$60=I$3)*(GMWQ!$ND$2:$ND$60=I$4)*(GMWQ!$NF$2:$NF$60=I$1),0),$E200-1966)</f>
        <v>128410</v>
      </c>
      <c r="J200" s="13" cm="1">
        <f t="array" ref="J200">INDEX(GMWQ!$A$2:$NF$60,MATCH(1,(GMWQ!$NE$2:$NE$60=J$3)*(GMWQ!$ND$2:$ND$60=J$4)*(GMWQ!$NF$2:$NF$60=J$1),0),$E200-1966)</f>
        <v>568521</v>
      </c>
      <c r="K200" s="13" cm="1">
        <f t="array" ref="K200">INDEX(GMWQ!$A$2:$NF$60,MATCH(1,(GMWQ!$NE$2:$NE$60=K$3)*(GMWQ!$ND$2:$ND$60=K$4)*(GMWQ!$NF$2:$NF$60=K$1),0),$E200-1966)</f>
        <v>237180</v>
      </c>
      <c r="L200" s="13" cm="1">
        <f t="array" ref="L200">INDEX(GMWQ!$A$2:$NF$60,MATCH(1,(GMWQ!$NE$2:$NE$60=L$3)*(GMWQ!$ND$2:$ND$60=L$4)*(GMWQ!$NF$2:$NF$60=L$1),0),$E200-1966)</f>
        <v>378013</v>
      </c>
      <c r="M200" s="13" cm="1">
        <f t="array" ref="M200">INDEX(GMWQ!$A$2:$NF$60,MATCH(1,(GMWQ!$NE$2:$NE$60=M$3)*(GMWQ!$ND$2:$ND$60=M$4)*(GMWQ!$NF$2:$NF$60=M$1),0),$E200-1966)</f>
        <v>413832</v>
      </c>
      <c r="N200" s="13" cm="1">
        <f t="array" ref="N200">INDEX(GMWQ!$A$2:$NF$60,MATCH(1,(GMWQ!$NE$2:$NE$60=N$3)*(GMWQ!$ND$2:$ND$60=N$4)*(GMWQ!$NF$2:$NF$60=N$1),0),$E200-1966)</f>
        <v>91.062539999999998</v>
      </c>
    </row>
    <row r="201" spans="1:14" x14ac:dyDescent="0.25">
      <c r="B201" s="13">
        <f t="shared" si="16"/>
        <v>2021</v>
      </c>
      <c r="C201" s="13">
        <f t="shared" si="16"/>
        <v>2021</v>
      </c>
      <c r="E201" s="13">
        <f t="shared" si="15"/>
        <v>2167</v>
      </c>
      <c r="F201" s="13" cm="1">
        <f t="array" ref="F201">INDEX(GMWQ!$A$2:$NF$60,MATCH(1,(GMWQ!$NE$2:$NE$60=F$3)*(GMWQ!$ND$2:$ND$60=F$4)*(GMWQ!$NF$2:$NF$60=F$1),0),$E201-1966)</f>
        <v>127.1511</v>
      </c>
      <c r="G201" s="13" cm="1">
        <f t="array" ref="G201">INDEX(GMWQ!$A$2:$NF$60,MATCH(1,(GMWQ!$NE$2:$NE$60=G$3)*(GMWQ!$ND$2:$ND$60=G$4)*(GMWQ!$NF$2:$NF$60=G$1),0),$E201-1966)</f>
        <v>30764</v>
      </c>
      <c r="H201" s="13" cm="1">
        <f t="array" ref="H201">INDEX(GMWQ!$A$2:$NF$60,MATCH(1,(GMWQ!$NE$2:$NE$60=H$3)*(GMWQ!$ND$2:$ND$60=H$4)*(GMWQ!$NF$2:$NF$60=H$1),0),$E201-1966)</f>
        <v>583.66669999999999</v>
      </c>
      <c r="I201" s="13" cm="1">
        <f t="array" ref="I201">INDEX(GMWQ!$A$2:$NF$60,MATCH(1,(GMWQ!$NE$2:$NE$60=I$3)*(GMWQ!$ND$2:$ND$60=I$4)*(GMWQ!$NF$2:$NF$60=I$1),0),$E201-1966)</f>
        <v>126311</v>
      </c>
      <c r="J201" s="13" cm="1">
        <f t="array" ref="J201">INDEX(GMWQ!$A$2:$NF$60,MATCH(1,(GMWQ!$NE$2:$NE$60=J$3)*(GMWQ!$ND$2:$ND$60=J$4)*(GMWQ!$NF$2:$NF$60=J$1),0),$E201-1966)</f>
        <v>581805</v>
      </c>
      <c r="K201" s="13" cm="1">
        <f t="array" ref="K201">INDEX(GMWQ!$A$2:$NF$60,MATCH(1,(GMWQ!$NE$2:$NE$60=K$3)*(GMWQ!$ND$2:$ND$60=K$4)*(GMWQ!$NF$2:$NF$60=K$1),0),$E201-1966)</f>
        <v>239455</v>
      </c>
      <c r="L201" s="13" cm="1">
        <f t="array" ref="L201">INDEX(GMWQ!$A$2:$NF$60,MATCH(1,(GMWQ!$NE$2:$NE$60=L$3)*(GMWQ!$ND$2:$ND$60=L$4)*(GMWQ!$NF$2:$NF$60=L$1),0),$E201-1966)</f>
        <v>380321</v>
      </c>
      <c r="M201" s="13" cm="1">
        <f t="array" ref="M201">INDEX(GMWQ!$A$2:$NF$60,MATCH(1,(GMWQ!$NE$2:$NE$60=M$3)*(GMWQ!$ND$2:$ND$60=M$4)*(GMWQ!$NF$2:$NF$60=M$1),0),$E201-1966)</f>
        <v>410138</v>
      </c>
      <c r="N201" s="13" cm="1">
        <f t="array" ref="N201">INDEX(GMWQ!$A$2:$NF$60,MATCH(1,(GMWQ!$NE$2:$NE$60=N$3)*(GMWQ!$ND$2:$ND$60=N$4)*(GMWQ!$NF$2:$NF$60=N$1),0),$E201-1966)</f>
        <v>92.470209999999994</v>
      </c>
    </row>
    <row r="202" spans="1:14" x14ac:dyDescent="0.25">
      <c r="B202" s="13">
        <f t="shared" si="16"/>
        <v>2021</v>
      </c>
      <c r="C202" s="13">
        <f t="shared" si="16"/>
        <v>2021</v>
      </c>
      <c r="E202" s="13">
        <f t="shared" si="15"/>
        <v>2168</v>
      </c>
      <c r="F202" s="13" cm="1">
        <f t="array" ref="F202">INDEX(GMWQ!$A$2:$NF$60,MATCH(1,(GMWQ!$NE$2:$NE$60=F$3)*(GMWQ!$ND$2:$ND$60=F$4)*(GMWQ!$NF$2:$NF$60=F$1),0),$E202-1966)</f>
        <v>126.23139999999999</v>
      </c>
      <c r="G202" s="13" cm="1">
        <f t="array" ref="G202">INDEX(GMWQ!$A$2:$NF$60,MATCH(1,(GMWQ!$NE$2:$NE$60=G$3)*(GMWQ!$ND$2:$ND$60=G$4)*(GMWQ!$NF$2:$NF$60=G$1),0),$E202-1966)</f>
        <v>31560</v>
      </c>
      <c r="H202" s="13" cm="1">
        <f t="array" ref="H202">INDEX(GMWQ!$A$2:$NF$60,MATCH(1,(GMWQ!$NE$2:$NE$60=H$3)*(GMWQ!$ND$2:$ND$60=H$4)*(GMWQ!$NF$2:$NF$60=H$1),0),$E202-1966)</f>
        <v>592.66669999999999</v>
      </c>
      <c r="I202" s="13" cm="1">
        <f t="array" ref="I202">INDEX(GMWQ!$A$2:$NF$60,MATCH(1,(GMWQ!$NE$2:$NE$60=I$3)*(GMWQ!$ND$2:$ND$60=I$4)*(GMWQ!$NF$2:$NF$60=I$1),0),$E202-1966)</f>
        <v>128877</v>
      </c>
      <c r="J202" s="13" cm="1">
        <f t="array" ref="J202">INDEX(GMWQ!$A$2:$NF$60,MATCH(1,(GMWQ!$NE$2:$NE$60=J$3)*(GMWQ!$ND$2:$ND$60=J$4)*(GMWQ!$NF$2:$NF$60=J$1),0),$E202-1966)</f>
        <v>597082</v>
      </c>
      <c r="K202" s="13" cm="1">
        <f t="array" ref="K202">INDEX(GMWQ!$A$2:$NF$60,MATCH(1,(GMWQ!$NE$2:$NE$60=K$3)*(GMWQ!$ND$2:$ND$60=K$4)*(GMWQ!$NF$2:$NF$60=K$1),0),$E202-1966)</f>
        <v>242072</v>
      </c>
      <c r="L202" s="13" cm="1">
        <f t="array" ref="L202">INDEX(GMWQ!$A$2:$NF$60,MATCH(1,(GMWQ!$NE$2:$NE$60=L$3)*(GMWQ!$ND$2:$ND$60=L$4)*(GMWQ!$NF$2:$NF$60=L$1),0),$E202-1966)</f>
        <v>381732</v>
      </c>
      <c r="M202" s="13" cm="1">
        <f t="array" ref="M202">INDEX(GMWQ!$A$2:$NF$60,MATCH(1,(GMWQ!$NE$2:$NE$60=M$3)*(GMWQ!$ND$2:$ND$60=M$4)*(GMWQ!$NF$2:$NF$60=M$1),0),$E202-1966)</f>
        <v>402842</v>
      </c>
      <c r="N202" s="13" cm="1">
        <f t="array" ref="N202">INDEX(GMWQ!$A$2:$NF$60,MATCH(1,(GMWQ!$NE$2:$NE$60=N$3)*(GMWQ!$ND$2:$ND$60=N$4)*(GMWQ!$NF$2:$NF$60=N$1),0),$E202-1966)</f>
        <v>94.510490000000004</v>
      </c>
    </row>
    <row r="203" spans="1:14" x14ac:dyDescent="0.25">
      <c r="A203" s="13">
        <v>2022</v>
      </c>
      <c r="B203" s="13">
        <f t="shared" si="16"/>
        <v>2022</v>
      </c>
      <c r="C203" s="13">
        <f t="shared" si="16"/>
        <v>2021</v>
      </c>
      <c r="D203" s="13">
        <f t="shared" si="16"/>
        <v>2021</v>
      </c>
      <c r="E203" s="13">
        <f t="shared" si="15"/>
        <v>2169</v>
      </c>
      <c r="F203" s="13" cm="1">
        <f t="array" ref="F203">INDEX(GMWQ!$A$2:$NF$60,MATCH(1,(GMWQ!$NE$2:$NE$60=F$3)*(GMWQ!$ND$2:$ND$60=F$4)*(GMWQ!$NF$2:$NF$60=F$1),0),$E203-1966)</f>
        <v>128.774</v>
      </c>
      <c r="G203" s="13" cm="1">
        <f t="array" ref="G203">INDEX(GMWQ!$A$2:$NF$60,MATCH(1,(GMWQ!$NE$2:$NE$60=G$3)*(GMWQ!$ND$2:$ND$60=G$4)*(GMWQ!$NF$2:$NF$60=G$1),0),$E203-1966)</f>
        <v>32437</v>
      </c>
      <c r="H203" s="13" cm="1">
        <f t="array" ref="H203">INDEX(GMWQ!$A$2:$NF$60,MATCH(1,(GMWQ!$NE$2:$NE$60=H$3)*(GMWQ!$ND$2:$ND$60=H$4)*(GMWQ!$NF$2:$NF$60=H$1),0),$E203-1966)</f>
        <v>602.33330000000001</v>
      </c>
      <c r="I203" s="13" cm="1">
        <f t="array" ref="I203">INDEX(GMWQ!$A$2:$NF$60,MATCH(1,(GMWQ!$NE$2:$NE$60=I$3)*(GMWQ!$ND$2:$ND$60=I$4)*(GMWQ!$NF$2:$NF$60=I$1),0),$E203-1966)</f>
        <v>128748</v>
      </c>
      <c r="J203" s="13" cm="1">
        <f t="array" ref="J203">INDEX(GMWQ!$A$2:$NF$60,MATCH(1,(GMWQ!$NE$2:$NE$60=J$3)*(GMWQ!$ND$2:$ND$60=J$4)*(GMWQ!$NF$2:$NF$60=J$1),0),$E203-1966)</f>
        <v>610346</v>
      </c>
      <c r="K203" s="13" cm="1">
        <f t="array" ref="K203">INDEX(GMWQ!$A$2:$NF$60,MATCH(1,(GMWQ!$NE$2:$NE$60=K$3)*(GMWQ!$ND$2:$ND$60=K$4)*(GMWQ!$NF$2:$NF$60=K$1),0),$E203-1966)</f>
        <v>247496</v>
      </c>
      <c r="L203" s="13" cm="1">
        <f t="array" ref="L203">INDEX(GMWQ!$A$2:$NF$60,MATCH(1,(GMWQ!$NE$2:$NE$60=L$3)*(GMWQ!$ND$2:$ND$60=L$4)*(GMWQ!$NF$2:$NF$60=L$1),0),$E203-1966)</f>
        <v>386958</v>
      </c>
      <c r="M203" s="13" cm="1">
        <f t="array" ref="M203">INDEX(GMWQ!$A$2:$NF$60,MATCH(1,(GMWQ!$NE$2:$NE$60=M$3)*(GMWQ!$ND$2:$ND$60=M$4)*(GMWQ!$NF$2:$NF$60=M$1),0),$E203-1966)</f>
        <v>401738</v>
      </c>
      <c r="N203" s="13" cm="1">
        <f t="array" ref="N203">INDEX(GMWQ!$A$2:$NF$60,MATCH(1,(GMWQ!$NE$2:$NE$60=N$3)*(GMWQ!$ND$2:$ND$60=N$4)*(GMWQ!$NF$2:$NF$60=N$1),0),$E203-1966)</f>
        <v>96.103399999999993</v>
      </c>
    </row>
    <row r="204" spans="1:14" x14ac:dyDescent="0.25">
      <c r="B204" s="13">
        <f t="shared" ref="B204:D219" si="17">+B200+1</f>
        <v>2022</v>
      </c>
      <c r="C204" s="13">
        <f t="shared" si="17"/>
        <v>2022</v>
      </c>
      <c r="E204" s="13">
        <f t="shared" si="15"/>
        <v>2170</v>
      </c>
      <c r="F204" s="13" cm="1">
        <f t="array" ref="F204">INDEX(GMWQ!$A$2:$NF$60,MATCH(1,(GMWQ!$NE$2:$NE$60=F$3)*(GMWQ!$ND$2:$ND$60=F$4)*(GMWQ!$NF$2:$NF$60=F$1),0),$E204-1966)</f>
        <v>130.8664</v>
      </c>
      <c r="G204" s="13" cm="1">
        <f t="array" ref="G204">INDEX(GMWQ!$A$2:$NF$60,MATCH(1,(GMWQ!$NE$2:$NE$60=G$3)*(GMWQ!$ND$2:$ND$60=G$4)*(GMWQ!$NF$2:$NF$60=G$1),0),$E204-1966)</f>
        <v>35271</v>
      </c>
      <c r="H204" s="13" cm="1">
        <f t="array" ref="H204">INDEX(GMWQ!$A$2:$NF$60,MATCH(1,(GMWQ!$NE$2:$NE$60=H$3)*(GMWQ!$ND$2:$ND$60=H$4)*(GMWQ!$NF$2:$NF$60=H$1),0),$E204-1966)</f>
        <v>607.66669999999999</v>
      </c>
      <c r="I204" s="13" cm="1">
        <f t="array" ref="I204">INDEX(GMWQ!$A$2:$NF$60,MATCH(1,(GMWQ!$NE$2:$NE$60=I$3)*(GMWQ!$ND$2:$ND$60=I$4)*(GMWQ!$NF$2:$NF$60=I$1),0),$E204-1966)</f>
        <v>133727</v>
      </c>
      <c r="J204" s="13" cm="1">
        <f t="array" ref="J204">INDEX(GMWQ!$A$2:$NF$60,MATCH(1,(GMWQ!$NE$2:$NE$60=J$3)*(GMWQ!$ND$2:$ND$60=J$4)*(GMWQ!$NF$2:$NF$60=J$1),0),$E204-1966)</f>
        <v>625467</v>
      </c>
      <c r="K204" s="13" cm="1">
        <f t="array" ref="K204">INDEX(GMWQ!$A$2:$NF$60,MATCH(1,(GMWQ!$NE$2:$NE$60=K$3)*(GMWQ!$ND$2:$ND$60=K$4)*(GMWQ!$NF$2:$NF$60=K$1),0),$E204-1966)</f>
        <v>251376</v>
      </c>
      <c r="L204" s="13" cm="1">
        <f t="array" ref="L204">INDEX(GMWQ!$A$2:$NF$60,MATCH(1,(GMWQ!$NE$2:$NE$60=L$3)*(GMWQ!$ND$2:$ND$60=L$4)*(GMWQ!$NF$2:$NF$60=L$1),0),$E204-1966)</f>
        <v>395902</v>
      </c>
      <c r="M204" s="13" cm="1">
        <f t="array" ref="M204">INDEX(GMWQ!$A$2:$NF$60,MATCH(1,(GMWQ!$NE$2:$NE$60=M$3)*(GMWQ!$ND$2:$ND$60=M$4)*(GMWQ!$NF$2:$NF$60=M$1),0),$E204-1966)</f>
        <v>398386</v>
      </c>
      <c r="N204" s="13" cm="1">
        <f t="array" ref="N204">INDEX(GMWQ!$A$2:$NF$60,MATCH(1,(GMWQ!$NE$2:$NE$60=N$3)*(GMWQ!$ND$2:$ND$60=N$4)*(GMWQ!$NF$2:$NF$60=N$1),0),$E204-1966)</f>
        <v>99.406379999999999</v>
      </c>
    </row>
    <row r="205" spans="1:14" x14ac:dyDescent="0.25">
      <c r="B205" s="13">
        <f t="shared" si="17"/>
        <v>2022</v>
      </c>
      <c r="C205" s="13">
        <f t="shared" si="17"/>
        <v>2022</v>
      </c>
      <c r="E205" s="13">
        <f t="shared" si="15"/>
        <v>2171</v>
      </c>
      <c r="F205" s="13" cm="1">
        <f t="array" ref="F205">INDEX(GMWQ!$A$2:$NF$60,MATCH(1,(GMWQ!$NE$2:$NE$60=F$3)*(GMWQ!$ND$2:$ND$60=F$4)*(GMWQ!$NF$2:$NF$60=F$1),0),$E205-1966)</f>
        <v>133.08009999999999</v>
      </c>
      <c r="G205" s="13" cm="1">
        <f t="array" ref="G205">INDEX(GMWQ!$A$2:$NF$60,MATCH(1,(GMWQ!$NE$2:$NE$60=G$3)*(GMWQ!$ND$2:$ND$60=G$4)*(GMWQ!$NF$2:$NF$60=G$1),0),$E205-1966)</f>
        <v>35446</v>
      </c>
      <c r="H205" s="13" cm="1">
        <f t="array" ref="H205">INDEX(GMWQ!$A$2:$NF$60,MATCH(1,(GMWQ!$NE$2:$NE$60=H$3)*(GMWQ!$ND$2:$ND$60=H$4)*(GMWQ!$NF$2:$NF$60=H$1),0),$E205-1966)</f>
        <v>618</v>
      </c>
      <c r="I205" s="13" cm="1">
        <f t="array" ref="I205">INDEX(GMWQ!$A$2:$NF$60,MATCH(1,(GMWQ!$NE$2:$NE$60=I$3)*(GMWQ!$ND$2:$ND$60=I$4)*(GMWQ!$NF$2:$NF$60=I$1),0),$E205-1966)</f>
        <v>134606</v>
      </c>
      <c r="J205" s="13" cm="1">
        <f t="array" ref="J205">INDEX(GMWQ!$A$2:$NF$60,MATCH(1,(GMWQ!$NE$2:$NE$60=J$3)*(GMWQ!$ND$2:$ND$60=J$4)*(GMWQ!$NF$2:$NF$60=J$1),0),$E205-1966)</f>
        <v>636553</v>
      </c>
      <c r="K205" s="13" cm="1">
        <f t="array" ref="K205">INDEX(GMWQ!$A$2:$NF$60,MATCH(1,(GMWQ!$NE$2:$NE$60=K$3)*(GMWQ!$ND$2:$ND$60=K$4)*(GMWQ!$NF$2:$NF$60=K$1),0),$E205-1966)</f>
        <v>256000</v>
      </c>
      <c r="L205" s="13" cm="1">
        <f t="array" ref="L205">INDEX(GMWQ!$A$2:$NF$60,MATCH(1,(GMWQ!$NE$2:$NE$60=L$3)*(GMWQ!$ND$2:$ND$60=L$4)*(GMWQ!$NF$2:$NF$60=L$1),0),$E205-1966)</f>
        <v>403706</v>
      </c>
      <c r="M205" s="13" cm="1">
        <f t="array" ref="M205">INDEX(GMWQ!$A$2:$NF$60,MATCH(1,(GMWQ!$NE$2:$NE$60=M$3)*(GMWQ!$ND$2:$ND$60=M$4)*(GMWQ!$NF$2:$NF$60=M$1),0),$E205-1966)</f>
        <v>400405</v>
      </c>
      <c r="N205" s="13" cm="1">
        <f t="array" ref="N205">INDEX(GMWQ!$A$2:$NF$60,MATCH(1,(GMWQ!$NE$2:$NE$60=N$3)*(GMWQ!$ND$2:$ND$60=N$4)*(GMWQ!$NF$2:$NF$60=N$1),0),$E205-1966)</f>
        <v>100.8755</v>
      </c>
    </row>
    <row r="206" spans="1:14" x14ac:dyDescent="0.25">
      <c r="B206" s="13">
        <f t="shared" si="17"/>
        <v>2022</v>
      </c>
      <c r="C206" s="13">
        <f t="shared" si="17"/>
        <v>2022</v>
      </c>
      <c r="E206" s="13">
        <f t="shared" si="15"/>
        <v>2172</v>
      </c>
      <c r="F206" s="13" cm="1">
        <f t="array" ref="F206">INDEX(GMWQ!$A$2:$NF$60,MATCH(1,(GMWQ!$NE$2:$NE$60=F$3)*(GMWQ!$ND$2:$ND$60=F$4)*(GMWQ!$NF$2:$NF$60=F$1),0),$E206-1966)</f>
        <v>135.47059999999999</v>
      </c>
      <c r="G206" s="13" cm="1">
        <f t="array" ref="G206">INDEX(GMWQ!$A$2:$NF$60,MATCH(1,(GMWQ!$NE$2:$NE$60=G$3)*(GMWQ!$ND$2:$ND$60=G$4)*(GMWQ!$NF$2:$NF$60=G$1),0),$E206-1966)</f>
        <v>34778</v>
      </c>
      <c r="H206" s="13" cm="1">
        <f t="array" ref="H206">INDEX(GMWQ!$A$2:$NF$60,MATCH(1,(GMWQ!$NE$2:$NE$60=H$3)*(GMWQ!$ND$2:$ND$60=H$4)*(GMWQ!$NF$2:$NF$60=H$1),0),$E206-1966)</f>
        <v>630.33330000000001</v>
      </c>
      <c r="I206" s="13" cm="1">
        <f t="array" ref="I206">INDEX(GMWQ!$A$2:$NF$60,MATCH(1,(GMWQ!$NE$2:$NE$60=I$3)*(GMWQ!$ND$2:$ND$60=I$4)*(GMWQ!$NF$2:$NF$60=I$1),0),$E206-1966)</f>
        <v>148171</v>
      </c>
      <c r="J206" s="13" cm="1">
        <f t="array" ref="J206">INDEX(GMWQ!$A$2:$NF$60,MATCH(1,(GMWQ!$NE$2:$NE$60=J$3)*(GMWQ!$ND$2:$ND$60=J$4)*(GMWQ!$NF$2:$NF$60=J$1),0),$E206-1966)</f>
        <v>654062</v>
      </c>
      <c r="K206" s="13" cm="1">
        <f t="array" ref="K206">INDEX(GMWQ!$A$2:$NF$60,MATCH(1,(GMWQ!$NE$2:$NE$60=K$3)*(GMWQ!$ND$2:$ND$60=K$4)*(GMWQ!$NF$2:$NF$60=K$1),0),$E206-1966)</f>
        <v>263054</v>
      </c>
      <c r="L206" s="13" cm="1">
        <f t="array" ref="L206">INDEX(GMWQ!$A$2:$NF$60,MATCH(1,(GMWQ!$NE$2:$NE$60=L$3)*(GMWQ!$ND$2:$ND$60=L$4)*(GMWQ!$NF$2:$NF$60=L$1),0),$E206-1966)</f>
        <v>422652</v>
      </c>
      <c r="M206" s="13" cm="1">
        <f t="array" ref="M206">INDEX(GMWQ!$A$2:$NF$60,MATCH(1,(GMWQ!$NE$2:$NE$60=M$3)*(GMWQ!$ND$2:$ND$60=M$4)*(GMWQ!$NF$2:$NF$60=M$1),0),$E206-1966)</f>
        <v>408689</v>
      </c>
      <c r="N206" s="13" cm="1">
        <f t="array" ref="N206">INDEX(GMWQ!$A$2:$NF$60,MATCH(1,(GMWQ!$NE$2:$NE$60=N$3)*(GMWQ!$ND$2:$ND$60=N$4)*(GMWQ!$NF$2:$NF$60=N$1),0),$E206-1966)</f>
        <v>103.52200000000001</v>
      </c>
    </row>
    <row r="207" spans="1:14" x14ac:dyDescent="0.25">
      <c r="A207" s="13">
        <v>2023</v>
      </c>
      <c r="B207" s="13">
        <f t="shared" si="17"/>
        <v>2023</v>
      </c>
      <c r="C207" s="13">
        <f t="shared" si="17"/>
        <v>2022</v>
      </c>
      <c r="D207" s="13">
        <f t="shared" si="17"/>
        <v>2022</v>
      </c>
      <c r="E207" s="13">
        <f t="shared" si="15"/>
        <v>2173</v>
      </c>
      <c r="F207" s="13" cm="1">
        <f t="array" ref="F207">INDEX(GMWQ!$A$2:$NF$60,MATCH(1,(GMWQ!$NE$2:$NE$60=F$3)*(GMWQ!$ND$2:$ND$60=F$4)*(GMWQ!$NF$2:$NF$60=F$1),0),$E207-1966)</f>
        <v>138.5436</v>
      </c>
      <c r="G207" s="13" cm="1">
        <f t="array" ref="G207">INDEX(GMWQ!$A$2:$NF$60,MATCH(1,(GMWQ!$NE$2:$NE$60=G$3)*(GMWQ!$ND$2:$ND$60=G$4)*(GMWQ!$NF$2:$NF$60=G$1),0),$E207-1966)</f>
        <v>34843</v>
      </c>
      <c r="H207" s="13" cm="1">
        <f t="array" ref="H207">INDEX(GMWQ!$A$2:$NF$60,MATCH(1,(GMWQ!$NE$2:$NE$60=H$3)*(GMWQ!$ND$2:$ND$60=H$4)*(GMWQ!$NF$2:$NF$60=H$1),0),$E207-1966)</f>
        <v>640.33330000000001</v>
      </c>
      <c r="I207" s="13" cm="1">
        <f t="array" ref="I207">INDEX(GMWQ!$A$2:$NF$60,MATCH(1,(GMWQ!$NE$2:$NE$60=I$3)*(GMWQ!$ND$2:$ND$60=I$4)*(GMWQ!$NF$2:$NF$60=I$1),0),$E207-1966)</f>
        <v>156930</v>
      </c>
      <c r="J207" s="13" cm="1">
        <f t="array" ref="J207">INDEX(GMWQ!$A$2:$NF$60,MATCH(1,(GMWQ!$NE$2:$NE$60=J$3)*(GMWQ!$ND$2:$ND$60=J$4)*(GMWQ!$NF$2:$NF$60=J$1),0),$E207-1966)</f>
        <v>667103</v>
      </c>
      <c r="K207" s="13" cm="1">
        <f t="array" ref="K207">INDEX(GMWQ!$A$2:$NF$60,MATCH(1,(GMWQ!$NE$2:$NE$60=K$3)*(GMWQ!$ND$2:$ND$60=K$4)*(GMWQ!$NF$2:$NF$60=K$1),0),$E207-1966)</f>
        <v>270338</v>
      </c>
      <c r="L207" s="13" cm="1">
        <f t="array" ref="L207">INDEX(GMWQ!$A$2:$NF$60,MATCH(1,(GMWQ!$NE$2:$NE$60=L$3)*(GMWQ!$ND$2:$ND$60=L$4)*(GMWQ!$NF$2:$NF$60=L$1),0),$E207-1966)</f>
        <v>428670</v>
      </c>
      <c r="M207" s="13" cm="1">
        <f t="array" ref="M207">INDEX(GMWQ!$A$2:$NF$60,MATCH(1,(GMWQ!$NE$2:$NE$60=M$3)*(GMWQ!$ND$2:$ND$60=M$4)*(GMWQ!$NF$2:$NF$60=M$1),0),$E207-1966)</f>
        <v>405797</v>
      </c>
      <c r="N207" s="13" cm="1">
        <f t="array" ref="N207">INDEX(GMWQ!$A$2:$NF$60,MATCH(1,(GMWQ!$NE$2:$NE$60=N$3)*(GMWQ!$ND$2:$ND$60=N$4)*(GMWQ!$NF$2:$NF$60=N$1),0),$E207-1966)</f>
        <v>105.8083</v>
      </c>
    </row>
    <row r="208" spans="1:14" x14ac:dyDescent="0.25">
      <c r="B208" s="13">
        <f t="shared" si="17"/>
        <v>2023</v>
      </c>
      <c r="C208" s="13">
        <f t="shared" si="17"/>
        <v>2023</v>
      </c>
      <c r="E208" s="13">
        <f t="shared" si="15"/>
        <v>2174</v>
      </c>
      <c r="F208" s="13" cm="1">
        <f t="array" ref="F208">INDEX(GMWQ!$A$2:$NF$60,MATCH(1,(GMWQ!$NE$2:$NE$60=F$3)*(GMWQ!$ND$2:$ND$60=F$4)*(GMWQ!$NF$2:$NF$60=F$1),0),$E208-1966)</f>
        <v>141.43100000000001</v>
      </c>
      <c r="G208" s="13" cm="1">
        <f t="array" ref="G208">INDEX(GMWQ!$A$2:$NF$60,MATCH(1,(GMWQ!$NE$2:$NE$60=G$3)*(GMWQ!$ND$2:$ND$60=G$4)*(GMWQ!$NF$2:$NF$60=G$1),0),$E208-1966)</f>
        <v>35199</v>
      </c>
      <c r="H208" s="13" cm="1">
        <f t="array" ref="H208">INDEX(GMWQ!$A$2:$NF$60,MATCH(1,(GMWQ!$NE$2:$NE$60=H$3)*(GMWQ!$ND$2:$ND$60=H$4)*(GMWQ!$NF$2:$NF$60=H$1),0),$E208-1966)</f>
        <v>657.33330000000001</v>
      </c>
      <c r="I208" s="13" cm="1">
        <f t="array" ref="I208">INDEX(GMWQ!$A$2:$NF$60,MATCH(1,(GMWQ!$NE$2:$NE$60=I$3)*(GMWQ!$ND$2:$ND$60=I$4)*(GMWQ!$NF$2:$NF$60=I$1),0),$E208-1966)</f>
        <v>146974</v>
      </c>
      <c r="J208" s="13" cm="1">
        <f t="array" ref="J208">INDEX(GMWQ!$A$2:$NF$60,MATCH(1,(GMWQ!$NE$2:$NE$60=J$3)*(GMWQ!$ND$2:$ND$60=J$4)*(GMWQ!$NF$2:$NF$60=J$1),0),$E208-1966)</f>
        <v>679433</v>
      </c>
      <c r="K208" s="13" cm="1">
        <f t="array" ref="K208">INDEX(GMWQ!$A$2:$NF$60,MATCH(1,(GMWQ!$NE$2:$NE$60=K$3)*(GMWQ!$ND$2:$ND$60=K$4)*(GMWQ!$NF$2:$NF$60=K$1),0),$E208-1966)</f>
        <v>276258</v>
      </c>
      <c r="L208" s="13" cm="1">
        <f t="array" ref="L208">INDEX(GMWQ!$A$2:$NF$60,MATCH(1,(GMWQ!$NE$2:$NE$60=L$3)*(GMWQ!$ND$2:$ND$60=L$4)*(GMWQ!$NF$2:$NF$60=L$1),0),$E208-1966)</f>
        <v>439405</v>
      </c>
      <c r="M208" s="13" cm="1">
        <f t="array" ref="M208">INDEX(GMWQ!$A$2:$NF$60,MATCH(1,(GMWQ!$NE$2:$NE$60=M$3)*(GMWQ!$ND$2:$ND$60=M$4)*(GMWQ!$NF$2:$NF$60=M$1),0),$E208-1966)</f>
        <v>411416</v>
      </c>
      <c r="N208" s="13" cm="1">
        <f t="array" ref="N208">INDEX(GMWQ!$A$2:$NF$60,MATCH(1,(GMWQ!$NE$2:$NE$60=N$3)*(GMWQ!$ND$2:$ND$60=N$4)*(GMWQ!$NF$2:$NF$60=N$1),0),$E208-1966)</f>
        <v>106.80110000000001</v>
      </c>
    </row>
    <row r="209" spans="1:14" x14ac:dyDescent="0.25">
      <c r="B209" s="13">
        <f t="shared" si="17"/>
        <v>2023</v>
      </c>
      <c r="C209" s="13">
        <f t="shared" si="17"/>
        <v>2023</v>
      </c>
      <c r="E209" s="13">
        <f t="shared" si="15"/>
        <v>2175</v>
      </c>
      <c r="F209" s="13" cm="1">
        <f t="array" ref="F209">INDEX(GMWQ!$A$2:$NF$60,MATCH(1,(GMWQ!$NE$2:$NE$60=F$3)*(GMWQ!$ND$2:$ND$60=F$4)*(GMWQ!$NF$2:$NF$60=F$1),0),$E209-1966)</f>
        <v>142.7002</v>
      </c>
      <c r="G209" s="13" cm="1">
        <f t="array" ref="G209">INDEX(GMWQ!$A$2:$NF$60,MATCH(1,(GMWQ!$NE$2:$NE$60=G$3)*(GMWQ!$ND$2:$ND$60=G$4)*(GMWQ!$NF$2:$NF$60=G$1),0),$E209-1966)</f>
        <v>35743</v>
      </c>
      <c r="H209" s="13" cm="1">
        <f t="array" ref="H209">INDEX(GMWQ!$A$2:$NF$60,MATCH(1,(GMWQ!$NE$2:$NE$60=H$3)*(GMWQ!$ND$2:$ND$60=H$4)*(GMWQ!$NF$2:$NF$60=H$1),0),$E209-1966)</f>
        <v>665.66669999999999</v>
      </c>
      <c r="I209" s="13" cm="1">
        <f t="array" ref="I209">INDEX(GMWQ!$A$2:$NF$60,MATCH(1,(GMWQ!$NE$2:$NE$60=I$3)*(GMWQ!$ND$2:$ND$60=I$4)*(GMWQ!$NF$2:$NF$60=I$1),0),$E209-1966)</f>
        <v>143930</v>
      </c>
      <c r="J209" s="13" cm="1">
        <f t="array" ref="J209">INDEX(GMWQ!$A$2:$NF$60,MATCH(1,(GMWQ!$NE$2:$NE$60=J$3)*(GMWQ!$ND$2:$ND$60=J$4)*(GMWQ!$NF$2:$NF$60=J$1),0),$E209-1966)</f>
        <v>685035</v>
      </c>
      <c r="K209" s="13" cm="1">
        <f t="array" ref="K209">INDEX(GMWQ!$A$2:$NF$60,MATCH(1,(GMWQ!$NE$2:$NE$60=K$3)*(GMWQ!$ND$2:$ND$60=K$4)*(GMWQ!$NF$2:$NF$60=K$1),0),$E209-1966)</f>
        <v>278666</v>
      </c>
      <c r="L209" s="13" cm="1">
        <f t="array" ref="L209">INDEX(GMWQ!$A$2:$NF$60,MATCH(1,(GMWQ!$NE$2:$NE$60=L$3)*(GMWQ!$ND$2:$ND$60=L$4)*(GMWQ!$NF$2:$NF$60=L$1),0),$E209-1966)</f>
        <v>440937</v>
      </c>
      <c r="M209" s="13" cm="1">
        <f t="array" ref="M209">INDEX(GMWQ!$A$2:$NF$60,MATCH(1,(GMWQ!$NE$2:$NE$60=M$3)*(GMWQ!$ND$2:$ND$60=M$4)*(GMWQ!$NF$2:$NF$60=M$1),0),$E209-1966)</f>
        <v>411131</v>
      </c>
      <c r="N209" s="13" cm="1">
        <f t="array" ref="N209">INDEX(GMWQ!$A$2:$NF$60,MATCH(1,(GMWQ!$NE$2:$NE$60=N$3)*(GMWQ!$ND$2:$ND$60=N$4)*(GMWQ!$NF$2:$NF$60=N$1),0),$E209-1966)</f>
        <v>107.2646</v>
      </c>
    </row>
    <row r="210" spans="1:14" x14ac:dyDescent="0.25">
      <c r="B210" s="13">
        <f t="shared" si="17"/>
        <v>2023</v>
      </c>
      <c r="C210" s="13">
        <f t="shared" si="17"/>
        <v>2023</v>
      </c>
      <c r="E210" s="13">
        <f t="shared" si="15"/>
        <v>2176</v>
      </c>
      <c r="F210" s="13" cm="1">
        <f t="array" ref="F210">INDEX(GMWQ!$A$2:$NF$60,MATCH(1,(GMWQ!$NE$2:$NE$60=F$3)*(GMWQ!$ND$2:$ND$60=F$4)*(GMWQ!$NF$2:$NF$60=F$1),0),$E210-1966)</f>
        <v>144.6448</v>
      </c>
      <c r="G210" s="13" cm="1">
        <f t="array" ref="G210">INDEX(GMWQ!$A$2:$NF$60,MATCH(1,(GMWQ!$NE$2:$NE$60=G$3)*(GMWQ!$ND$2:$ND$60=G$4)*(GMWQ!$NF$2:$NF$60=G$1),0),$E210-1966)</f>
        <v>37307</v>
      </c>
      <c r="H210" s="13" cm="1">
        <f t="array" ref="H210">INDEX(GMWQ!$A$2:$NF$60,MATCH(1,(GMWQ!$NE$2:$NE$60=H$3)*(GMWQ!$ND$2:$ND$60=H$4)*(GMWQ!$NF$2:$NF$60=H$1),0),$E210-1966)</f>
        <v>666.66669999999999</v>
      </c>
      <c r="I210" s="13" cm="1">
        <f t="array" ref="I210">INDEX(GMWQ!$A$2:$NF$60,MATCH(1,(GMWQ!$NE$2:$NE$60=I$3)*(GMWQ!$ND$2:$ND$60=I$4)*(GMWQ!$NF$2:$NF$60=I$1),0),$E210-1966)</f>
        <v>140900</v>
      </c>
      <c r="J210" s="13" cm="1">
        <f t="array" ref="J210">INDEX(GMWQ!$A$2:$NF$60,MATCH(1,(GMWQ!$NE$2:$NE$60=J$3)*(GMWQ!$ND$2:$ND$60=J$4)*(GMWQ!$NF$2:$NF$60=J$1),0),$E210-1966)</f>
        <v>685749</v>
      </c>
      <c r="K210" s="13" cm="1">
        <f t="array" ref="K210">INDEX(GMWQ!$A$2:$NF$60,MATCH(1,(GMWQ!$NE$2:$NE$60=K$3)*(GMWQ!$ND$2:$ND$60=K$4)*(GMWQ!$NF$2:$NF$60=K$1),0),$E210-1966)</f>
        <v>280114</v>
      </c>
      <c r="L210" s="13" cm="1">
        <f t="array" ref="L210">INDEX(GMWQ!$A$2:$NF$60,MATCH(1,(GMWQ!$NE$2:$NE$60=L$3)*(GMWQ!$ND$2:$ND$60=L$4)*(GMWQ!$NF$2:$NF$60=L$1),0),$E210-1966)</f>
        <v>446922</v>
      </c>
      <c r="M210" s="13" cm="1">
        <f t="array" ref="M210">INDEX(GMWQ!$A$2:$NF$60,MATCH(1,(GMWQ!$NE$2:$NE$60=M$3)*(GMWQ!$ND$2:$ND$60=M$4)*(GMWQ!$NF$2:$NF$60=M$1),0),$E210-1966)</f>
        <v>415199</v>
      </c>
      <c r="N210" s="13" cm="1">
        <f t="array" ref="N210">INDEX(GMWQ!$A$2:$NF$60,MATCH(1,(GMWQ!$NE$2:$NE$60=N$3)*(GMWQ!$ND$2:$ND$60=N$4)*(GMWQ!$NF$2:$NF$60=N$1),0),$E210-1966)</f>
        <v>107.5997</v>
      </c>
    </row>
    <row r="211" spans="1:14" x14ac:dyDescent="0.25">
      <c r="A211" s="13">
        <v>2024</v>
      </c>
      <c r="B211" s="13">
        <f t="shared" si="17"/>
        <v>2024</v>
      </c>
      <c r="C211" s="13">
        <f t="shared" si="17"/>
        <v>2023</v>
      </c>
      <c r="D211" s="13">
        <f t="shared" si="17"/>
        <v>2023</v>
      </c>
      <c r="E211" s="13">
        <f t="shared" si="15"/>
        <v>2177</v>
      </c>
      <c r="F211" s="13" cm="1">
        <f t="array" ref="F211">INDEX(GMWQ!$A$2:$NF$60,MATCH(1,(GMWQ!$NE$2:$NE$60=F$3)*(GMWQ!$ND$2:$ND$60=F$4)*(GMWQ!$NF$2:$NF$60=F$1),0),$E211-1966)</f>
        <v>146.21080000000001</v>
      </c>
      <c r="G211" s="13" cm="1">
        <f t="array" ref="G211">INDEX(GMWQ!$A$2:$NF$60,MATCH(1,(GMWQ!$NE$2:$NE$60=G$3)*(GMWQ!$ND$2:$ND$60=G$4)*(GMWQ!$NF$2:$NF$60=G$1),0),$E211-1966)</f>
        <v>39008</v>
      </c>
      <c r="H211" s="13" cm="1">
        <f t="array" ref="H211">INDEX(GMWQ!$A$2:$NF$60,MATCH(1,(GMWQ!$NE$2:$NE$60=H$3)*(GMWQ!$ND$2:$ND$60=H$4)*(GMWQ!$NF$2:$NF$60=H$1),0),$E211-1966)</f>
        <v>678.33330000000001</v>
      </c>
      <c r="I211" s="13" cm="1">
        <f t="array" ref="I211">INDEX(GMWQ!$A$2:$NF$60,MATCH(1,(GMWQ!$NE$2:$NE$60=I$3)*(GMWQ!$ND$2:$ND$60=I$4)*(GMWQ!$NF$2:$NF$60=I$1),0),$E211-1966)</f>
        <v>143050</v>
      </c>
      <c r="J211" s="13" cm="1">
        <f t="array" ref="J211">INDEX(GMWQ!$A$2:$NF$60,MATCH(1,(GMWQ!$NE$2:$NE$60=J$3)*(GMWQ!$ND$2:$ND$60=J$4)*(GMWQ!$NF$2:$NF$60=J$1),0),$E211-1966)</f>
        <v>697617</v>
      </c>
      <c r="K211" s="13" cm="1">
        <f t="array" ref="K211">INDEX(GMWQ!$A$2:$NF$60,MATCH(1,(GMWQ!$NE$2:$NE$60=K$3)*(GMWQ!$ND$2:$ND$60=K$4)*(GMWQ!$NF$2:$NF$60=K$1),0),$E211-1966)</f>
        <v>284929</v>
      </c>
      <c r="L211" s="13" cm="1">
        <f t="array" ref="L211">INDEX(GMWQ!$A$2:$NF$60,MATCH(1,(GMWQ!$NE$2:$NE$60=L$3)*(GMWQ!$ND$2:$ND$60=L$4)*(GMWQ!$NF$2:$NF$60=L$1),0),$E211-1966)</f>
        <v>457594</v>
      </c>
      <c r="M211" s="13" cm="1">
        <f t="array" ref="M211">INDEX(GMWQ!$A$2:$NF$60,MATCH(1,(GMWQ!$NE$2:$NE$60=M$3)*(GMWQ!$ND$2:$ND$60=M$4)*(GMWQ!$NF$2:$NF$60=M$1),0),$E211-1966)</f>
        <v>420949</v>
      </c>
      <c r="N211" s="13" cm="1">
        <f t="array" ref="N211">INDEX(GMWQ!$A$2:$NF$60,MATCH(1,(GMWQ!$NE$2:$NE$60=N$3)*(GMWQ!$ND$2:$ND$60=N$4)*(GMWQ!$NF$2:$NF$60=N$1),0),$E211-1966)</f>
        <v>108.70010000000001</v>
      </c>
    </row>
    <row r="212" spans="1:14" x14ac:dyDescent="0.25">
      <c r="B212" s="13">
        <f t="shared" si="17"/>
        <v>2024</v>
      </c>
      <c r="C212" s="13">
        <f t="shared" si="17"/>
        <v>2024</v>
      </c>
      <c r="E212" s="13">
        <f t="shared" si="15"/>
        <v>2178</v>
      </c>
      <c r="F212" s="13" cm="1">
        <f t="array" ref="F212">INDEX(GMWQ!$A$2:$NF$60,MATCH(1,(GMWQ!$NE$2:$NE$60=F$3)*(GMWQ!$ND$2:$ND$60=F$4)*(GMWQ!$NF$2:$NF$60=F$1),0),$E212-1966)</f>
        <v>148.0625</v>
      </c>
      <c r="G212" s="13" cm="1">
        <f t="array" ref="G212">INDEX(GMWQ!$A$2:$NF$60,MATCH(1,(GMWQ!$NE$2:$NE$60=G$3)*(GMWQ!$ND$2:$ND$60=G$4)*(GMWQ!$NF$2:$NF$60=G$1),0),$E212-1966)</f>
        <v>38725</v>
      </c>
      <c r="H212" s="13" cm="1">
        <f t="array" ref="H212">INDEX(GMWQ!$A$2:$NF$60,MATCH(1,(GMWQ!$NE$2:$NE$60=H$3)*(GMWQ!$ND$2:$ND$60=H$4)*(GMWQ!$NF$2:$NF$60=H$1),0),$E212-1966)</f>
        <v>687.33330000000001</v>
      </c>
      <c r="I212" s="13" cm="1">
        <f t="array" ref="I212">INDEX(GMWQ!$A$2:$NF$60,MATCH(1,(GMWQ!$NE$2:$NE$60=I$3)*(GMWQ!$ND$2:$ND$60=I$4)*(GMWQ!$NF$2:$NF$60=I$1),0),$E212-1966)</f>
        <v>142660</v>
      </c>
      <c r="J212" s="13" cm="1">
        <f t="array" ref="J212">INDEX(GMWQ!$A$2:$NF$60,MATCH(1,(GMWQ!$NE$2:$NE$60=J$3)*(GMWQ!$ND$2:$ND$60=J$4)*(GMWQ!$NF$2:$NF$60=J$1),0),$E212-1966)</f>
        <v>704470</v>
      </c>
      <c r="K212" s="13" cm="1">
        <f t="array" ref="K212">INDEX(GMWQ!$A$2:$NF$60,MATCH(1,(GMWQ!$NE$2:$NE$60=K$3)*(GMWQ!$ND$2:$ND$60=K$4)*(GMWQ!$NF$2:$NF$60=K$1),0),$E212-1966)</f>
        <v>290306</v>
      </c>
      <c r="L212" s="13" cm="1">
        <f t="array" ref="L212">INDEX(GMWQ!$A$2:$NF$60,MATCH(1,(GMWQ!$NE$2:$NE$60=L$3)*(GMWQ!$ND$2:$ND$60=L$4)*(GMWQ!$NF$2:$NF$60=L$1),0),$E212-1966)</f>
        <v>468096</v>
      </c>
      <c r="M212" s="13" cm="1">
        <f t="array" ref="M212">INDEX(GMWQ!$A$2:$NF$60,MATCH(1,(GMWQ!$NE$2:$NE$60=M$3)*(GMWQ!$ND$2:$ND$60=M$4)*(GMWQ!$NF$2:$NF$60=M$1),0),$E212-1966)</f>
        <v>427972</v>
      </c>
      <c r="N212" s="13" cm="1">
        <f t="array" ref="N212">INDEX(GMWQ!$A$2:$NF$60,MATCH(1,(GMWQ!$NE$2:$NE$60=N$3)*(GMWQ!$ND$2:$ND$60=N$4)*(GMWQ!$NF$2:$NF$60=N$1),0),$E212-1966)</f>
        <v>109.34010000000001</v>
      </c>
    </row>
    <row r="213" spans="1:14" x14ac:dyDescent="0.25">
      <c r="B213" s="13">
        <f t="shared" si="17"/>
        <v>2024</v>
      </c>
      <c r="C213" s="13">
        <f t="shared" si="17"/>
        <v>2024</v>
      </c>
      <c r="E213" s="13">
        <f t="shared" si="15"/>
        <v>2179</v>
      </c>
      <c r="F213" s="13" cm="1">
        <f t="array" ref="F213">INDEX(GMWQ!$A$2:$NF$60,MATCH(1,(GMWQ!$NE$2:$NE$60=F$3)*(GMWQ!$ND$2:$ND$60=F$4)*(GMWQ!$NF$2:$NF$60=F$1),0),$E213-1966)</f>
        <v>149.06039999999999</v>
      </c>
      <c r="G213" s="13" cm="1">
        <f t="array" ref="G213">INDEX(GMWQ!$A$2:$NF$60,MATCH(1,(GMWQ!$NE$2:$NE$60=G$3)*(GMWQ!$ND$2:$ND$60=G$4)*(GMWQ!$NF$2:$NF$60=G$1),0),$E213-1966)</f>
        <v>39142</v>
      </c>
      <c r="H213" s="13" cm="1">
        <f t="array" ref="H213">INDEX(GMWQ!$A$2:$NF$60,MATCH(1,(GMWQ!$NE$2:$NE$60=H$3)*(GMWQ!$ND$2:$ND$60=H$4)*(GMWQ!$NF$2:$NF$60=H$1),0),$E213-1966)</f>
        <v>694.66669999999999</v>
      </c>
      <c r="I213" s="13" cm="1">
        <f t="array" ref="I213">INDEX(GMWQ!$A$2:$NF$60,MATCH(1,(GMWQ!$NE$2:$NE$60=I$3)*(GMWQ!$ND$2:$ND$60=I$4)*(GMWQ!$NF$2:$NF$60=I$1),0),$E213-1966)</f>
        <v>143506</v>
      </c>
      <c r="J213" s="13" cm="1">
        <f t="array" ref="J213">INDEX(GMWQ!$A$2:$NF$60,MATCH(1,(GMWQ!$NE$2:$NE$60=J$3)*(GMWQ!$ND$2:$ND$60=J$4)*(GMWQ!$NF$2:$NF$60=J$1),0),$E213-1966)</f>
        <v>712652</v>
      </c>
      <c r="K213" s="13" cm="1">
        <f t="array" ref="K213">INDEX(GMWQ!$A$2:$NF$60,MATCH(1,(GMWQ!$NE$2:$NE$60=K$3)*(GMWQ!$ND$2:$ND$60=K$4)*(GMWQ!$NF$2:$NF$60=K$1),0),$E213-1966)</f>
        <v>291953</v>
      </c>
      <c r="L213" s="13" cm="1">
        <f t="array" ref="L213">INDEX(GMWQ!$A$2:$NF$60,MATCH(1,(GMWQ!$NE$2:$NE$60=L$3)*(GMWQ!$ND$2:$ND$60=L$4)*(GMWQ!$NF$2:$NF$60=L$1),0),$E213-1966)</f>
        <v>470726</v>
      </c>
      <c r="M213" s="13" cm="1">
        <f t="array" ref="M213">INDEX(GMWQ!$A$2:$NF$60,MATCH(1,(GMWQ!$NE$2:$NE$60=M$3)*(GMWQ!$ND$2:$ND$60=M$4)*(GMWQ!$NF$2:$NF$60=M$1),0),$E213-1966)</f>
        <v>428682</v>
      </c>
      <c r="N213" s="13" cm="1">
        <f t="array" ref="N213">INDEX(GMWQ!$A$2:$NF$60,MATCH(1,(GMWQ!$NE$2:$NE$60=N$3)*(GMWQ!$ND$2:$ND$60=N$4)*(GMWQ!$NF$2:$NF$60=N$1),0),$E213-1966)</f>
        <v>109.72150000000001</v>
      </c>
    </row>
    <row r="214" spans="1:14" x14ac:dyDescent="0.25">
      <c r="B214" s="13">
        <f t="shared" si="17"/>
        <v>2024</v>
      </c>
      <c r="C214" s="13">
        <f t="shared" si="17"/>
        <v>2024</v>
      </c>
      <c r="E214" s="13">
        <f t="shared" si="15"/>
        <v>2180</v>
      </c>
      <c r="F214" s="13" cm="1">
        <f t="array" ref="F214">INDEX(GMWQ!$A$2:$NF$60,MATCH(1,(GMWQ!$NE$2:$NE$60=F$3)*(GMWQ!$ND$2:$ND$60=F$4)*(GMWQ!$NF$2:$NF$60=F$1),0),$E214-1966)</f>
        <v>151.52619999999999</v>
      </c>
      <c r="G214" s="13" cm="1">
        <f t="array" ref="G214">INDEX(GMWQ!$A$2:$NF$60,MATCH(1,(GMWQ!$NE$2:$NE$60=G$3)*(GMWQ!$ND$2:$ND$60=G$4)*(GMWQ!$NF$2:$NF$60=G$1),0),$E214-1966)</f>
        <v>39903.57</v>
      </c>
      <c r="H214" s="13" cm="1">
        <f t="array" ref="H214">INDEX(GMWQ!$A$2:$NF$60,MATCH(1,(GMWQ!$NE$2:$NE$60=H$3)*(GMWQ!$ND$2:$ND$60=H$4)*(GMWQ!$NF$2:$NF$60=H$1),0),$E214-1966)</f>
        <v>707.74180000000001</v>
      </c>
      <c r="I214" s="13" cm="1">
        <f t="array" ref="I214">INDEX(GMWQ!$A$2:$NF$60,MATCH(1,(GMWQ!$NE$2:$NE$60=I$3)*(GMWQ!$ND$2:$ND$60=I$4)*(GMWQ!$NF$2:$NF$60=I$1),0),$E214-1966)</f>
        <v>145121.4</v>
      </c>
      <c r="J214" s="13" cm="1">
        <f t="array" ref="J214">INDEX(GMWQ!$A$2:$NF$60,MATCH(1,(GMWQ!$NE$2:$NE$60=J$3)*(GMWQ!$ND$2:$ND$60=J$4)*(GMWQ!$NF$2:$NF$60=J$1),0),$E214-1966)</f>
        <v>719720.4</v>
      </c>
      <c r="K214" s="13" cm="1">
        <f t="array" ref="K214">INDEX(GMWQ!$A$2:$NF$60,MATCH(1,(GMWQ!$NE$2:$NE$60=K$3)*(GMWQ!$ND$2:$ND$60=K$4)*(GMWQ!$NF$2:$NF$60=K$1),0),$E214-1966)</f>
        <v>297079.5</v>
      </c>
      <c r="L214" s="13" cm="1">
        <f t="array" ref="L214">INDEX(GMWQ!$A$2:$NF$60,MATCH(1,(GMWQ!$NE$2:$NE$60=L$3)*(GMWQ!$ND$2:$ND$60=L$4)*(GMWQ!$NF$2:$NF$60=L$1),0),$E214-1966)</f>
        <v>474739.7</v>
      </c>
      <c r="M214" s="13" cm="1">
        <f t="array" ref="M214">INDEX(GMWQ!$A$2:$NF$60,MATCH(1,(GMWQ!$NE$2:$NE$60=M$3)*(GMWQ!$ND$2:$ND$60=M$4)*(GMWQ!$NF$2:$NF$60=M$1),0),$E214-1966)</f>
        <v>429072.6</v>
      </c>
      <c r="N214" s="13" cm="1">
        <f t="array" ref="N214">INDEX(GMWQ!$A$2:$NF$60,MATCH(1,(GMWQ!$NE$2:$NE$60=N$3)*(GMWQ!$ND$2:$ND$60=N$4)*(GMWQ!$NF$2:$NF$60=N$1),0),$E214-1966)</f>
        <v>110.5993</v>
      </c>
    </row>
    <row r="215" spans="1:14" x14ac:dyDescent="0.25">
      <c r="A215" s="13">
        <v>2025</v>
      </c>
      <c r="B215" s="13">
        <f t="shared" si="17"/>
        <v>2025</v>
      </c>
      <c r="C215" s="13">
        <f t="shared" si="17"/>
        <v>2024</v>
      </c>
      <c r="D215" s="13">
        <f t="shared" si="17"/>
        <v>2024</v>
      </c>
      <c r="E215" s="13">
        <f t="shared" si="15"/>
        <v>2181</v>
      </c>
      <c r="F215" s="13" cm="1">
        <f t="array" ref="F215">INDEX(GMWQ!$A$2:$NF$60,MATCH(1,(GMWQ!$NE$2:$NE$60=F$3)*(GMWQ!$ND$2:$ND$60=F$4)*(GMWQ!$NF$2:$NF$60=F$1),0),$E215-1966)</f>
        <v>152.41929999999999</v>
      </c>
      <c r="G215" s="13" cm="1">
        <f t="array" ref="G215">INDEX(GMWQ!$A$2:$NF$60,MATCH(1,(GMWQ!$NE$2:$NE$60=G$3)*(GMWQ!$ND$2:$ND$60=G$4)*(GMWQ!$NF$2:$NF$60=G$1),0),$E215-1966)</f>
        <v>40354.629999999997</v>
      </c>
      <c r="H215" s="13" cm="1">
        <f t="array" ref="H215">INDEX(GMWQ!$A$2:$NF$60,MATCH(1,(GMWQ!$NE$2:$NE$60=H$3)*(GMWQ!$ND$2:$ND$60=H$4)*(GMWQ!$NF$2:$NF$60=H$1),0),$E215-1966)</f>
        <v>713.572</v>
      </c>
      <c r="I215" s="13" cm="1">
        <f t="array" ref="I215">INDEX(GMWQ!$A$2:$NF$60,MATCH(1,(GMWQ!$NE$2:$NE$60=I$3)*(GMWQ!$ND$2:$ND$60=I$4)*(GMWQ!$NF$2:$NF$60=I$1),0),$E215-1966)</f>
        <v>148374.5</v>
      </c>
      <c r="J215" s="13" cm="1">
        <f t="array" ref="J215">INDEX(GMWQ!$A$2:$NF$60,MATCH(1,(GMWQ!$NE$2:$NE$60=J$3)*(GMWQ!$ND$2:$ND$60=J$4)*(GMWQ!$NF$2:$NF$60=J$1),0),$E215-1966)</f>
        <v>729288.2</v>
      </c>
      <c r="K215" s="13" cm="1">
        <f t="array" ref="K215">INDEX(GMWQ!$A$2:$NF$60,MATCH(1,(GMWQ!$NE$2:$NE$60=K$3)*(GMWQ!$ND$2:$ND$60=K$4)*(GMWQ!$NF$2:$NF$60=K$1),0),$E215-1966)</f>
        <v>299879.5</v>
      </c>
      <c r="L215" s="13" cm="1">
        <f t="array" ref="L215">INDEX(GMWQ!$A$2:$NF$60,MATCH(1,(GMWQ!$NE$2:$NE$60=L$3)*(GMWQ!$ND$2:$ND$60=L$4)*(GMWQ!$NF$2:$NF$60=L$1),0),$E215-1966)</f>
        <v>479435.3</v>
      </c>
      <c r="M215" s="13" cm="1">
        <f t="array" ref="M215">INDEX(GMWQ!$A$2:$NF$60,MATCH(1,(GMWQ!$NE$2:$NE$60=M$3)*(GMWQ!$ND$2:$ND$60=M$4)*(GMWQ!$NF$2:$NF$60=M$1),0),$E215-1966)</f>
        <v>430093.5</v>
      </c>
      <c r="N215" s="13" cm="1">
        <f t="array" ref="N215">INDEX(GMWQ!$A$2:$NF$60,MATCH(1,(GMWQ!$NE$2:$NE$60=N$3)*(GMWQ!$ND$2:$ND$60=N$4)*(GMWQ!$NF$2:$NF$60=N$1),0),$E215-1966)</f>
        <v>111.4288</v>
      </c>
    </row>
    <row r="216" spans="1:14" x14ac:dyDescent="0.25">
      <c r="B216" s="13">
        <f t="shared" si="17"/>
        <v>2025</v>
      </c>
      <c r="C216" s="13">
        <f t="shared" si="17"/>
        <v>2025</v>
      </c>
      <c r="E216" s="13">
        <f t="shared" si="15"/>
        <v>2182</v>
      </c>
      <c r="F216" s="13" cm="1">
        <f t="array" ref="F216">INDEX(GMWQ!$A$2:$NF$60,MATCH(1,(GMWQ!$NE$2:$NE$60=F$3)*(GMWQ!$ND$2:$ND$60=F$4)*(GMWQ!$NF$2:$NF$60=F$1),0),$E216-1966)</f>
        <v>156.24039999999999</v>
      </c>
      <c r="G216" s="13" cm="1">
        <f t="array" ref="G216">INDEX(GMWQ!$A$2:$NF$60,MATCH(1,(GMWQ!$NE$2:$NE$60=G$3)*(GMWQ!$ND$2:$ND$60=G$4)*(GMWQ!$NF$2:$NF$60=G$1),0),$E216-1966)</f>
        <v>47578.68</v>
      </c>
      <c r="H216" s="13" cm="1">
        <f t="array" ref="H216">INDEX(GMWQ!$A$2:$NF$60,MATCH(1,(GMWQ!$NE$2:$NE$60=H$3)*(GMWQ!$ND$2:$ND$60=H$4)*(GMWQ!$NF$2:$NF$60=H$1),0),$E216-1966)</f>
        <v>719.99419999999998</v>
      </c>
      <c r="I216" s="13" cm="1">
        <f t="array" ref="I216">INDEX(GMWQ!$A$2:$NF$60,MATCH(1,(GMWQ!$NE$2:$NE$60=I$3)*(GMWQ!$ND$2:$ND$60=I$4)*(GMWQ!$NF$2:$NF$60=I$1),0),$E216-1966)</f>
        <v>146467.1</v>
      </c>
      <c r="J216" s="13" cm="1">
        <f t="array" ref="J216">INDEX(GMWQ!$A$2:$NF$60,MATCH(1,(GMWQ!$NE$2:$NE$60=J$3)*(GMWQ!$ND$2:$ND$60=J$4)*(GMWQ!$NF$2:$NF$60=J$1),0),$E216-1966)</f>
        <v>737176.1</v>
      </c>
      <c r="K216" s="13" cm="1">
        <f t="array" ref="K216">INDEX(GMWQ!$A$2:$NF$60,MATCH(1,(GMWQ!$NE$2:$NE$60=K$3)*(GMWQ!$ND$2:$ND$60=K$4)*(GMWQ!$NF$2:$NF$60=K$1),0),$E216-1966)</f>
        <v>302914.8</v>
      </c>
      <c r="L216" s="13" cm="1">
        <f t="array" ref="L216">INDEX(GMWQ!$A$2:$NF$60,MATCH(1,(GMWQ!$NE$2:$NE$60=L$3)*(GMWQ!$ND$2:$ND$60=L$4)*(GMWQ!$NF$2:$NF$60=L$1),0),$E216-1966)</f>
        <v>483547.8</v>
      </c>
      <c r="M216" s="13" cm="1">
        <f t="array" ref="M216">INDEX(GMWQ!$A$2:$NF$60,MATCH(1,(GMWQ!$NE$2:$NE$60=M$3)*(GMWQ!$ND$2:$ND$60=M$4)*(GMWQ!$NF$2:$NF$60=M$1),0),$E216-1966)</f>
        <v>430521.2</v>
      </c>
      <c r="N216" s="13" cm="1">
        <f t="array" ref="N216">INDEX(GMWQ!$A$2:$NF$60,MATCH(1,(GMWQ!$NE$2:$NE$60=N$3)*(GMWQ!$ND$2:$ND$60=N$4)*(GMWQ!$NF$2:$NF$60=N$1),0),$E216-1966)</f>
        <v>112.2645</v>
      </c>
    </row>
    <row r="217" spans="1:14" x14ac:dyDescent="0.25">
      <c r="B217" s="13">
        <f t="shared" si="17"/>
        <v>2025</v>
      </c>
      <c r="C217" s="13">
        <f t="shared" si="17"/>
        <v>2025</v>
      </c>
      <c r="E217" s="13">
        <f t="shared" si="15"/>
        <v>2183</v>
      </c>
      <c r="F217" s="13" cm="1">
        <f t="array" ref="F217">INDEX(GMWQ!$A$2:$NF$60,MATCH(1,(GMWQ!$NE$2:$NE$60=F$3)*(GMWQ!$ND$2:$ND$60=F$4)*(GMWQ!$NF$2:$NF$60=F$1),0),$E217-1966)</f>
        <v>157.3201</v>
      </c>
      <c r="G217" s="13" cm="1">
        <f t="array" ref="G217">INDEX(GMWQ!$A$2:$NF$60,MATCH(1,(GMWQ!$NE$2:$NE$60=G$3)*(GMWQ!$ND$2:$ND$60=G$4)*(GMWQ!$NF$2:$NF$60=G$1),0),$E217-1966)</f>
        <v>48100.63</v>
      </c>
      <c r="H217" s="13" cm="1">
        <f t="array" ref="H217">INDEX(GMWQ!$A$2:$NF$60,MATCH(1,(GMWQ!$NE$2:$NE$60=H$3)*(GMWQ!$ND$2:$ND$60=H$4)*(GMWQ!$NF$2:$NF$60=H$1),0),$E217-1966)</f>
        <v>726.47490000000005</v>
      </c>
      <c r="I217" s="13" cm="1">
        <f t="array" ref="I217">INDEX(GMWQ!$A$2:$NF$60,MATCH(1,(GMWQ!$NE$2:$NE$60=I$3)*(GMWQ!$ND$2:$ND$60=I$4)*(GMWQ!$NF$2:$NF$60=I$1),0),$E217-1966)</f>
        <v>150111.6</v>
      </c>
      <c r="J217" s="13" cm="1">
        <f t="array" ref="J217">INDEX(GMWQ!$A$2:$NF$60,MATCH(1,(GMWQ!$NE$2:$NE$60=J$3)*(GMWQ!$ND$2:$ND$60=J$4)*(GMWQ!$NF$2:$NF$60=J$1),0),$E217-1966)</f>
        <v>744686.1</v>
      </c>
      <c r="K217" s="13" cm="1">
        <f t="array" ref="K217">INDEX(GMWQ!$A$2:$NF$60,MATCH(1,(GMWQ!$NE$2:$NE$60=K$3)*(GMWQ!$ND$2:$ND$60=K$4)*(GMWQ!$NF$2:$NF$60=K$1),0),$E217-1966)</f>
        <v>306091.7</v>
      </c>
      <c r="L217" s="13" cm="1">
        <f t="array" ref="L217">INDEX(GMWQ!$A$2:$NF$60,MATCH(1,(GMWQ!$NE$2:$NE$60=L$3)*(GMWQ!$ND$2:$ND$60=L$4)*(GMWQ!$NF$2:$NF$60=L$1),0),$E217-1966)</f>
        <v>488582.3</v>
      </c>
      <c r="M217" s="13" cm="1">
        <f t="array" ref="M217">INDEX(GMWQ!$A$2:$NF$60,MATCH(1,(GMWQ!$NE$2:$NE$60=M$3)*(GMWQ!$ND$2:$ND$60=M$4)*(GMWQ!$NF$2:$NF$60=M$1),0),$E217-1966)</f>
        <v>431966.6</v>
      </c>
      <c r="N217" s="13" cm="1">
        <f t="array" ref="N217">INDEX(GMWQ!$A$2:$NF$60,MATCH(1,(GMWQ!$NE$2:$NE$60=N$3)*(GMWQ!$ND$2:$ND$60=N$4)*(GMWQ!$NF$2:$NF$60=N$1),0),$E217-1966)</f>
        <v>113.05029999999999</v>
      </c>
    </row>
    <row r="218" spans="1:14" x14ac:dyDescent="0.25">
      <c r="B218" s="13">
        <f t="shared" si="17"/>
        <v>2025</v>
      </c>
      <c r="C218" s="13">
        <f t="shared" si="17"/>
        <v>2025</v>
      </c>
      <c r="E218" s="13">
        <f t="shared" si="15"/>
        <v>2184</v>
      </c>
      <c r="F218" s="13" cm="1">
        <f t="array" ref="F218">INDEX(GMWQ!$A$2:$NF$60,MATCH(1,(GMWQ!$NE$2:$NE$60=F$3)*(GMWQ!$ND$2:$ND$60=F$4)*(GMWQ!$NF$2:$NF$60=F$1),0),$E218-1966)</f>
        <v>158.30940000000001</v>
      </c>
      <c r="G218" s="13" cm="1">
        <f t="array" ref="G218">INDEX(GMWQ!$A$2:$NF$60,MATCH(1,(GMWQ!$NE$2:$NE$60=G$3)*(GMWQ!$ND$2:$ND$60=G$4)*(GMWQ!$NF$2:$NF$60=G$1),0),$E218-1966)</f>
        <v>48610.87</v>
      </c>
      <c r="H218" s="13" cm="1">
        <f t="array" ref="H218">INDEX(GMWQ!$A$2:$NF$60,MATCH(1,(GMWQ!$NE$2:$NE$60=H$3)*(GMWQ!$ND$2:$ND$60=H$4)*(GMWQ!$NF$2:$NF$60=H$1),0),$E218-1966)</f>
        <v>732.28579999999999</v>
      </c>
      <c r="I218" s="13" cm="1">
        <f t="array" ref="I218">INDEX(GMWQ!$A$2:$NF$60,MATCH(1,(GMWQ!$NE$2:$NE$60=I$3)*(GMWQ!$ND$2:$ND$60=I$4)*(GMWQ!$NF$2:$NF$60=I$1),0),$E218-1966)</f>
        <v>152220.1</v>
      </c>
      <c r="J218" s="13" cm="1">
        <f t="array" ref="J218">INDEX(GMWQ!$A$2:$NF$60,MATCH(1,(GMWQ!$NE$2:$NE$60=J$3)*(GMWQ!$ND$2:$ND$60=J$4)*(GMWQ!$NF$2:$NF$60=J$1),0),$E218-1966)</f>
        <v>752089.5</v>
      </c>
      <c r="K218" s="13" cm="1">
        <f t="array" ref="K218">INDEX(GMWQ!$A$2:$NF$60,MATCH(1,(GMWQ!$NE$2:$NE$60=K$3)*(GMWQ!$ND$2:$ND$60=K$4)*(GMWQ!$NF$2:$NF$60=K$1),0),$E218-1966)</f>
        <v>309191.09999999998</v>
      </c>
      <c r="L218" s="13" cm="1">
        <f t="array" ref="L218">INDEX(GMWQ!$A$2:$NF$60,MATCH(1,(GMWQ!$NE$2:$NE$60=L$3)*(GMWQ!$ND$2:$ND$60=L$4)*(GMWQ!$NF$2:$NF$60=L$1),0),$E218-1966)</f>
        <v>493156</v>
      </c>
      <c r="M218" s="13" cm="1">
        <f t="array" ref="M218">INDEX(GMWQ!$A$2:$NF$60,MATCH(1,(GMWQ!$NE$2:$NE$60=M$3)*(GMWQ!$ND$2:$ND$60=M$4)*(GMWQ!$NF$2:$NF$60=M$1),0),$E218-1966)</f>
        <v>433332.4</v>
      </c>
      <c r="N218" s="13" cm="1">
        <f t="array" ref="N218">INDEX(GMWQ!$A$2:$NF$60,MATCH(1,(GMWQ!$NE$2:$NE$60=N$3)*(GMWQ!$ND$2:$ND$60=N$4)*(GMWQ!$NF$2:$NF$60=N$1),0),$E218-1966)</f>
        <v>113.7569</v>
      </c>
    </row>
    <row r="219" spans="1:14" x14ac:dyDescent="0.25">
      <c r="A219" s="13">
        <v>2026</v>
      </c>
      <c r="B219" s="13">
        <f t="shared" si="17"/>
        <v>2026</v>
      </c>
      <c r="C219" s="13">
        <f t="shared" si="17"/>
        <v>2025</v>
      </c>
      <c r="D219" s="13">
        <f t="shared" si="17"/>
        <v>2025</v>
      </c>
      <c r="E219" s="13">
        <f t="shared" si="15"/>
        <v>2185</v>
      </c>
      <c r="F219" s="13" cm="1">
        <f t="array" ref="F219">INDEX(GMWQ!$A$2:$NF$60,MATCH(1,(GMWQ!$NE$2:$NE$60=F$3)*(GMWQ!$ND$2:$ND$60=F$4)*(GMWQ!$NF$2:$NF$60=F$1),0),$E219-1966)</f>
        <v>159.12799999999999</v>
      </c>
      <c r="G219" s="13" cm="1">
        <f t="array" ref="G219">INDEX(GMWQ!$A$2:$NF$60,MATCH(1,(GMWQ!$NE$2:$NE$60=G$3)*(GMWQ!$ND$2:$ND$60=G$4)*(GMWQ!$NF$2:$NF$60=G$1),0),$E219-1966)</f>
        <v>49088.800000000003</v>
      </c>
      <c r="H219" s="13" cm="1">
        <f t="array" ref="H219">INDEX(GMWQ!$A$2:$NF$60,MATCH(1,(GMWQ!$NE$2:$NE$60=H$3)*(GMWQ!$ND$2:$ND$60=H$4)*(GMWQ!$NF$2:$NF$60=H$1),0),$E219-1966)</f>
        <v>737.41219999999998</v>
      </c>
      <c r="I219" s="13" cm="1">
        <f t="array" ref="I219">INDEX(GMWQ!$A$2:$NF$60,MATCH(1,(GMWQ!$NE$2:$NE$60=I$3)*(GMWQ!$ND$2:$ND$60=I$4)*(GMWQ!$NF$2:$NF$60=I$1),0),$E219-1966)</f>
        <v>154424</v>
      </c>
      <c r="J219" s="13" cm="1">
        <f t="array" ref="J219">INDEX(GMWQ!$A$2:$NF$60,MATCH(1,(GMWQ!$NE$2:$NE$60=J$3)*(GMWQ!$ND$2:$ND$60=J$4)*(GMWQ!$NF$2:$NF$60=J$1),0),$E219-1966)</f>
        <v>759365.1</v>
      </c>
      <c r="K219" s="13" cm="1">
        <f t="array" ref="K219">INDEX(GMWQ!$A$2:$NF$60,MATCH(1,(GMWQ!$NE$2:$NE$60=K$3)*(GMWQ!$ND$2:$ND$60=K$4)*(GMWQ!$NF$2:$NF$60=K$1),0),$E219-1966)</f>
        <v>312082.09999999998</v>
      </c>
      <c r="L219" s="13" cm="1">
        <f t="array" ref="L219">INDEX(GMWQ!$A$2:$NF$60,MATCH(1,(GMWQ!$NE$2:$NE$60=L$3)*(GMWQ!$ND$2:$ND$60=L$4)*(GMWQ!$NF$2:$NF$60=L$1),0),$E219-1966)</f>
        <v>497320.3</v>
      </c>
      <c r="M219" s="13" cm="1">
        <f t="array" ref="M219">INDEX(GMWQ!$A$2:$NF$60,MATCH(1,(GMWQ!$NE$2:$NE$60=M$3)*(GMWQ!$ND$2:$ND$60=M$4)*(GMWQ!$NF$2:$NF$60=M$1),0),$E219-1966)</f>
        <v>434597.8</v>
      </c>
      <c r="N219" s="13" cm="1">
        <f t="array" ref="N219">INDEX(GMWQ!$A$2:$NF$60,MATCH(1,(GMWQ!$NE$2:$NE$60=N$3)*(GMWQ!$ND$2:$ND$60=N$4)*(GMWQ!$NF$2:$NF$60=N$1),0),$E219-1966)</f>
        <v>114.3826</v>
      </c>
    </row>
    <row r="220" spans="1:14" x14ac:dyDescent="0.25">
      <c r="B220" s="13">
        <f t="shared" ref="B220:D235" si="18">+B216+1</f>
        <v>2026</v>
      </c>
      <c r="C220" s="13">
        <f t="shared" si="18"/>
        <v>2026</v>
      </c>
      <c r="E220" s="13">
        <f t="shared" si="15"/>
        <v>2186</v>
      </c>
      <c r="F220" s="13" cm="1">
        <f t="array" ref="F220">INDEX(GMWQ!$A$2:$NF$60,MATCH(1,(GMWQ!$NE$2:$NE$60=F$3)*(GMWQ!$ND$2:$ND$60=F$4)*(GMWQ!$NF$2:$NF$60=F$1),0),$E220-1966)</f>
        <v>159.905</v>
      </c>
      <c r="G220" s="13" cm="1">
        <f t="array" ref="G220">INDEX(GMWQ!$A$2:$NF$60,MATCH(1,(GMWQ!$NE$2:$NE$60=G$3)*(GMWQ!$ND$2:$ND$60=G$4)*(GMWQ!$NF$2:$NF$60=G$1),0),$E220-1966)</f>
        <v>49542.93</v>
      </c>
      <c r="H220" s="13" cm="1">
        <f t="array" ref="H220">INDEX(GMWQ!$A$2:$NF$60,MATCH(1,(GMWQ!$NE$2:$NE$60=H$3)*(GMWQ!$ND$2:$ND$60=H$4)*(GMWQ!$NF$2:$NF$60=H$1),0),$E220-1966)</f>
        <v>742.42650000000003</v>
      </c>
      <c r="I220" s="13" cm="1">
        <f t="array" ref="I220">INDEX(GMWQ!$A$2:$NF$60,MATCH(1,(GMWQ!$NE$2:$NE$60=I$3)*(GMWQ!$ND$2:$ND$60=I$4)*(GMWQ!$NF$2:$NF$60=I$1),0),$E220-1966)</f>
        <v>156013.29999999999</v>
      </c>
      <c r="J220" s="13" cm="1">
        <f t="array" ref="J220">INDEX(GMWQ!$A$2:$NF$60,MATCH(1,(GMWQ!$NE$2:$NE$60=J$3)*(GMWQ!$ND$2:$ND$60=J$4)*(GMWQ!$NF$2:$NF$60=J$1),0),$E220-1966)</f>
        <v>766253.6</v>
      </c>
      <c r="K220" s="13" cm="1">
        <f t="array" ref="K220">INDEX(GMWQ!$A$2:$NF$60,MATCH(1,(GMWQ!$NE$2:$NE$60=K$3)*(GMWQ!$ND$2:$ND$60=K$4)*(GMWQ!$NF$2:$NF$60=K$1),0),$E220-1966)</f>
        <v>314819.09999999998</v>
      </c>
      <c r="L220" s="13" cm="1">
        <f t="array" ref="L220">INDEX(GMWQ!$A$2:$NF$60,MATCH(1,(GMWQ!$NE$2:$NE$60=L$3)*(GMWQ!$ND$2:$ND$60=L$4)*(GMWQ!$NF$2:$NF$60=L$1),0),$E220-1966)</f>
        <v>500945.5</v>
      </c>
      <c r="M220" s="13" cm="1">
        <f t="array" ref="M220">INDEX(GMWQ!$A$2:$NF$60,MATCH(1,(GMWQ!$NE$2:$NE$60=M$3)*(GMWQ!$ND$2:$ND$60=M$4)*(GMWQ!$NF$2:$NF$60=M$1),0),$E220-1966)</f>
        <v>435366.6</v>
      </c>
      <c r="N220" s="13" cm="1">
        <f t="array" ref="N220">INDEX(GMWQ!$A$2:$NF$60,MATCH(1,(GMWQ!$NE$2:$NE$60=N$3)*(GMWQ!$ND$2:$ND$60=N$4)*(GMWQ!$NF$2:$NF$60=N$1),0),$E220-1966)</f>
        <v>115.0117</v>
      </c>
    </row>
    <row r="221" spans="1:14" x14ac:dyDescent="0.25">
      <c r="B221" s="13">
        <f t="shared" si="18"/>
        <v>2026</v>
      </c>
      <c r="C221" s="13">
        <f t="shared" si="18"/>
        <v>2026</v>
      </c>
      <c r="E221" s="13">
        <f t="shared" si="15"/>
        <v>2187</v>
      </c>
      <c r="F221" s="13" cm="1">
        <f t="array" ref="F221">INDEX(GMWQ!$A$2:$NF$60,MATCH(1,(GMWQ!$NE$2:$NE$60=F$3)*(GMWQ!$ND$2:$ND$60=F$4)*(GMWQ!$NF$2:$NF$60=F$1),0),$E221-1966)</f>
        <v>160.6525</v>
      </c>
      <c r="G221" s="13" cm="1">
        <f t="array" ref="G221">INDEX(GMWQ!$A$2:$NF$60,MATCH(1,(GMWQ!$NE$2:$NE$60=G$3)*(GMWQ!$ND$2:$ND$60=G$4)*(GMWQ!$NF$2:$NF$60=G$1),0),$E221-1966)</f>
        <v>50003.32</v>
      </c>
      <c r="H221" s="13" cm="1">
        <f t="array" ref="H221">INDEX(GMWQ!$A$2:$NF$60,MATCH(1,(GMWQ!$NE$2:$NE$60=H$3)*(GMWQ!$ND$2:$ND$60=H$4)*(GMWQ!$NF$2:$NF$60=H$1),0),$E221-1966)</f>
        <v>747.32659999999998</v>
      </c>
      <c r="I221" s="13" cm="1">
        <f t="array" ref="I221">INDEX(GMWQ!$A$2:$NF$60,MATCH(1,(GMWQ!$NE$2:$NE$60=I$3)*(GMWQ!$ND$2:$ND$60=I$4)*(GMWQ!$NF$2:$NF$60=I$1),0),$E221-1966)</f>
        <v>157985.1</v>
      </c>
      <c r="J221" s="13" cm="1">
        <f t="array" ref="J221">INDEX(GMWQ!$A$2:$NF$60,MATCH(1,(GMWQ!$NE$2:$NE$60=J$3)*(GMWQ!$ND$2:$ND$60=J$4)*(GMWQ!$NF$2:$NF$60=J$1),0),$E221-1966)</f>
        <v>773550.1</v>
      </c>
      <c r="K221" s="13" cm="1">
        <f t="array" ref="K221">INDEX(GMWQ!$A$2:$NF$60,MATCH(1,(GMWQ!$NE$2:$NE$60=K$3)*(GMWQ!$ND$2:$ND$60=K$4)*(GMWQ!$NF$2:$NF$60=K$1),0),$E221-1966)</f>
        <v>317593.3</v>
      </c>
      <c r="L221" s="13" cm="1">
        <f t="array" ref="L221">INDEX(GMWQ!$A$2:$NF$60,MATCH(1,(GMWQ!$NE$2:$NE$60=L$3)*(GMWQ!$ND$2:$ND$60=L$4)*(GMWQ!$NF$2:$NF$60=L$1),0),$E221-1966)</f>
        <v>504721.5</v>
      </c>
      <c r="M221" s="13" cm="1">
        <f t="array" ref="M221">INDEX(GMWQ!$A$2:$NF$60,MATCH(1,(GMWQ!$NE$2:$NE$60=M$3)*(GMWQ!$ND$2:$ND$60=M$4)*(GMWQ!$NF$2:$NF$60=M$1),0),$E221-1966)</f>
        <v>436359.5</v>
      </c>
      <c r="N221" s="13" cm="1">
        <f t="array" ref="N221">INDEX(GMWQ!$A$2:$NF$60,MATCH(1,(GMWQ!$NE$2:$NE$60=N$3)*(GMWQ!$ND$2:$ND$60=N$4)*(GMWQ!$NF$2:$NF$60=N$1),0),$E221-1966)</f>
        <v>115.6155</v>
      </c>
    </row>
    <row r="222" spans="1:14" x14ac:dyDescent="0.25">
      <c r="B222" s="13">
        <f t="shared" si="18"/>
        <v>2026</v>
      </c>
      <c r="C222" s="13">
        <f t="shared" si="18"/>
        <v>2026</v>
      </c>
      <c r="E222" s="13">
        <f t="shared" si="15"/>
        <v>2188</v>
      </c>
      <c r="F222" s="13" cm="1">
        <f t="array" ref="F222">INDEX(GMWQ!$A$2:$NF$60,MATCH(1,(GMWQ!$NE$2:$NE$60=F$3)*(GMWQ!$ND$2:$ND$60=F$4)*(GMWQ!$NF$2:$NF$60=F$1),0),$E222-1966)</f>
        <v>161.40700000000001</v>
      </c>
      <c r="G222" s="13" cm="1">
        <f t="array" ref="G222">INDEX(GMWQ!$A$2:$NF$60,MATCH(1,(GMWQ!$NE$2:$NE$60=G$3)*(GMWQ!$ND$2:$ND$60=G$4)*(GMWQ!$NF$2:$NF$60=G$1),0),$E222-1966)</f>
        <v>50471.55</v>
      </c>
      <c r="H222" s="13" cm="1">
        <f t="array" ref="H222">INDEX(GMWQ!$A$2:$NF$60,MATCH(1,(GMWQ!$NE$2:$NE$60=H$3)*(GMWQ!$ND$2:$ND$60=H$4)*(GMWQ!$NF$2:$NF$60=H$1),0),$E222-1966)</f>
        <v>752.27700000000004</v>
      </c>
      <c r="I222" s="13" cm="1">
        <f t="array" ref="I222">INDEX(GMWQ!$A$2:$NF$60,MATCH(1,(GMWQ!$NE$2:$NE$60=I$3)*(GMWQ!$ND$2:$ND$60=I$4)*(GMWQ!$NF$2:$NF$60=I$1),0),$E222-1966)</f>
        <v>160106.5</v>
      </c>
      <c r="J222" s="13" cm="1">
        <f t="array" ref="J222">INDEX(GMWQ!$A$2:$NF$60,MATCH(1,(GMWQ!$NE$2:$NE$60=J$3)*(GMWQ!$ND$2:$ND$60=J$4)*(GMWQ!$NF$2:$NF$60=J$1),0),$E222-1966)</f>
        <v>780877.1</v>
      </c>
      <c r="K222" s="13" cm="1">
        <f t="array" ref="K222">INDEX(GMWQ!$A$2:$NF$60,MATCH(1,(GMWQ!$NE$2:$NE$60=K$3)*(GMWQ!$ND$2:$ND$60=K$4)*(GMWQ!$NF$2:$NF$60=K$1),0),$E222-1966)</f>
        <v>320414.59999999998</v>
      </c>
      <c r="L222" s="13" cm="1">
        <f t="array" ref="L222">INDEX(GMWQ!$A$2:$NF$60,MATCH(1,(GMWQ!$NE$2:$NE$60=L$3)*(GMWQ!$ND$2:$ND$60=L$4)*(GMWQ!$NF$2:$NF$60=L$1),0),$E222-1966)</f>
        <v>508547.8</v>
      </c>
      <c r="M222" s="13" cm="1">
        <f t="array" ref="M222">INDEX(GMWQ!$A$2:$NF$60,MATCH(1,(GMWQ!$NE$2:$NE$60=M$3)*(GMWQ!$ND$2:$ND$60=M$4)*(GMWQ!$NF$2:$NF$60=M$1),0),$E222-1966)</f>
        <v>437485.8</v>
      </c>
      <c r="N222" s="13" cm="1">
        <f t="array" ref="N222">INDEX(GMWQ!$A$2:$NF$60,MATCH(1,(GMWQ!$NE$2:$NE$60=N$3)*(GMWQ!$ND$2:$ND$60=N$4)*(GMWQ!$NF$2:$NF$60=N$1),0),$E222-1966)</f>
        <v>116.1936</v>
      </c>
    </row>
    <row r="223" spans="1:14" x14ac:dyDescent="0.25">
      <c r="A223" s="13">
        <v>2027</v>
      </c>
      <c r="B223" s="13">
        <f t="shared" si="18"/>
        <v>2027</v>
      </c>
      <c r="C223" s="13">
        <f t="shared" si="18"/>
        <v>2026</v>
      </c>
      <c r="D223" s="13">
        <f t="shared" si="18"/>
        <v>2026</v>
      </c>
      <c r="E223" s="13">
        <f t="shared" si="15"/>
        <v>2189</v>
      </c>
      <c r="F223" s="13" cm="1">
        <f t="array" ref="F223">INDEX(GMWQ!$A$2:$NF$60,MATCH(1,(GMWQ!$NE$2:$NE$60=F$3)*(GMWQ!$ND$2:$ND$60=F$4)*(GMWQ!$NF$2:$NF$60=F$1),0),$E223-1966)</f>
        <v>162.15979999999999</v>
      </c>
      <c r="G223" s="13" cm="1">
        <f t="array" ref="G223">INDEX(GMWQ!$A$2:$NF$60,MATCH(1,(GMWQ!$NE$2:$NE$60=G$3)*(GMWQ!$ND$2:$ND$60=G$4)*(GMWQ!$NF$2:$NF$60=G$1),0),$E223-1966)</f>
        <v>50945.72</v>
      </c>
      <c r="H223" s="13" cm="1">
        <f t="array" ref="H223">INDEX(GMWQ!$A$2:$NF$60,MATCH(1,(GMWQ!$NE$2:$NE$60=H$3)*(GMWQ!$ND$2:$ND$60=H$4)*(GMWQ!$NF$2:$NF$60=H$1),0),$E223-1966)</f>
        <v>757.24649999999997</v>
      </c>
      <c r="I223" s="13" cm="1">
        <f t="array" ref="I223">INDEX(GMWQ!$A$2:$NF$60,MATCH(1,(GMWQ!$NE$2:$NE$60=I$3)*(GMWQ!$ND$2:$ND$60=I$4)*(GMWQ!$NF$2:$NF$60=I$1),0),$E223-1966)</f>
        <v>163575.29999999999</v>
      </c>
      <c r="J223" s="13" cm="1">
        <f t="array" ref="J223">INDEX(GMWQ!$A$2:$NF$60,MATCH(1,(GMWQ!$NE$2:$NE$60=J$3)*(GMWQ!$ND$2:$ND$60=J$4)*(GMWQ!$NF$2:$NF$60=J$1),0),$E223-1966)</f>
        <v>788391.3</v>
      </c>
      <c r="K223" s="13" cm="1">
        <f t="array" ref="K223">INDEX(GMWQ!$A$2:$NF$60,MATCH(1,(GMWQ!$NE$2:$NE$60=K$3)*(GMWQ!$ND$2:$ND$60=K$4)*(GMWQ!$NF$2:$NF$60=K$1),0),$E223-1966)</f>
        <v>323270.90000000002</v>
      </c>
      <c r="L223" s="13" cm="1">
        <f t="array" ref="L223">INDEX(GMWQ!$A$2:$NF$60,MATCH(1,(GMWQ!$NE$2:$NE$60=L$3)*(GMWQ!$ND$2:$ND$60=L$4)*(GMWQ!$NF$2:$NF$60=L$1),0),$E223-1966)</f>
        <v>512856.2</v>
      </c>
      <c r="M223" s="13" cm="1">
        <f t="array" ref="M223">INDEX(GMWQ!$A$2:$NF$60,MATCH(1,(GMWQ!$NE$2:$NE$60=M$3)*(GMWQ!$ND$2:$ND$60=M$4)*(GMWQ!$NF$2:$NF$60=M$1),0),$E223-1966)</f>
        <v>438997.5</v>
      </c>
      <c r="N223" s="13" cm="1">
        <f t="array" ref="N223">INDEX(GMWQ!$A$2:$NF$60,MATCH(1,(GMWQ!$NE$2:$NE$60=N$3)*(GMWQ!$ND$2:$ND$60=N$4)*(GMWQ!$NF$2:$NF$60=N$1),0),$E223-1966)</f>
        <v>116.7745</v>
      </c>
    </row>
    <row r="224" spans="1:14" x14ac:dyDescent="0.25">
      <c r="B224" s="13">
        <f t="shared" si="18"/>
        <v>2027</v>
      </c>
      <c r="C224" s="13">
        <f t="shared" si="18"/>
        <v>2027</v>
      </c>
      <c r="E224" s="13">
        <f t="shared" si="15"/>
        <v>2190</v>
      </c>
      <c r="F224" s="13" cm="1">
        <f t="array" ref="F224">INDEX(GMWQ!$A$2:$NF$60,MATCH(1,(GMWQ!$NE$2:$NE$60=F$3)*(GMWQ!$ND$2:$ND$60=F$4)*(GMWQ!$NF$2:$NF$60=F$1),0),$E224-1966)</f>
        <v>162.8638</v>
      </c>
      <c r="G224" s="13" cm="1">
        <f t="array" ref="G224">INDEX(GMWQ!$A$2:$NF$60,MATCH(1,(GMWQ!$NE$2:$NE$60=G$3)*(GMWQ!$ND$2:$ND$60=G$4)*(GMWQ!$NF$2:$NF$60=G$1),0),$E224-1966)</f>
        <v>51413.8</v>
      </c>
      <c r="H224" s="13" cm="1">
        <f t="array" ref="H224">INDEX(GMWQ!$A$2:$NF$60,MATCH(1,(GMWQ!$NE$2:$NE$60=H$3)*(GMWQ!$ND$2:$ND$60=H$4)*(GMWQ!$NF$2:$NF$60=H$1),0),$E224-1966)</f>
        <v>762.17819999999995</v>
      </c>
      <c r="I224" s="13" cm="1">
        <f t="array" ref="I224">INDEX(GMWQ!$A$2:$NF$60,MATCH(1,(GMWQ!$NE$2:$NE$60=I$3)*(GMWQ!$ND$2:$ND$60=I$4)*(GMWQ!$NF$2:$NF$60=I$1),0),$E224-1966)</f>
        <v>164811.20000000001</v>
      </c>
      <c r="J224" s="13" cm="1">
        <f t="array" ref="J224">INDEX(GMWQ!$A$2:$NF$60,MATCH(1,(GMWQ!$NE$2:$NE$60=J$3)*(GMWQ!$ND$2:$ND$60=J$4)*(GMWQ!$NF$2:$NF$60=J$1),0),$E224-1966)</f>
        <v>796057.8</v>
      </c>
      <c r="K224" s="13" cm="1">
        <f t="array" ref="K224">INDEX(GMWQ!$A$2:$NF$60,MATCH(1,(GMWQ!$NE$2:$NE$60=K$3)*(GMWQ!$ND$2:$ND$60=K$4)*(GMWQ!$NF$2:$NF$60=K$1),0),$E224-1966)</f>
        <v>326085.90000000002</v>
      </c>
      <c r="L224" s="13" cm="1">
        <f t="array" ref="L224">INDEX(GMWQ!$A$2:$NF$60,MATCH(1,(GMWQ!$NE$2:$NE$60=L$3)*(GMWQ!$ND$2:$ND$60=L$4)*(GMWQ!$NF$2:$NF$60=L$1),0),$E224-1966)</f>
        <v>517527.1</v>
      </c>
      <c r="M224" s="13" cm="1">
        <f t="array" ref="M224">INDEX(GMWQ!$A$2:$NF$60,MATCH(1,(GMWQ!$NE$2:$NE$60=M$3)*(GMWQ!$ND$2:$ND$60=M$4)*(GMWQ!$NF$2:$NF$60=M$1),0),$E224-1966)</f>
        <v>440704.6</v>
      </c>
      <c r="N224" s="13" cm="1">
        <f t="array" ref="N224">INDEX(GMWQ!$A$2:$NF$60,MATCH(1,(GMWQ!$NE$2:$NE$60=N$3)*(GMWQ!$ND$2:$ND$60=N$4)*(GMWQ!$NF$2:$NF$60=N$1),0),$E224-1966)</f>
        <v>117.3818</v>
      </c>
    </row>
    <row r="225" spans="1:14" x14ac:dyDescent="0.25">
      <c r="B225" s="13">
        <f t="shared" si="18"/>
        <v>2027</v>
      </c>
      <c r="C225" s="13">
        <f t="shared" si="18"/>
        <v>2027</v>
      </c>
      <c r="E225" s="13">
        <f t="shared" si="15"/>
        <v>2191</v>
      </c>
      <c r="F225" s="13" cm="1">
        <f t="array" ref="F225">INDEX(GMWQ!$A$2:$NF$60,MATCH(1,(GMWQ!$NE$2:$NE$60=F$3)*(GMWQ!$ND$2:$ND$60=F$4)*(GMWQ!$NF$2:$NF$60=F$1),0),$E225-1966)</f>
        <v>163.56870000000001</v>
      </c>
      <c r="G225" s="13" cm="1">
        <f t="array" ref="G225">INDEX(GMWQ!$A$2:$NF$60,MATCH(1,(GMWQ!$NE$2:$NE$60=G$3)*(GMWQ!$ND$2:$ND$60=G$4)*(GMWQ!$NF$2:$NF$60=G$1),0),$E225-1966)</f>
        <v>51884.18</v>
      </c>
      <c r="H225" s="13" cm="1">
        <f t="array" ref="H225">INDEX(GMWQ!$A$2:$NF$60,MATCH(1,(GMWQ!$NE$2:$NE$60=H$3)*(GMWQ!$ND$2:$ND$60=H$4)*(GMWQ!$NF$2:$NF$60=H$1),0),$E225-1966)</f>
        <v>767.15089999999998</v>
      </c>
      <c r="I225" s="13" cm="1">
        <f t="array" ref="I225">INDEX(GMWQ!$A$2:$NF$60,MATCH(1,(GMWQ!$NE$2:$NE$60=I$3)*(GMWQ!$ND$2:$ND$60=I$4)*(GMWQ!$NF$2:$NF$60=I$1),0),$E225-1966)</f>
        <v>167820.1</v>
      </c>
      <c r="J225" s="13" cm="1">
        <f t="array" ref="J225">INDEX(GMWQ!$A$2:$NF$60,MATCH(1,(GMWQ!$NE$2:$NE$60=J$3)*(GMWQ!$ND$2:$ND$60=J$4)*(GMWQ!$NF$2:$NF$60=J$1),0),$E225-1966)</f>
        <v>803837.6</v>
      </c>
      <c r="K225" s="13" cm="1">
        <f t="array" ref="K225">INDEX(GMWQ!$A$2:$NF$60,MATCH(1,(GMWQ!$NE$2:$NE$60=K$3)*(GMWQ!$ND$2:$ND$60=K$4)*(GMWQ!$NF$2:$NF$60=K$1),0),$E225-1966)</f>
        <v>328912.8</v>
      </c>
      <c r="L225" s="13" cm="1">
        <f t="array" ref="L225">INDEX(GMWQ!$A$2:$NF$60,MATCH(1,(GMWQ!$NE$2:$NE$60=L$3)*(GMWQ!$ND$2:$ND$60=L$4)*(GMWQ!$NF$2:$NF$60=L$1),0),$E225-1966)</f>
        <v>522496.9</v>
      </c>
      <c r="M225" s="13" cm="1">
        <f t="array" ref="M225">INDEX(GMWQ!$A$2:$NF$60,MATCH(1,(GMWQ!$NE$2:$NE$60=M$3)*(GMWQ!$ND$2:$ND$60=M$4)*(GMWQ!$NF$2:$NF$60=M$1),0),$E225-1966)</f>
        <v>442549.5</v>
      </c>
      <c r="N225" s="13" cm="1">
        <f t="array" ref="N225">INDEX(GMWQ!$A$2:$NF$60,MATCH(1,(GMWQ!$NE$2:$NE$60=N$3)*(GMWQ!$ND$2:$ND$60=N$4)*(GMWQ!$NF$2:$NF$60=N$1),0),$E225-1966)</f>
        <v>118.01560000000001</v>
      </c>
    </row>
    <row r="226" spans="1:14" x14ac:dyDescent="0.25">
      <c r="B226" s="13">
        <f t="shared" si="18"/>
        <v>2027</v>
      </c>
      <c r="C226" s="13">
        <f t="shared" si="18"/>
        <v>2027</v>
      </c>
      <c r="E226" s="13">
        <f t="shared" si="15"/>
        <v>2192</v>
      </c>
      <c r="F226" s="13" cm="1">
        <f t="array" ref="F226">INDEX(GMWQ!$A$2:$NF$60,MATCH(1,(GMWQ!$NE$2:$NE$60=F$3)*(GMWQ!$ND$2:$ND$60=F$4)*(GMWQ!$NF$2:$NF$60=F$1),0),$E226-1966)</f>
        <v>164.2876</v>
      </c>
      <c r="G226" s="13" cm="1">
        <f t="array" ref="G226">INDEX(GMWQ!$A$2:$NF$60,MATCH(1,(GMWQ!$NE$2:$NE$60=G$3)*(GMWQ!$ND$2:$ND$60=G$4)*(GMWQ!$NF$2:$NF$60=G$1),0),$E226-1966)</f>
        <v>52354.61</v>
      </c>
      <c r="H226" s="13" cm="1">
        <f t="array" ref="H226">INDEX(GMWQ!$A$2:$NF$60,MATCH(1,(GMWQ!$NE$2:$NE$60=H$3)*(GMWQ!$ND$2:$ND$60=H$4)*(GMWQ!$NF$2:$NF$60=H$1),0),$E226-1966)</f>
        <v>772.13319999999999</v>
      </c>
      <c r="I226" s="13" cm="1">
        <f t="array" ref="I226">INDEX(GMWQ!$A$2:$NF$60,MATCH(1,(GMWQ!$NE$2:$NE$60=I$3)*(GMWQ!$ND$2:$ND$60=I$4)*(GMWQ!$NF$2:$NF$60=I$1),0),$E226-1966)</f>
        <v>169857.1</v>
      </c>
      <c r="J226" s="13" cm="1">
        <f t="array" ref="J226">INDEX(GMWQ!$A$2:$NF$60,MATCH(1,(GMWQ!$NE$2:$NE$60=J$3)*(GMWQ!$ND$2:$ND$60=J$4)*(GMWQ!$NF$2:$NF$60=J$1),0),$E226-1966)</f>
        <v>811572.8</v>
      </c>
      <c r="K226" s="13" cm="1">
        <f t="array" ref="K226">INDEX(GMWQ!$A$2:$NF$60,MATCH(1,(GMWQ!$NE$2:$NE$60=K$3)*(GMWQ!$ND$2:$ND$60=K$4)*(GMWQ!$NF$2:$NF$60=K$1),0),$E226-1966)</f>
        <v>331737.3</v>
      </c>
      <c r="L226" s="13" cm="1">
        <f t="array" ref="L226">INDEX(GMWQ!$A$2:$NF$60,MATCH(1,(GMWQ!$NE$2:$NE$60=L$3)*(GMWQ!$ND$2:$ND$60=L$4)*(GMWQ!$NF$2:$NF$60=L$1),0),$E226-1966)</f>
        <v>527516.6</v>
      </c>
      <c r="M226" s="13" cm="1">
        <f t="array" ref="M226">INDEX(GMWQ!$A$2:$NF$60,MATCH(1,(GMWQ!$NE$2:$NE$60=M$3)*(GMWQ!$ND$2:$ND$60=M$4)*(GMWQ!$NF$2:$NF$60=M$1),0),$E226-1966)</f>
        <v>444403.5</v>
      </c>
      <c r="N226" s="13" cm="1">
        <f t="array" ref="N226">INDEX(GMWQ!$A$2:$NF$60,MATCH(1,(GMWQ!$NE$2:$NE$60=N$3)*(GMWQ!$ND$2:$ND$60=N$4)*(GMWQ!$NF$2:$NF$60=N$1),0),$E226-1966)</f>
        <v>118.6529</v>
      </c>
    </row>
    <row r="227" spans="1:14" x14ac:dyDescent="0.25">
      <c r="A227" s="13">
        <v>2028</v>
      </c>
      <c r="B227" s="13">
        <f t="shared" si="18"/>
        <v>2028</v>
      </c>
      <c r="C227" s="13">
        <f t="shared" si="18"/>
        <v>2027</v>
      </c>
      <c r="D227" s="13">
        <f t="shared" si="18"/>
        <v>2027</v>
      </c>
      <c r="E227" s="13">
        <f t="shared" si="15"/>
        <v>2193</v>
      </c>
      <c r="F227" s="13" cm="1">
        <f t="array" ref="F227">INDEX(GMWQ!$A$2:$NF$60,MATCH(1,(GMWQ!$NE$2:$NE$60=F$3)*(GMWQ!$ND$2:$ND$60=F$4)*(GMWQ!$NF$2:$NF$60=F$1),0),$E227-1966)</f>
        <v>165.03870000000001</v>
      </c>
      <c r="G227" s="13" cm="1">
        <f t="array" ref="G227">INDEX(GMWQ!$A$2:$NF$60,MATCH(1,(GMWQ!$NE$2:$NE$60=G$3)*(GMWQ!$ND$2:$ND$60=G$4)*(GMWQ!$NF$2:$NF$60=G$1),0),$E227-1966)</f>
        <v>52834.55</v>
      </c>
      <c r="H227" s="13" cm="1">
        <f t="array" ref="H227">INDEX(GMWQ!$A$2:$NF$60,MATCH(1,(GMWQ!$NE$2:$NE$60=H$3)*(GMWQ!$ND$2:$ND$60=H$4)*(GMWQ!$NF$2:$NF$60=H$1),0),$E227-1966)</f>
        <v>777.24940000000004</v>
      </c>
      <c r="I227" s="13" cm="1">
        <f t="array" ref="I227">INDEX(GMWQ!$A$2:$NF$60,MATCH(1,(GMWQ!$NE$2:$NE$60=I$3)*(GMWQ!$ND$2:$ND$60=I$4)*(GMWQ!$NF$2:$NF$60=I$1),0),$E227-1966)</f>
        <v>171178.6</v>
      </c>
      <c r="J227" s="13" cm="1">
        <f t="array" ref="J227">INDEX(GMWQ!$A$2:$NF$60,MATCH(1,(GMWQ!$NE$2:$NE$60=J$3)*(GMWQ!$ND$2:$ND$60=J$4)*(GMWQ!$NF$2:$NF$60=J$1),0),$E227-1966)</f>
        <v>819300.7</v>
      </c>
      <c r="K227" s="13" cm="1">
        <f t="array" ref="K227">INDEX(GMWQ!$A$2:$NF$60,MATCH(1,(GMWQ!$NE$2:$NE$60=K$3)*(GMWQ!$ND$2:$ND$60=K$4)*(GMWQ!$NF$2:$NF$60=K$1),0),$E227-1966)</f>
        <v>334619.3</v>
      </c>
      <c r="L227" s="13" cm="1">
        <f t="array" ref="L227">INDEX(GMWQ!$A$2:$NF$60,MATCH(1,(GMWQ!$NE$2:$NE$60=L$3)*(GMWQ!$ND$2:$ND$60=L$4)*(GMWQ!$NF$2:$NF$60=L$1),0),$E227-1966)</f>
        <v>532463.6</v>
      </c>
      <c r="M227" s="13" cm="1">
        <f t="array" ref="M227">INDEX(GMWQ!$A$2:$NF$60,MATCH(1,(GMWQ!$NE$2:$NE$60=M$3)*(GMWQ!$ND$2:$ND$60=M$4)*(GMWQ!$NF$2:$NF$60=M$1),0),$E227-1966)</f>
        <v>446163.3</v>
      </c>
      <c r="N227" s="13" cm="1">
        <f t="array" ref="N227">INDEX(GMWQ!$A$2:$NF$60,MATCH(1,(GMWQ!$NE$2:$NE$60=N$3)*(GMWQ!$ND$2:$ND$60=N$4)*(GMWQ!$NF$2:$NF$60=N$1),0),$E227-1966)</f>
        <v>119.2936</v>
      </c>
    </row>
    <row r="228" spans="1:14" x14ac:dyDescent="0.25">
      <c r="B228" s="13">
        <f t="shared" si="18"/>
        <v>2028</v>
      </c>
      <c r="C228" s="13">
        <f t="shared" si="18"/>
        <v>2028</v>
      </c>
      <c r="E228" s="13">
        <f t="shared" si="15"/>
        <v>2194</v>
      </c>
      <c r="F228" s="13" cm="1">
        <f t="array" ref="F228">INDEX(GMWQ!$A$2:$NF$60,MATCH(1,(GMWQ!$NE$2:$NE$60=F$3)*(GMWQ!$ND$2:$ND$60=F$4)*(GMWQ!$NF$2:$NF$60=F$1),0),$E228-1966)</f>
        <v>165.869</v>
      </c>
      <c r="G228" s="13" cm="1">
        <f t="array" ref="G228">INDEX(GMWQ!$A$2:$NF$60,MATCH(1,(GMWQ!$NE$2:$NE$60=G$3)*(GMWQ!$ND$2:$ND$60=G$4)*(GMWQ!$NF$2:$NF$60=G$1),0),$E228-1966)</f>
        <v>53354.16</v>
      </c>
      <c r="H228" s="13" cm="1">
        <f t="array" ref="H228">INDEX(GMWQ!$A$2:$NF$60,MATCH(1,(GMWQ!$NE$2:$NE$60=H$3)*(GMWQ!$ND$2:$ND$60=H$4)*(GMWQ!$NF$2:$NF$60=H$1),0),$E228-1966)</f>
        <v>782.47860000000003</v>
      </c>
      <c r="I228" s="13" cm="1">
        <f t="array" ref="I228">INDEX(GMWQ!$A$2:$NF$60,MATCH(1,(GMWQ!$NE$2:$NE$60=I$3)*(GMWQ!$ND$2:$ND$60=I$4)*(GMWQ!$NF$2:$NF$60=I$1),0),$E228-1966)</f>
        <v>172792.8</v>
      </c>
      <c r="J228" s="13" cm="1">
        <f t="array" ref="J228">INDEX(GMWQ!$A$2:$NF$60,MATCH(1,(GMWQ!$NE$2:$NE$60=J$3)*(GMWQ!$ND$2:$ND$60=J$4)*(GMWQ!$NF$2:$NF$60=J$1),0),$E228-1966)</f>
        <v>827143.4</v>
      </c>
      <c r="K228" s="13" cm="1">
        <f t="array" ref="K228">INDEX(GMWQ!$A$2:$NF$60,MATCH(1,(GMWQ!$NE$2:$NE$60=K$3)*(GMWQ!$ND$2:$ND$60=K$4)*(GMWQ!$NF$2:$NF$60=K$1),0),$E228-1966)</f>
        <v>337696.3</v>
      </c>
      <c r="L228" s="13" cm="1">
        <f t="array" ref="L228">INDEX(GMWQ!$A$2:$NF$60,MATCH(1,(GMWQ!$NE$2:$NE$60=L$3)*(GMWQ!$ND$2:$ND$60=L$4)*(GMWQ!$NF$2:$NF$60=L$1),0),$E228-1966)</f>
        <v>538072.9</v>
      </c>
      <c r="M228" s="13" cm="1">
        <f t="array" ref="M228">INDEX(GMWQ!$A$2:$NF$60,MATCH(1,(GMWQ!$NE$2:$NE$60=M$3)*(GMWQ!$ND$2:$ND$60=M$4)*(GMWQ!$NF$2:$NF$60=M$1),0),$E228-1966)</f>
        <v>448443.5</v>
      </c>
      <c r="N228" s="13" cm="1">
        <f t="array" ref="N228">INDEX(GMWQ!$A$2:$NF$60,MATCH(1,(GMWQ!$NE$2:$NE$60=N$3)*(GMWQ!$ND$2:$ND$60=N$4)*(GMWQ!$NF$2:$NF$60=N$1),0),$E228-1966)</f>
        <v>119.9378</v>
      </c>
    </row>
    <row r="229" spans="1:14" x14ac:dyDescent="0.25">
      <c r="B229" s="13">
        <f t="shared" si="18"/>
        <v>2028</v>
      </c>
      <c r="C229" s="13">
        <f t="shared" si="18"/>
        <v>2028</v>
      </c>
      <c r="E229" s="13">
        <f t="shared" si="15"/>
        <v>2195</v>
      </c>
      <c r="F229" s="13" cm="1">
        <f t="array" ref="F229">INDEX(GMWQ!$A$2:$NF$60,MATCH(1,(GMWQ!$NE$2:$NE$60=F$3)*(GMWQ!$ND$2:$ND$60=F$4)*(GMWQ!$NF$2:$NF$60=F$1),0),$E229-1966)</f>
        <v>166.72110000000001</v>
      </c>
      <c r="G229" s="13" cm="1">
        <f t="array" ref="G229">INDEX(GMWQ!$A$2:$NF$60,MATCH(1,(GMWQ!$NE$2:$NE$60=G$3)*(GMWQ!$ND$2:$ND$60=G$4)*(GMWQ!$NF$2:$NF$60=G$1),0),$E229-1966)</f>
        <v>53880.37</v>
      </c>
      <c r="H229" s="13" cm="1">
        <f t="array" ref="H229">INDEX(GMWQ!$A$2:$NF$60,MATCH(1,(GMWQ!$NE$2:$NE$60=H$3)*(GMWQ!$ND$2:$ND$60=H$4)*(GMWQ!$NF$2:$NF$60=H$1),0),$E229-1966)</f>
        <v>787.84059999999999</v>
      </c>
      <c r="I229" s="13" cm="1">
        <f t="array" ref="I229">INDEX(GMWQ!$A$2:$NF$60,MATCH(1,(GMWQ!$NE$2:$NE$60=I$3)*(GMWQ!$ND$2:$ND$60=I$4)*(GMWQ!$NF$2:$NF$60=I$1),0),$E229-1966)</f>
        <v>175279.7</v>
      </c>
      <c r="J229" s="13" cm="1">
        <f t="array" ref="J229">INDEX(GMWQ!$A$2:$NF$60,MATCH(1,(GMWQ!$NE$2:$NE$60=J$3)*(GMWQ!$ND$2:$ND$60=J$4)*(GMWQ!$NF$2:$NF$60=J$1),0),$E229-1966)</f>
        <v>834895.3</v>
      </c>
      <c r="K229" s="13" cm="1">
        <f t="array" ref="K229">INDEX(GMWQ!$A$2:$NF$60,MATCH(1,(GMWQ!$NE$2:$NE$60=K$3)*(GMWQ!$ND$2:$ND$60=K$4)*(GMWQ!$NF$2:$NF$60=K$1),0),$E229-1966)</f>
        <v>340811.2</v>
      </c>
      <c r="L229" s="13" cm="1">
        <f t="array" ref="L229">INDEX(GMWQ!$A$2:$NF$60,MATCH(1,(GMWQ!$NE$2:$NE$60=L$3)*(GMWQ!$ND$2:$ND$60=L$4)*(GMWQ!$NF$2:$NF$60=L$1),0),$E229-1966)</f>
        <v>543473.1</v>
      </c>
      <c r="M229" s="13" cm="1">
        <f t="array" ref="M229">INDEX(GMWQ!$A$2:$NF$60,MATCH(1,(GMWQ!$NE$2:$NE$60=M$3)*(GMWQ!$ND$2:$ND$60=M$4)*(GMWQ!$NF$2:$NF$60=M$1),0),$E229-1966)</f>
        <v>450558</v>
      </c>
      <c r="N229" s="13" cm="1">
        <f t="array" ref="N229">INDEX(GMWQ!$A$2:$NF$60,MATCH(1,(GMWQ!$NE$2:$NE$60=N$3)*(GMWQ!$ND$2:$ND$60=N$4)*(GMWQ!$NF$2:$NF$60=N$1),0),$E229-1966)</f>
        <v>120.5735</v>
      </c>
    </row>
    <row r="230" spans="1:14" x14ac:dyDescent="0.25">
      <c r="B230" s="13">
        <f t="shared" si="18"/>
        <v>2028</v>
      </c>
      <c r="C230" s="13">
        <f t="shared" si="18"/>
        <v>2028</v>
      </c>
      <c r="E230" s="13">
        <f t="shared" si="15"/>
        <v>2196</v>
      </c>
      <c r="F230" s="13" cm="1">
        <f t="array" ref="F230">INDEX(GMWQ!$A$2:$NF$60,MATCH(1,(GMWQ!$NE$2:$NE$60=F$3)*(GMWQ!$ND$2:$ND$60=F$4)*(GMWQ!$NF$2:$NF$60=F$1),0),$E230-1966)</f>
        <v>167.63419999999999</v>
      </c>
      <c r="G230" s="13" cm="1">
        <f t="array" ref="G230">INDEX(GMWQ!$A$2:$NF$60,MATCH(1,(GMWQ!$NE$2:$NE$60=G$3)*(GMWQ!$ND$2:$ND$60=G$4)*(GMWQ!$NF$2:$NF$60=G$1),0),$E230-1966)</f>
        <v>54429.9</v>
      </c>
      <c r="H230" s="13" cm="1">
        <f t="array" ref="H230">INDEX(GMWQ!$A$2:$NF$60,MATCH(1,(GMWQ!$NE$2:$NE$60=H$3)*(GMWQ!$ND$2:$ND$60=H$4)*(GMWQ!$NF$2:$NF$60=H$1),0),$E230-1966)</f>
        <v>793.31730000000005</v>
      </c>
      <c r="I230" s="13" cm="1">
        <f t="array" ref="I230">INDEX(GMWQ!$A$2:$NF$60,MATCH(1,(GMWQ!$NE$2:$NE$60=I$3)*(GMWQ!$ND$2:$ND$60=I$4)*(GMWQ!$NF$2:$NF$60=I$1),0),$E230-1966)</f>
        <v>176999.6</v>
      </c>
      <c r="J230" s="13" cm="1">
        <f t="array" ref="J230">INDEX(GMWQ!$A$2:$NF$60,MATCH(1,(GMWQ!$NE$2:$NE$60=J$3)*(GMWQ!$ND$2:$ND$60=J$4)*(GMWQ!$NF$2:$NF$60=J$1),0),$E230-1966)</f>
        <v>842677.6</v>
      </c>
      <c r="K230" s="13" cm="1">
        <f t="array" ref="K230">INDEX(GMWQ!$A$2:$NF$60,MATCH(1,(GMWQ!$NE$2:$NE$60=K$3)*(GMWQ!$ND$2:$ND$60=K$4)*(GMWQ!$NF$2:$NF$60=K$1),0),$E230-1966)</f>
        <v>344069.5</v>
      </c>
      <c r="L230" s="13" cm="1">
        <f t="array" ref="L230">INDEX(GMWQ!$A$2:$NF$60,MATCH(1,(GMWQ!$NE$2:$NE$60=L$3)*(GMWQ!$ND$2:$ND$60=L$4)*(GMWQ!$NF$2:$NF$60=L$1),0),$E230-1966)</f>
        <v>548622.9</v>
      </c>
      <c r="M230" s="13" cm="1">
        <f t="array" ref="M230">INDEX(GMWQ!$A$2:$NF$60,MATCH(1,(GMWQ!$NE$2:$NE$60=M$3)*(GMWQ!$ND$2:$ND$60=M$4)*(GMWQ!$NF$2:$NF$60=M$1),0),$E230-1966)</f>
        <v>452476.2</v>
      </c>
      <c r="N230" s="13" cm="1">
        <f t="array" ref="N230">INDEX(GMWQ!$A$2:$NF$60,MATCH(1,(GMWQ!$NE$2:$NE$60=N$3)*(GMWQ!$ND$2:$ND$60=N$4)*(GMWQ!$NF$2:$NF$60=N$1),0),$E230-1966)</f>
        <v>121.20050000000001</v>
      </c>
    </row>
    <row r="231" spans="1:14" x14ac:dyDescent="0.25">
      <c r="A231" s="13">
        <v>2029</v>
      </c>
      <c r="B231" s="13">
        <f t="shared" si="18"/>
        <v>2029</v>
      </c>
      <c r="C231" s="13">
        <f t="shared" si="18"/>
        <v>2028</v>
      </c>
      <c r="D231" s="13">
        <f t="shared" si="18"/>
        <v>2028</v>
      </c>
      <c r="E231" s="13">
        <f t="shared" si="15"/>
        <v>2197</v>
      </c>
      <c r="F231" s="13" cm="1">
        <f t="array" ref="F231">INDEX(GMWQ!$A$2:$NF$60,MATCH(1,(GMWQ!$NE$2:$NE$60=F$3)*(GMWQ!$ND$2:$ND$60=F$4)*(GMWQ!$NF$2:$NF$60=F$1),0),$E231-1966)</f>
        <v>168.55520000000001</v>
      </c>
      <c r="G231" s="13" cm="1">
        <f t="array" ref="G231">INDEX(GMWQ!$A$2:$NF$60,MATCH(1,(GMWQ!$NE$2:$NE$60=G$3)*(GMWQ!$ND$2:$ND$60=G$4)*(GMWQ!$NF$2:$NF$60=G$1),0),$E231-1966)</f>
        <v>54980.49</v>
      </c>
      <c r="H231" s="13" cm="1">
        <f t="array" ref="H231">INDEX(GMWQ!$A$2:$NF$60,MATCH(1,(GMWQ!$NE$2:$NE$60=H$3)*(GMWQ!$ND$2:$ND$60=H$4)*(GMWQ!$NF$2:$NF$60=H$1),0),$E231-1966)</f>
        <v>798.79470000000003</v>
      </c>
      <c r="I231" s="13" cm="1">
        <f t="array" ref="I231">INDEX(GMWQ!$A$2:$NF$60,MATCH(1,(GMWQ!$NE$2:$NE$60=I$3)*(GMWQ!$ND$2:$ND$60=I$4)*(GMWQ!$NF$2:$NF$60=I$1),0),$E231-1966)</f>
        <v>178940.5</v>
      </c>
      <c r="J231" s="13" cm="1">
        <f t="array" ref="J231">INDEX(GMWQ!$A$2:$NF$60,MATCH(1,(GMWQ!$NE$2:$NE$60=J$3)*(GMWQ!$ND$2:$ND$60=J$4)*(GMWQ!$NF$2:$NF$60=J$1),0),$E231-1966)</f>
        <v>850447.9</v>
      </c>
      <c r="K231" s="13" cm="1">
        <f t="array" ref="K231">INDEX(GMWQ!$A$2:$NF$60,MATCH(1,(GMWQ!$NE$2:$NE$60=K$3)*(GMWQ!$ND$2:$ND$60=K$4)*(GMWQ!$NF$2:$NF$60=K$1),0),$E231-1966)</f>
        <v>347330.4</v>
      </c>
      <c r="L231" s="13" cm="1">
        <f t="array" ref="L231">INDEX(GMWQ!$A$2:$NF$60,MATCH(1,(GMWQ!$NE$2:$NE$60=L$3)*(GMWQ!$ND$2:$ND$60=L$4)*(GMWQ!$NF$2:$NF$60=L$1),0),$E231-1966)</f>
        <v>553619.30000000005</v>
      </c>
      <c r="M231" s="13" cm="1">
        <f t="array" ref="M231">INDEX(GMWQ!$A$2:$NF$60,MATCH(1,(GMWQ!$NE$2:$NE$60=M$3)*(GMWQ!$ND$2:$ND$60=M$4)*(GMWQ!$NF$2:$NF$60=M$1),0),$E231-1966)</f>
        <v>454236.6</v>
      </c>
      <c r="N231" s="13" cm="1">
        <f t="array" ref="N231">INDEX(GMWQ!$A$2:$NF$60,MATCH(1,(GMWQ!$NE$2:$NE$60=N$3)*(GMWQ!$ND$2:$ND$60=N$4)*(GMWQ!$NF$2:$NF$60=N$1),0),$E231-1966)</f>
        <v>121.83069999999999</v>
      </c>
    </row>
    <row r="232" spans="1:14" x14ac:dyDescent="0.25">
      <c r="B232" s="13">
        <f t="shared" si="18"/>
        <v>2029</v>
      </c>
      <c r="C232" s="13">
        <f t="shared" si="18"/>
        <v>2029</v>
      </c>
      <c r="E232" s="13">
        <f t="shared" si="15"/>
        <v>2198</v>
      </c>
      <c r="F232" s="13" cm="1">
        <f t="array" ref="F232">INDEX(GMWQ!$A$2:$NF$60,MATCH(1,(GMWQ!$NE$2:$NE$60=F$3)*(GMWQ!$ND$2:$ND$60=F$4)*(GMWQ!$NF$2:$NF$60=F$1),0),$E232-1966)</f>
        <v>169.44110000000001</v>
      </c>
      <c r="G232" s="13" cm="1">
        <f t="array" ref="G232">INDEX(GMWQ!$A$2:$NF$60,MATCH(1,(GMWQ!$NE$2:$NE$60=G$3)*(GMWQ!$ND$2:$ND$60=G$4)*(GMWQ!$NF$2:$NF$60=G$1),0),$E232-1966)</f>
        <v>55487.44</v>
      </c>
      <c r="H232" s="13" cm="1">
        <f t="array" ref="H232">INDEX(GMWQ!$A$2:$NF$60,MATCH(1,(GMWQ!$NE$2:$NE$60=H$3)*(GMWQ!$ND$2:$ND$60=H$4)*(GMWQ!$NF$2:$NF$60=H$1),0),$E232-1966)</f>
        <v>804.31700000000001</v>
      </c>
      <c r="I232" s="13" cm="1">
        <f t="array" ref="I232">INDEX(GMWQ!$A$2:$NF$60,MATCH(1,(GMWQ!$NE$2:$NE$60=I$3)*(GMWQ!$ND$2:$ND$60=I$4)*(GMWQ!$NF$2:$NF$60=I$1),0),$E232-1966)</f>
        <v>180484.2</v>
      </c>
      <c r="J232" s="13" cm="1">
        <f t="array" ref="J232">INDEX(GMWQ!$A$2:$NF$60,MATCH(1,(GMWQ!$NE$2:$NE$60=J$3)*(GMWQ!$ND$2:$ND$60=J$4)*(GMWQ!$NF$2:$NF$60=J$1),0),$E232-1966)</f>
        <v>858161.3</v>
      </c>
      <c r="K232" s="13" cm="1">
        <f t="array" ref="K232">INDEX(GMWQ!$A$2:$NF$60,MATCH(1,(GMWQ!$NE$2:$NE$60=K$3)*(GMWQ!$ND$2:$ND$60=K$4)*(GMWQ!$NF$2:$NF$60=K$1),0),$E232-1966)</f>
        <v>350532.9</v>
      </c>
      <c r="L232" s="13" cm="1">
        <f t="array" ref="L232">INDEX(GMWQ!$A$2:$NF$60,MATCH(1,(GMWQ!$NE$2:$NE$60=L$3)*(GMWQ!$ND$2:$ND$60=L$4)*(GMWQ!$NF$2:$NF$60=L$1),0),$E232-1966)</f>
        <v>558644.1</v>
      </c>
      <c r="M232" s="13" cm="1">
        <f t="array" ref="M232">INDEX(GMWQ!$A$2:$NF$60,MATCH(1,(GMWQ!$NE$2:$NE$60=M$3)*(GMWQ!$ND$2:$ND$60=M$4)*(GMWQ!$NF$2:$NF$60=M$1),0),$E232-1966)</f>
        <v>456035.3</v>
      </c>
      <c r="N232" s="13" cm="1">
        <f t="array" ref="N232">INDEX(GMWQ!$A$2:$NF$60,MATCH(1,(GMWQ!$NE$2:$NE$60=N$3)*(GMWQ!$ND$2:$ND$60=N$4)*(GMWQ!$NF$2:$NF$60=N$1),0),$E232-1966)</f>
        <v>122.452</v>
      </c>
    </row>
    <row r="233" spans="1:14" x14ac:dyDescent="0.25">
      <c r="B233" s="13">
        <f t="shared" si="18"/>
        <v>2029</v>
      </c>
      <c r="C233" s="13">
        <f t="shared" si="18"/>
        <v>2029</v>
      </c>
      <c r="E233" s="13">
        <f t="shared" si="15"/>
        <v>2199</v>
      </c>
      <c r="F233" s="13" cm="1">
        <f t="array" ref="F233">INDEX(GMWQ!$A$2:$NF$60,MATCH(1,(GMWQ!$NE$2:$NE$60=F$3)*(GMWQ!$ND$2:$ND$60=F$4)*(GMWQ!$NF$2:$NF$60=F$1),0),$E233-1966)</f>
        <v>170.3372</v>
      </c>
      <c r="G233" s="13" cm="1">
        <f t="array" ref="G233">INDEX(GMWQ!$A$2:$NF$60,MATCH(1,(GMWQ!$NE$2:$NE$60=G$3)*(GMWQ!$ND$2:$ND$60=G$4)*(GMWQ!$NF$2:$NF$60=G$1),0),$E233-1966)</f>
        <v>55998.07</v>
      </c>
      <c r="H233" s="13" cm="1">
        <f t="array" ref="H233">INDEX(GMWQ!$A$2:$NF$60,MATCH(1,(GMWQ!$NE$2:$NE$60=H$3)*(GMWQ!$ND$2:$ND$60=H$4)*(GMWQ!$NF$2:$NF$60=H$1),0),$E233-1966)</f>
        <v>809.90279999999996</v>
      </c>
      <c r="I233" s="13" cm="1">
        <f t="array" ref="I233">INDEX(GMWQ!$A$2:$NF$60,MATCH(1,(GMWQ!$NE$2:$NE$60=I$3)*(GMWQ!$ND$2:$ND$60=I$4)*(GMWQ!$NF$2:$NF$60=I$1),0),$E233-1966)</f>
        <v>182188.2</v>
      </c>
      <c r="J233" s="13" cm="1">
        <f t="array" ref="J233">INDEX(GMWQ!$A$2:$NF$60,MATCH(1,(GMWQ!$NE$2:$NE$60=J$3)*(GMWQ!$ND$2:$ND$60=J$4)*(GMWQ!$NF$2:$NF$60=J$1),0),$E233-1966)</f>
        <v>865815.8</v>
      </c>
      <c r="K233" s="13" cm="1">
        <f t="array" ref="K233">INDEX(GMWQ!$A$2:$NF$60,MATCH(1,(GMWQ!$NE$2:$NE$60=K$3)*(GMWQ!$ND$2:$ND$60=K$4)*(GMWQ!$NF$2:$NF$60=K$1),0),$E233-1966)</f>
        <v>353758.8</v>
      </c>
      <c r="L233" s="13" cm="1">
        <f t="array" ref="L233">INDEX(GMWQ!$A$2:$NF$60,MATCH(1,(GMWQ!$NE$2:$NE$60=L$3)*(GMWQ!$ND$2:$ND$60=L$4)*(GMWQ!$NF$2:$NF$60=L$1),0),$E233-1966)</f>
        <v>563295</v>
      </c>
      <c r="M233" s="13" cm="1">
        <f t="array" ref="M233">INDEX(GMWQ!$A$2:$NF$60,MATCH(1,(GMWQ!$NE$2:$NE$60=M$3)*(GMWQ!$ND$2:$ND$60=M$4)*(GMWQ!$NF$2:$NF$60=M$1),0),$E233-1966)</f>
        <v>457545.7</v>
      </c>
      <c r="N233" s="13" cm="1">
        <f t="array" ref="N233">INDEX(GMWQ!$A$2:$NF$60,MATCH(1,(GMWQ!$NE$2:$NE$60=N$3)*(GMWQ!$ND$2:$ND$60=N$4)*(GMWQ!$NF$2:$NF$60=N$1),0),$E233-1966)</f>
        <v>123.0643</v>
      </c>
    </row>
    <row r="234" spans="1:14" x14ac:dyDescent="0.25">
      <c r="B234" s="13">
        <f t="shared" si="18"/>
        <v>2029</v>
      </c>
      <c r="C234" s="13">
        <f t="shared" si="18"/>
        <v>2029</v>
      </c>
      <c r="E234" s="13">
        <f t="shared" si="15"/>
        <v>2200</v>
      </c>
      <c r="F234" s="13" cm="1">
        <f t="array" ref="F234">INDEX(GMWQ!$A$2:$NF$60,MATCH(1,(GMWQ!$NE$2:$NE$60=F$3)*(GMWQ!$ND$2:$ND$60=F$4)*(GMWQ!$NF$2:$NF$60=F$1),0),$E234-1966)</f>
        <v>171.23570000000001</v>
      </c>
      <c r="G234" s="13" cm="1">
        <f t="array" ref="G234">INDEX(GMWQ!$A$2:$NF$60,MATCH(1,(GMWQ!$NE$2:$NE$60=G$3)*(GMWQ!$ND$2:$ND$60=G$4)*(GMWQ!$NF$2:$NF$60=G$1),0),$E234-1966)</f>
        <v>56518.15</v>
      </c>
      <c r="H234" s="13" cm="1">
        <f t="array" ref="H234">INDEX(GMWQ!$A$2:$NF$60,MATCH(1,(GMWQ!$NE$2:$NE$60=H$3)*(GMWQ!$ND$2:$ND$60=H$4)*(GMWQ!$NF$2:$NF$60=H$1),0),$E234-1966)</f>
        <v>815.51729999999998</v>
      </c>
      <c r="I234" s="13" cm="1">
        <f t="array" ref="I234">INDEX(GMWQ!$A$2:$NF$60,MATCH(1,(GMWQ!$NE$2:$NE$60=I$3)*(GMWQ!$ND$2:$ND$60=I$4)*(GMWQ!$NF$2:$NF$60=I$1),0),$E234-1966)</f>
        <v>184331.8</v>
      </c>
      <c r="J234" s="13" cm="1">
        <f t="array" ref="J234">INDEX(GMWQ!$A$2:$NF$60,MATCH(1,(GMWQ!$NE$2:$NE$60=J$3)*(GMWQ!$ND$2:$ND$60=J$4)*(GMWQ!$NF$2:$NF$60=J$1),0),$E234-1966)</f>
        <v>873538.4</v>
      </c>
      <c r="K234" s="13" cm="1">
        <f t="array" ref="K234">INDEX(GMWQ!$A$2:$NF$60,MATCH(1,(GMWQ!$NE$2:$NE$60=K$3)*(GMWQ!$ND$2:$ND$60=K$4)*(GMWQ!$NF$2:$NF$60=K$1),0),$E234-1966)</f>
        <v>357044.3</v>
      </c>
      <c r="L234" s="13" cm="1">
        <f t="array" ref="L234">INDEX(GMWQ!$A$2:$NF$60,MATCH(1,(GMWQ!$NE$2:$NE$60=L$3)*(GMWQ!$ND$2:$ND$60=L$4)*(GMWQ!$NF$2:$NF$60=L$1),0),$E234-1966)</f>
        <v>567954.80000000005</v>
      </c>
      <c r="M234" s="13" cm="1">
        <f t="array" ref="M234">INDEX(GMWQ!$A$2:$NF$60,MATCH(1,(GMWQ!$NE$2:$NE$60=M$3)*(GMWQ!$ND$2:$ND$60=M$4)*(GMWQ!$NF$2:$NF$60=M$1),0),$E234-1966)</f>
        <v>459037.2</v>
      </c>
      <c r="N234" s="13" cm="1">
        <f t="array" ref="N234">INDEX(GMWQ!$A$2:$NF$60,MATCH(1,(GMWQ!$NE$2:$NE$60=N$3)*(GMWQ!$ND$2:$ND$60=N$4)*(GMWQ!$NF$2:$NF$60=N$1),0),$E234-1966)</f>
        <v>123.67959999999999</v>
      </c>
    </row>
    <row r="235" spans="1:14" x14ac:dyDescent="0.25">
      <c r="A235" s="13">
        <v>2030</v>
      </c>
      <c r="B235" s="13">
        <f t="shared" si="18"/>
        <v>2030</v>
      </c>
      <c r="C235" s="13">
        <f t="shared" si="18"/>
        <v>2029</v>
      </c>
      <c r="D235" s="13">
        <f t="shared" si="18"/>
        <v>2029</v>
      </c>
      <c r="E235" s="13">
        <f t="shared" si="15"/>
        <v>2201</v>
      </c>
      <c r="F235" s="13" cm="1">
        <f t="array" ref="F235">INDEX(GMWQ!$A$2:$NF$60,MATCH(1,(GMWQ!$NE$2:$NE$60=F$3)*(GMWQ!$ND$2:$ND$60=F$4)*(GMWQ!$NF$2:$NF$60=F$1),0),$E235-1966)</f>
        <v>172.13740000000001</v>
      </c>
      <c r="G235" s="13" cm="1">
        <f t="array" ref="G235">INDEX(GMWQ!$A$2:$NF$60,MATCH(1,(GMWQ!$NE$2:$NE$60=G$3)*(GMWQ!$ND$2:$ND$60=G$4)*(GMWQ!$NF$2:$NF$60=G$1),0),$E235-1966)</f>
        <v>57042.48</v>
      </c>
      <c r="H235" s="13" cm="1">
        <f t="array" ref="H235">INDEX(GMWQ!$A$2:$NF$60,MATCH(1,(GMWQ!$NE$2:$NE$60=H$3)*(GMWQ!$ND$2:$ND$60=H$4)*(GMWQ!$NF$2:$NF$60=H$1),0),$E235-1966)</f>
        <v>821.16290000000004</v>
      </c>
      <c r="I235" s="13" cm="1">
        <f t="array" ref="I235">INDEX(GMWQ!$A$2:$NF$60,MATCH(1,(GMWQ!$NE$2:$NE$60=I$3)*(GMWQ!$ND$2:$ND$60=I$4)*(GMWQ!$NF$2:$NF$60=I$1),0),$E235-1966)</f>
        <v>186213.6</v>
      </c>
      <c r="J235" s="13" cm="1">
        <f t="array" ref="J235">INDEX(GMWQ!$A$2:$NF$60,MATCH(1,(GMWQ!$NE$2:$NE$60=J$3)*(GMWQ!$ND$2:$ND$60=J$4)*(GMWQ!$NF$2:$NF$60=J$1),0),$E235-1966)</f>
        <v>881417.8</v>
      </c>
      <c r="K235" s="13" cm="1">
        <f t="array" ref="K235">INDEX(GMWQ!$A$2:$NF$60,MATCH(1,(GMWQ!$NE$2:$NE$60=K$3)*(GMWQ!$ND$2:$ND$60=K$4)*(GMWQ!$NF$2:$NF$60=K$1),0),$E235-1966)</f>
        <v>360356.7</v>
      </c>
      <c r="L235" s="13" cm="1">
        <f t="array" ref="L235">INDEX(GMWQ!$A$2:$NF$60,MATCH(1,(GMWQ!$NE$2:$NE$60=L$3)*(GMWQ!$ND$2:$ND$60=L$4)*(GMWQ!$NF$2:$NF$60=L$1),0),$E235-1966)</f>
        <v>572783.6</v>
      </c>
      <c r="M235" s="13" cm="1">
        <f t="array" ref="M235">INDEX(GMWQ!$A$2:$NF$60,MATCH(1,(GMWQ!$NE$2:$NE$60=M$3)*(GMWQ!$ND$2:$ND$60=M$4)*(GMWQ!$NF$2:$NF$60=M$1),0),$E235-1966)</f>
        <v>460655.7</v>
      </c>
      <c r="N235" s="13" cm="1">
        <f t="array" ref="N235">INDEX(GMWQ!$A$2:$NF$60,MATCH(1,(GMWQ!$NE$2:$NE$60=N$3)*(GMWQ!$ND$2:$ND$60=N$4)*(GMWQ!$NF$2:$NF$60=N$1),0),$E235-1966)</f>
        <v>124.2933</v>
      </c>
    </row>
    <row r="236" spans="1:14" x14ac:dyDescent="0.25">
      <c r="B236" s="13">
        <f t="shared" ref="B236:D251" si="19">+B232+1</f>
        <v>2030</v>
      </c>
      <c r="C236" s="13">
        <f t="shared" si="19"/>
        <v>2030</v>
      </c>
      <c r="E236" s="13">
        <f t="shared" si="15"/>
        <v>2202</v>
      </c>
      <c r="F236" s="13" cm="1">
        <f t="array" ref="F236">INDEX(GMWQ!$A$2:$NF$60,MATCH(1,(GMWQ!$NE$2:$NE$60=F$3)*(GMWQ!$ND$2:$ND$60=F$4)*(GMWQ!$NF$2:$NF$60=F$1),0),$E236-1966)</f>
        <v>173.0316</v>
      </c>
      <c r="G236" s="13" cm="1">
        <f t="array" ref="G236">INDEX(GMWQ!$A$2:$NF$60,MATCH(1,(GMWQ!$NE$2:$NE$60=G$3)*(GMWQ!$ND$2:$ND$60=G$4)*(GMWQ!$NF$2:$NF$60=G$1),0),$E236-1966)</f>
        <v>57567.59</v>
      </c>
      <c r="H236" s="13" cm="1">
        <f t="array" ref="H236">INDEX(GMWQ!$A$2:$NF$60,MATCH(1,(GMWQ!$NE$2:$NE$60=H$3)*(GMWQ!$ND$2:$ND$60=H$4)*(GMWQ!$NF$2:$NF$60=H$1),0),$E236-1966)</f>
        <v>826.81449999999995</v>
      </c>
      <c r="I236" s="13" cm="1">
        <f t="array" ref="I236">INDEX(GMWQ!$A$2:$NF$60,MATCH(1,(GMWQ!$NE$2:$NE$60=I$3)*(GMWQ!$ND$2:$ND$60=I$4)*(GMWQ!$NF$2:$NF$60=I$1),0),$E236-1966)</f>
        <v>188604.2</v>
      </c>
      <c r="J236" s="13" cm="1">
        <f t="array" ref="J236">INDEX(GMWQ!$A$2:$NF$60,MATCH(1,(GMWQ!$NE$2:$NE$60=J$3)*(GMWQ!$ND$2:$ND$60=J$4)*(GMWQ!$NF$2:$NF$60=J$1),0),$E236-1966)</f>
        <v>889457</v>
      </c>
      <c r="K236" s="13" cm="1">
        <f t="array" ref="K236">INDEX(GMWQ!$A$2:$NF$60,MATCH(1,(GMWQ!$NE$2:$NE$60=K$3)*(GMWQ!$ND$2:$ND$60=K$4)*(GMWQ!$NF$2:$NF$60=K$1),0),$E236-1966)</f>
        <v>363674</v>
      </c>
      <c r="L236" s="13" cm="1">
        <f t="array" ref="L236">INDEX(GMWQ!$A$2:$NF$60,MATCH(1,(GMWQ!$NE$2:$NE$60=L$3)*(GMWQ!$ND$2:$ND$60=L$4)*(GMWQ!$NF$2:$NF$60=L$1),0),$E236-1966)</f>
        <v>578043.6</v>
      </c>
      <c r="M236" s="13" cm="1">
        <f t="array" ref="M236">INDEX(GMWQ!$A$2:$NF$60,MATCH(1,(GMWQ!$NE$2:$NE$60=M$3)*(GMWQ!$ND$2:$ND$60=M$4)*(GMWQ!$NF$2:$NF$60=M$1),0),$E236-1966)</f>
        <v>462591.9</v>
      </c>
      <c r="N236" s="13" cm="1">
        <f t="array" ref="N236">INDEX(GMWQ!$A$2:$NF$60,MATCH(1,(GMWQ!$NE$2:$NE$60=N$3)*(GMWQ!$ND$2:$ND$60=N$4)*(GMWQ!$NF$2:$NF$60=N$1),0),$E236-1966)</f>
        <v>124.9101</v>
      </c>
    </row>
    <row r="237" spans="1:14" x14ac:dyDescent="0.25">
      <c r="B237" s="13">
        <f t="shared" si="19"/>
        <v>2030</v>
      </c>
      <c r="C237" s="13">
        <f t="shared" si="19"/>
        <v>2030</v>
      </c>
      <c r="E237" s="13">
        <f t="shared" si="15"/>
        <v>2203</v>
      </c>
      <c r="F237" s="13" cm="1">
        <f t="array" ref="F237">INDEX(GMWQ!$A$2:$NF$60,MATCH(1,(GMWQ!$NE$2:$NE$60=F$3)*(GMWQ!$ND$2:$ND$60=F$4)*(GMWQ!$NF$2:$NF$60=F$1),0),$E237-1966)</f>
        <v>173.9144</v>
      </c>
      <c r="G237" s="13" cm="1">
        <f t="array" ref="G237">INDEX(GMWQ!$A$2:$NF$60,MATCH(1,(GMWQ!$NE$2:$NE$60=G$3)*(GMWQ!$ND$2:$ND$60=G$4)*(GMWQ!$NF$2:$NF$60=G$1),0),$E237-1966)</f>
        <v>58092.24</v>
      </c>
      <c r="H237" s="13" cm="1">
        <f t="array" ref="H237">INDEX(GMWQ!$A$2:$NF$60,MATCH(1,(GMWQ!$NE$2:$NE$60=H$3)*(GMWQ!$ND$2:$ND$60=H$4)*(GMWQ!$NF$2:$NF$60=H$1),0),$E237-1966)</f>
        <v>832.51289999999995</v>
      </c>
      <c r="I237" s="13" cm="1">
        <f t="array" ref="I237">INDEX(GMWQ!$A$2:$NF$60,MATCH(1,(GMWQ!$NE$2:$NE$60=I$3)*(GMWQ!$ND$2:$ND$60=I$4)*(GMWQ!$NF$2:$NF$60=I$1),0),$E237-1966)</f>
        <v>190545.3</v>
      </c>
      <c r="J237" s="13" cm="1">
        <f t="array" ref="J237">INDEX(GMWQ!$A$2:$NF$60,MATCH(1,(GMWQ!$NE$2:$NE$60=J$3)*(GMWQ!$ND$2:$ND$60=J$4)*(GMWQ!$NF$2:$NF$60=J$1),0),$E237-1966)</f>
        <v>897703</v>
      </c>
      <c r="K237" s="13" cm="1">
        <f t="array" ref="K237">INDEX(GMWQ!$A$2:$NF$60,MATCH(1,(GMWQ!$NE$2:$NE$60=K$3)*(GMWQ!$ND$2:$ND$60=K$4)*(GMWQ!$NF$2:$NF$60=K$1),0),$E237-1966)</f>
        <v>366988.4</v>
      </c>
      <c r="L237" s="13" cm="1">
        <f t="array" ref="L237">INDEX(GMWQ!$A$2:$NF$60,MATCH(1,(GMWQ!$NE$2:$NE$60=L$3)*(GMWQ!$ND$2:$ND$60=L$4)*(GMWQ!$NF$2:$NF$60=L$1),0),$E237-1966)</f>
        <v>582947.4</v>
      </c>
      <c r="M237" s="13" cm="1">
        <f t="array" ref="M237">INDEX(GMWQ!$A$2:$NF$60,MATCH(1,(GMWQ!$NE$2:$NE$60=M$3)*(GMWQ!$ND$2:$ND$60=M$4)*(GMWQ!$NF$2:$NF$60=M$1),0),$E237-1966)</f>
        <v>464214.6</v>
      </c>
      <c r="N237" s="13" cm="1">
        <f t="array" ref="N237">INDEX(GMWQ!$A$2:$NF$60,MATCH(1,(GMWQ!$NE$2:$NE$60=N$3)*(GMWQ!$ND$2:$ND$60=N$4)*(GMWQ!$NF$2:$NF$60=N$1),0),$E237-1966)</f>
        <v>125.5299</v>
      </c>
    </row>
    <row r="238" spans="1:14" x14ac:dyDescent="0.25">
      <c r="B238" s="13">
        <f t="shared" si="19"/>
        <v>2030</v>
      </c>
      <c r="C238" s="13">
        <f t="shared" si="19"/>
        <v>2030</v>
      </c>
      <c r="E238" s="13">
        <f t="shared" si="15"/>
        <v>2204</v>
      </c>
      <c r="F238" s="13" cm="1">
        <f t="array" ref="F238">INDEX(GMWQ!$A$2:$NF$60,MATCH(1,(GMWQ!$NE$2:$NE$60=F$3)*(GMWQ!$ND$2:$ND$60=F$4)*(GMWQ!$NF$2:$NF$60=F$1),0),$E238-1966)</f>
        <v>174.7988</v>
      </c>
      <c r="G238" s="13" cm="1">
        <f t="array" ref="G238">INDEX(GMWQ!$A$2:$NF$60,MATCH(1,(GMWQ!$NE$2:$NE$60=G$3)*(GMWQ!$ND$2:$ND$60=G$4)*(GMWQ!$NF$2:$NF$60=G$1),0),$E238-1966)</f>
        <v>58620.61</v>
      </c>
      <c r="H238" s="13" cm="1">
        <f t="array" ref="H238">INDEX(GMWQ!$A$2:$NF$60,MATCH(1,(GMWQ!$NE$2:$NE$60=H$3)*(GMWQ!$ND$2:$ND$60=H$4)*(GMWQ!$NF$2:$NF$60=H$1),0),$E238-1966)</f>
        <v>838.23540000000003</v>
      </c>
      <c r="I238" s="13" cm="1">
        <f t="array" ref="I238">INDEX(GMWQ!$A$2:$NF$60,MATCH(1,(GMWQ!$NE$2:$NE$60=I$3)*(GMWQ!$ND$2:$ND$60=I$4)*(GMWQ!$NF$2:$NF$60=I$1),0),$E238-1966)</f>
        <v>192292.8</v>
      </c>
      <c r="J238" s="13" cm="1">
        <f t="array" ref="J238">INDEX(GMWQ!$A$2:$NF$60,MATCH(1,(GMWQ!$NE$2:$NE$60=J$3)*(GMWQ!$ND$2:$ND$60=J$4)*(GMWQ!$NF$2:$NF$60=J$1),0),$E238-1966)</f>
        <v>906092.9</v>
      </c>
      <c r="K238" s="13" cm="1">
        <f t="array" ref="K238">INDEX(GMWQ!$A$2:$NF$60,MATCH(1,(GMWQ!$NE$2:$NE$60=K$3)*(GMWQ!$ND$2:$ND$60=K$4)*(GMWQ!$NF$2:$NF$60=K$1),0),$E238-1966)</f>
        <v>370326.3</v>
      </c>
      <c r="L238" s="13" cm="1">
        <f t="array" ref="L238">INDEX(GMWQ!$A$2:$NF$60,MATCH(1,(GMWQ!$NE$2:$NE$60=L$3)*(GMWQ!$ND$2:$ND$60=L$4)*(GMWQ!$NF$2:$NF$60=L$1),0),$E238-1966)</f>
        <v>587815.9</v>
      </c>
      <c r="M238" s="13" cm="1">
        <f t="array" ref="M238">INDEX(GMWQ!$A$2:$NF$60,MATCH(1,(GMWQ!$NE$2:$NE$60=M$3)*(GMWQ!$ND$2:$ND$60=M$4)*(GMWQ!$NF$2:$NF$60=M$1),0),$E238-1966)</f>
        <v>465782</v>
      </c>
      <c r="N238" s="13" cm="1">
        <f t="array" ref="N238">INDEX(GMWQ!$A$2:$NF$60,MATCH(1,(GMWQ!$NE$2:$NE$60=N$3)*(GMWQ!$ND$2:$ND$60=N$4)*(GMWQ!$NF$2:$NF$60=N$1),0),$E238-1966)</f>
        <v>126.1527</v>
      </c>
    </row>
    <row r="239" spans="1:14" x14ac:dyDescent="0.25">
      <c r="A239" s="13">
        <v>2031</v>
      </c>
      <c r="B239" s="13">
        <f t="shared" si="19"/>
        <v>2031</v>
      </c>
      <c r="C239" s="13">
        <f t="shared" si="19"/>
        <v>2030</v>
      </c>
      <c r="D239" s="13">
        <f t="shared" si="19"/>
        <v>2030</v>
      </c>
      <c r="E239" s="13">
        <f t="shared" si="15"/>
        <v>2205</v>
      </c>
      <c r="F239" s="13" cm="1">
        <f t="array" ref="F239">INDEX(GMWQ!$A$2:$NF$60,MATCH(1,(GMWQ!$NE$2:$NE$60=F$3)*(GMWQ!$ND$2:$ND$60=F$4)*(GMWQ!$NF$2:$NF$60=F$1),0),$E239-1966)</f>
        <v>175.69110000000001</v>
      </c>
      <c r="G239" s="13" cm="1">
        <f t="array" ref="G239">INDEX(GMWQ!$A$2:$NF$60,MATCH(1,(GMWQ!$NE$2:$NE$60=G$3)*(GMWQ!$ND$2:$ND$60=G$4)*(GMWQ!$NF$2:$NF$60=G$1),0),$E239-1966)</f>
        <v>59154.91</v>
      </c>
      <c r="H239" s="13" cm="1">
        <f t="array" ref="H239">INDEX(GMWQ!$A$2:$NF$60,MATCH(1,(GMWQ!$NE$2:$NE$60=H$3)*(GMWQ!$ND$2:$ND$60=H$4)*(GMWQ!$NF$2:$NF$60=H$1),0),$E239-1966)</f>
        <v>844.01250000000005</v>
      </c>
      <c r="I239" s="13" cm="1">
        <f t="array" ref="I239">INDEX(GMWQ!$A$2:$NF$60,MATCH(1,(GMWQ!$NE$2:$NE$60=I$3)*(GMWQ!$ND$2:$ND$60=I$4)*(GMWQ!$NF$2:$NF$60=I$1),0),$E239-1966)</f>
        <v>194713.3</v>
      </c>
      <c r="J239" s="13" cm="1">
        <f t="array" ref="J239">INDEX(GMWQ!$A$2:$NF$60,MATCH(1,(GMWQ!$NE$2:$NE$60=J$3)*(GMWQ!$ND$2:$ND$60=J$4)*(GMWQ!$NF$2:$NF$60=J$1),0),$E239-1966)</f>
        <v>914561.5</v>
      </c>
      <c r="K239" s="13" cm="1">
        <f t="array" ref="K239">INDEX(GMWQ!$A$2:$NF$60,MATCH(1,(GMWQ!$NE$2:$NE$60=K$3)*(GMWQ!$ND$2:$ND$60=K$4)*(GMWQ!$NF$2:$NF$60=K$1),0),$E239-1966)</f>
        <v>373701.6</v>
      </c>
      <c r="L239" s="13" cm="1">
        <f t="array" ref="L239">INDEX(GMWQ!$A$2:$NF$60,MATCH(1,(GMWQ!$NE$2:$NE$60=L$3)*(GMWQ!$ND$2:$ND$60=L$4)*(GMWQ!$NF$2:$NF$60=L$1),0),$E239-1966)</f>
        <v>593031.19999999995</v>
      </c>
      <c r="M239" s="13" cm="1">
        <f t="array" ref="M239">INDEX(GMWQ!$A$2:$NF$60,MATCH(1,(GMWQ!$NE$2:$NE$60=M$3)*(GMWQ!$ND$2:$ND$60=M$4)*(GMWQ!$NF$2:$NF$60=M$1),0),$E239-1966)</f>
        <v>467595.8</v>
      </c>
      <c r="N239" s="13" cm="1">
        <f t="array" ref="N239">INDEX(GMWQ!$A$2:$NF$60,MATCH(1,(GMWQ!$NE$2:$NE$60=N$3)*(GMWQ!$ND$2:$ND$60=N$4)*(GMWQ!$NF$2:$NF$60=N$1),0),$E239-1966)</f>
        <v>126.7787</v>
      </c>
    </row>
    <row r="240" spans="1:14" x14ac:dyDescent="0.25">
      <c r="B240" s="13">
        <f t="shared" si="19"/>
        <v>2031</v>
      </c>
      <c r="C240" s="13">
        <f t="shared" si="19"/>
        <v>2031</v>
      </c>
      <c r="E240" s="13">
        <f t="shared" si="15"/>
        <v>2206</v>
      </c>
      <c r="F240" s="13" cm="1">
        <f t="array" ref="F240">INDEX(GMWQ!$A$2:$NF$60,MATCH(1,(GMWQ!$NE$2:$NE$60=F$3)*(GMWQ!$ND$2:$ND$60=F$4)*(GMWQ!$NF$2:$NF$60=F$1),0),$E240-1966)</f>
        <v>176.5926</v>
      </c>
      <c r="G240" s="13" cm="1">
        <f t="array" ref="G240">INDEX(GMWQ!$A$2:$NF$60,MATCH(1,(GMWQ!$NE$2:$NE$60=G$3)*(GMWQ!$ND$2:$ND$60=G$4)*(GMWQ!$NF$2:$NF$60=G$1),0),$E240-1966)</f>
        <v>59695.55</v>
      </c>
      <c r="H240" s="13" cm="1">
        <f t="array" ref="H240">INDEX(GMWQ!$A$2:$NF$60,MATCH(1,(GMWQ!$NE$2:$NE$60=H$3)*(GMWQ!$ND$2:$ND$60=H$4)*(GMWQ!$NF$2:$NF$60=H$1),0),$E240-1966)</f>
        <v>849.85130000000004</v>
      </c>
      <c r="I240" s="13" cm="1">
        <f t="array" ref="I240">INDEX(GMWQ!$A$2:$NF$60,MATCH(1,(GMWQ!$NE$2:$NE$60=I$3)*(GMWQ!$ND$2:$ND$60=I$4)*(GMWQ!$NF$2:$NF$60=I$1),0),$E240-1966)</f>
        <v>197126.8</v>
      </c>
      <c r="J240" s="13" cm="1">
        <f t="array" ref="J240">INDEX(GMWQ!$A$2:$NF$60,MATCH(1,(GMWQ!$NE$2:$NE$60=J$3)*(GMWQ!$ND$2:$ND$60=J$4)*(GMWQ!$NF$2:$NF$60=J$1),0),$E240-1966)</f>
        <v>923109.6</v>
      </c>
      <c r="K240" s="13" cm="1">
        <f t="array" ref="K240">INDEX(GMWQ!$A$2:$NF$60,MATCH(1,(GMWQ!$NE$2:$NE$60=K$3)*(GMWQ!$ND$2:$ND$60=K$4)*(GMWQ!$NF$2:$NF$60=K$1),0),$E240-1966)</f>
        <v>377117</v>
      </c>
      <c r="L240" s="13" cm="1">
        <f t="array" ref="L240">INDEX(GMWQ!$A$2:$NF$60,MATCH(1,(GMWQ!$NE$2:$NE$60=L$3)*(GMWQ!$ND$2:$ND$60=L$4)*(GMWQ!$NF$2:$NF$60=L$1),0),$E240-1966)</f>
        <v>598609.5</v>
      </c>
      <c r="M240" s="13" cm="1">
        <f t="array" ref="M240">INDEX(GMWQ!$A$2:$NF$60,MATCH(1,(GMWQ!$NE$2:$NE$60=M$3)*(GMWQ!$ND$2:$ND$60=M$4)*(GMWQ!$NF$2:$NF$60=M$1),0),$E240-1966)</f>
        <v>469665.1</v>
      </c>
      <c r="N240" s="13" cm="1">
        <f t="array" ref="N240">INDEX(GMWQ!$A$2:$NF$60,MATCH(1,(GMWQ!$NE$2:$NE$60=N$3)*(GMWQ!$ND$2:$ND$60=N$4)*(GMWQ!$NF$2:$NF$60=N$1),0),$E240-1966)</f>
        <v>127.40779999999999</v>
      </c>
    </row>
    <row r="241" spans="1:14" x14ac:dyDescent="0.25">
      <c r="B241" s="13">
        <f t="shared" si="19"/>
        <v>2031</v>
      </c>
      <c r="C241" s="13">
        <f t="shared" si="19"/>
        <v>2031</v>
      </c>
      <c r="E241" s="13">
        <f t="shared" ref="E241:E304" si="20">+E240+1</f>
        <v>2207</v>
      </c>
      <c r="F241" s="13" cm="1">
        <f t="array" ref="F241">INDEX(GMWQ!$A$2:$NF$60,MATCH(1,(GMWQ!$NE$2:$NE$60=F$3)*(GMWQ!$ND$2:$ND$60=F$4)*(GMWQ!$NF$2:$NF$60=F$1),0),$E241-1966)</f>
        <v>177.49860000000001</v>
      </c>
      <c r="G241" s="13" cm="1">
        <f t="array" ref="G241">INDEX(GMWQ!$A$2:$NF$60,MATCH(1,(GMWQ!$NE$2:$NE$60=G$3)*(GMWQ!$ND$2:$ND$60=G$4)*(GMWQ!$NF$2:$NF$60=G$1),0),$E241-1966)</f>
        <v>60238.080000000002</v>
      </c>
      <c r="H241" s="13" cm="1">
        <f t="array" ref="H241">INDEX(GMWQ!$A$2:$NF$60,MATCH(1,(GMWQ!$NE$2:$NE$60=H$3)*(GMWQ!$ND$2:$ND$60=H$4)*(GMWQ!$NF$2:$NF$60=H$1),0),$E241-1966)</f>
        <v>855.72889999999995</v>
      </c>
      <c r="I241" s="13" cm="1">
        <f t="array" ref="I241">INDEX(GMWQ!$A$2:$NF$60,MATCH(1,(GMWQ!$NE$2:$NE$60=I$3)*(GMWQ!$ND$2:$ND$60=I$4)*(GMWQ!$NF$2:$NF$60=I$1),0),$E241-1966)</f>
        <v>200050</v>
      </c>
      <c r="J241" s="13" cm="1">
        <f t="array" ref="J241">INDEX(GMWQ!$A$2:$NF$60,MATCH(1,(GMWQ!$NE$2:$NE$60=J$3)*(GMWQ!$ND$2:$ND$60=J$4)*(GMWQ!$NF$2:$NF$60=J$1),0),$E241-1966)</f>
        <v>931690.8</v>
      </c>
      <c r="K241" s="13" cm="1">
        <f t="array" ref="K241">INDEX(GMWQ!$A$2:$NF$60,MATCH(1,(GMWQ!$NE$2:$NE$60=K$3)*(GMWQ!$ND$2:$ND$60=K$4)*(GMWQ!$NF$2:$NF$60=K$1),0),$E241-1966)</f>
        <v>380544.3</v>
      </c>
      <c r="L241" s="13" cm="1">
        <f t="array" ref="L241">INDEX(GMWQ!$A$2:$NF$60,MATCH(1,(GMWQ!$NE$2:$NE$60=L$3)*(GMWQ!$ND$2:$ND$60=L$4)*(GMWQ!$NF$2:$NF$60=L$1),0),$E241-1966)</f>
        <v>603930.30000000005</v>
      </c>
      <c r="M241" s="13" cm="1">
        <f t="array" ref="M241">INDEX(GMWQ!$A$2:$NF$60,MATCH(1,(GMWQ!$NE$2:$NE$60=M$3)*(GMWQ!$ND$2:$ND$60=M$4)*(GMWQ!$NF$2:$NF$60=M$1),0),$E241-1966)</f>
        <v>471501.8</v>
      </c>
      <c r="N241" s="13" cm="1">
        <f t="array" ref="N241">INDEX(GMWQ!$A$2:$NF$60,MATCH(1,(GMWQ!$NE$2:$NE$60=N$3)*(GMWQ!$ND$2:$ND$60=N$4)*(GMWQ!$NF$2:$NF$60=N$1),0),$E241-1966)</f>
        <v>128.04</v>
      </c>
    </row>
    <row r="242" spans="1:14" x14ac:dyDescent="0.25">
      <c r="B242" s="13">
        <f t="shared" si="19"/>
        <v>2031</v>
      </c>
      <c r="C242" s="13">
        <f t="shared" si="19"/>
        <v>2031</v>
      </c>
      <c r="E242" s="13">
        <f t="shared" si="20"/>
        <v>2208</v>
      </c>
      <c r="F242" s="13" cm="1">
        <f t="array" ref="F242">INDEX(GMWQ!$A$2:$NF$60,MATCH(1,(GMWQ!$NE$2:$NE$60=F$3)*(GMWQ!$ND$2:$ND$60=F$4)*(GMWQ!$NF$2:$NF$60=F$1),0),$E242-1966)</f>
        <v>178.4093</v>
      </c>
      <c r="G242" s="13" cm="1">
        <f t="array" ref="G242">INDEX(GMWQ!$A$2:$NF$60,MATCH(1,(GMWQ!$NE$2:$NE$60=G$3)*(GMWQ!$ND$2:$ND$60=G$4)*(GMWQ!$NF$2:$NF$60=G$1),0),$E242-1966)</f>
        <v>60782.54</v>
      </c>
      <c r="H242" s="13" cm="1">
        <f t="array" ref="H242">INDEX(GMWQ!$A$2:$NF$60,MATCH(1,(GMWQ!$NE$2:$NE$60=H$3)*(GMWQ!$ND$2:$ND$60=H$4)*(GMWQ!$NF$2:$NF$60=H$1),0),$E242-1966)</f>
        <v>861.64869999999996</v>
      </c>
      <c r="I242" s="13" cm="1">
        <f t="array" ref="I242">INDEX(GMWQ!$A$2:$NF$60,MATCH(1,(GMWQ!$NE$2:$NE$60=I$3)*(GMWQ!$ND$2:$ND$60=I$4)*(GMWQ!$NF$2:$NF$60=I$1),0),$E242-1966)</f>
        <v>201772.3</v>
      </c>
      <c r="J242" s="13" cm="1">
        <f t="array" ref="J242">INDEX(GMWQ!$A$2:$NF$60,MATCH(1,(GMWQ!$NE$2:$NE$60=J$3)*(GMWQ!$ND$2:$ND$60=J$4)*(GMWQ!$NF$2:$NF$60=J$1),0),$E242-1966)</f>
        <v>940304.7</v>
      </c>
      <c r="K242" s="13" cm="1">
        <f t="array" ref="K242">INDEX(GMWQ!$A$2:$NF$60,MATCH(1,(GMWQ!$NE$2:$NE$60=K$3)*(GMWQ!$ND$2:$ND$60=K$4)*(GMWQ!$NF$2:$NF$60=K$1),0),$E242-1966)</f>
        <v>383983.9</v>
      </c>
      <c r="L242" s="13" cm="1">
        <f t="array" ref="L242">INDEX(GMWQ!$A$2:$NF$60,MATCH(1,(GMWQ!$NE$2:$NE$60=L$3)*(GMWQ!$ND$2:$ND$60=L$4)*(GMWQ!$NF$2:$NF$60=L$1),0),$E242-1966)</f>
        <v>609143.9</v>
      </c>
      <c r="M242" s="13" cm="1">
        <f t="array" ref="M242">INDEX(GMWQ!$A$2:$NF$60,MATCH(1,(GMWQ!$NE$2:$NE$60=M$3)*(GMWQ!$ND$2:$ND$60=M$4)*(GMWQ!$NF$2:$NF$60=M$1),0),$E242-1966)</f>
        <v>473225.7</v>
      </c>
      <c r="N242" s="13" cm="1">
        <f t="array" ref="N242">INDEX(GMWQ!$A$2:$NF$60,MATCH(1,(GMWQ!$NE$2:$NE$60=N$3)*(GMWQ!$ND$2:$ND$60=N$4)*(GMWQ!$NF$2:$NF$60=N$1),0),$E242-1966)</f>
        <v>128.67529999999999</v>
      </c>
    </row>
    <row r="243" spans="1:14" x14ac:dyDescent="0.25">
      <c r="A243" s="13">
        <v>2032</v>
      </c>
      <c r="B243" s="13">
        <f t="shared" si="19"/>
        <v>2032</v>
      </c>
      <c r="C243" s="13">
        <f t="shared" si="19"/>
        <v>2031</v>
      </c>
      <c r="D243" s="13">
        <f t="shared" si="19"/>
        <v>2031</v>
      </c>
      <c r="E243" s="13">
        <f t="shared" si="20"/>
        <v>2209</v>
      </c>
      <c r="F243" s="13" cm="1">
        <f t="array" ref="F243">INDEX(GMWQ!$A$2:$NF$60,MATCH(1,(GMWQ!$NE$2:$NE$60=F$3)*(GMWQ!$ND$2:$ND$60=F$4)*(GMWQ!$NF$2:$NF$60=F$1),0),$E243-1966)</f>
        <v>179.32470000000001</v>
      </c>
      <c r="G243" s="13" cm="1">
        <f t="array" ref="G243">INDEX(GMWQ!$A$2:$NF$60,MATCH(1,(GMWQ!$NE$2:$NE$60=G$3)*(GMWQ!$ND$2:$ND$60=G$4)*(GMWQ!$NF$2:$NF$60=G$1),0),$E243-1966)</f>
        <v>61331.85</v>
      </c>
      <c r="H243" s="13" cm="1">
        <f t="array" ref="H243">INDEX(GMWQ!$A$2:$NF$60,MATCH(1,(GMWQ!$NE$2:$NE$60=H$3)*(GMWQ!$ND$2:$ND$60=H$4)*(GMWQ!$NF$2:$NF$60=H$1),0),$E243-1966)</f>
        <v>867.60879999999997</v>
      </c>
      <c r="I243" s="13" cm="1">
        <f t="array" ref="I243">INDEX(GMWQ!$A$2:$NF$60,MATCH(1,(GMWQ!$NE$2:$NE$60=I$3)*(GMWQ!$ND$2:$ND$60=I$4)*(GMWQ!$NF$2:$NF$60=I$1),0),$E243-1966)</f>
        <v>203235.20000000001</v>
      </c>
      <c r="J243" s="13" cm="1">
        <f t="array" ref="J243">INDEX(GMWQ!$A$2:$NF$60,MATCH(1,(GMWQ!$NE$2:$NE$60=J$3)*(GMWQ!$ND$2:$ND$60=J$4)*(GMWQ!$NF$2:$NF$60=J$1),0),$E243-1966)</f>
        <v>948998.8</v>
      </c>
      <c r="K243" s="13" cm="1">
        <f t="array" ref="K243">INDEX(GMWQ!$A$2:$NF$60,MATCH(1,(GMWQ!$NE$2:$NE$60=K$3)*(GMWQ!$ND$2:$ND$60=K$4)*(GMWQ!$NF$2:$NF$60=K$1),0),$E243-1966)</f>
        <v>387454.1</v>
      </c>
      <c r="L243" s="13" cm="1">
        <f t="array" ref="L243">INDEX(GMWQ!$A$2:$NF$60,MATCH(1,(GMWQ!$NE$2:$NE$60=L$3)*(GMWQ!$ND$2:$ND$60=L$4)*(GMWQ!$NF$2:$NF$60=L$1),0),$E243-1966)</f>
        <v>614402.80000000005</v>
      </c>
      <c r="M243" s="13" cm="1">
        <f t="array" ref="M243">INDEX(GMWQ!$A$2:$NF$60,MATCH(1,(GMWQ!$NE$2:$NE$60=M$3)*(GMWQ!$ND$2:$ND$60=M$4)*(GMWQ!$NF$2:$NF$60=M$1),0),$E243-1966)</f>
        <v>474955.9</v>
      </c>
      <c r="N243" s="13" cm="1">
        <f t="array" ref="N243">INDEX(GMWQ!$A$2:$NF$60,MATCH(1,(GMWQ!$NE$2:$NE$60=N$3)*(GMWQ!$ND$2:$ND$60=N$4)*(GMWQ!$NF$2:$NF$60=N$1),0),$E243-1966)</f>
        <v>129.31379999999999</v>
      </c>
    </row>
    <row r="244" spans="1:14" x14ac:dyDescent="0.25">
      <c r="B244" s="13">
        <f t="shared" si="19"/>
        <v>2032</v>
      </c>
      <c r="C244" s="13">
        <f t="shared" si="19"/>
        <v>2032</v>
      </c>
      <c r="E244" s="13">
        <f t="shared" si="20"/>
        <v>2210</v>
      </c>
      <c r="F244" s="13" cm="1">
        <f t="array" ref="F244">INDEX(GMWQ!$A$2:$NF$60,MATCH(1,(GMWQ!$NE$2:$NE$60=F$3)*(GMWQ!$ND$2:$ND$60=F$4)*(GMWQ!$NF$2:$NF$60=F$1),0),$E244-1966)</f>
        <v>180.2313</v>
      </c>
      <c r="G244" s="13" cm="1">
        <f t="array" ref="G244">INDEX(GMWQ!$A$2:$NF$60,MATCH(1,(GMWQ!$NE$2:$NE$60=G$3)*(GMWQ!$ND$2:$ND$60=G$4)*(GMWQ!$NF$2:$NF$60=G$1),0),$E244-1966)</f>
        <v>61881.51</v>
      </c>
      <c r="H244" s="13" cm="1">
        <f t="array" ref="H244">INDEX(GMWQ!$A$2:$NF$60,MATCH(1,(GMWQ!$NE$2:$NE$60=H$3)*(GMWQ!$ND$2:$ND$60=H$4)*(GMWQ!$NF$2:$NF$60=H$1),0),$E244-1966)</f>
        <v>873.63239999999996</v>
      </c>
      <c r="I244" s="13" cm="1">
        <f t="array" ref="I244">INDEX(GMWQ!$A$2:$NF$60,MATCH(1,(GMWQ!$NE$2:$NE$60=I$3)*(GMWQ!$ND$2:$ND$60=I$4)*(GMWQ!$NF$2:$NF$60=I$1),0),$E244-1966)</f>
        <v>205228.1</v>
      </c>
      <c r="J244" s="13" cm="1">
        <f t="array" ref="J244">INDEX(GMWQ!$A$2:$NF$60,MATCH(1,(GMWQ!$NE$2:$NE$60=J$3)*(GMWQ!$ND$2:$ND$60=J$4)*(GMWQ!$NF$2:$NF$60=J$1),0),$E244-1966)</f>
        <v>957773.3</v>
      </c>
      <c r="K244" s="13" cm="1">
        <f t="array" ref="K244">INDEX(GMWQ!$A$2:$NF$60,MATCH(1,(GMWQ!$NE$2:$NE$60=K$3)*(GMWQ!$ND$2:$ND$60=K$4)*(GMWQ!$NF$2:$NF$60=K$1),0),$E244-1966)</f>
        <v>390926.5</v>
      </c>
      <c r="L244" s="13" cm="1">
        <f t="array" ref="L244">INDEX(GMWQ!$A$2:$NF$60,MATCH(1,(GMWQ!$NE$2:$NE$60=L$3)*(GMWQ!$ND$2:$ND$60=L$4)*(GMWQ!$NF$2:$NF$60=L$1),0),$E244-1966)</f>
        <v>620038.9</v>
      </c>
      <c r="M244" s="13" cm="1">
        <f t="array" ref="M244">INDEX(GMWQ!$A$2:$NF$60,MATCH(1,(GMWQ!$NE$2:$NE$60=M$3)*(GMWQ!$ND$2:$ND$60=M$4)*(GMWQ!$NF$2:$NF$60=M$1),0),$E244-1966)</f>
        <v>476947.4</v>
      </c>
      <c r="N244" s="13" cm="1">
        <f t="array" ref="N244">INDEX(GMWQ!$A$2:$NF$60,MATCH(1,(GMWQ!$NE$2:$NE$60=N$3)*(GMWQ!$ND$2:$ND$60=N$4)*(GMWQ!$NF$2:$NF$60=N$1),0),$E244-1966)</f>
        <v>129.9555</v>
      </c>
    </row>
    <row r="245" spans="1:14" x14ac:dyDescent="0.25">
      <c r="B245" s="13">
        <f t="shared" si="19"/>
        <v>2032</v>
      </c>
      <c r="C245" s="13">
        <f t="shared" si="19"/>
        <v>2032</v>
      </c>
      <c r="E245" s="13">
        <f t="shared" si="20"/>
        <v>2211</v>
      </c>
      <c r="F245" s="13" cm="1">
        <f t="array" ref="F245">INDEX(GMWQ!$A$2:$NF$60,MATCH(1,(GMWQ!$NE$2:$NE$60=F$3)*(GMWQ!$ND$2:$ND$60=F$4)*(GMWQ!$NF$2:$NF$60=F$1),0),$E245-1966)</f>
        <v>181.1337</v>
      </c>
      <c r="G245" s="13" cm="1">
        <f t="array" ref="G245">INDEX(GMWQ!$A$2:$NF$60,MATCH(1,(GMWQ!$NE$2:$NE$60=G$3)*(GMWQ!$ND$2:$ND$60=G$4)*(GMWQ!$NF$2:$NF$60=G$1),0),$E245-1966)</f>
        <v>62439.19</v>
      </c>
      <c r="H245" s="13" cm="1">
        <f t="array" ref="H245">INDEX(GMWQ!$A$2:$NF$60,MATCH(1,(GMWQ!$NE$2:$NE$60=H$3)*(GMWQ!$ND$2:$ND$60=H$4)*(GMWQ!$NF$2:$NF$60=H$1),0),$E245-1966)</f>
        <v>879.74080000000004</v>
      </c>
      <c r="I245" s="13" cm="1">
        <f t="array" ref="I245">INDEX(GMWQ!$A$2:$NF$60,MATCH(1,(GMWQ!$NE$2:$NE$60=I$3)*(GMWQ!$ND$2:$ND$60=I$4)*(GMWQ!$NF$2:$NF$60=I$1),0),$E245-1966)</f>
        <v>207017.3</v>
      </c>
      <c r="J245" s="13" cm="1">
        <f t="array" ref="J245">INDEX(GMWQ!$A$2:$NF$60,MATCH(1,(GMWQ!$NE$2:$NE$60=J$3)*(GMWQ!$ND$2:$ND$60=J$4)*(GMWQ!$NF$2:$NF$60=J$1),0),$E245-1966)</f>
        <v>966724.7</v>
      </c>
      <c r="K245" s="13" cm="1">
        <f t="array" ref="K245">INDEX(GMWQ!$A$2:$NF$60,MATCH(1,(GMWQ!$NE$2:$NE$60=K$3)*(GMWQ!$ND$2:$ND$60=K$4)*(GMWQ!$NF$2:$NF$60=K$1),0),$E245-1966)</f>
        <v>394449.5</v>
      </c>
      <c r="L245" s="13" cm="1">
        <f t="array" ref="L245">INDEX(GMWQ!$A$2:$NF$60,MATCH(1,(GMWQ!$NE$2:$NE$60=L$3)*(GMWQ!$ND$2:$ND$60=L$4)*(GMWQ!$NF$2:$NF$60=L$1),0),$E245-1966)</f>
        <v>625365</v>
      </c>
      <c r="M245" s="13" cm="1">
        <f t="array" ref="M245">INDEX(GMWQ!$A$2:$NF$60,MATCH(1,(GMWQ!$NE$2:$NE$60=M$3)*(GMWQ!$ND$2:$ND$60=M$4)*(GMWQ!$NF$2:$NF$60=M$1),0),$E245-1966)</f>
        <v>478670.9</v>
      </c>
      <c r="N245" s="13" cm="1">
        <f t="array" ref="N245">INDEX(GMWQ!$A$2:$NF$60,MATCH(1,(GMWQ!$NE$2:$NE$60=N$3)*(GMWQ!$ND$2:$ND$60=N$4)*(GMWQ!$NF$2:$NF$60=N$1),0),$E245-1966)</f>
        <v>130.6003</v>
      </c>
    </row>
    <row r="246" spans="1:14" x14ac:dyDescent="0.25">
      <c r="B246" s="13">
        <f t="shared" si="19"/>
        <v>2032</v>
      </c>
      <c r="C246" s="13">
        <f t="shared" si="19"/>
        <v>2032</v>
      </c>
      <c r="E246" s="13">
        <f t="shared" si="20"/>
        <v>2212</v>
      </c>
      <c r="F246" s="13" cm="1">
        <f t="array" ref="F246">INDEX(GMWQ!$A$2:$NF$60,MATCH(1,(GMWQ!$NE$2:$NE$60=F$3)*(GMWQ!$ND$2:$ND$60=F$4)*(GMWQ!$NF$2:$NF$60=F$1),0),$E246-1966)</f>
        <v>182.03559999999999</v>
      </c>
      <c r="G246" s="13" cm="1">
        <f t="array" ref="G246">INDEX(GMWQ!$A$2:$NF$60,MATCH(1,(GMWQ!$NE$2:$NE$60=G$3)*(GMWQ!$ND$2:$ND$60=G$4)*(GMWQ!$NF$2:$NF$60=G$1),0),$E246-1966)</f>
        <v>62993.95</v>
      </c>
      <c r="H246" s="13" cm="1">
        <f t="array" ref="H246">INDEX(GMWQ!$A$2:$NF$60,MATCH(1,(GMWQ!$NE$2:$NE$60=H$3)*(GMWQ!$ND$2:$ND$60=H$4)*(GMWQ!$NF$2:$NF$60=H$1),0),$E246-1966)</f>
        <v>885.95860000000005</v>
      </c>
      <c r="I246" s="13" cm="1">
        <f t="array" ref="I246">INDEX(GMWQ!$A$2:$NF$60,MATCH(1,(GMWQ!$NE$2:$NE$60=I$3)*(GMWQ!$ND$2:$ND$60=I$4)*(GMWQ!$NF$2:$NF$60=I$1),0),$E246-1966)</f>
        <v>208894.9</v>
      </c>
      <c r="J246" s="13" cm="1">
        <f t="array" ref="J246">INDEX(GMWQ!$A$2:$NF$60,MATCH(1,(GMWQ!$NE$2:$NE$60=J$3)*(GMWQ!$ND$2:$ND$60=J$4)*(GMWQ!$NF$2:$NF$60=J$1),0),$E246-1966)</f>
        <v>975662.8</v>
      </c>
      <c r="K246" s="13" cm="1">
        <f t="array" ref="K246">INDEX(GMWQ!$A$2:$NF$60,MATCH(1,(GMWQ!$NE$2:$NE$60=K$3)*(GMWQ!$ND$2:$ND$60=K$4)*(GMWQ!$NF$2:$NF$60=K$1),0),$E246-1966)</f>
        <v>397954.1</v>
      </c>
      <c r="L246" s="13" cm="1">
        <f t="array" ref="L246">INDEX(GMWQ!$A$2:$NF$60,MATCH(1,(GMWQ!$NE$2:$NE$60=L$3)*(GMWQ!$ND$2:$ND$60=L$4)*(GMWQ!$NF$2:$NF$60=L$1),0),$E246-1966)</f>
        <v>630676.4</v>
      </c>
      <c r="M246" s="13" cm="1">
        <f t="array" ref="M246">INDEX(GMWQ!$A$2:$NF$60,MATCH(1,(GMWQ!$NE$2:$NE$60=M$3)*(GMWQ!$ND$2:$ND$60=M$4)*(GMWQ!$NF$2:$NF$60=M$1),0),$E246-1966)</f>
        <v>480354.4</v>
      </c>
      <c r="N246" s="13" cm="1">
        <f t="array" ref="N246">INDEX(GMWQ!$A$2:$NF$60,MATCH(1,(GMWQ!$NE$2:$NE$60=N$3)*(GMWQ!$ND$2:$ND$60=N$4)*(GMWQ!$NF$2:$NF$60=N$1),0),$E246-1966)</f>
        <v>131.2483</v>
      </c>
    </row>
    <row r="247" spans="1:14" x14ac:dyDescent="0.25">
      <c r="A247" s="13">
        <v>2033</v>
      </c>
      <c r="B247" s="13">
        <f t="shared" si="19"/>
        <v>2033</v>
      </c>
      <c r="C247" s="13">
        <f t="shared" si="19"/>
        <v>2032</v>
      </c>
      <c r="D247" s="13">
        <f t="shared" si="19"/>
        <v>2032</v>
      </c>
      <c r="E247" s="13">
        <f t="shared" si="20"/>
        <v>2213</v>
      </c>
      <c r="F247" s="13" cm="1">
        <f t="array" ref="F247">INDEX(GMWQ!$A$2:$NF$60,MATCH(1,(GMWQ!$NE$2:$NE$60=F$3)*(GMWQ!$ND$2:$ND$60=F$4)*(GMWQ!$NF$2:$NF$60=F$1),0),$E247-1966)</f>
        <v>182.94290000000001</v>
      </c>
      <c r="G247" s="13" cm="1">
        <f t="array" ref="G247">INDEX(GMWQ!$A$2:$NF$60,MATCH(1,(GMWQ!$NE$2:$NE$60=G$3)*(GMWQ!$ND$2:$ND$60=G$4)*(GMWQ!$NF$2:$NF$60=G$1),0),$E247-1966)</f>
        <v>63564.39</v>
      </c>
      <c r="H247" s="13" cm="1">
        <f t="array" ref="H247">INDEX(GMWQ!$A$2:$NF$60,MATCH(1,(GMWQ!$NE$2:$NE$60=H$3)*(GMWQ!$ND$2:$ND$60=H$4)*(GMWQ!$NF$2:$NF$60=H$1),0),$E247-1966)</f>
        <v>892.30970000000002</v>
      </c>
      <c r="I247" s="13" cm="1">
        <f t="array" ref="I247">INDEX(GMWQ!$A$2:$NF$60,MATCH(1,(GMWQ!$NE$2:$NE$60=I$3)*(GMWQ!$ND$2:$ND$60=I$4)*(GMWQ!$NF$2:$NF$60=I$1),0),$E247-1966)</f>
        <v>210877.4</v>
      </c>
      <c r="J247" s="13" cm="1">
        <f t="array" ref="J247">INDEX(GMWQ!$A$2:$NF$60,MATCH(1,(GMWQ!$NE$2:$NE$60=J$3)*(GMWQ!$ND$2:$ND$60=J$4)*(GMWQ!$NF$2:$NF$60=J$1),0),$E247-1966)</f>
        <v>984848.1</v>
      </c>
      <c r="K247" s="13" cm="1">
        <f t="array" ref="K247">INDEX(GMWQ!$A$2:$NF$60,MATCH(1,(GMWQ!$NE$2:$NE$60=K$3)*(GMWQ!$ND$2:$ND$60=K$4)*(GMWQ!$NF$2:$NF$60=K$1),0),$E247-1966)</f>
        <v>401557.8</v>
      </c>
      <c r="L247" s="13" cm="1">
        <f t="array" ref="L247">INDEX(GMWQ!$A$2:$NF$60,MATCH(1,(GMWQ!$NE$2:$NE$60=L$3)*(GMWQ!$ND$2:$ND$60=L$4)*(GMWQ!$NF$2:$NF$60=L$1),0),$E247-1966)</f>
        <v>636184.30000000005</v>
      </c>
      <c r="M247" s="13" cm="1">
        <f t="array" ref="M247">INDEX(GMWQ!$A$2:$NF$60,MATCH(1,(GMWQ!$NE$2:$NE$60=M$3)*(GMWQ!$ND$2:$ND$60=M$4)*(GMWQ!$NF$2:$NF$60=M$1),0),$E247-1966)</f>
        <v>482158.4</v>
      </c>
      <c r="N247" s="13" cm="1">
        <f t="array" ref="N247">INDEX(GMWQ!$A$2:$NF$60,MATCH(1,(GMWQ!$NE$2:$NE$60=N$3)*(GMWQ!$ND$2:$ND$60=N$4)*(GMWQ!$NF$2:$NF$60=N$1),0),$E247-1966)</f>
        <v>131.89959999999999</v>
      </c>
    </row>
    <row r="248" spans="1:14" x14ac:dyDescent="0.25">
      <c r="B248" s="13">
        <f t="shared" si="19"/>
        <v>2033</v>
      </c>
      <c r="C248" s="13">
        <f t="shared" si="19"/>
        <v>2033</v>
      </c>
      <c r="E248" s="13">
        <f t="shared" si="20"/>
        <v>2214</v>
      </c>
      <c r="F248" s="13" cm="1">
        <f t="array" ref="F248">INDEX(GMWQ!$A$2:$NF$60,MATCH(1,(GMWQ!$NE$2:$NE$60=F$3)*(GMWQ!$ND$2:$ND$60=F$4)*(GMWQ!$NF$2:$NF$60=F$1),0),$E248-1966)</f>
        <v>183.8545</v>
      </c>
      <c r="G248" s="13" cm="1">
        <f t="array" ref="G248">INDEX(GMWQ!$A$2:$NF$60,MATCH(1,(GMWQ!$NE$2:$NE$60=G$3)*(GMWQ!$ND$2:$ND$60=G$4)*(GMWQ!$NF$2:$NF$60=G$1),0),$E248-1966)</f>
        <v>64136.959999999999</v>
      </c>
      <c r="H248" s="13" cm="1">
        <f t="array" ref="H248">INDEX(GMWQ!$A$2:$NF$60,MATCH(1,(GMWQ!$NE$2:$NE$60=H$3)*(GMWQ!$ND$2:$ND$60=H$4)*(GMWQ!$NF$2:$NF$60=H$1),0),$E248-1966)</f>
        <v>898.79629999999997</v>
      </c>
      <c r="I248" s="13" cm="1">
        <f t="array" ref="I248">INDEX(GMWQ!$A$2:$NF$60,MATCH(1,(GMWQ!$NE$2:$NE$60=I$3)*(GMWQ!$ND$2:$ND$60=I$4)*(GMWQ!$NF$2:$NF$60=I$1),0),$E248-1966)</f>
        <v>212980.8</v>
      </c>
      <c r="J248" s="13" cm="1">
        <f t="array" ref="J248">INDEX(GMWQ!$A$2:$NF$60,MATCH(1,(GMWQ!$NE$2:$NE$60=J$3)*(GMWQ!$ND$2:$ND$60=J$4)*(GMWQ!$NF$2:$NF$60=J$1),0),$E248-1966)</f>
        <v>994074.5</v>
      </c>
      <c r="K248" s="13" cm="1">
        <f t="array" ref="K248">INDEX(GMWQ!$A$2:$NF$60,MATCH(1,(GMWQ!$NE$2:$NE$60=K$3)*(GMWQ!$ND$2:$ND$60=K$4)*(GMWQ!$NF$2:$NF$60=K$1),0),$E248-1966)</f>
        <v>405174.9</v>
      </c>
      <c r="L248" s="13" cm="1">
        <f t="array" ref="L248">INDEX(GMWQ!$A$2:$NF$60,MATCH(1,(GMWQ!$NE$2:$NE$60=L$3)*(GMWQ!$ND$2:$ND$60=L$4)*(GMWQ!$NF$2:$NF$60=L$1),0),$E248-1966)</f>
        <v>642054.1</v>
      </c>
      <c r="M248" s="13" cm="1">
        <f t="array" ref="M248">INDEX(GMWQ!$A$2:$NF$60,MATCH(1,(GMWQ!$NE$2:$NE$60=M$3)*(GMWQ!$ND$2:$ND$60=M$4)*(GMWQ!$NF$2:$NF$60=M$1),0),$E248-1966)</f>
        <v>484205.8</v>
      </c>
      <c r="N248" s="13" cm="1">
        <f t="array" ref="N248">INDEX(GMWQ!$A$2:$NF$60,MATCH(1,(GMWQ!$NE$2:$NE$60=N$3)*(GMWQ!$ND$2:$ND$60=N$4)*(GMWQ!$NF$2:$NF$60=N$1),0),$E248-1966)</f>
        <v>132.55410000000001</v>
      </c>
    </row>
    <row r="249" spans="1:14" x14ac:dyDescent="0.25">
      <c r="B249" s="13">
        <f t="shared" si="19"/>
        <v>2033</v>
      </c>
      <c r="C249" s="13">
        <f t="shared" si="19"/>
        <v>2033</v>
      </c>
      <c r="E249" s="13">
        <f t="shared" si="20"/>
        <v>2215</v>
      </c>
      <c r="F249" s="13" cm="1">
        <f t="array" ref="F249">INDEX(GMWQ!$A$2:$NF$60,MATCH(1,(GMWQ!$NE$2:$NE$60=F$3)*(GMWQ!$ND$2:$ND$60=F$4)*(GMWQ!$NF$2:$NF$60=F$1),0),$E249-1966)</f>
        <v>184.78450000000001</v>
      </c>
      <c r="G249" s="13" cm="1">
        <f t="array" ref="G249">INDEX(GMWQ!$A$2:$NF$60,MATCH(1,(GMWQ!$NE$2:$NE$60=G$3)*(GMWQ!$ND$2:$ND$60=G$4)*(GMWQ!$NF$2:$NF$60=G$1),0),$E249-1966)</f>
        <v>64714.03</v>
      </c>
      <c r="H249" s="13" cm="1">
        <f t="array" ref="H249">INDEX(GMWQ!$A$2:$NF$60,MATCH(1,(GMWQ!$NE$2:$NE$60=H$3)*(GMWQ!$ND$2:$ND$60=H$4)*(GMWQ!$NF$2:$NF$60=H$1),0),$E249-1966)</f>
        <v>905.39729999999997</v>
      </c>
      <c r="I249" s="13" cm="1">
        <f t="array" ref="I249">INDEX(GMWQ!$A$2:$NF$60,MATCH(1,(GMWQ!$NE$2:$NE$60=I$3)*(GMWQ!$ND$2:$ND$60=I$4)*(GMWQ!$NF$2:$NF$60=I$1),0),$E249-1966)</f>
        <v>214863.6</v>
      </c>
      <c r="J249" s="13" cm="1">
        <f t="array" ref="J249">INDEX(GMWQ!$A$2:$NF$60,MATCH(1,(GMWQ!$NE$2:$NE$60=J$3)*(GMWQ!$ND$2:$ND$60=J$4)*(GMWQ!$NF$2:$NF$60=J$1),0),$E249-1966)</f>
        <v>1003302</v>
      </c>
      <c r="K249" s="13" cm="1">
        <f t="array" ref="K249">INDEX(GMWQ!$A$2:$NF$60,MATCH(1,(GMWQ!$NE$2:$NE$60=K$3)*(GMWQ!$ND$2:$ND$60=K$4)*(GMWQ!$NF$2:$NF$60=K$1),0),$E249-1966)</f>
        <v>408820.5</v>
      </c>
      <c r="L249" s="13" cm="1">
        <f t="array" ref="L249">INDEX(GMWQ!$A$2:$NF$60,MATCH(1,(GMWQ!$NE$2:$NE$60=L$3)*(GMWQ!$ND$2:$ND$60=L$4)*(GMWQ!$NF$2:$NF$60=L$1),0),$E249-1966)</f>
        <v>647589</v>
      </c>
      <c r="M249" s="13" cm="1">
        <f t="array" ref="M249">INDEX(GMWQ!$A$2:$NF$60,MATCH(1,(GMWQ!$NE$2:$NE$60=M$3)*(GMWQ!$ND$2:$ND$60=M$4)*(GMWQ!$NF$2:$NF$60=M$1),0),$E249-1966)</f>
        <v>485970.2</v>
      </c>
      <c r="N249" s="13" cm="1">
        <f t="array" ref="N249">INDEX(GMWQ!$A$2:$NF$60,MATCH(1,(GMWQ!$NE$2:$NE$60=N$3)*(GMWQ!$ND$2:$ND$60=N$4)*(GMWQ!$NF$2:$NF$60=N$1),0),$E249-1966)</f>
        <v>133.21180000000001</v>
      </c>
    </row>
    <row r="250" spans="1:14" x14ac:dyDescent="0.25">
      <c r="B250" s="13">
        <f t="shared" si="19"/>
        <v>2033</v>
      </c>
      <c r="C250" s="13">
        <f t="shared" si="19"/>
        <v>2033</v>
      </c>
      <c r="E250" s="13">
        <f t="shared" si="20"/>
        <v>2216</v>
      </c>
      <c r="F250" s="13" cm="1">
        <f t="array" ref="F250">INDEX(GMWQ!$A$2:$NF$60,MATCH(1,(GMWQ!$NE$2:$NE$60=F$3)*(GMWQ!$ND$2:$ND$60=F$4)*(GMWQ!$NF$2:$NF$60=F$1),0),$E250-1966)</f>
        <v>185.7124</v>
      </c>
      <c r="G250" s="13" cm="1">
        <f t="array" ref="G250">INDEX(GMWQ!$A$2:$NF$60,MATCH(1,(GMWQ!$NE$2:$NE$60=G$3)*(GMWQ!$ND$2:$ND$60=G$4)*(GMWQ!$NF$2:$NF$60=G$1),0),$E250-1966)</f>
        <v>65288.01</v>
      </c>
      <c r="H250" s="13" cm="1">
        <f t="array" ref="H250">INDEX(GMWQ!$A$2:$NF$60,MATCH(1,(GMWQ!$NE$2:$NE$60=H$3)*(GMWQ!$ND$2:$ND$60=H$4)*(GMWQ!$NF$2:$NF$60=H$1),0),$E250-1966)</f>
        <v>912.10519999999997</v>
      </c>
      <c r="I250" s="13" cm="1">
        <f t="array" ref="I250">INDEX(GMWQ!$A$2:$NF$60,MATCH(1,(GMWQ!$NE$2:$NE$60=I$3)*(GMWQ!$ND$2:$ND$60=I$4)*(GMWQ!$NF$2:$NF$60=I$1),0),$E250-1966)</f>
        <v>216798.8</v>
      </c>
      <c r="J250" s="13" cm="1">
        <f t="array" ref="J250">INDEX(GMWQ!$A$2:$NF$60,MATCH(1,(GMWQ!$NE$2:$NE$60=J$3)*(GMWQ!$ND$2:$ND$60=J$4)*(GMWQ!$NF$2:$NF$60=J$1),0),$E250-1966)</f>
        <v>1012523</v>
      </c>
      <c r="K250" s="13" cm="1">
        <f t="array" ref="K250">INDEX(GMWQ!$A$2:$NF$60,MATCH(1,(GMWQ!$NE$2:$NE$60=K$3)*(GMWQ!$ND$2:$ND$60=K$4)*(GMWQ!$NF$2:$NF$60=K$1),0),$E250-1966)</f>
        <v>412446.5</v>
      </c>
      <c r="L250" s="13" cm="1">
        <f t="array" ref="L250">INDEX(GMWQ!$A$2:$NF$60,MATCH(1,(GMWQ!$NE$2:$NE$60=L$3)*(GMWQ!$ND$2:$ND$60=L$4)*(GMWQ!$NF$2:$NF$60=L$1),0),$E250-1966)</f>
        <v>653095.6</v>
      </c>
      <c r="M250" s="13" cm="1">
        <f t="array" ref="M250">INDEX(GMWQ!$A$2:$NF$60,MATCH(1,(GMWQ!$NE$2:$NE$60=M$3)*(GMWQ!$ND$2:$ND$60=M$4)*(GMWQ!$NF$2:$NF$60=M$1),0),$E250-1966)</f>
        <v>487684</v>
      </c>
      <c r="N250" s="13" cm="1">
        <f t="array" ref="N250">INDEX(GMWQ!$A$2:$NF$60,MATCH(1,(GMWQ!$NE$2:$NE$60=N$3)*(GMWQ!$ND$2:$ND$60=N$4)*(GMWQ!$NF$2:$NF$60=N$1),0),$E250-1966)</f>
        <v>133.87280000000001</v>
      </c>
    </row>
    <row r="251" spans="1:14" x14ac:dyDescent="0.25">
      <c r="A251" s="13">
        <v>2034</v>
      </c>
      <c r="B251" s="13">
        <f t="shared" si="19"/>
        <v>2034</v>
      </c>
      <c r="C251" s="13">
        <f t="shared" si="19"/>
        <v>2033</v>
      </c>
      <c r="D251" s="13">
        <f t="shared" si="19"/>
        <v>2033</v>
      </c>
      <c r="E251" s="13">
        <f t="shared" si="20"/>
        <v>2217</v>
      </c>
      <c r="F251" s="13" cm="1">
        <f t="array" ref="F251">INDEX(GMWQ!$A$2:$NF$60,MATCH(1,(GMWQ!$NE$2:$NE$60=F$3)*(GMWQ!$ND$2:$ND$60=F$4)*(GMWQ!$NF$2:$NF$60=F$1),0),$E251-1966)</f>
        <v>186.6455</v>
      </c>
      <c r="G251" s="13" cm="1">
        <f t="array" ref="G251">INDEX(GMWQ!$A$2:$NF$60,MATCH(1,(GMWQ!$NE$2:$NE$60=G$3)*(GMWQ!$ND$2:$ND$60=G$4)*(GMWQ!$NF$2:$NF$60=G$1),0),$E251-1966)</f>
        <v>65876.800000000003</v>
      </c>
      <c r="H251" s="13" cm="1">
        <f t="array" ref="H251">INDEX(GMWQ!$A$2:$NF$60,MATCH(1,(GMWQ!$NE$2:$NE$60=H$3)*(GMWQ!$ND$2:$ND$60=H$4)*(GMWQ!$NF$2:$NF$60=H$1),0),$E251-1966)</f>
        <v>918.90840000000003</v>
      </c>
      <c r="I251" s="13" cm="1">
        <f t="array" ref="I251">INDEX(GMWQ!$A$2:$NF$60,MATCH(1,(GMWQ!$NE$2:$NE$60=I$3)*(GMWQ!$ND$2:$ND$60=I$4)*(GMWQ!$NF$2:$NF$60=I$1),0),$E251-1966)</f>
        <v>218844.3</v>
      </c>
      <c r="J251" s="13" cm="1">
        <f t="array" ref="J251">INDEX(GMWQ!$A$2:$NF$60,MATCH(1,(GMWQ!$NE$2:$NE$60=J$3)*(GMWQ!$ND$2:$ND$60=J$4)*(GMWQ!$NF$2:$NF$60=J$1),0),$E251-1966)</f>
        <v>1021980</v>
      </c>
      <c r="K251" s="13" cm="1">
        <f t="array" ref="K251">INDEX(GMWQ!$A$2:$NF$60,MATCH(1,(GMWQ!$NE$2:$NE$60=K$3)*(GMWQ!$ND$2:$ND$60=K$4)*(GMWQ!$NF$2:$NF$60=K$1),0),$E251-1966)</f>
        <v>416166.1</v>
      </c>
      <c r="L251" s="13" cm="1">
        <f t="array" ref="L251">INDEX(GMWQ!$A$2:$NF$60,MATCH(1,(GMWQ!$NE$2:$NE$60=L$3)*(GMWQ!$ND$2:$ND$60=L$4)*(GMWQ!$NF$2:$NF$60=L$1),0),$E251-1966)</f>
        <v>658789</v>
      </c>
      <c r="M251" s="13" cm="1">
        <f t="array" ref="M251">INDEX(GMWQ!$A$2:$NF$60,MATCH(1,(GMWQ!$NE$2:$NE$60=M$3)*(GMWQ!$ND$2:$ND$60=M$4)*(GMWQ!$NF$2:$NF$60=M$1),0),$E251-1966)</f>
        <v>489508</v>
      </c>
      <c r="N251" s="13" cm="1">
        <f t="array" ref="N251">INDEX(GMWQ!$A$2:$NF$60,MATCH(1,(GMWQ!$NE$2:$NE$60=N$3)*(GMWQ!$ND$2:$ND$60=N$4)*(GMWQ!$NF$2:$NF$60=N$1),0),$E251-1966)</f>
        <v>134.53710000000001</v>
      </c>
    </row>
    <row r="252" spans="1:14" x14ac:dyDescent="0.25">
      <c r="B252" s="13">
        <f t="shared" ref="B252:D267" si="21">+B248+1</f>
        <v>2034</v>
      </c>
      <c r="C252" s="13">
        <f t="shared" si="21"/>
        <v>2034</v>
      </c>
      <c r="E252" s="13">
        <f t="shared" si="20"/>
        <v>2218</v>
      </c>
      <c r="F252" s="13" cm="1">
        <f t="array" ref="F252">INDEX(GMWQ!$A$2:$NF$60,MATCH(1,(GMWQ!$NE$2:$NE$60=F$3)*(GMWQ!$ND$2:$ND$60=F$4)*(GMWQ!$NF$2:$NF$60=F$1),0),$E252-1966)</f>
        <v>187.58250000000001</v>
      </c>
      <c r="G252" s="13" cm="1">
        <f t="array" ref="G252">INDEX(GMWQ!$A$2:$NF$60,MATCH(1,(GMWQ!$NE$2:$NE$60=G$3)*(GMWQ!$ND$2:$ND$60=G$4)*(GMWQ!$NF$2:$NF$60=G$1),0),$E252-1966)</f>
        <v>66459.89</v>
      </c>
      <c r="H252" s="13" cm="1">
        <f t="array" ref="H252">INDEX(GMWQ!$A$2:$NF$60,MATCH(1,(GMWQ!$NE$2:$NE$60=H$3)*(GMWQ!$ND$2:$ND$60=H$4)*(GMWQ!$NF$2:$NF$60=H$1),0),$E252-1966)</f>
        <v>925.80899999999997</v>
      </c>
      <c r="I252" s="13" cm="1">
        <f t="array" ref="I252">INDEX(GMWQ!$A$2:$NF$60,MATCH(1,(GMWQ!$NE$2:$NE$60=I$3)*(GMWQ!$ND$2:$ND$60=I$4)*(GMWQ!$NF$2:$NF$60=I$1),0),$E252-1966)</f>
        <v>221010.7</v>
      </c>
      <c r="J252" s="13" cm="1">
        <f t="array" ref="J252">INDEX(GMWQ!$A$2:$NF$60,MATCH(1,(GMWQ!$NE$2:$NE$60=J$3)*(GMWQ!$ND$2:$ND$60=J$4)*(GMWQ!$NF$2:$NF$60=J$1),0),$E252-1966)</f>
        <v>1031356</v>
      </c>
      <c r="K252" s="13" cm="1">
        <f t="array" ref="K252">INDEX(GMWQ!$A$2:$NF$60,MATCH(1,(GMWQ!$NE$2:$NE$60=K$3)*(GMWQ!$ND$2:$ND$60=K$4)*(GMWQ!$NF$2:$NF$60=K$1),0),$E252-1966)</f>
        <v>419849.7</v>
      </c>
      <c r="L252" s="13" cm="1">
        <f t="array" ref="L252">INDEX(GMWQ!$A$2:$NF$60,MATCH(1,(GMWQ!$NE$2:$NE$60=L$3)*(GMWQ!$ND$2:$ND$60=L$4)*(GMWQ!$NF$2:$NF$60=L$1),0),$E252-1966)</f>
        <v>664790.80000000005</v>
      </c>
      <c r="M252" s="13" cm="1">
        <f t="array" ref="M252">INDEX(GMWQ!$A$2:$NF$60,MATCH(1,(GMWQ!$NE$2:$NE$60=M$3)*(GMWQ!$ND$2:$ND$60=M$4)*(GMWQ!$NF$2:$NF$60=M$1),0),$E252-1966)</f>
        <v>491529.8</v>
      </c>
      <c r="N252" s="13" cm="1">
        <f t="array" ref="N252">INDEX(GMWQ!$A$2:$NF$60,MATCH(1,(GMWQ!$NE$2:$NE$60=N$3)*(GMWQ!$ND$2:$ND$60=N$4)*(GMWQ!$NF$2:$NF$60=N$1),0),$E252-1966)</f>
        <v>135.2047</v>
      </c>
    </row>
    <row r="253" spans="1:14" x14ac:dyDescent="0.25">
      <c r="B253" s="13">
        <f t="shared" si="21"/>
        <v>2034</v>
      </c>
      <c r="C253" s="13">
        <f t="shared" si="21"/>
        <v>2034</v>
      </c>
      <c r="E253" s="13">
        <f t="shared" si="20"/>
        <v>2219</v>
      </c>
      <c r="F253" s="13" cm="1">
        <f t="array" ref="F253">INDEX(GMWQ!$A$2:$NF$60,MATCH(1,(GMWQ!$NE$2:$NE$60=F$3)*(GMWQ!$ND$2:$ND$60=F$4)*(GMWQ!$NF$2:$NF$60=F$1),0),$E253-1966)</f>
        <v>188.51509999999999</v>
      </c>
      <c r="G253" s="13" cm="1">
        <f t="array" ref="G253">INDEX(GMWQ!$A$2:$NF$60,MATCH(1,(GMWQ!$NE$2:$NE$60=G$3)*(GMWQ!$ND$2:$ND$60=G$4)*(GMWQ!$NF$2:$NF$60=G$1),0),$E253-1966)</f>
        <v>67041.05</v>
      </c>
      <c r="H253" s="13" cm="1">
        <f t="array" ref="H253">INDEX(GMWQ!$A$2:$NF$60,MATCH(1,(GMWQ!$NE$2:$NE$60=H$3)*(GMWQ!$ND$2:$ND$60=H$4)*(GMWQ!$NF$2:$NF$60=H$1),0),$E253-1966)</f>
        <v>932.80690000000004</v>
      </c>
      <c r="I253" s="13" cm="1">
        <f t="array" ref="I253">INDEX(GMWQ!$A$2:$NF$60,MATCH(1,(GMWQ!$NE$2:$NE$60=I$3)*(GMWQ!$ND$2:$ND$60=I$4)*(GMWQ!$NF$2:$NF$60=I$1),0),$E253-1966)</f>
        <v>222921.9</v>
      </c>
      <c r="J253" s="13" cm="1">
        <f t="array" ref="J253">INDEX(GMWQ!$A$2:$NF$60,MATCH(1,(GMWQ!$NE$2:$NE$60=J$3)*(GMWQ!$ND$2:$ND$60=J$4)*(GMWQ!$NF$2:$NF$60=J$1),0),$E253-1966)</f>
        <v>1040759</v>
      </c>
      <c r="K253" s="13" cm="1">
        <f t="array" ref="K253">INDEX(GMWQ!$A$2:$NF$60,MATCH(1,(GMWQ!$NE$2:$NE$60=K$3)*(GMWQ!$ND$2:$ND$60=K$4)*(GMWQ!$NF$2:$NF$60=K$1),0),$E253-1966)</f>
        <v>423521</v>
      </c>
      <c r="L253" s="13" cm="1">
        <f t="array" ref="L253">INDEX(GMWQ!$A$2:$NF$60,MATCH(1,(GMWQ!$NE$2:$NE$60=L$3)*(GMWQ!$ND$2:$ND$60=L$4)*(GMWQ!$NF$2:$NF$60=L$1),0),$E253-1966)</f>
        <v>670372.6</v>
      </c>
      <c r="M253" s="13" cm="1">
        <f t="array" ref="M253">INDEX(GMWQ!$A$2:$NF$60,MATCH(1,(GMWQ!$NE$2:$NE$60=M$3)*(GMWQ!$ND$2:$ND$60=M$4)*(GMWQ!$NF$2:$NF$60=M$1),0),$E253-1966)</f>
        <v>493211.2</v>
      </c>
      <c r="N253" s="13" cm="1">
        <f t="array" ref="N253">INDEX(GMWQ!$A$2:$NF$60,MATCH(1,(GMWQ!$NE$2:$NE$60=N$3)*(GMWQ!$ND$2:$ND$60=N$4)*(GMWQ!$NF$2:$NF$60=N$1),0),$E253-1966)</f>
        <v>135.87549999999999</v>
      </c>
    </row>
    <row r="254" spans="1:14" x14ac:dyDescent="0.25">
      <c r="B254" s="13">
        <f t="shared" si="21"/>
        <v>2034</v>
      </c>
      <c r="C254" s="13">
        <f t="shared" si="21"/>
        <v>2034</v>
      </c>
      <c r="E254" s="13">
        <f t="shared" si="20"/>
        <v>2220</v>
      </c>
      <c r="F254" s="13" cm="1">
        <f t="array" ref="F254">INDEX(GMWQ!$A$2:$NF$60,MATCH(1,(GMWQ!$NE$2:$NE$60=F$3)*(GMWQ!$ND$2:$ND$60=F$4)*(GMWQ!$NF$2:$NF$60=F$1),0),$E254-1966)</f>
        <v>189.45859999999999</v>
      </c>
      <c r="G254" s="13" cm="1">
        <f t="array" ref="G254">INDEX(GMWQ!$A$2:$NF$60,MATCH(1,(GMWQ!$NE$2:$NE$60=G$3)*(GMWQ!$ND$2:$ND$60=G$4)*(GMWQ!$NF$2:$NF$60=G$1),0),$E254-1966)</f>
        <v>67623.05</v>
      </c>
      <c r="H254" s="13" cm="1">
        <f t="array" ref="H254">INDEX(GMWQ!$A$2:$NF$60,MATCH(1,(GMWQ!$NE$2:$NE$60=H$3)*(GMWQ!$ND$2:$ND$60=H$4)*(GMWQ!$NF$2:$NF$60=H$1),0),$E254-1966)</f>
        <v>939.88900000000001</v>
      </c>
      <c r="I254" s="13" cm="1">
        <f t="array" ref="I254">INDEX(GMWQ!$A$2:$NF$60,MATCH(1,(GMWQ!$NE$2:$NE$60=I$3)*(GMWQ!$ND$2:$ND$60=I$4)*(GMWQ!$NF$2:$NF$60=I$1),0),$E254-1966)</f>
        <v>224892.5</v>
      </c>
      <c r="J254" s="13" cm="1">
        <f t="array" ref="J254">INDEX(GMWQ!$A$2:$NF$60,MATCH(1,(GMWQ!$NE$2:$NE$60=J$3)*(GMWQ!$ND$2:$ND$60=J$4)*(GMWQ!$NF$2:$NF$60=J$1),0),$E254-1966)</f>
        <v>1050146</v>
      </c>
      <c r="K254" s="13" cm="1">
        <f t="array" ref="K254">INDEX(GMWQ!$A$2:$NF$60,MATCH(1,(GMWQ!$NE$2:$NE$60=K$3)*(GMWQ!$ND$2:$ND$60=K$4)*(GMWQ!$NF$2:$NF$60=K$1),0),$E254-1966)</f>
        <v>427197.7</v>
      </c>
      <c r="L254" s="13" cm="1">
        <f t="array" ref="L254">INDEX(GMWQ!$A$2:$NF$60,MATCH(1,(GMWQ!$NE$2:$NE$60=L$3)*(GMWQ!$ND$2:$ND$60=L$4)*(GMWQ!$NF$2:$NF$60=L$1),0),$E254-1966)</f>
        <v>675953.8</v>
      </c>
      <c r="M254" s="13" cm="1">
        <f t="array" ref="M254">INDEX(GMWQ!$A$2:$NF$60,MATCH(1,(GMWQ!$NE$2:$NE$60=M$3)*(GMWQ!$ND$2:$ND$60=M$4)*(GMWQ!$NF$2:$NF$60=M$1),0),$E254-1966)</f>
        <v>494863</v>
      </c>
      <c r="N254" s="13" cm="1">
        <f t="array" ref="N254">INDEX(GMWQ!$A$2:$NF$60,MATCH(1,(GMWQ!$NE$2:$NE$60=N$3)*(GMWQ!$ND$2:$ND$60=N$4)*(GMWQ!$NF$2:$NF$60=N$1),0),$E254-1966)</f>
        <v>136.5498</v>
      </c>
    </row>
    <row r="255" spans="1:14" x14ac:dyDescent="0.25">
      <c r="A255" s="13">
        <v>2035</v>
      </c>
      <c r="B255" s="13">
        <f t="shared" si="21"/>
        <v>2035</v>
      </c>
      <c r="C255" s="13">
        <f t="shared" si="21"/>
        <v>2034</v>
      </c>
      <c r="D255" s="13">
        <f t="shared" si="21"/>
        <v>2034</v>
      </c>
      <c r="E255" s="13">
        <f t="shared" si="20"/>
        <v>2221</v>
      </c>
      <c r="F255" s="13" cm="1">
        <f t="array" ref="F255">INDEX(GMWQ!$A$2:$NF$60,MATCH(1,(GMWQ!$NE$2:$NE$60=F$3)*(GMWQ!$ND$2:$ND$60=F$4)*(GMWQ!$NF$2:$NF$60=F$1),0),$E255-1966)</f>
        <v>190.40690000000001</v>
      </c>
      <c r="G255" s="13" cm="1">
        <f t="array" ref="G255">INDEX(GMWQ!$A$2:$NF$60,MATCH(1,(GMWQ!$NE$2:$NE$60=G$3)*(GMWQ!$ND$2:$ND$60=G$4)*(GMWQ!$NF$2:$NF$60=G$1),0),$E255-1966)</f>
        <v>68215.92</v>
      </c>
      <c r="H255" s="13" cm="1">
        <f t="array" ref="H255">INDEX(GMWQ!$A$2:$NF$60,MATCH(1,(GMWQ!$NE$2:$NE$60=H$3)*(GMWQ!$ND$2:$ND$60=H$4)*(GMWQ!$NF$2:$NF$60=H$1),0),$E255-1966)</f>
        <v>947.05740000000003</v>
      </c>
      <c r="I255" s="13" cm="1">
        <f t="array" ref="I255">INDEX(GMWQ!$A$2:$NF$60,MATCH(1,(GMWQ!$NE$2:$NE$60=I$3)*(GMWQ!$ND$2:$ND$60=I$4)*(GMWQ!$NF$2:$NF$60=I$1),0),$E255-1966)</f>
        <v>226976</v>
      </c>
      <c r="J255" s="13" cm="1">
        <f t="array" ref="J255">INDEX(GMWQ!$A$2:$NF$60,MATCH(1,(GMWQ!$NE$2:$NE$60=J$3)*(GMWQ!$ND$2:$ND$60=J$4)*(GMWQ!$NF$2:$NF$60=J$1),0),$E255-1966)</f>
        <v>1059725</v>
      </c>
      <c r="K255" s="13" cm="1">
        <f t="array" ref="K255">INDEX(GMWQ!$A$2:$NF$60,MATCH(1,(GMWQ!$NE$2:$NE$60=K$3)*(GMWQ!$ND$2:$ND$60=K$4)*(GMWQ!$NF$2:$NF$60=K$1),0),$E255-1966)</f>
        <v>430943.1</v>
      </c>
      <c r="L255" s="13" cm="1">
        <f t="array" ref="L255">INDEX(GMWQ!$A$2:$NF$60,MATCH(1,(GMWQ!$NE$2:$NE$60=L$3)*(GMWQ!$ND$2:$ND$60=L$4)*(GMWQ!$NF$2:$NF$60=L$1),0),$E255-1966)</f>
        <v>681710.7</v>
      </c>
      <c r="M255" s="13" cm="1">
        <f t="array" ref="M255">INDEX(GMWQ!$A$2:$NF$60,MATCH(1,(GMWQ!$NE$2:$NE$60=M$3)*(GMWQ!$ND$2:$ND$60=M$4)*(GMWQ!$NF$2:$NF$60=M$1),0),$E255-1966)</f>
        <v>496615.1</v>
      </c>
      <c r="N255" s="13" cm="1">
        <f t="array" ref="N255">INDEX(GMWQ!$A$2:$NF$60,MATCH(1,(GMWQ!$NE$2:$NE$60=N$3)*(GMWQ!$ND$2:$ND$60=N$4)*(GMWQ!$NF$2:$NF$60=N$1),0),$E255-1966)</f>
        <v>137.22730000000001</v>
      </c>
    </row>
    <row r="256" spans="1:14" x14ac:dyDescent="0.25">
      <c r="B256" s="13">
        <f t="shared" si="21"/>
        <v>2035</v>
      </c>
      <c r="C256" s="13">
        <f t="shared" si="21"/>
        <v>2035</v>
      </c>
      <c r="E256" s="13">
        <f t="shared" si="20"/>
        <v>2222</v>
      </c>
      <c r="F256" s="13" cm="1">
        <f t="array" ref="F256">INDEX(GMWQ!$A$2:$NF$60,MATCH(1,(GMWQ!$NE$2:$NE$60=F$3)*(GMWQ!$ND$2:$ND$60=F$4)*(GMWQ!$NF$2:$NF$60=F$1),0),$E256-1966)</f>
        <v>191.36170000000001</v>
      </c>
      <c r="G256" s="13" cm="1">
        <f t="array" ref="G256">INDEX(GMWQ!$A$2:$NF$60,MATCH(1,(GMWQ!$NE$2:$NE$60=G$3)*(GMWQ!$ND$2:$ND$60=G$4)*(GMWQ!$NF$2:$NF$60=G$1),0),$E256-1966)</f>
        <v>68814.41</v>
      </c>
      <c r="H256" s="13" cm="1">
        <f t="array" ref="H256">INDEX(GMWQ!$A$2:$NF$60,MATCH(1,(GMWQ!$NE$2:$NE$60=H$3)*(GMWQ!$ND$2:$ND$60=H$4)*(GMWQ!$NF$2:$NF$60=H$1),0),$E256-1966)</f>
        <v>954.28689999999995</v>
      </c>
      <c r="I256" s="13" cm="1">
        <f t="array" ref="I256">INDEX(GMWQ!$A$2:$NF$60,MATCH(1,(GMWQ!$NE$2:$NE$60=I$3)*(GMWQ!$ND$2:$ND$60=I$4)*(GMWQ!$NF$2:$NF$60=I$1),0),$E256-1966)</f>
        <v>229173.5</v>
      </c>
      <c r="J256" s="13" cm="1">
        <f t="array" ref="J256">INDEX(GMWQ!$A$2:$NF$60,MATCH(1,(GMWQ!$NE$2:$NE$60=J$3)*(GMWQ!$ND$2:$ND$60=J$4)*(GMWQ!$NF$2:$NF$60=J$1),0),$E256-1966)</f>
        <v>1069390</v>
      </c>
      <c r="K256" s="13" cm="1">
        <f t="array" ref="K256">INDEX(GMWQ!$A$2:$NF$60,MATCH(1,(GMWQ!$NE$2:$NE$60=K$3)*(GMWQ!$ND$2:$ND$60=K$4)*(GMWQ!$NF$2:$NF$60=K$1),0),$E256-1966)</f>
        <v>434724</v>
      </c>
      <c r="L256" s="13" cm="1">
        <f t="array" ref="L256">INDEX(GMWQ!$A$2:$NF$60,MATCH(1,(GMWQ!$NE$2:$NE$60=L$3)*(GMWQ!$ND$2:$ND$60=L$4)*(GMWQ!$NF$2:$NF$60=L$1),0),$E256-1966)</f>
        <v>687885.8</v>
      </c>
      <c r="M256" s="13" cm="1">
        <f t="array" ref="M256">INDEX(GMWQ!$A$2:$NF$60,MATCH(1,(GMWQ!$NE$2:$NE$60=M$3)*(GMWQ!$ND$2:$ND$60=M$4)*(GMWQ!$NF$2:$NF$60=M$1),0),$E256-1966)</f>
        <v>498640.6</v>
      </c>
      <c r="N256" s="13" cm="1">
        <f t="array" ref="N256">INDEX(GMWQ!$A$2:$NF$60,MATCH(1,(GMWQ!$NE$2:$NE$60=N$3)*(GMWQ!$ND$2:$ND$60=N$4)*(GMWQ!$NF$2:$NF$60=N$1),0),$E256-1966)</f>
        <v>137.90819999999999</v>
      </c>
    </row>
    <row r="257" spans="1:14" x14ac:dyDescent="0.25">
      <c r="B257" s="13">
        <f t="shared" si="21"/>
        <v>2035</v>
      </c>
      <c r="C257" s="13">
        <f t="shared" si="21"/>
        <v>2035</v>
      </c>
      <c r="E257" s="13">
        <f t="shared" si="20"/>
        <v>2223</v>
      </c>
      <c r="F257" s="13" cm="1">
        <f t="array" ref="F257">INDEX(GMWQ!$A$2:$NF$60,MATCH(1,(GMWQ!$NE$2:$NE$60=F$3)*(GMWQ!$ND$2:$ND$60=F$4)*(GMWQ!$NF$2:$NF$60=F$1),0),$E257-1966)</f>
        <v>192.32329999999999</v>
      </c>
      <c r="G257" s="13" cm="1">
        <f t="array" ref="G257">INDEX(GMWQ!$A$2:$NF$60,MATCH(1,(GMWQ!$NE$2:$NE$60=G$3)*(GMWQ!$ND$2:$ND$60=G$4)*(GMWQ!$NF$2:$NF$60=G$1),0),$E257-1966)</f>
        <v>69418.64</v>
      </c>
      <c r="H257" s="13" cm="1">
        <f t="array" ref="H257">INDEX(GMWQ!$A$2:$NF$60,MATCH(1,(GMWQ!$NE$2:$NE$60=H$3)*(GMWQ!$ND$2:$ND$60=H$4)*(GMWQ!$NF$2:$NF$60=H$1),0),$E257-1966)</f>
        <v>961.5806</v>
      </c>
      <c r="I257" s="13" cm="1">
        <f t="array" ref="I257">INDEX(GMWQ!$A$2:$NF$60,MATCH(1,(GMWQ!$NE$2:$NE$60=I$3)*(GMWQ!$ND$2:$ND$60=I$4)*(GMWQ!$NF$2:$NF$60=I$1),0),$E257-1966)</f>
        <v>231142.6</v>
      </c>
      <c r="J257" s="13" cm="1">
        <f t="array" ref="J257">INDEX(GMWQ!$A$2:$NF$60,MATCH(1,(GMWQ!$NE$2:$NE$60=J$3)*(GMWQ!$ND$2:$ND$60=J$4)*(GMWQ!$NF$2:$NF$60=J$1),0),$E257-1966)</f>
        <v>1079139</v>
      </c>
      <c r="K257" s="13" cm="1">
        <f t="array" ref="K257">INDEX(GMWQ!$A$2:$NF$60,MATCH(1,(GMWQ!$NE$2:$NE$60=K$3)*(GMWQ!$ND$2:$ND$60=K$4)*(GMWQ!$NF$2:$NF$60=K$1),0),$E257-1966)</f>
        <v>438541.1</v>
      </c>
      <c r="L257" s="13" cm="1">
        <f t="array" ref="L257">INDEX(GMWQ!$A$2:$NF$60,MATCH(1,(GMWQ!$NE$2:$NE$60=L$3)*(GMWQ!$ND$2:$ND$60=L$4)*(GMWQ!$NF$2:$NF$60=L$1),0),$E257-1966)</f>
        <v>693760.9</v>
      </c>
      <c r="M257" s="13" cm="1">
        <f t="array" ref="M257">INDEX(GMWQ!$A$2:$NF$60,MATCH(1,(GMWQ!$NE$2:$NE$60=M$3)*(GMWQ!$ND$2:$ND$60=M$4)*(GMWQ!$NF$2:$NF$60=M$1),0),$E257-1966)</f>
        <v>500417.9</v>
      </c>
      <c r="N257" s="13" cm="1">
        <f t="array" ref="N257">INDEX(GMWQ!$A$2:$NF$60,MATCH(1,(GMWQ!$NE$2:$NE$60=N$3)*(GMWQ!$ND$2:$ND$60=N$4)*(GMWQ!$NF$2:$NF$60=N$1),0),$E257-1966)</f>
        <v>138.5925</v>
      </c>
    </row>
    <row r="258" spans="1:14" x14ac:dyDescent="0.25">
      <c r="B258" s="13">
        <f t="shared" si="21"/>
        <v>2035</v>
      </c>
      <c r="C258" s="13">
        <f t="shared" si="21"/>
        <v>2035</v>
      </c>
      <c r="E258" s="13">
        <f t="shared" si="20"/>
        <v>2224</v>
      </c>
      <c r="F258" s="13" cm="1">
        <f t="array" ref="F258">INDEX(GMWQ!$A$2:$NF$60,MATCH(1,(GMWQ!$NE$2:$NE$60=F$3)*(GMWQ!$ND$2:$ND$60=F$4)*(GMWQ!$NF$2:$NF$60=F$1),0),$E258-1966)</f>
        <v>193.29220000000001</v>
      </c>
      <c r="G258" s="13" cm="1">
        <f t="array" ref="G258">INDEX(GMWQ!$A$2:$NF$60,MATCH(1,(GMWQ!$NE$2:$NE$60=G$3)*(GMWQ!$ND$2:$ND$60=G$4)*(GMWQ!$NF$2:$NF$60=G$1),0),$E258-1966)</f>
        <v>70028.800000000003</v>
      </c>
      <c r="H258" s="13" cm="1">
        <f t="array" ref="H258">INDEX(GMWQ!$A$2:$NF$60,MATCH(1,(GMWQ!$NE$2:$NE$60=H$3)*(GMWQ!$ND$2:$ND$60=H$4)*(GMWQ!$NF$2:$NF$60=H$1),0),$E258-1966)</f>
        <v>968.93949999999995</v>
      </c>
      <c r="I258" s="13" cm="1">
        <f t="array" ref="I258">INDEX(GMWQ!$A$2:$NF$60,MATCH(1,(GMWQ!$NE$2:$NE$60=I$3)*(GMWQ!$ND$2:$ND$60=I$4)*(GMWQ!$NF$2:$NF$60=I$1),0),$E258-1966)</f>
        <v>233186</v>
      </c>
      <c r="J258" s="13" cm="1">
        <f t="array" ref="J258">INDEX(GMWQ!$A$2:$NF$60,MATCH(1,(GMWQ!$NE$2:$NE$60=J$3)*(GMWQ!$ND$2:$ND$60=J$4)*(GMWQ!$NF$2:$NF$60=J$1),0),$E258-1966)</f>
        <v>1088974</v>
      </c>
      <c r="K258" s="13" cm="1">
        <f t="array" ref="K258">INDEX(GMWQ!$A$2:$NF$60,MATCH(1,(GMWQ!$NE$2:$NE$60=K$3)*(GMWQ!$ND$2:$ND$60=K$4)*(GMWQ!$NF$2:$NF$60=K$1),0),$E258-1966)</f>
        <v>442395.6</v>
      </c>
      <c r="L258" s="13" cm="1">
        <f t="array" ref="L258">INDEX(GMWQ!$A$2:$NF$60,MATCH(1,(GMWQ!$NE$2:$NE$60=L$3)*(GMWQ!$ND$2:$ND$60=L$4)*(GMWQ!$NF$2:$NF$60=L$1),0),$E258-1966)</f>
        <v>699691.3</v>
      </c>
      <c r="M258" s="13" cm="1">
        <f t="array" ref="M258">INDEX(GMWQ!$A$2:$NF$60,MATCH(1,(GMWQ!$NE$2:$NE$60=M$3)*(GMWQ!$ND$2:$ND$60=M$4)*(GMWQ!$NF$2:$NF$60=M$1),0),$E258-1966)</f>
        <v>502204.9</v>
      </c>
      <c r="N258" s="13" cm="1">
        <f t="array" ref="N258">INDEX(GMWQ!$A$2:$NF$60,MATCH(1,(GMWQ!$NE$2:$NE$60=N$3)*(GMWQ!$ND$2:$ND$60=N$4)*(GMWQ!$NF$2:$NF$60=N$1),0),$E258-1966)</f>
        <v>139.28020000000001</v>
      </c>
    </row>
    <row r="259" spans="1:14" x14ac:dyDescent="0.25">
      <c r="A259" s="13">
        <v>2036</v>
      </c>
      <c r="B259" s="13">
        <f t="shared" si="21"/>
        <v>2036</v>
      </c>
      <c r="C259" s="13">
        <f t="shared" si="21"/>
        <v>2035</v>
      </c>
      <c r="D259" s="13">
        <f t="shared" si="21"/>
        <v>2035</v>
      </c>
      <c r="E259" s="13">
        <f t="shared" si="20"/>
        <v>2225</v>
      </c>
      <c r="F259" s="13" cm="1">
        <f t="array" ref="F259">INDEX(GMWQ!$A$2:$NF$60,MATCH(1,(GMWQ!$NE$2:$NE$60=F$3)*(GMWQ!$ND$2:$ND$60=F$4)*(GMWQ!$NF$2:$NF$60=F$1),0),$E259-1966)</f>
        <v>194.2535</v>
      </c>
      <c r="G259" s="13" cm="1">
        <f t="array" ref="G259">INDEX(GMWQ!$A$2:$NF$60,MATCH(1,(GMWQ!$NE$2:$NE$60=G$3)*(GMWQ!$ND$2:$ND$60=G$4)*(GMWQ!$NF$2:$NF$60=G$1),0),$E259-1966)</f>
        <v>70645.62</v>
      </c>
      <c r="H259" s="13" cm="1">
        <f t="array" ref="H259">INDEX(GMWQ!$A$2:$NF$60,MATCH(1,(GMWQ!$NE$2:$NE$60=H$3)*(GMWQ!$ND$2:$ND$60=H$4)*(GMWQ!$NF$2:$NF$60=H$1),0),$E259-1966)</f>
        <v>976.3732</v>
      </c>
      <c r="I259" s="13" cm="1">
        <f t="array" ref="I259">INDEX(GMWQ!$A$2:$NF$60,MATCH(1,(GMWQ!$NE$2:$NE$60=I$3)*(GMWQ!$ND$2:$ND$60=I$4)*(GMWQ!$NF$2:$NF$60=I$1),0),$E259-1966)</f>
        <v>235368.3</v>
      </c>
      <c r="J259" s="13" cm="1">
        <f t="array" ref="J259">INDEX(GMWQ!$A$2:$NF$60,MATCH(1,(GMWQ!$NE$2:$NE$60=J$3)*(GMWQ!$ND$2:$ND$60=J$4)*(GMWQ!$NF$2:$NF$60=J$1),0),$E259-1966)</f>
        <v>1098991</v>
      </c>
      <c r="K259" s="13" cm="1">
        <f t="array" ref="K259">INDEX(GMWQ!$A$2:$NF$60,MATCH(1,(GMWQ!$NE$2:$NE$60=K$3)*(GMWQ!$ND$2:$ND$60=K$4)*(GMWQ!$NF$2:$NF$60=K$1),0),$E259-1966)</f>
        <v>446292.3</v>
      </c>
      <c r="L259" s="13" cm="1">
        <f t="array" ref="L259">INDEX(GMWQ!$A$2:$NF$60,MATCH(1,(GMWQ!$NE$2:$NE$60=L$3)*(GMWQ!$ND$2:$ND$60=L$4)*(GMWQ!$NF$2:$NF$60=L$1),0),$E259-1966)</f>
        <v>705706.6</v>
      </c>
      <c r="M259" s="13" cm="1">
        <f t="array" ref="M259">INDEX(GMWQ!$A$2:$NF$60,MATCH(1,(GMWQ!$NE$2:$NE$60=M$3)*(GMWQ!$ND$2:$ND$60=M$4)*(GMWQ!$NF$2:$NF$60=M$1),0),$E259-1966)</f>
        <v>504022.8</v>
      </c>
      <c r="N259" s="13" cm="1">
        <f t="array" ref="N259">INDEX(GMWQ!$A$2:$NF$60,MATCH(1,(GMWQ!$NE$2:$NE$60=N$3)*(GMWQ!$ND$2:$ND$60=N$4)*(GMWQ!$NF$2:$NF$60=N$1),0),$E259-1966)</f>
        <v>139.97130000000001</v>
      </c>
    </row>
    <row r="260" spans="1:14" x14ac:dyDescent="0.25">
      <c r="B260" s="13">
        <f t="shared" si="21"/>
        <v>2036</v>
      </c>
      <c r="C260" s="13">
        <f t="shared" si="21"/>
        <v>2036</v>
      </c>
      <c r="E260" s="13">
        <f t="shared" si="20"/>
        <v>2226</v>
      </c>
      <c r="F260" s="13" cm="1">
        <f t="array" ref="F260">INDEX(GMWQ!$A$2:$NF$60,MATCH(1,(GMWQ!$NE$2:$NE$60=F$3)*(GMWQ!$ND$2:$ND$60=F$4)*(GMWQ!$NF$2:$NF$60=F$1),0),$E260-1966)</f>
        <v>195.2235</v>
      </c>
      <c r="G260" s="13" cm="1">
        <f t="array" ref="G260">INDEX(GMWQ!$A$2:$NF$60,MATCH(1,(GMWQ!$NE$2:$NE$60=G$3)*(GMWQ!$ND$2:$ND$60=G$4)*(GMWQ!$NF$2:$NF$60=G$1),0),$E260-1966)</f>
        <v>71269.3</v>
      </c>
      <c r="H260" s="13" cm="1">
        <f t="array" ref="H260">INDEX(GMWQ!$A$2:$NF$60,MATCH(1,(GMWQ!$NE$2:$NE$60=H$3)*(GMWQ!$ND$2:$ND$60=H$4)*(GMWQ!$NF$2:$NF$60=H$1),0),$E260-1966)</f>
        <v>983.88549999999998</v>
      </c>
      <c r="I260" s="13" cm="1">
        <f t="array" ref="I260">INDEX(GMWQ!$A$2:$NF$60,MATCH(1,(GMWQ!$NE$2:$NE$60=I$3)*(GMWQ!$ND$2:$ND$60=I$4)*(GMWQ!$NF$2:$NF$60=I$1),0),$E260-1966)</f>
        <v>237665</v>
      </c>
      <c r="J260" s="13" cm="1">
        <f t="array" ref="J260">INDEX(GMWQ!$A$2:$NF$60,MATCH(1,(GMWQ!$NE$2:$NE$60=J$3)*(GMWQ!$ND$2:$ND$60=J$4)*(GMWQ!$NF$2:$NF$60=J$1),0),$E260-1966)</f>
        <v>1109100</v>
      </c>
      <c r="K260" s="13" cm="1">
        <f t="array" ref="K260">INDEX(GMWQ!$A$2:$NF$60,MATCH(1,(GMWQ!$NE$2:$NE$60=K$3)*(GMWQ!$ND$2:$ND$60=K$4)*(GMWQ!$NF$2:$NF$60=K$1),0),$E260-1966)</f>
        <v>450232.3</v>
      </c>
      <c r="L260" s="13" cm="1">
        <f t="array" ref="L260">INDEX(GMWQ!$A$2:$NF$60,MATCH(1,(GMWQ!$NE$2:$NE$60=L$3)*(GMWQ!$ND$2:$ND$60=L$4)*(GMWQ!$NF$2:$NF$60=L$1),0),$E260-1966)</f>
        <v>711833.2</v>
      </c>
      <c r="M260" s="13" cm="1">
        <f t="array" ref="M260">INDEX(GMWQ!$A$2:$NF$60,MATCH(1,(GMWQ!$NE$2:$NE$60=M$3)*(GMWQ!$ND$2:$ND$60=M$4)*(GMWQ!$NF$2:$NF$60=M$1),0),$E260-1966)</f>
        <v>505889.5</v>
      </c>
      <c r="N260" s="13" cm="1">
        <f t="array" ref="N260">INDEX(GMWQ!$A$2:$NF$60,MATCH(1,(GMWQ!$NE$2:$NE$60=N$3)*(GMWQ!$ND$2:$ND$60=N$4)*(GMWQ!$NF$2:$NF$60=N$1),0),$E260-1966)</f>
        <v>140.66589999999999</v>
      </c>
    </row>
    <row r="261" spans="1:14" x14ac:dyDescent="0.25">
      <c r="B261" s="13">
        <f t="shared" si="21"/>
        <v>2036</v>
      </c>
      <c r="C261" s="13">
        <f t="shared" si="21"/>
        <v>2036</v>
      </c>
      <c r="E261" s="13">
        <f t="shared" si="20"/>
        <v>2227</v>
      </c>
      <c r="F261" s="13" cm="1">
        <f t="array" ref="F261">INDEX(GMWQ!$A$2:$NF$60,MATCH(1,(GMWQ!$NE$2:$NE$60=F$3)*(GMWQ!$ND$2:$ND$60=F$4)*(GMWQ!$NF$2:$NF$60=F$1),0),$E261-1966)</f>
        <v>196.20249999999999</v>
      </c>
      <c r="G261" s="13" cm="1">
        <f t="array" ref="G261">INDEX(GMWQ!$A$2:$NF$60,MATCH(1,(GMWQ!$NE$2:$NE$60=G$3)*(GMWQ!$ND$2:$ND$60=G$4)*(GMWQ!$NF$2:$NF$60=G$1),0),$E261-1966)</f>
        <v>71900.009999999995</v>
      </c>
      <c r="H261" s="13" cm="1">
        <f t="array" ref="H261">INDEX(GMWQ!$A$2:$NF$60,MATCH(1,(GMWQ!$NE$2:$NE$60=H$3)*(GMWQ!$ND$2:$ND$60=H$4)*(GMWQ!$NF$2:$NF$60=H$1),0),$E261-1966)</f>
        <v>991.47829999999999</v>
      </c>
      <c r="I261" s="13" cm="1">
        <f t="array" ref="I261">INDEX(GMWQ!$A$2:$NF$60,MATCH(1,(GMWQ!$NE$2:$NE$60=I$3)*(GMWQ!$ND$2:$ND$60=I$4)*(GMWQ!$NF$2:$NF$60=I$1),0),$E261-1966)</f>
        <v>239725.8</v>
      </c>
      <c r="J261" s="13" cm="1">
        <f t="array" ref="J261">INDEX(GMWQ!$A$2:$NF$60,MATCH(1,(GMWQ!$NE$2:$NE$60=J$3)*(GMWQ!$ND$2:$ND$60=J$4)*(GMWQ!$NF$2:$NF$60=J$1),0),$E261-1966)</f>
        <v>1119304</v>
      </c>
      <c r="K261" s="13" cm="1">
        <f t="array" ref="K261">INDEX(GMWQ!$A$2:$NF$60,MATCH(1,(GMWQ!$NE$2:$NE$60=K$3)*(GMWQ!$ND$2:$ND$60=K$4)*(GMWQ!$NF$2:$NF$60=K$1),0),$E261-1966)</f>
        <v>454216.7</v>
      </c>
      <c r="L261" s="13" cm="1">
        <f t="array" ref="L261">INDEX(GMWQ!$A$2:$NF$60,MATCH(1,(GMWQ!$NE$2:$NE$60=L$3)*(GMWQ!$ND$2:$ND$60=L$4)*(GMWQ!$NF$2:$NF$60=L$1),0),$E261-1966)</f>
        <v>718013.8</v>
      </c>
      <c r="M261" s="13" cm="1">
        <f t="array" ref="M261">INDEX(GMWQ!$A$2:$NF$60,MATCH(1,(GMWQ!$NE$2:$NE$60=M$3)*(GMWQ!$ND$2:$ND$60=M$4)*(GMWQ!$NF$2:$NF$60=M$1),0),$E261-1966)</f>
        <v>507763.6</v>
      </c>
      <c r="N261" s="13" cm="1">
        <f t="array" ref="N261">INDEX(GMWQ!$A$2:$NF$60,MATCH(1,(GMWQ!$NE$2:$NE$60=N$3)*(GMWQ!$ND$2:$ND$60=N$4)*(GMWQ!$NF$2:$NF$60=N$1),0),$E261-1966)</f>
        <v>141.3639</v>
      </c>
    </row>
    <row r="262" spans="1:14" x14ac:dyDescent="0.25">
      <c r="B262" s="13">
        <f t="shared" si="21"/>
        <v>2036</v>
      </c>
      <c r="C262" s="13">
        <f t="shared" si="21"/>
        <v>2036</v>
      </c>
      <c r="E262" s="13">
        <f t="shared" si="20"/>
        <v>2228</v>
      </c>
      <c r="F262" s="13" cm="1">
        <f t="array" ref="F262">INDEX(GMWQ!$A$2:$NF$60,MATCH(1,(GMWQ!$NE$2:$NE$60=F$3)*(GMWQ!$ND$2:$ND$60=F$4)*(GMWQ!$NF$2:$NF$60=F$1),0),$E262-1966)</f>
        <v>197.19059999999999</v>
      </c>
      <c r="G262" s="13" cm="1">
        <f t="array" ref="G262">INDEX(GMWQ!$A$2:$NF$60,MATCH(1,(GMWQ!$NE$2:$NE$60=G$3)*(GMWQ!$ND$2:$ND$60=G$4)*(GMWQ!$NF$2:$NF$60=G$1),0),$E262-1966)</f>
        <v>72537.8</v>
      </c>
      <c r="H262" s="13" cm="1">
        <f t="array" ref="H262">INDEX(GMWQ!$A$2:$NF$60,MATCH(1,(GMWQ!$NE$2:$NE$60=H$3)*(GMWQ!$ND$2:$ND$60=H$4)*(GMWQ!$NF$2:$NF$60=H$1),0),$E262-1966)</f>
        <v>999.1508</v>
      </c>
      <c r="I262" s="13" cm="1">
        <f t="array" ref="I262">INDEX(GMWQ!$A$2:$NF$60,MATCH(1,(GMWQ!$NE$2:$NE$60=I$3)*(GMWQ!$ND$2:$ND$60=I$4)*(GMWQ!$NF$2:$NF$60=I$1),0),$E262-1966)</f>
        <v>241865</v>
      </c>
      <c r="J262" s="13" cm="1">
        <f t="array" ref="J262">INDEX(GMWQ!$A$2:$NF$60,MATCH(1,(GMWQ!$NE$2:$NE$60=J$3)*(GMWQ!$ND$2:$ND$60=J$4)*(GMWQ!$NF$2:$NF$60=J$1),0),$E262-1966)</f>
        <v>1129602</v>
      </c>
      <c r="K262" s="13" cm="1">
        <f t="array" ref="K262">INDEX(GMWQ!$A$2:$NF$60,MATCH(1,(GMWQ!$NE$2:$NE$60=K$3)*(GMWQ!$ND$2:$ND$60=K$4)*(GMWQ!$NF$2:$NF$60=K$1),0),$E262-1966)</f>
        <v>458245.9</v>
      </c>
      <c r="L262" s="13" cm="1">
        <f t="array" ref="L262">INDEX(GMWQ!$A$2:$NF$60,MATCH(1,(GMWQ!$NE$2:$NE$60=L$3)*(GMWQ!$ND$2:$ND$60=L$4)*(GMWQ!$NF$2:$NF$60=L$1),0),$E262-1966)</f>
        <v>724248.6</v>
      </c>
      <c r="M262" s="13" cm="1">
        <f t="array" ref="M262">INDEX(GMWQ!$A$2:$NF$60,MATCH(1,(GMWQ!$NE$2:$NE$60=M$3)*(GMWQ!$ND$2:$ND$60=M$4)*(GMWQ!$NF$2:$NF$60=M$1),0),$E262-1966)</f>
        <v>509645.3</v>
      </c>
      <c r="N262" s="13" cm="1">
        <f t="array" ref="N262">INDEX(GMWQ!$A$2:$NF$60,MATCH(1,(GMWQ!$NE$2:$NE$60=N$3)*(GMWQ!$ND$2:$ND$60=N$4)*(GMWQ!$NF$2:$NF$60=N$1),0),$E262-1966)</f>
        <v>142.06530000000001</v>
      </c>
    </row>
    <row r="263" spans="1:14" x14ac:dyDescent="0.25">
      <c r="A263" s="13">
        <v>2037</v>
      </c>
      <c r="B263" s="13">
        <f t="shared" si="21"/>
        <v>2037</v>
      </c>
      <c r="C263" s="13">
        <f t="shared" si="21"/>
        <v>2036</v>
      </c>
      <c r="D263" s="13">
        <f t="shared" si="21"/>
        <v>2036</v>
      </c>
      <c r="E263" s="13">
        <f t="shared" si="20"/>
        <v>2229</v>
      </c>
      <c r="F263" s="13" cm="1">
        <f t="array" ref="F263">INDEX(GMWQ!$A$2:$NF$60,MATCH(1,(GMWQ!$NE$2:$NE$60=F$3)*(GMWQ!$ND$2:$ND$60=F$4)*(GMWQ!$NF$2:$NF$60=F$1),0),$E263-1966)</f>
        <v>198.18389999999999</v>
      </c>
      <c r="G263" s="13" cm="1">
        <f t="array" ref="G263">INDEX(GMWQ!$A$2:$NF$60,MATCH(1,(GMWQ!$NE$2:$NE$60=G$3)*(GMWQ!$ND$2:$ND$60=G$4)*(GMWQ!$NF$2:$NF$60=G$1),0),$E263-1966)</f>
        <v>73181.33</v>
      </c>
      <c r="H263" s="13" cm="1">
        <f t="array" ref="H263">INDEX(GMWQ!$A$2:$NF$60,MATCH(1,(GMWQ!$NE$2:$NE$60=H$3)*(GMWQ!$ND$2:$ND$60=H$4)*(GMWQ!$NF$2:$NF$60=H$1),0),$E263-1966)</f>
        <v>1006.885</v>
      </c>
      <c r="I263" s="13" cm="1">
        <f t="array" ref="I263">INDEX(GMWQ!$A$2:$NF$60,MATCH(1,(GMWQ!$NE$2:$NE$60=I$3)*(GMWQ!$ND$2:$ND$60=I$4)*(GMWQ!$NF$2:$NF$60=I$1),0),$E263-1966)</f>
        <v>244149.4</v>
      </c>
      <c r="J263" s="13" cm="1">
        <f t="array" ref="J263">INDEX(GMWQ!$A$2:$NF$60,MATCH(1,(GMWQ!$NE$2:$NE$60=J$3)*(GMWQ!$ND$2:$ND$60=J$4)*(GMWQ!$NF$2:$NF$60=J$1),0),$E263-1966)</f>
        <v>1139995</v>
      </c>
      <c r="K263" s="13" cm="1">
        <f t="array" ref="K263">INDEX(GMWQ!$A$2:$NF$60,MATCH(1,(GMWQ!$NE$2:$NE$60=K$3)*(GMWQ!$ND$2:$ND$60=K$4)*(GMWQ!$NF$2:$NF$60=K$1),0),$E263-1966)</f>
        <v>462311.3</v>
      </c>
      <c r="L263" s="13" cm="1">
        <f t="array" ref="L263">INDEX(GMWQ!$A$2:$NF$60,MATCH(1,(GMWQ!$NE$2:$NE$60=L$3)*(GMWQ!$ND$2:$ND$60=L$4)*(GMWQ!$NF$2:$NF$60=L$1),0),$E263-1966)</f>
        <v>730537.4</v>
      </c>
      <c r="M263" s="13" cm="1">
        <f t="array" ref="M263">INDEX(GMWQ!$A$2:$NF$60,MATCH(1,(GMWQ!$NE$2:$NE$60=M$3)*(GMWQ!$ND$2:$ND$60=M$4)*(GMWQ!$NF$2:$NF$60=M$1),0),$E263-1966)</f>
        <v>511534</v>
      </c>
      <c r="N263" s="13" cm="1">
        <f t="array" ref="N263">INDEX(GMWQ!$A$2:$NF$60,MATCH(1,(GMWQ!$NE$2:$NE$60=N$3)*(GMWQ!$ND$2:$ND$60=N$4)*(GMWQ!$NF$2:$NF$60=N$1),0),$E263-1966)</f>
        <v>142.77019999999999</v>
      </c>
    </row>
    <row r="264" spans="1:14" x14ac:dyDescent="0.25">
      <c r="B264" s="13">
        <f t="shared" si="21"/>
        <v>2037</v>
      </c>
      <c r="C264" s="13">
        <f t="shared" si="21"/>
        <v>2037</v>
      </c>
      <c r="E264" s="13">
        <f t="shared" si="20"/>
        <v>2230</v>
      </c>
      <c r="F264" s="13" cm="1">
        <f t="array" ref="F264">INDEX(GMWQ!$A$2:$NF$60,MATCH(1,(GMWQ!$NE$2:$NE$60=F$3)*(GMWQ!$ND$2:$ND$60=F$4)*(GMWQ!$NF$2:$NF$60=F$1),0),$E264-1966)</f>
        <v>199.18219999999999</v>
      </c>
      <c r="G264" s="13" cm="1">
        <f t="array" ref="G264">INDEX(GMWQ!$A$2:$NF$60,MATCH(1,(GMWQ!$NE$2:$NE$60=G$3)*(GMWQ!$ND$2:$ND$60=G$4)*(GMWQ!$NF$2:$NF$60=G$1),0),$E264-1966)</f>
        <v>73830.59</v>
      </c>
      <c r="H264" s="13" cm="1">
        <f t="array" ref="H264">INDEX(GMWQ!$A$2:$NF$60,MATCH(1,(GMWQ!$NE$2:$NE$60=H$3)*(GMWQ!$ND$2:$ND$60=H$4)*(GMWQ!$NF$2:$NF$60=H$1),0),$E264-1966)</f>
        <v>1014.682</v>
      </c>
      <c r="I264" s="13" cm="1">
        <f t="array" ref="I264">INDEX(GMWQ!$A$2:$NF$60,MATCH(1,(GMWQ!$NE$2:$NE$60=I$3)*(GMWQ!$ND$2:$ND$60=I$4)*(GMWQ!$NF$2:$NF$60=I$1),0),$E264-1966)</f>
        <v>246532.4</v>
      </c>
      <c r="J264" s="13" cm="1">
        <f t="array" ref="J264">INDEX(GMWQ!$A$2:$NF$60,MATCH(1,(GMWQ!$NE$2:$NE$60=J$3)*(GMWQ!$ND$2:$ND$60=J$4)*(GMWQ!$NF$2:$NF$60=J$1),0),$E264-1966)</f>
        <v>1150484</v>
      </c>
      <c r="K264" s="13" cm="1">
        <f t="array" ref="K264">INDEX(GMWQ!$A$2:$NF$60,MATCH(1,(GMWQ!$NE$2:$NE$60=K$3)*(GMWQ!$ND$2:$ND$60=K$4)*(GMWQ!$NF$2:$NF$60=K$1),0),$E264-1966)</f>
        <v>466412.79999999999</v>
      </c>
      <c r="L264" s="13" cm="1">
        <f t="array" ref="L264">INDEX(GMWQ!$A$2:$NF$60,MATCH(1,(GMWQ!$NE$2:$NE$60=L$3)*(GMWQ!$ND$2:$ND$60=L$4)*(GMWQ!$NF$2:$NF$60=L$1),0),$E264-1966)</f>
        <v>736881.4</v>
      </c>
      <c r="M264" s="13" cm="1">
        <f t="array" ref="M264">INDEX(GMWQ!$A$2:$NF$60,MATCH(1,(GMWQ!$NE$2:$NE$60=M$3)*(GMWQ!$ND$2:$ND$60=M$4)*(GMWQ!$NF$2:$NF$60=M$1),0),$E264-1966)</f>
        <v>513429.6</v>
      </c>
      <c r="N264" s="13" cm="1">
        <f t="array" ref="N264">INDEX(GMWQ!$A$2:$NF$60,MATCH(1,(GMWQ!$NE$2:$NE$60=N$3)*(GMWQ!$ND$2:$ND$60=N$4)*(GMWQ!$NF$2:$NF$60=N$1),0),$E264-1966)</f>
        <v>143.4787</v>
      </c>
    </row>
    <row r="265" spans="1:14" x14ac:dyDescent="0.25">
      <c r="B265" s="13">
        <f t="shared" si="21"/>
        <v>2037</v>
      </c>
      <c r="C265" s="13">
        <f t="shared" si="21"/>
        <v>2037</v>
      </c>
      <c r="E265" s="13">
        <f t="shared" si="20"/>
        <v>2231</v>
      </c>
      <c r="F265" s="13" cm="1">
        <f t="array" ref="F265">INDEX(GMWQ!$A$2:$NF$60,MATCH(1,(GMWQ!$NE$2:$NE$60=F$3)*(GMWQ!$ND$2:$ND$60=F$4)*(GMWQ!$NF$2:$NF$60=F$1),0),$E265-1966)</f>
        <v>200.1857</v>
      </c>
      <c r="G265" s="13" cm="1">
        <f t="array" ref="G265">INDEX(GMWQ!$A$2:$NF$60,MATCH(1,(GMWQ!$NE$2:$NE$60=G$3)*(GMWQ!$ND$2:$ND$60=G$4)*(GMWQ!$NF$2:$NF$60=G$1),0),$E265-1966)</f>
        <v>74485.66</v>
      </c>
      <c r="H265" s="13" cm="1">
        <f t="array" ref="H265">INDEX(GMWQ!$A$2:$NF$60,MATCH(1,(GMWQ!$NE$2:$NE$60=H$3)*(GMWQ!$ND$2:$ND$60=H$4)*(GMWQ!$NF$2:$NF$60=H$1),0),$E265-1966)</f>
        <v>1022.54</v>
      </c>
      <c r="I265" s="13" cm="1">
        <f t="array" ref="I265">INDEX(GMWQ!$A$2:$NF$60,MATCH(1,(GMWQ!$NE$2:$NE$60=I$3)*(GMWQ!$ND$2:$ND$60=I$4)*(GMWQ!$NF$2:$NF$60=I$1),0),$E265-1966)</f>
        <v>248670.7</v>
      </c>
      <c r="J265" s="13" cm="1">
        <f t="array" ref="J265">INDEX(GMWQ!$A$2:$NF$60,MATCH(1,(GMWQ!$NE$2:$NE$60=J$3)*(GMWQ!$ND$2:$ND$60=J$4)*(GMWQ!$NF$2:$NF$60=J$1),0),$E265-1966)</f>
        <v>1161070</v>
      </c>
      <c r="K265" s="13" cm="1">
        <f t="array" ref="K265">INDEX(GMWQ!$A$2:$NF$60,MATCH(1,(GMWQ!$NE$2:$NE$60=K$3)*(GMWQ!$ND$2:$ND$60=K$4)*(GMWQ!$NF$2:$NF$60=K$1),0),$E265-1966)</f>
        <v>470551.2</v>
      </c>
      <c r="L265" s="13" cm="1">
        <f t="array" ref="L265">INDEX(GMWQ!$A$2:$NF$60,MATCH(1,(GMWQ!$NE$2:$NE$60=L$3)*(GMWQ!$ND$2:$ND$60=L$4)*(GMWQ!$NF$2:$NF$60=L$1),0),$E265-1966)</f>
        <v>743281.4</v>
      </c>
      <c r="M265" s="13" cm="1">
        <f t="array" ref="M265">INDEX(GMWQ!$A$2:$NF$60,MATCH(1,(GMWQ!$NE$2:$NE$60=M$3)*(GMWQ!$ND$2:$ND$60=M$4)*(GMWQ!$NF$2:$NF$60=M$1),0),$E265-1966)</f>
        <v>515333.3</v>
      </c>
      <c r="N265" s="13" cm="1">
        <f t="array" ref="N265">INDEX(GMWQ!$A$2:$NF$60,MATCH(1,(GMWQ!$NE$2:$NE$60=N$3)*(GMWQ!$ND$2:$ND$60=N$4)*(GMWQ!$NF$2:$NF$60=N$1),0),$E265-1966)</f>
        <v>144.19059999999999</v>
      </c>
    </row>
    <row r="266" spans="1:14" x14ac:dyDescent="0.25">
      <c r="B266" s="13">
        <f t="shared" si="21"/>
        <v>2037</v>
      </c>
      <c r="C266" s="13">
        <f t="shared" si="21"/>
        <v>2037</v>
      </c>
      <c r="E266" s="13">
        <f t="shared" si="20"/>
        <v>2232</v>
      </c>
      <c r="F266" s="13" cm="1">
        <f t="array" ref="F266">INDEX(GMWQ!$A$2:$NF$60,MATCH(1,(GMWQ!$NE$2:$NE$60=F$3)*(GMWQ!$ND$2:$ND$60=F$4)*(GMWQ!$NF$2:$NF$60=F$1),0),$E266-1966)</f>
        <v>201.1943</v>
      </c>
      <c r="G266" s="13" cm="1">
        <f t="array" ref="G266">INDEX(GMWQ!$A$2:$NF$60,MATCH(1,(GMWQ!$NE$2:$NE$60=G$3)*(GMWQ!$ND$2:$ND$60=G$4)*(GMWQ!$NF$2:$NF$60=G$1),0),$E266-1966)</f>
        <v>75146.570000000007</v>
      </c>
      <c r="H266" s="13" cm="1">
        <f t="array" ref="H266">INDEX(GMWQ!$A$2:$NF$60,MATCH(1,(GMWQ!$NE$2:$NE$60=H$3)*(GMWQ!$ND$2:$ND$60=H$4)*(GMWQ!$NF$2:$NF$60=H$1),0),$E266-1966)</f>
        <v>1030.461</v>
      </c>
      <c r="I266" s="13" cm="1">
        <f t="array" ref="I266">INDEX(GMWQ!$A$2:$NF$60,MATCH(1,(GMWQ!$NE$2:$NE$60=I$3)*(GMWQ!$ND$2:$ND$60=I$4)*(GMWQ!$NF$2:$NF$60=I$1),0),$E266-1966)</f>
        <v>250890.1</v>
      </c>
      <c r="J266" s="13" cm="1">
        <f t="array" ref="J266">INDEX(GMWQ!$A$2:$NF$60,MATCH(1,(GMWQ!$NE$2:$NE$60=J$3)*(GMWQ!$ND$2:$ND$60=J$4)*(GMWQ!$NF$2:$NF$60=J$1),0),$E266-1966)</f>
        <v>1171756</v>
      </c>
      <c r="K266" s="13" cm="1">
        <f t="array" ref="K266">INDEX(GMWQ!$A$2:$NF$60,MATCH(1,(GMWQ!$NE$2:$NE$60=K$3)*(GMWQ!$ND$2:$ND$60=K$4)*(GMWQ!$NF$2:$NF$60=K$1),0),$E266-1966)</f>
        <v>474726.40000000002</v>
      </c>
      <c r="L266" s="13" cm="1">
        <f t="array" ref="L266">INDEX(GMWQ!$A$2:$NF$60,MATCH(1,(GMWQ!$NE$2:$NE$60=L$3)*(GMWQ!$ND$2:$ND$60=L$4)*(GMWQ!$NF$2:$NF$60=L$1),0),$E266-1966)</f>
        <v>749736.9</v>
      </c>
      <c r="M266" s="13" cm="1">
        <f t="array" ref="M266">INDEX(GMWQ!$A$2:$NF$60,MATCH(1,(GMWQ!$NE$2:$NE$60=M$3)*(GMWQ!$ND$2:$ND$60=M$4)*(GMWQ!$NF$2:$NF$60=M$1),0),$E266-1966)</f>
        <v>517243.5</v>
      </c>
      <c r="N266" s="13" cm="1">
        <f t="array" ref="N266">INDEX(GMWQ!$A$2:$NF$60,MATCH(1,(GMWQ!$NE$2:$NE$60=N$3)*(GMWQ!$ND$2:$ND$60=N$4)*(GMWQ!$NF$2:$NF$60=N$1),0),$E266-1966)</f>
        <v>144.90610000000001</v>
      </c>
    </row>
    <row r="267" spans="1:14" x14ac:dyDescent="0.25">
      <c r="A267" s="13">
        <v>2038</v>
      </c>
      <c r="B267" s="13">
        <f t="shared" si="21"/>
        <v>2038</v>
      </c>
      <c r="C267" s="13">
        <f t="shared" si="21"/>
        <v>2037</v>
      </c>
      <c r="D267" s="13">
        <f t="shared" si="21"/>
        <v>2037</v>
      </c>
      <c r="E267" s="13">
        <f t="shared" si="20"/>
        <v>2233</v>
      </c>
      <c r="F267" s="13" cm="1">
        <f t="array" ref="F267">INDEX(GMWQ!$A$2:$NF$60,MATCH(1,(GMWQ!$NE$2:$NE$60=F$3)*(GMWQ!$ND$2:$ND$60=F$4)*(GMWQ!$NF$2:$NF$60=F$1),0),$E267-1966)</f>
        <v>202.19560000000001</v>
      </c>
      <c r="G267" s="13" cm="1">
        <f t="array" ref="G267">INDEX(GMWQ!$A$2:$NF$60,MATCH(1,(GMWQ!$NE$2:$NE$60=G$3)*(GMWQ!$ND$2:$ND$60=G$4)*(GMWQ!$NF$2:$NF$60=G$1),0),$E267-1966)</f>
        <v>75815.02</v>
      </c>
      <c r="H267" s="13" cm="1">
        <f t="array" ref="H267">INDEX(GMWQ!$A$2:$NF$60,MATCH(1,(GMWQ!$NE$2:$NE$60=H$3)*(GMWQ!$ND$2:$ND$60=H$4)*(GMWQ!$NF$2:$NF$60=H$1),0),$E267-1966)</f>
        <v>1038.4670000000001</v>
      </c>
      <c r="I267" s="13" cm="1">
        <f t="array" ref="I267">INDEX(GMWQ!$A$2:$NF$60,MATCH(1,(GMWQ!$NE$2:$NE$60=I$3)*(GMWQ!$ND$2:$ND$60=I$4)*(GMWQ!$NF$2:$NF$60=I$1),0),$E267-1966)</f>
        <v>253260.5</v>
      </c>
      <c r="J267" s="13" cm="1">
        <f t="array" ref="J267">INDEX(GMWQ!$A$2:$NF$60,MATCH(1,(GMWQ!$NE$2:$NE$60=J$3)*(GMWQ!$ND$2:$ND$60=J$4)*(GMWQ!$NF$2:$NF$60=J$1),0),$E267-1966)</f>
        <v>1182649</v>
      </c>
      <c r="K267" s="13" cm="1">
        <f t="array" ref="K267">INDEX(GMWQ!$A$2:$NF$60,MATCH(1,(GMWQ!$NE$2:$NE$60=K$3)*(GMWQ!$ND$2:$ND$60=K$4)*(GMWQ!$NF$2:$NF$60=K$1),0),$E267-1966)</f>
        <v>478949.2</v>
      </c>
      <c r="L267" s="13" cm="1">
        <f t="array" ref="L267">INDEX(GMWQ!$A$2:$NF$60,MATCH(1,(GMWQ!$NE$2:$NE$60=L$3)*(GMWQ!$ND$2:$ND$60=L$4)*(GMWQ!$NF$2:$NF$60=L$1),0),$E267-1966)</f>
        <v>756249.3</v>
      </c>
      <c r="M267" s="13" cm="1">
        <f t="array" ref="M267">INDEX(GMWQ!$A$2:$NF$60,MATCH(1,(GMWQ!$NE$2:$NE$60=M$3)*(GMWQ!$ND$2:$ND$60=M$4)*(GMWQ!$NF$2:$NF$60=M$1),0),$E267-1966)</f>
        <v>519161.9</v>
      </c>
      <c r="N267" s="13" cm="1">
        <f t="array" ref="N267">INDEX(GMWQ!$A$2:$NF$60,MATCH(1,(GMWQ!$NE$2:$NE$60=N$3)*(GMWQ!$ND$2:$ND$60=N$4)*(GMWQ!$NF$2:$NF$60=N$1),0),$E267-1966)</f>
        <v>145.6251</v>
      </c>
    </row>
    <row r="268" spans="1:14" x14ac:dyDescent="0.25">
      <c r="B268" s="13">
        <f t="shared" ref="B268:D283" si="22">+B264+1</f>
        <v>2038</v>
      </c>
      <c r="C268" s="13">
        <f t="shared" si="22"/>
        <v>2038</v>
      </c>
      <c r="E268" s="13">
        <f t="shared" si="20"/>
        <v>2234</v>
      </c>
      <c r="F268" s="13" cm="1">
        <f t="array" ref="F268">INDEX(GMWQ!$A$2:$NF$60,MATCH(1,(GMWQ!$NE$2:$NE$60=F$3)*(GMWQ!$ND$2:$ND$60=F$4)*(GMWQ!$NF$2:$NF$60=F$1),0),$E268-1966)</f>
        <v>203.2062</v>
      </c>
      <c r="G268" s="13" cm="1">
        <f t="array" ref="G268">INDEX(GMWQ!$A$2:$NF$60,MATCH(1,(GMWQ!$NE$2:$NE$60=G$3)*(GMWQ!$ND$2:$ND$60=G$4)*(GMWQ!$NF$2:$NF$60=G$1),0),$E268-1966)</f>
        <v>76491.02</v>
      </c>
      <c r="H268" s="13" cm="1">
        <f t="array" ref="H268">INDEX(GMWQ!$A$2:$NF$60,MATCH(1,(GMWQ!$NE$2:$NE$60=H$3)*(GMWQ!$ND$2:$ND$60=H$4)*(GMWQ!$NF$2:$NF$60=H$1),0),$E268-1966)</f>
        <v>1046.559</v>
      </c>
      <c r="I268" s="13" cm="1">
        <f t="array" ref="I268">INDEX(GMWQ!$A$2:$NF$60,MATCH(1,(GMWQ!$NE$2:$NE$60=I$3)*(GMWQ!$ND$2:$ND$60=I$4)*(GMWQ!$NF$2:$NF$60=I$1),0),$E268-1966)</f>
        <v>255756.7</v>
      </c>
      <c r="J268" s="13" cm="1">
        <f t="array" ref="J268">INDEX(GMWQ!$A$2:$NF$60,MATCH(1,(GMWQ!$NE$2:$NE$60=J$3)*(GMWQ!$ND$2:$ND$60=J$4)*(GMWQ!$NF$2:$NF$60=J$1),0),$E268-1966)</f>
        <v>1193646</v>
      </c>
      <c r="K268" s="13" cm="1">
        <f t="array" ref="K268">INDEX(GMWQ!$A$2:$NF$60,MATCH(1,(GMWQ!$NE$2:$NE$60=K$3)*(GMWQ!$ND$2:$ND$60=K$4)*(GMWQ!$NF$2:$NF$60=K$1),0),$E268-1966)</f>
        <v>483219.7</v>
      </c>
      <c r="L268" s="13" cm="1">
        <f t="array" ref="L268">INDEX(GMWQ!$A$2:$NF$60,MATCH(1,(GMWQ!$NE$2:$NE$60=L$3)*(GMWQ!$ND$2:$ND$60=L$4)*(GMWQ!$NF$2:$NF$60=L$1),0),$E268-1966)</f>
        <v>762881.9</v>
      </c>
      <c r="M268" s="13" cm="1">
        <f t="array" ref="M268">INDEX(GMWQ!$A$2:$NF$60,MATCH(1,(GMWQ!$NE$2:$NE$60=M$3)*(GMWQ!$ND$2:$ND$60=M$4)*(GMWQ!$NF$2:$NF$60=M$1),0),$E268-1966)</f>
        <v>521130.5</v>
      </c>
      <c r="N268" s="13" cm="1">
        <f t="array" ref="N268">INDEX(GMWQ!$A$2:$NF$60,MATCH(1,(GMWQ!$NE$2:$NE$60=N$3)*(GMWQ!$ND$2:$ND$60=N$4)*(GMWQ!$NF$2:$NF$60=N$1),0),$E268-1966)</f>
        <v>146.3477</v>
      </c>
    </row>
    <row r="269" spans="1:14" x14ac:dyDescent="0.25">
      <c r="B269" s="13">
        <f t="shared" si="22"/>
        <v>2038</v>
      </c>
      <c r="C269" s="13">
        <f t="shared" si="22"/>
        <v>2038</v>
      </c>
      <c r="E269" s="13">
        <f t="shared" si="20"/>
        <v>2235</v>
      </c>
      <c r="F269" s="13" cm="1">
        <f t="array" ref="F269">INDEX(GMWQ!$A$2:$NF$60,MATCH(1,(GMWQ!$NE$2:$NE$60=F$3)*(GMWQ!$ND$2:$ND$60=F$4)*(GMWQ!$NF$2:$NF$60=F$1),0),$E269-1966)</f>
        <v>204.2261</v>
      </c>
      <c r="G269" s="13" cm="1">
        <f t="array" ref="G269">INDEX(GMWQ!$A$2:$NF$60,MATCH(1,(GMWQ!$NE$2:$NE$60=G$3)*(GMWQ!$ND$2:$ND$60=G$4)*(GMWQ!$NF$2:$NF$60=G$1),0),$E269-1966)</f>
        <v>77174.740000000005</v>
      </c>
      <c r="H269" s="13" cm="1">
        <f t="array" ref="H269">INDEX(GMWQ!$A$2:$NF$60,MATCH(1,(GMWQ!$NE$2:$NE$60=H$3)*(GMWQ!$ND$2:$ND$60=H$4)*(GMWQ!$NF$2:$NF$60=H$1),0),$E269-1966)</f>
        <v>1054.739</v>
      </c>
      <c r="I269" s="13" cm="1">
        <f t="array" ref="I269">INDEX(GMWQ!$A$2:$NF$60,MATCH(1,(GMWQ!$NE$2:$NE$60=I$3)*(GMWQ!$ND$2:$ND$60=I$4)*(GMWQ!$NF$2:$NF$60=I$1),0),$E269-1966)</f>
        <v>257999.8</v>
      </c>
      <c r="J269" s="13" cm="1">
        <f t="array" ref="J269">INDEX(GMWQ!$A$2:$NF$60,MATCH(1,(GMWQ!$NE$2:$NE$60=J$3)*(GMWQ!$ND$2:$ND$60=J$4)*(GMWQ!$NF$2:$NF$60=J$1),0),$E269-1966)</f>
        <v>1204747</v>
      </c>
      <c r="K269" s="13" cm="1">
        <f t="array" ref="K269">INDEX(GMWQ!$A$2:$NF$60,MATCH(1,(GMWQ!$NE$2:$NE$60=K$3)*(GMWQ!$ND$2:$ND$60=K$4)*(GMWQ!$NF$2:$NF$60=K$1),0),$E269-1966)</f>
        <v>487539</v>
      </c>
      <c r="L269" s="13" cm="1">
        <f t="array" ref="L269">INDEX(GMWQ!$A$2:$NF$60,MATCH(1,(GMWQ!$NE$2:$NE$60=L$3)*(GMWQ!$ND$2:$ND$60=L$4)*(GMWQ!$NF$2:$NF$60=L$1),0),$E269-1966)</f>
        <v>769573.6</v>
      </c>
      <c r="M269" s="13" cm="1">
        <f t="array" ref="M269">INDEX(GMWQ!$A$2:$NF$60,MATCH(1,(GMWQ!$NE$2:$NE$60=M$3)*(GMWQ!$ND$2:$ND$60=M$4)*(GMWQ!$NF$2:$NF$60=M$1),0),$E269-1966)</f>
        <v>523107.3</v>
      </c>
      <c r="N269" s="13" cm="1">
        <f t="array" ref="N269">INDEX(GMWQ!$A$2:$NF$60,MATCH(1,(GMWQ!$NE$2:$NE$60=N$3)*(GMWQ!$ND$2:$ND$60=N$4)*(GMWQ!$NF$2:$NF$60=N$1),0),$E269-1966)</f>
        <v>147.07390000000001</v>
      </c>
    </row>
    <row r="270" spans="1:14" x14ac:dyDescent="0.25">
      <c r="B270" s="13">
        <f t="shared" si="22"/>
        <v>2038</v>
      </c>
      <c r="C270" s="13">
        <f t="shared" si="22"/>
        <v>2038</v>
      </c>
      <c r="E270" s="13">
        <f t="shared" si="20"/>
        <v>2236</v>
      </c>
      <c r="F270" s="13" cm="1">
        <f t="array" ref="F270">INDEX(GMWQ!$A$2:$NF$60,MATCH(1,(GMWQ!$NE$2:$NE$60=F$3)*(GMWQ!$ND$2:$ND$60=F$4)*(GMWQ!$NF$2:$NF$60=F$1),0),$E270-1966)</f>
        <v>205.25559999999999</v>
      </c>
      <c r="G270" s="13" cm="1">
        <f t="array" ref="G270">INDEX(GMWQ!$A$2:$NF$60,MATCH(1,(GMWQ!$NE$2:$NE$60=G$3)*(GMWQ!$ND$2:$ND$60=G$4)*(GMWQ!$NF$2:$NF$60=G$1),0),$E270-1966)</f>
        <v>77866.36</v>
      </c>
      <c r="H270" s="13" cm="1">
        <f t="array" ref="H270">INDEX(GMWQ!$A$2:$NF$60,MATCH(1,(GMWQ!$NE$2:$NE$60=H$3)*(GMWQ!$ND$2:$ND$60=H$4)*(GMWQ!$NF$2:$NF$60=H$1),0),$E270-1966)</f>
        <v>1063.008</v>
      </c>
      <c r="I270" s="13" cm="1">
        <f t="array" ref="I270">INDEX(GMWQ!$A$2:$NF$60,MATCH(1,(GMWQ!$NE$2:$NE$60=I$3)*(GMWQ!$ND$2:$ND$60=I$4)*(GMWQ!$NF$2:$NF$60=I$1),0),$E270-1966)</f>
        <v>260327.9</v>
      </c>
      <c r="J270" s="13" cm="1">
        <f t="array" ref="J270">INDEX(GMWQ!$A$2:$NF$60,MATCH(1,(GMWQ!$NE$2:$NE$60=J$3)*(GMWQ!$ND$2:$ND$60=J$4)*(GMWQ!$NF$2:$NF$60=J$1),0),$E270-1966)</f>
        <v>1215953</v>
      </c>
      <c r="K270" s="13" cm="1">
        <f t="array" ref="K270">INDEX(GMWQ!$A$2:$NF$60,MATCH(1,(GMWQ!$NE$2:$NE$60=K$3)*(GMWQ!$ND$2:$ND$60=K$4)*(GMWQ!$NF$2:$NF$60=K$1),0),$E270-1966)</f>
        <v>491908.2</v>
      </c>
      <c r="L270" s="13" cm="1">
        <f t="array" ref="L270">INDEX(GMWQ!$A$2:$NF$60,MATCH(1,(GMWQ!$NE$2:$NE$60=L$3)*(GMWQ!$ND$2:$ND$60=L$4)*(GMWQ!$NF$2:$NF$60=L$1),0),$E270-1966)</f>
        <v>776325.6</v>
      </c>
      <c r="M270" s="13" cm="1">
        <f t="array" ref="M270">INDEX(GMWQ!$A$2:$NF$60,MATCH(1,(GMWQ!$NE$2:$NE$60=M$3)*(GMWQ!$ND$2:$ND$60=M$4)*(GMWQ!$NF$2:$NF$60=M$1),0),$E270-1966)</f>
        <v>525092.6</v>
      </c>
      <c r="N270" s="13" cm="1">
        <f t="array" ref="N270">INDEX(GMWQ!$A$2:$NF$60,MATCH(1,(GMWQ!$NE$2:$NE$60=N$3)*(GMWQ!$ND$2:$ND$60=N$4)*(GMWQ!$NF$2:$NF$60=N$1),0),$E270-1966)</f>
        <v>147.80369999999999</v>
      </c>
    </row>
    <row r="271" spans="1:14" x14ac:dyDescent="0.25">
      <c r="A271" s="13">
        <v>2039</v>
      </c>
      <c r="B271" s="13">
        <f t="shared" si="22"/>
        <v>2039</v>
      </c>
      <c r="C271" s="13">
        <f t="shared" si="22"/>
        <v>2038</v>
      </c>
      <c r="D271" s="13">
        <f t="shared" si="22"/>
        <v>2038</v>
      </c>
      <c r="E271" s="13">
        <f t="shared" si="20"/>
        <v>2237</v>
      </c>
      <c r="F271" s="13" cm="1">
        <f t="array" ref="F271">INDEX(GMWQ!$A$2:$NF$60,MATCH(1,(GMWQ!$NE$2:$NE$60=F$3)*(GMWQ!$ND$2:$ND$60=F$4)*(GMWQ!$NF$2:$NF$60=F$1),0),$E271-1966)</f>
        <v>206.2903</v>
      </c>
      <c r="G271" s="13" cm="1">
        <f t="array" ref="G271">INDEX(GMWQ!$A$2:$NF$60,MATCH(1,(GMWQ!$NE$2:$NE$60=G$3)*(GMWQ!$ND$2:$ND$60=G$4)*(GMWQ!$NF$2:$NF$60=G$1),0),$E271-1966)</f>
        <v>78564.28</v>
      </c>
      <c r="H271" s="13" cm="1">
        <f t="array" ref="H271">INDEX(GMWQ!$A$2:$NF$60,MATCH(1,(GMWQ!$NE$2:$NE$60=H$3)*(GMWQ!$ND$2:$ND$60=H$4)*(GMWQ!$NF$2:$NF$60=H$1),0),$E271-1966)</f>
        <v>1071.345</v>
      </c>
      <c r="I271" s="13" cm="1">
        <f t="array" ref="I271">INDEX(GMWQ!$A$2:$NF$60,MATCH(1,(GMWQ!$NE$2:$NE$60=I$3)*(GMWQ!$ND$2:$ND$60=I$4)*(GMWQ!$NF$2:$NF$60=I$1),0),$E271-1966)</f>
        <v>262813.2</v>
      </c>
      <c r="J271" s="13" cm="1">
        <f t="array" ref="J271">INDEX(GMWQ!$A$2:$NF$60,MATCH(1,(GMWQ!$NE$2:$NE$60=J$3)*(GMWQ!$ND$2:$ND$60=J$4)*(GMWQ!$NF$2:$NF$60=J$1),0),$E271-1966)</f>
        <v>1227266</v>
      </c>
      <c r="K271" s="13" cm="1">
        <f t="array" ref="K271">INDEX(GMWQ!$A$2:$NF$60,MATCH(1,(GMWQ!$NE$2:$NE$60=K$3)*(GMWQ!$ND$2:$ND$60=K$4)*(GMWQ!$NF$2:$NF$60=K$1),0),$E271-1966)</f>
        <v>496317.2</v>
      </c>
      <c r="L271" s="13" cm="1">
        <f t="array" ref="L271">INDEX(GMWQ!$A$2:$NF$60,MATCH(1,(GMWQ!$NE$2:$NE$60=L$3)*(GMWQ!$ND$2:$ND$60=L$4)*(GMWQ!$NF$2:$NF$60=L$1),0),$E271-1966)</f>
        <v>783138.3</v>
      </c>
      <c r="M271" s="13" cm="1">
        <f t="array" ref="M271">INDEX(GMWQ!$A$2:$NF$60,MATCH(1,(GMWQ!$NE$2:$NE$60=M$3)*(GMWQ!$ND$2:$ND$60=M$4)*(GMWQ!$NF$2:$NF$60=M$1),0),$E271-1966)</f>
        <v>527086.5</v>
      </c>
      <c r="N271" s="13" cm="1">
        <f t="array" ref="N271">INDEX(GMWQ!$A$2:$NF$60,MATCH(1,(GMWQ!$NE$2:$NE$60=N$3)*(GMWQ!$ND$2:$ND$60=N$4)*(GMWQ!$NF$2:$NF$60=N$1),0),$E271-1966)</f>
        <v>148.53710000000001</v>
      </c>
    </row>
    <row r="272" spans="1:14" x14ac:dyDescent="0.25">
      <c r="B272" s="13">
        <f t="shared" si="22"/>
        <v>2039</v>
      </c>
      <c r="C272" s="13">
        <f t="shared" si="22"/>
        <v>2039</v>
      </c>
      <c r="E272" s="13">
        <f t="shared" si="20"/>
        <v>2238</v>
      </c>
      <c r="F272" s="13" cm="1">
        <f t="array" ref="F272">INDEX(GMWQ!$A$2:$NF$60,MATCH(1,(GMWQ!$NE$2:$NE$60=F$3)*(GMWQ!$ND$2:$ND$60=F$4)*(GMWQ!$NF$2:$NF$60=F$1),0),$E272-1966)</f>
        <v>207.3304</v>
      </c>
      <c r="G272" s="13" cm="1">
        <f t="array" ref="G272">INDEX(GMWQ!$A$2:$NF$60,MATCH(1,(GMWQ!$NE$2:$NE$60=G$3)*(GMWQ!$ND$2:$ND$60=G$4)*(GMWQ!$NF$2:$NF$60=G$1),0),$E272-1966)</f>
        <v>79268.61</v>
      </c>
      <c r="H272" s="13" cm="1">
        <f t="array" ref="H272">INDEX(GMWQ!$A$2:$NF$60,MATCH(1,(GMWQ!$NE$2:$NE$60=H$3)*(GMWQ!$ND$2:$ND$60=H$4)*(GMWQ!$NF$2:$NF$60=H$1),0),$E272-1966)</f>
        <v>1079.75</v>
      </c>
      <c r="I272" s="13" cm="1">
        <f t="array" ref="I272">INDEX(GMWQ!$A$2:$NF$60,MATCH(1,(GMWQ!$NE$2:$NE$60=I$3)*(GMWQ!$ND$2:$ND$60=I$4)*(GMWQ!$NF$2:$NF$60=I$1),0),$E272-1966)</f>
        <v>265405.40000000002</v>
      </c>
      <c r="J272" s="13" cm="1">
        <f t="array" ref="J272">INDEX(GMWQ!$A$2:$NF$60,MATCH(1,(GMWQ!$NE$2:$NE$60=J$3)*(GMWQ!$ND$2:$ND$60=J$4)*(GMWQ!$NF$2:$NF$60=J$1),0),$E272-1966)</f>
        <v>1238685</v>
      </c>
      <c r="K272" s="13" cm="1">
        <f t="array" ref="K272">INDEX(GMWQ!$A$2:$NF$60,MATCH(1,(GMWQ!$NE$2:$NE$60=K$3)*(GMWQ!$ND$2:$ND$60=K$4)*(GMWQ!$NF$2:$NF$60=K$1),0),$E272-1966)</f>
        <v>500766.7</v>
      </c>
      <c r="L272" s="13" cm="1">
        <f t="array" ref="L272">INDEX(GMWQ!$A$2:$NF$60,MATCH(1,(GMWQ!$NE$2:$NE$60=L$3)*(GMWQ!$ND$2:$ND$60=L$4)*(GMWQ!$NF$2:$NF$60=L$1),0),$E272-1966)</f>
        <v>790011.9</v>
      </c>
      <c r="M272" s="13" cm="1">
        <f t="array" ref="M272">INDEX(GMWQ!$A$2:$NF$60,MATCH(1,(GMWQ!$NE$2:$NE$60=M$3)*(GMWQ!$ND$2:$ND$60=M$4)*(GMWQ!$NF$2:$NF$60=M$1),0),$E272-1966)</f>
        <v>529088.80000000005</v>
      </c>
      <c r="N272" s="13" cm="1">
        <f t="array" ref="N272">INDEX(GMWQ!$A$2:$NF$60,MATCH(1,(GMWQ!$NE$2:$NE$60=N$3)*(GMWQ!$ND$2:$ND$60=N$4)*(GMWQ!$NF$2:$NF$60=N$1),0),$E272-1966)</f>
        <v>149.2741</v>
      </c>
    </row>
    <row r="273" spans="1:14" x14ac:dyDescent="0.25">
      <c r="B273" s="13">
        <f t="shared" si="22"/>
        <v>2039</v>
      </c>
      <c r="C273" s="13">
        <f t="shared" si="22"/>
        <v>2039</v>
      </c>
      <c r="E273" s="13">
        <f t="shared" si="20"/>
        <v>2239</v>
      </c>
      <c r="F273" s="13" cm="1">
        <f t="array" ref="F273">INDEX(GMWQ!$A$2:$NF$60,MATCH(1,(GMWQ!$NE$2:$NE$60=F$3)*(GMWQ!$ND$2:$ND$60=F$4)*(GMWQ!$NF$2:$NF$60=F$1),0),$E273-1966)</f>
        <v>208.37549999999999</v>
      </c>
      <c r="G273" s="13" cm="1">
        <f t="array" ref="G273">INDEX(GMWQ!$A$2:$NF$60,MATCH(1,(GMWQ!$NE$2:$NE$60=G$3)*(GMWQ!$ND$2:$ND$60=G$4)*(GMWQ!$NF$2:$NF$60=G$1),0),$E273-1966)</f>
        <v>79979.34</v>
      </c>
      <c r="H273" s="13" cm="1">
        <f t="array" ref="H273">INDEX(GMWQ!$A$2:$NF$60,MATCH(1,(GMWQ!$NE$2:$NE$60=H$3)*(GMWQ!$ND$2:$ND$60=H$4)*(GMWQ!$NF$2:$NF$60=H$1),0),$E273-1966)</f>
        <v>1088.2239999999999</v>
      </c>
      <c r="I273" s="13" cm="1">
        <f t="array" ref="I273">INDEX(GMWQ!$A$2:$NF$60,MATCH(1,(GMWQ!$NE$2:$NE$60=I$3)*(GMWQ!$ND$2:$ND$60=I$4)*(GMWQ!$NF$2:$NF$60=I$1),0),$E273-1966)</f>
        <v>267734.8</v>
      </c>
      <c r="J273" s="13" cm="1">
        <f t="array" ref="J273">INDEX(GMWQ!$A$2:$NF$60,MATCH(1,(GMWQ!$NE$2:$NE$60=J$3)*(GMWQ!$ND$2:$ND$60=J$4)*(GMWQ!$NF$2:$NF$60=J$1),0),$E273-1966)</f>
        <v>1250214</v>
      </c>
      <c r="K273" s="13" cm="1">
        <f t="array" ref="K273">INDEX(GMWQ!$A$2:$NF$60,MATCH(1,(GMWQ!$NE$2:$NE$60=K$3)*(GMWQ!$ND$2:$ND$60=K$4)*(GMWQ!$NF$2:$NF$60=K$1),0),$E273-1966)</f>
        <v>505256.6</v>
      </c>
      <c r="L273" s="13" cm="1">
        <f t="array" ref="L273">INDEX(GMWQ!$A$2:$NF$60,MATCH(1,(GMWQ!$NE$2:$NE$60=L$3)*(GMWQ!$ND$2:$ND$60=L$4)*(GMWQ!$NF$2:$NF$60=L$1),0),$E273-1966)</f>
        <v>796947.1</v>
      </c>
      <c r="M273" s="13" cm="1">
        <f t="array" ref="M273">INDEX(GMWQ!$A$2:$NF$60,MATCH(1,(GMWQ!$NE$2:$NE$60=M$3)*(GMWQ!$ND$2:$ND$60=M$4)*(GMWQ!$NF$2:$NF$60=M$1),0),$E273-1966)</f>
        <v>531099.4</v>
      </c>
      <c r="N273" s="13" cm="1">
        <f t="array" ref="N273">INDEX(GMWQ!$A$2:$NF$60,MATCH(1,(GMWQ!$NE$2:$NE$60=N$3)*(GMWQ!$ND$2:$ND$60=N$4)*(GMWQ!$NF$2:$NF$60=N$1),0),$E273-1966)</f>
        <v>150.01480000000001</v>
      </c>
    </row>
    <row r="274" spans="1:14" x14ac:dyDescent="0.25">
      <c r="B274" s="13">
        <f t="shared" si="22"/>
        <v>2039</v>
      </c>
      <c r="C274" s="13">
        <f t="shared" si="22"/>
        <v>2039</v>
      </c>
      <c r="E274" s="13">
        <f t="shared" si="20"/>
        <v>2240</v>
      </c>
      <c r="F274" s="13" cm="1">
        <f t="array" ref="F274">INDEX(GMWQ!$A$2:$NF$60,MATCH(1,(GMWQ!$NE$2:$NE$60=F$3)*(GMWQ!$ND$2:$ND$60=F$4)*(GMWQ!$NF$2:$NF$60=F$1),0),$E274-1966)</f>
        <v>209.42619999999999</v>
      </c>
      <c r="G274" s="13" cm="1">
        <f t="array" ref="G274">INDEX(GMWQ!$A$2:$NF$60,MATCH(1,(GMWQ!$NE$2:$NE$60=G$3)*(GMWQ!$ND$2:$ND$60=G$4)*(GMWQ!$NF$2:$NF$60=G$1),0),$E274-1966)</f>
        <v>80696.649999999994</v>
      </c>
      <c r="H274" s="13" cm="1">
        <f t="array" ref="H274">INDEX(GMWQ!$A$2:$NF$60,MATCH(1,(GMWQ!$NE$2:$NE$60=H$3)*(GMWQ!$ND$2:$ND$60=H$4)*(GMWQ!$NF$2:$NF$60=H$1),0),$E274-1966)</f>
        <v>1096.769</v>
      </c>
      <c r="I274" s="13" cm="1">
        <f t="array" ref="I274">INDEX(GMWQ!$A$2:$NF$60,MATCH(1,(GMWQ!$NE$2:$NE$60=I$3)*(GMWQ!$ND$2:$ND$60=I$4)*(GMWQ!$NF$2:$NF$60=I$1),0),$E274-1966)</f>
        <v>270152.8</v>
      </c>
      <c r="J274" s="13" cm="1">
        <f t="array" ref="J274">INDEX(GMWQ!$A$2:$NF$60,MATCH(1,(GMWQ!$NE$2:$NE$60=J$3)*(GMWQ!$ND$2:$ND$60=J$4)*(GMWQ!$NF$2:$NF$60=J$1),0),$E274-1966)</f>
        <v>1261853</v>
      </c>
      <c r="K274" s="13" cm="1">
        <f t="array" ref="K274">INDEX(GMWQ!$A$2:$NF$60,MATCH(1,(GMWQ!$NE$2:$NE$60=K$3)*(GMWQ!$ND$2:$ND$60=K$4)*(GMWQ!$NF$2:$NF$60=K$1),0),$E274-1966)</f>
        <v>509788.1</v>
      </c>
      <c r="L274" s="13" cm="1">
        <f t="array" ref="L274">INDEX(GMWQ!$A$2:$NF$60,MATCH(1,(GMWQ!$NE$2:$NE$60=L$3)*(GMWQ!$ND$2:$ND$60=L$4)*(GMWQ!$NF$2:$NF$60=L$1),0),$E274-1966)</f>
        <v>803945.1</v>
      </c>
      <c r="M274" s="13" cm="1">
        <f t="array" ref="M274">INDEX(GMWQ!$A$2:$NF$60,MATCH(1,(GMWQ!$NE$2:$NE$60=M$3)*(GMWQ!$ND$2:$ND$60=M$4)*(GMWQ!$NF$2:$NF$60=M$1),0),$E274-1966)</f>
        <v>533118.80000000005</v>
      </c>
      <c r="N274" s="13" cm="1">
        <f t="array" ref="N274">INDEX(GMWQ!$A$2:$NF$60,MATCH(1,(GMWQ!$NE$2:$NE$60=N$3)*(GMWQ!$ND$2:$ND$60=N$4)*(GMWQ!$NF$2:$NF$60=N$1),0),$E274-1966)</f>
        <v>150.75919999999999</v>
      </c>
    </row>
    <row r="275" spans="1:14" x14ac:dyDescent="0.25">
      <c r="A275" s="13">
        <v>2040</v>
      </c>
      <c r="B275" s="13">
        <f t="shared" si="22"/>
        <v>2040</v>
      </c>
      <c r="C275" s="13">
        <f t="shared" si="22"/>
        <v>2039</v>
      </c>
      <c r="D275" s="13">
        <f t="shared" si="22"/>
        <v>2039</v>
      </c>
      <c r="E275" s="13">
        <f t="shared" si="20"/>
        <v>2241</v>
      </c>
      <c r="F275" s="13" cm="1">
        <f t="array" ref="F275">INDEX(GMWQ!$A$2:$NF$60,MATCH(1,(GMWQ!$NE$2:$NE$60=F$3)*(GMWQ!$ND$2:$ND$60=F$4)*(GMWQ!$NF$2:$NF$60=F$1),0),$E275-1966)</f>
        <v>210.48230000000001</v>
      </c>
      <c r="G275" s="13" cm="1">
        <f t="array" ref="G275">INDEX(GMWQ!$A$2:$NF$60,MATCH(1,(GMWQ!$NE$2:$NE$60=G$3)*(GMWQ!$ND$2:$ND$60=G$4)*(GMWQ!$NF$2:$NF$60=G$1),0),$E275-1966)</f>
        <v>81420.52</v>
      </c>
      <c r="H275" s="13" cm="1">
        <f t="array" ref="H275">INDEX(GMWQ!$A$2:$NF$60,MATCH(1,(GMWQ!$NE$2:$NE$60=H$3)*(GMWQ!$ND$2:$ND$60=H$4)*(GMWQ!$NF$2:$NF$60=H$1),0),$E275-1966)</f>
        <v>1105.383</v>
      </c>
      <c r="I275" s="13" cm="1">
        <f t="array" ref="I275">INDEX(GMWQ!$A$2:$NF$60,MATCH(1,(GMWQ!$NE$2:$NE$60=I$3)*(GMWQ!$ND$2:$ND$60=I$4)*(GMWQ!$NF$2:$NF$60=I$1),0),$E275-1966)</f>
        <v>272733.8</v>
      </c>
      <c r="J275" s="13" cm="1">
        <f t="array" ref="J275">INDEX(GMWQ!$A$2:$NF$60,MATCH(1,(GMWQ!$NE$2:$NE$60=J$3)*(GMWQ!$ND$2:$ND$60=J$4)*(GMWQ!$NF$2:$NF$60=J$1),0),$E275-1966)</f>
        <v>1273602</v>
      </c>
      <c r="K275" s="13" cm="1">
        <f t="array" ref="K275">INDEX(GMWQ!$A$2:$NF$60,MATCH(1,(GMWQ!$NE$2:$NE$60=K$3)*(GMWQ!$ND$2:$ND$60=K$4)*(GMWQ!$NF$2:$NF$60=K$1),0),$E275-1966)</f>
        <v>514361</v>
      </c>
      <c r="L275" s="13" cm="1">
        <f t="array" ref="L275">INDEX(GMWQ!$A$2:$NF$60,MATCH(1,(GMWQ!$NE$2:$NE$60=L$3)*(GMWQ!$ND$2:$ND$60=L$4)*(GMWQ!$NF$2:$NF$60=L$1),0),$E275-1966)</f>
        <v>811006.3</v>
      </c>
      <c r="M275" s="13" cm="1">
        <f t="array" ref="M275">INDEX(GMWQ!$A$2:$NF$60,MATCH(1,(GMWQ!$NE$2:$NE$60=M$3)*(GMWQ!$ND$2:$ND$60=M$4)*(GMWQ!$NF$2:$NF$60=M$1),0),$E275-1966)</f>
        <v>535147.4</v>
      </c>
      <c r="N275" s="13" cm="1">
        <f t="array" ref="N275">INDEX(GMWQ!$A$2:$NF$60,MATCH(1,(GMWQ!$NE$2:$NE$60=N$3)*(GMWQ!$ND$2:$ND$60=N$4)*(GMWQ!$NF$2:$NF$60=N$1),0),$E275-1966)</f>
        <v>151.50720000000001</v>
      </c>
    </row>
    <row r="276" spans="1:14" x14ac:dyDescent="0.25">
      <c r="B276" s="13">
        <f t="shared" si="22"/>
        <v>2040</v>
      </c>
      <c r="C276" s="13">
        <f t="shared" si="22"/>
        <v>2040</v>
      </c>
      <c r="E276" s="13">
        <f t="shared" si="20"/>
        <v>2242</v>
      </c>
      <c r="F276" s="13" cm="1">
        <f t="array" ref="F276">INDEX(GMWQ!$A$2:$NF$60,MATCH(1,(GMWQ!$NE$2:$NE$60=F$3)*(GMWQ!$ND$2:$ND$60=F$4)*(GMWQ!$NF$2:$NF$60=F$1),0),$E276-1966)</f>
        <v>211.54409999999999</v>
      </c>
      <c r="G276" s="13" cm="1">
        <f t="array" ref="G276">INDEX(GMWQ!$A$2:$NF$60,MATCH(1,(GMWQ!$NE$2:$NE$60=G$3)*(GMWQ!$ND$2:$ND$60=G$4)*(GMWQ!$NF$2:$NF$60=G$1),0),$E276-1966)</f>
        <v>82151.02</v>
      </c>
      <c r="H276" s="13" cm="1">
        <f t="array" ref="H276">INDEX(GMWQ!$A$2:$NF$60,MATCH(1,(GMWQ!$NE$2:$NE$60=H$3)*(GMWQ!$ND$2:$ND$60=H$4)*(GMWQ!$NF$2:$NF$60=H$1),0),$E276-1966)</f>
        <v>1114.069</v>
      </c>
      <c r="I276" s="13" cm="1">
        <f t="array" ref="I276">INDEX(GMWQ!$A$2:$NF$60,MATCH(1,(GMWQ!$NE$2:$NE$60=I$3)*(GMWQ!$ND$2:$ND$60=I$4)*(GMWQ!$NF$2:$NF$60=I$1),0),$E276-1966)</f>
        <v>275425.90000000002</v>
      </c>
      <c r="J276" s="13" cm="1">
        <f t="array" ref="J276">INDEX(GMWQ!$A$2:$NF$60,MATCH(1,(GMWQ!$NE$2:$NE$60=J$3)*(GMWQ!$ND$2:$ND$60=J$4)*(GMWQ!$NF$2:$NF$60=J$1),0),$E276-1966)</f>
        <v>1285460</v>
      </c>
      <c r="K276" s="13" cm="1">
        <f t="array" ref="K276">INDEX(GMWQ!$A$2:$NF$60,MATCH(1,(GMWQ!$NE$2:$NE$60=K$3)*(GMWQ!$ND$2:$ND$60=K$4)*(GMWQ!$NF$2:$NF$60=K$1),0),$E276-1966)</f>
        <v>518975.8</v>
      </c>
      <c r="L276" s="13" cm="1">
        <f t="array" ref="L276">INDEX(GMWQ!$A$2:$NF$60,MATCH(1,(GMWQ!$NE$2:$NE$60=L$3)*(GMWQ!$ND$2:$ND$60=L$4)*(GMWQ!$NF$2:$NF$60=L$1),0),$E276-1966)</f>
        <v>818131.2</v>
      </c>
      <c r="M276" s="13" cm="1">
        <f t="array" ref="M276">INDEX(GMWQ!$A$2:$NF$60,MATCH(1,(GMWQ!$NE$2:$NE$60=M$3)*(GMWQ!$ND$2:$ND$60=M$4)*(GMWQ!$NF$2:$NF$60=M$1),0),$E276-1966)</f>
        <v>537184.6</v>
      </c>
      <c r="N276" s="13" cm="1">
        <f t="array" ref="N276">INDEX(GMWQ!$A$2:$NF$60,MATCH(1,(GMWQ!$NE$2:$NE$60=N$3)*(GMWQ!$ND$2:$ND$60=N$4)*(GMWQ!$NF$2:$NF$60=N$1),0),$E276-1966)</f>
        <v>152.25899999999999</v>
      </c>
    </row>
    <row r="277" spans="1:14" x14ac:dyDescent="0.25">
      <c r="B277" s="13">
        <f t="shared" si="22"/>
        <v>2040</v>
      </c>
      <c r="C277" s="13">
        <f t="shared" si="22"/>
        <v>2040</v>
      </c>
      <c r="E277" s="13">
        <f t="shared" si="20"/>
        <v>2243</v>
      </c>
      <c r="F277" s="13" cm="1">
        <f t="array" ref="F277">INDEX(GMWQ!$A$2:$NF$60,MATCH(1,(GMWQ!$NE$2:$NE$60=F$3)*(GMWQ!$ND$2:$ND$60=F$4)*(GMWQ!$NF$2:$NF$60=F$1),0),$E277-1966)</f>
        <v>212.61160000000001</v>
      </c>
      <c r="G277" s="13" cm="1">
        <f t="array" ref="G277">INDEX(GMWQ!$A$2:$NF$60,MATCH(1,(GMWQ!$NE$2:$NE$60=G$3)*(GMWQ!$ND$2:$ND$60=G$4)*(GMWQ!$NF$2:$NF$60=G$1),0),$E277-1966)</f>
        <v>82888.14</v>
      </c>
      <c r="H277" s="13" cm="1">
        <f t="array" ref="H277">INDEX(GMWQ!$A$2:$NF$60,MATCH(1,(GMWQ!$NE$2:$NE$60=H$3)*(GMWQ!$ND$2:$ND$60=H$4)*(GMWQ!$NF$2:$NF$60=H$1),0),$E277-1966)</f>
        <v>1122.826</v>
      </c>
      <c r="I277" s="13" cm="1">
        <f t="array" ref="I277">INDEX(GMWQ!$A$2:$NF$60,MATCH(1,(GMWQ!$NE$2:$NE$60=I$3)*(GMWQ!$ND$2:$ND$60=I$4)*(GMWQ!$NF$2:$NF$60=I$1),0),$E277-1966)</f>
        <v>277845</v>
      </c>
      <c r="J277" s="13" cm="1">
        <f t="array" ref="J277">INDEX(GMWQ!$A$2:$NF$60,MATCH(1,(GMWQ!$NE$2:$NE$60=J$3)*(GMWQ!$ND$2:$ND$60=J$4)*(GMWQ!$NF$2:$NF$60=J$1),0),$E277-1966)</f>
        <v>1297429</v>
      </c>
      <c r="K277" s="13" cm="1">
        <f t="array" ref="K277">INDEX(GMWQ!$A$2:$NF$60,MATCH(1,(GMWQ!$NE$2:$NE$60=K$3)*(GMWQ!$ND$2:$ND$60=K$4)*(GMWQ!$NF$2:$NF$60=K$1),0),$E277-1966)</f>
        <v>523632.5</v>
      </c>
      <c r="L277" s="13" cm="1">
        <f t="array" ref="L277">INDEX(GMWQ!$A$2:$NF$60,MATCH(1,(GMWQ!$NE$2:$NE$60=L$3)*(GMWQ!$ND$2:$ND$60=L$4)*(GMWQ!$NF$2:$NF$60=L$1),0),$E277-1966)</f>
        <v>825319.1</v>
      </c>
      <c r="M277" s="13" cm="1">
        <f t="array" ref="M277">INDEX(GMWQ!$A$2:$NF$60,MATCH(1,(GMWQ!$NE$2:$NE$60=M$3)*(GMWQ!$ND$2:$ND$60=M$4)*(GMWQ!$NF$2:$NF$60=M$1),0),$E277-1966)</f>
        <v>539229.80000000005</v>
      </c>
      <c r="N277" s="13" cm="1">
        <f t="array" ref="N277">INDEX(GMWQ!$A$2:$NF$60,MATCH(1,(GMWQ!$NE$2:$NE$60=N$3)*(GMWQ!$ND$2:$ND$60=N$4)*(GMWQ!$NF$2:$NF$60=N$1),0),$E277-1966)</f>
        <v>153.0145</v>
      </c>
    </row>
    <row r="278" spans="1:14" x14ac:dyDescent="0.25">
      <c r="B278" s="13">
        <f t="shared" si="22"/>
        <v>2040</v>
      </c>
      <c r="C278" s="13">
        <f t="shared" si="22"/>
        <v>2040</v>
      </c>
      <c r="E278" s="13">
        <f t="shared" si="20"/>
        <v>2244</v>
      </c>
      <c r="F278" s="13" cm="1">
        <f t="array" ref="F278">INDEX(GMWQ!$A$2:$NF$60,MATCH(1,(GMWQ!$NE$2:$NE$60=F$3)*(GMWQ!$ND$2:$ND$60=F$4)*(GMWQ!$NF$2:$NF$60=F$1),0),$E278-1966)</f>
        <v>213.68450000000001</v>
      </c>
      <c r="G278" s="13" cm="1">
        <f t="array" ref="G278">INDEX(GMWQ!$A$2:$NF$60,MATCH(1,(GMWQ!$NE$2:$NE$60=G$3)*(GMWQ!$ND$2:$ND$60=G$4)*(GMWQ!$NF$2:$NF$60=G$1),0),$E278-1966)</f>
        <v>83631.91</v>
      </c>
      <c r="H278" s="13" cm="1">
        <f t="array" ref="H278">INDEX(GMWQ!$A$2:$NF$60,MATCH(1,(GMWQ!$NE$2:$NE$60=H$3)*(GMWQ!$ND$2:$ND$60=H$4)*(GMWQ!$NF$2:$NF$60=H$1),0),$E278-1966)</f>
        <v>1131.652</v>
      </c>
      <c r="I278" s="13" cm="1">
        <f t="array" ref="I278">INDEX(GMWQ!$A$2:$NF$60,MATCH(1,(GMWQ!$NE$2:$NE$60=I$3)*(GMWQ!$ND$2:$ND$60=I$4)*(GMWQ!$NF$2:$NF$60=I$1),0),$E278-1966)</f>
        <v>280355.3</v>
      </c>
      <c r="J278" s="13" cm="1">
        <f t="array" ref="J278">INDEX(GMWQ!$A$2:$NF$60,MATCH(1,(GMWQ!$NE$2:$NE$60=J$3)*(GMWQ!$ND$2:$ND$60=J$4)*(GMWQ!$NF$2:$NF$60=J$1),0),$E278-1966)</f>
        <v>1309510</v>
      </c>
      <c r="K278" s="13" cm="1">
        <f t="array" ref="K278">INDEX(GMWQ!$A$2:$NF$60,MATCH(1,(GMWQ!$NE$2:$NE$60=K$3)*(GMWQ!$ND$2:$ND$60=K$4)*(GMWQ!$NF$2:$NF$60=K$1),0),$E278-1966)</f>
        <v>528331.1</v>
      </c>
      <c r="L278" s="13" cm="1">
        <f t="array" ref="L278">INDEX(GMWQ!$A$2:$NF$60,MATCH(1,(GMWQ!$NE$2:$NE$60=L$3)*(GMWQ!$ND$2:$ND$60=L$4)*(GMWQ!$NF$2:$NF$60=L$1),0),$E278-1966)</f>
        <v>832570.3</v>
      </c>
      <c r="M278" s="13" cm="1">
        <f t="array" ref="M278">INDEX(GMWQ!$A$2:$NF$60,MATCH(1,(GMWQ!$NE$2:$NE$60=M$3)*(GMWQ!$ND$2:$ND$60=M$4)*(GMWQ!$NF$2:$NF$60=M$1),0),$E278-1966)</f>
        <v>541282.6</v>
      </c>
      <c r="N278" s="13" cm="1">
        <f t="array" ref="N278">INDEX(GMWQ!$A$2:$NF$60,MATCH(1,(GMWQ!$NE$2:$NE$60=N$3)*(GMWQ!$ND$2:$ND$60=N$4)*(GMWQ!$NF$2:$NF$60=N$1),0),$E278-1966)</f>
        <v>153.77379999999999</v>
      </c>
    </row>
    <row r="279" spans="1:14" x14ac:dyDescent="0.25">
      <c r="A279" s="13">
        <v>2041</v>
      </c>
      <c r="B279" s="13">
        <f t="shared" si="22"/>
        <v>2041</v>
      </c>
      <c r="C279" s="13">
        <f t="shared" si="22"/>
        <v>2040</v>
      </c>
      <c r="D279" s="13">
        <f t="shared" si="22"/>
        <v>2040</v>
      </c>
      <c r="E279" s="13">
        <f t="shared" si="20"/>
        <v>2245</v>
      </c>
      <c r="F279" s="13" cm="1">
        <f t="array" ref="F279">INDEX(GMWQ!$A$2:$NF$60,MATCH(1,(GMWQ!$NE$2:$NE$60=F$3)*(GMWQ!$ND$2:$ND$60=F$4)*(GMWQ!$NF$2:$NF$60=F$1),0),$E279-1966)</f>
        <v>214.75299999999999</v>
      </c>
      <c r="G279" s="13" cm="1">
        <f t="array" ref="G279">INDEX(GMWQ!$A$2:$NF$60,MATCH(1,(GMWQ!$NE$2:$NE$60=G$3)*(GMWQ!$ND$2:$ND$60=G$4)*(GMWQ!$NF$2:$NF$60=G$1),0),$E279-1966)</f>
        <v>84368.52</v>
      </c>
      <c r="H279" s="13" cm="1">
        <f t="array" ref="H279">INDEX(GMWQ!$A$2:$NF$60,MATCH(1,(GMWQ!$NE$2:$NE$60=H$3)*(GMWQ!$ND$2:$ND$60=H$4)*(GMWQ!$NF$2:$NF$60=H$1),0),$E279-1966)</f>
        <v>1140.567</v>
      </c>
      <c r="I279" s="13" cm="1">
        <f t="array" ref="I279">INDEX(GMWQ!$A$2:$NF$60,MATCH(1,(GMWQ!$NE$2:$NE$60=I$3)*(GMWQ!$ND$2:$ND$60=I$4)*(GMWQ!$NF$2:$NF$60=I$1),0),$E279-1966)</f>
        <v>283034.2</v>
      </c>
      <c r="J279" s="13" cm="1">
        <f t="array" ref="J279">INDEX(GMWQ!$A$2:$NF$60,MATCH(1,(GMWQ!$NE$2:$NE$60=J$3)*(GMWQ!$ND$2:$ND$60=J$4)*(GMWQ!$NF$2:$NF$60=J$1),0),$E279-1966)</f>
        <v>1321545</v>
      </c>
      <c r="K279" s="13" cm="1">
        <f t="array" ref="K279">INDEX(GMWQ!$A$2:$NF$60,MATCH(1,(GMWQ!$NE$2:$NE$60=K$3)*(GMWQ!$ND$2:$ND$60=K$4)*(GMWQ!$NF$2:$NF$60=K$1),0),$E279-1966)</f>
        <v>532984.6</v>
      </c>
      <c r="L279" s="13" cm="1">
        <f t="array" ref="L279">INDEX(GMWQ!$A$2:$NF$60,MATCH(1,(GMWQ!$NE$2:$NE$60=L$3)*(GMWQ!$ND$2:$ND$60=L$4)*(GMWQ!$NF$2:$NF$60=L$1),0),$E279-1966)</f>
        <v>839885.4</v>
      </c>
      <c r="M279" s="13" cm="1">
        <f t="array" ref="M279">INDEX(GMWQ!$A$2:$NF$60,MATCH(1,(GMWQ!$NE$2:$NE$60=M$3)*(GMWQ!$ND$2:$ND$60=M$4)*(GMWQ!$NF$2:$NF$60=M$1),0),$E279-1966)</f>
        <v>543343.80000000005</v>
      </c>
      <c r="N279" s="13" cm="1">
        <f t="array" ref="N279">INDEX(GMWQ!$A$2:$NF$60,MATCH(1,(GMWQ!$NE$2:$NE$60=N$3)*(GMWQ!$ND$2:$ND$60=N$4)*(GMWQ!$NF$2:$NF$60=N$1),0),$E279-1966)</f>
        <v>154.5368</v>
      </c>
    </row>
    <row r="280" spans="1:14" x14ac:dyDescent="0.25">
      <c r="B280" s="13">
        <f t="shared" si="22"/>
        <v>2041</v>
      </c>
      <c r="C280" s="13">
        <f t="shared" si="22"/>
        <v>2041</v>
      </c>
      <c r="E280" s="13">
        <f t="shared" si="20"/>
        <v>2246</v>
      </c>
      <c r="F280" s="13" cm="1">
        <f t="array" ref="F280">INDEX(GMWQ!$A$2:$NF$60,MATCH(1,(GMWQ!$NE$2:$NE$60=F$3)*(GMWQ!$ND$2:$ND$60=F$4)*(GMWQ!$NF$2:$NF$60=F$1),0),$E280-1966)</f>
        <v>215.83</v>
      </c>
      <c r="G280" s="13" cm="1">
        <f t="array" ref="G280">INDEX(GMWQ!$A$2:$NF$60,MATCH(1,(GMWQ!$NE$2:$NE$60=G$3)*(GMWQ!$ND$2:$ND$60=G$4)*(GMWQ!$NF$2:$NF$60=G$1),0),$E280-1966)</f>
        <v>85112.79</v>
      </c>
      <c r="H280" s="13" cm="1">
        <f t="array" ref="H280">INDEX(GMWQ!$A$2:$NF$60,MATCH(1,(GMWQ!$NE$2:$NE$60=H$3)*(GMWQ!$ND$2:$ND$60=H$4)*(GMWQ!$NF$2:$NF$60=H$1),0),$E280-1966)</f>
        <v>1149.568</v>
      </c>
      <c r="I280" s="13" cm="1">
        <f t="array" ref="I280">INDEX(GMWQ!$A$2:$NF$60,MATCH(1,(GMWQ!$NE$2:$NE$60=I$3)*(GMWQ!$ND$2:$ND$60=I$4)*(GMWQ!$NF$2:$NF$60=I$1),0),$E280-1966)</f>
        <v>285794</v>
      </c>
      <c r="J280" s="13" cm="1">
        <f t="array" ref="J280">INDEX(GMWQ!$A$2:$NF$60,MATCH(1,(GMWQ!$NE$2:$NE$60=J$3)*(GMWQ!$ND$2:$ND$60=J$4)*(GMWQ!$NF$2:$NF$60=J$1),0),$E280-1966)</f>
        <v>1333689</v>
      </c>
      <c r="K280" s="13" cm="1">
        <f t="array" ref="K280">INDEX(GMWQ!$A$2:$NF$60,MATCH(1,(GMWQ!$NE$2:$NE$60=K$3)*(GMWQ!$ND$2:$ND$60=K$4)*(GMWQ!$NF$2:$NF$60=K$1),0),$E280-1966)</f>
        <v>537686.30000000005</v>
      </c>
      <c r="L280" s="13" cm="1">
        <f t="array" ref="L280">INDEX(GMWQ!$A$2:$NF$60,MATCH(1,(GMWQ!$NE$2:$NE$60=L$3)*(GMWQ!$ND$2:$ND$60=L$4)*(GMWQ!$NF$2:$NF$60=L$1),0),$E280-1966)</f>
        <v>847163.4</v>
      </c>
      <c r="M280" s="13" cm="1">
        <f t="array" ref="M280">INDEX(GMWQ!$A$2:$NF$60,MATCH(1,(GMWQ!$NE$2:$NE$60=M$3)*(GMWQ!$ND$2:$ND$60=M$4)*(GMWQ!$NF$2:$NF$60=M$1),0),$E280-1966)</f>
        <v>545347.30000000005</v>
      </c>
      <c r="N280" s="13" cm="1">
        <f t="array" ref="N280">INDEX(GMWQ!$A$2:$NF$60,MATCH(1,(GMWQ!$NE$2:$NE$60=N$3)*(GMWQ!$ND$2:$ND$60=N$4)*(GMWQ!$NF$2:$NF$60=N$1),0),$E280-1966)</f>
        <v>155.30359999999999</v>
      </c>
    </row>
    <row r="281" spans="1:14" x14ac:dyDescent="0.25">
      <c r="B281" s="13">
        <f t="shared" si="22"/>
        <v>2041</v>
      </c>
      <c r="C281" s="13">
        <f t="shared" si="22"/>
        <v>2041</v>
      </c>
      <c r="E281" s="13">
        <f t="shared" si="20"/>
        <v>2247</v>
      </c>
      <c r="F281" s="13" cm="1">
        <f t="array" ref="F281">INDEX(GMWQ!$A$2:$NF$60,MATCH(1,(GMWQ!$NE$2:$NE$60=F$3)*(GMWQ!$ND$2:$ND$60=F$4)*(GMWQ!$NF$2:$NF$60=F$1),0),$E281-1966)</f>
        <v>216.91589999999999</v>
      </c>
      <c r="G281" s="13" cm="1">
        <f t="array" ref="G281">INDEX(GMWQ!$A$2:$NF$60,MATCH(1,(GMWQ!$NE$2:$NE$60=G$3)*(GMWQ!$ND$2:$ND$60=G$4)*(GMWQ!$NF$2:$NF$60=G$1),0),$E281-1966)</f>
        <v>85864.81</v>
      </c>
      <c r="H281" s="13" cm="1">
        <f t="array" ref="H281">INDEX(GMWQ!$A$2:$NF$60,MATCH(1,(GMWQ!$NE$2:$NE$60=H$3)*(GMWQ!$ND$2:$ND$60=H$4)*(GMWQ!$NF$2:$NF$60=H$1),0),$E281-1966)</f>
        <v>1158.6569999999999</v>
      </c>
      <c r="I281" s="13" cm="1">
        <f t="array" ref="I281">INDEX(GMWQ!$A$2:$NF$60,MATCH(1,(GMWQ!$NE$2:$NE$60=I$3)*(GMWQ!$ND$2:$ND$60=I$4)*(GMWQ!$NF$2:$NF$60=I$1),0),$E281-1966)</f>
        <v>288269.5</v>
      </c>
      <c r="J281" s="13" cm="1">
        <f t="array" ref="J281">INDEX(GMWQ!$A$2:$NF$60,MATCH(1,(GMWQ!$NE$2:$NE$60=J$3)*(GMWQ!$ND$2:$ND$60=J$4)*(GMWQ!$NF$2:$NF$60=J$1),0),$E281-1966)</f>
        <v>1345945</v>
      </c>
      <c r="K281" s="13" cm="1">
        <f t="array" ref="K281">INDEX(GMWQ!$A$2:$NF$60,MATCH(1,(GMWQ!$NE$2:$NE$60=K$3)*(GMWQ!$ND$2:$ND$60=K$4)*(GMWQ!$NF$2:$NF$60=K$1),0),$E281-1966)</f>
        <v>542437.1</v>
      </c>
      <c r="L281" s="13" cm="1">
        <f t="array" ref="L281">INDEX(GMWQ!$A$2:$NF$60,MATCH(1,(GMWQ!$NE$2:$NE$60=L$3)*(GMWQ!$ND$2:$ND$60=L$4)*(GMWQ!$NF$2:$NF$60=L$1),0),$E281-1966)</f>
        <v>854503.6</v>
      </c>
      <c r="M281" s="13" cm="1">
        <f t="array" ref="M281">INDEX(GMWQ!$A$2:$NF$60,MATCH(1,(GMWQ!$NE$2:$NE$60=M$3)*(GMWQ!$ND$2:$ND$60=M$4)*(GMWQ!$NF$2:$NF$60=M$1),0),$E281-1966)</f>
        <v>547357.80000000005</v>
      </c>
      <c r="N281" s="13" cm="1">
        <f t="array" ref="N281">INDEX(GMWQ!$A$2:$NF$60,MATCH(1,(GMWQ!$NE$2:$NE$60=N$3)*(GMWQ!$ND$2:$ND$60=N$4)*(GMWQ!$NF$2:$NF$60=N$1),0),$E281-1966)</f>
        <v>156.07419999999999</v>
      </c>
    </row>
    <row r="282" spans="1:14" x14ac:dyDescent="0.25">
      <c r="B282" s="13">
        <f t="shared" si="22"/>
        <v>2041</v>
      </c>
      <c r="C282" s="13">
        <f t="shared" si="22"/>
        <v>2041</v>
      </c>
      <c r="E282" s="13">
        <f t="shared" si="20"/>
        <v>2248</v>
      </c>
      <c r="F282" s="13" cm="1">
        <f t="array" ref="F282">INDEX(GMWQ!$A$2:$NF$60,MATCH(1,(GMWQ!$NE$2:$NE$60=F$3)*(GMWQ!$ND$2:$ND$60=F$4)*(GMWQ!$NF$2:$NF$60=F$1),0),$E282-1966)</f>
        <v>218.01070000000001</v>
      </c>
      <c r="G282" s="13" cm="1">
        <f t="array" ref="G282">INDEX(GMWQ!$A$2:$NF$60,MATCH(1,(GMWQ!$NE$2:$NE$60=G$3)*(GMWQ!$ND$2:$ND$60=G$4)*(GMWQ!$NF$2:$NF$60=G$1),0),$E282-1966)</f>
        <v>86624.7</v>
      </c>
      <c r="H282" s="13" cm="1">
        <f t="array" ref="H282">INDEX(GMWQ!$A$2:$NF$60,MATCH(1,(GMWQ!$NE$2:$NE$60=H$3)*(GMWQ!$ND$2:$ND$60=H$4)*(GMWQ!$NF$2:$NF$60=H$1),0),$E282-1966)</f>
        <v>1167.835</v>
      </c>
      <c r="I282" s="13" cm="1">
        <f t="array" ref="I282">INDEX(GMWQ!$A$2:$NF$60,MATCH(1,(GMWQ!$NE$2:$NE$60=I$3)*(GMWQ!$ND$2:$ND$60=I$4)*(GMWQ!$NF$2:$NF$60=I$1),0),$E282-1966)</f>
        <v>290838.7</v>
      </c>
      <c r="J282" s="13" cm="1">
        <f t="array" ref="J282">INDEX(GMWQ!$A$2:$NF$60,MATCH(1,(GMWQ!$NE$2:$NE$60=J$3)*(GMWQ!$ND$2:$ND$60=J$4)*(GMWQ!$NF$2:$NF$60=J$1),0),$E282-1966)</f>
        <v>1358310</v>
      </c>
      <c r="K282" s="13" cm="1">
        <f t="array" ref="K282">INDEX(GMWQ!$A$2:$NF$60,MATCH(1,(GMWQ!$NE$2:$NE$60=K$3)*(GMWQ!$ND$2:$ND$60=K$4)*(GMWQ!$NF$2:$NF$60=K$1),0),$E282-1966)</f>
        <v>547237.6</v>
      </c>
      <c r="L282" s="13" cm="1">
        <f t="array" ref="L282">INDEX(GMWQ!$A$2:$NF$60,MATCH(1,(GMWQ!$NE$2:$NE$60=L$3)*(GMWQ!$ND$2:$ND$60=L$4)*(GMWQ!$NF$2:$NF$60=L$1),0),$E282-1966)</f>
        <v>861906.8</v>
      </c>
      <c r="M282" s="13" cm="1">
        <f t="array" ref="M282">INDEX(GMWQ!$A$2:$NF$60,MATCH(1,(GMWQ!$NE$2:$NE$60=M$3)*(GMWQ!$ND$2:$ND$60=M$4)*(GMWQ!$NF$2:$NF$60=M$1),0),$E282-1966)</f>
        <v>549374.9</v>
      </c>
      <c r="N282" s="13" cm="1">
        <f t="array" ref="N282">INDEX(GMWQ!$A$2:$NF$60,MATCH(1,(GMWQ!$NE$2:$NE$60=N$3)*(GMWQ!$ND$2:$ND$60=N$4)*(GMWQ!$NF$2:$NF$60=N$1),0),$E282-1966)</f>
        <v>156.84870000000001</v>
      </c>
    </row>
    <row r="283" spans="1:14" x14ac:dyDescent="0.25">
      <c r="A283" s="13">
        <v>2042</v>
      </c>
      <c r="B283" s="13">
        <f t="shared" si="22"/>
        <v>2042</v>
      </c>
      <c r="C283" s="13">
        <f t="shared" si="22"/>
        <v>2041</v>
      </c>
      <c r="D283" s="13">
        <f t="shared" si="22"/>
        <v>2041</v>
      </c>
      <c r="E283" s="13">
        <f t="shared" si="20"/>
        <v>2249</v>
      </c>
      <c r="F283" s="13" cm="1">
        <f t="array" ref="F283">INDEX(GMWQ!$A$2:$NF$60,MATCH(1,(GMWQ!$NE$2:$NE$60=F$3)*(GMWQ!$ND$2:$ND$60=F$4)*(GMWQ!$NF$2:$NF$60=F$1),0),$E283-1966)</f>
        <v>219.11080000000001</v>
      </c>
      <c r="G283" s="13" cm="1">
        <f t="array" ref="G283">INDEX(GMWQ!$A$2:$NF$60,MATCH(1,(GMWQ!$NE$2:$NE$60=G$3)*(GMWQ!$ND$2:$ND$60=G$4)*(GMWQ!$NF$2:$NF$60=G$1),0),$E283-1966)</f>
        <v>87391.18</v>
      </c>
      <c r="H283" s="13" cm="1">
        <f t="array" ref="H283">INDEX(GMWQ!$A$2:$NF$60,MATCH(1,(GMWQ!$NE$2:$NE$60=H$3)*(GMWQ!$ND$2:$ND$60=H$4)*(GMWQ!$NF$2:$NF$60=H$1),0),$E283-1966)</f>
        <v>1177.086</v>
      </c>
      <c r="I283" s="13" cm="1">
        <f t="array" ref="I283">INDEX(GMWQ!$A$2:$NF$60,MATCH(1,(GMWQ!$NE$2:$NE$60=I$3)*(GMWQ!$ND$2:$ND$60=I$4)*(GMWQ!$NF$2:$NF$60=I$1),0),$E283-1966)</f>
        <v>293581.90000000002</v>
      </c>
      <c r="J283" s="13" cm="1">
        <f t="array" ref="J283">INDEX(GMWQ!$A$2:$NF$60,MATCH(1,(GMWQ!$NE$2:$NE$60=J$3)*(GMWQ!$ND$2:$ND$60=J$4)*(GMWQ!$NF$2:$NF$60=J$1),0),$E283-1966)</f>
        <v>1370788</v>
      </c>
      <c r="K283" s="13" cm="1">
        <f t="array" ref="K283">INDEX(GMWQ!$A$2:$NF$60,MATCH(1,(GMWQ!$NE$2:$NE$60=K$3)*(GMWQ!$ND$2:$ND$60=K$4)*(GMWQ!$NF$2:$NF$60=K$1),0),$E283-1966)</f>
        <v>552079.69999999995</v>
      </c>
      <c r="L283" s="13" cm="1">
        <f t="array" ref="L283">INDEX(GMWQ!$A$2:$NF$60,MATCH(1,(GMWQ!$NE$2:$NE$60=L$3)*(GMWQ!$ND$2:$ND$60=L$4)*(GMWQ!$NF$2:$NF$60=L$1),0),$E283-1966)</f>
        <v>869373.2</v>
      </c>
      <c r="M283" s="13" cm="1">
        <f t="array" ref="M283">INDEX(GMWQ!$A$2:$NF$60,MATCH(1,(GMWQ!$NE$2:$NE$60=M$3)*(GMWQ!$ND$2:$ND$60=M$4)*(GMWQ!$NF$2:$NF$60=M$1),0),$E283-1966)</f>
        <v>551399.1</v>
      </c>
      <c r="N283" s="13" cm="1">
        <f t="array" ref="N283">INDEX(GMWQ!$A$2:$NF$60,MATCH(1,(GMWQ!$NE$2:$NE$60=N$3)*(GMWQ!$ND$2:$ND$60=N$4)*(GMWQ!$NF$2:$NF$60=N$1),0),$E283-1966)</f>
        <v>157.62700000000001</v>
      </c>
    </row>
    <row r="284" spans="1:14" x14ac:dyDescent="0.25">
      <c r="B284" s="13">
        <f t="shared" ref="B284:D299" si="23">+B280+1</f>
        <v>2042</v>
      </c>
      <c r="C284" s="13">
        <f t="shared" si="23"/>
        <v>2042</v>
      </c>
      <c r="E284" s="13">
        <f t="shared" si="20"/>
        <v>2250</v>
      </c>
      <c r="F284" s="13" cm="1">
        <f t="array" ref="F284">INDEX(GMWQ!$A$2:$NF$60,MATCH(1,(GMWQ!$NE$2:$NE$60=F$3)*(GMWQ!$ND$2:$ND$60=F$4)*(GMWQ!$NF$2:$NF$60=F$1),0),$E284-1966)</f>
        <v>220.21680000000001</v>
      </c>
      <c r="G284" s="13" cm="1">
        <f t="array" ref="G284">INDEX(GMWQ!$A$2:$NF$60,MATCH(1,(GMWQ!$NE$2:$NE$60=G$3)*(GMWQ!$ND$2:$ND$60=G$4)*(GMWQ!$NF$2:$NF$60=G$1),0),$E284-1966)</f>
        <v>88164.36</v>
      </c>
      <c r="H284" s="13" cm="1">
        <f t="array" ref="H284">INDEX(GMWQ!$A$2:$NF$60,MATCH(1,(GMWQ!$NE$2:$NE$60=H$3)*(GMWQ!$ND$2:$ND$60=H$4)*(GMWQ!$NF$2:$NF$60=H$1),0),$E284-1966)</f>
        <v>1186.4100000000001</v>
      </c>
      <c r="I284" s="13" cm="1">
        <f t="array" ref="I284">INDEX(GMWQ!$A$2:$NF$60,MATCH(1,(GMWQ!$NE$2:$NE$60=I$3)*(GMWQ!$ND$2:$ND$60=I$4)*(GMWQ!$NF$2:$NF$60=I$1),0),$E284-1966)</f>
        <v>296443.2</v>
      </c>
      <c r="J284" s="13" cm="1">
        <f t="array" ref="J284">INDEX(GMWQ!$A$2:$NF$60,MATCH(1,(GMWQ!$NE$2:$NE$60=J$3)*(GMWQ!$ND$2:$ND$60=J$4)*(GMWQ!$NF$2:$NF$60=J$1),0),$E284-1966)</f>
        <v>1383379</v>
      </c>
      <c r="K284" s="13" cm="1">
        <f t="array" ref="K284">INDEX(GMWQ!$A$2:$NF$60,MATCH(1,(GMWQ!$NE$2:$NE$60=K$3)*(GMWQ!$ND$2:$ND$60=K$4)*(GMWQ!$NF$2:$NF$60=K$1),0),$E284-1966)</f>
        <v>556964.1</v>
      </c>
      <c r="L284" s="13" cm="1">
        <f t="array" ref="L284">INDEX(GMWQ!$A$2:$NF$60,MATCH(1,(GMWQ!$NE$2:$NE$60=L$3)*(GMWQ!$ND$2:$ND$60=L$4)*(GMWQ!$NF$2:$NF$60=L$1),0),$E284-1966)</f>
        <v>876903.4</v>
      </c>
      <c r="M284" s="13" cm="1">
        <f t="array" ref="M284">INDEX(GMWQ!$A$2:$NF$60,MATCH(1,(GMWQ!$NE$2:$NE$60=M$3)*(GMWQ!$ND$2:$ND$60=M$4)*(GMWQ!$NF$2:$NF$60=M$1),0),$E284-1966)</f>
        <v>553430.30000000005</v>
      </c>
      <c r="N284" s="13" cm="1">
        <f t="array" ref="N284">INDEX(GMWQ!$A$2:$NF$60,MATCH(1,(GMWQ!$NE$2:$NE$60=N$3)*(GMWQ!$ND$2:$ND$60=N$4)*(GMWQ!$NF$2:$NF$60=N$1),0),$E284-1966)</f>
        <v>158.4091</v>
      </c>
    </row>
    <row r="285" spans="1:14" x14ac:dyDescent="0.25">
      <c r="B285" s="13">
        <f t="shared" si="23"/>
        <v>2042</v>
      </c>
      <c r="C285" s="13">
        <f t="shared" si="23"/>
        <v>2042</v>
      </c>
      <c r="E285" s="13">
        <f t="shared" si="20"/>
        <v>2251</v>
      </c>
      <c r="F285" s="13" cm="1">
        <f t="array" ref="F285">INDEX(GMWQ!$A$2:$NF$60,MATCH(1,(GMWQ!$NE$2:$NE$60=F$3)*(GMWQ!$ND$2:$ND$60=F$4)*(GMWQ!$NF$2:$NF$60=F$1),0),$E285-1966)</f>
        <v>221.32830000000001</v>
      </c>
      <c r="G285" s="13" cm="1">
        <f t="array" ref="G285">INDEX(GMWQ!$A$2:$NF$60,MATCH(1,(GMWQ!$NE$2:$NE$60=G$3)*(GMWQ!$ND$2:$ND$60=G$4)*(GMWQ!$NF$2:$NF$60=G$1),0),$E285-1966)</f>
        <v>88944.23</v>
      </c>
      <c r="H285" s="13" cm="1">
        <f t="array" ref="H285">INDEX(GMWQ!$A$2:$NF$60,MATCH(1,(GMWQ!$NE$2:$NE$60=H$3)*(GMWQ!$ND$2:$ND$60=H$4)*(GMWQ!$NF$2:$NF$60=H$1),0),$E285-1966)</f>
        <v>1195.806</v>
      </c>
      <c r="I285" s="13" cm="1">
        <f t="array" ref="I285">INDEX(GMWQ!$A$2:$NF$60,MATCH(1,(GMWQ!$NE$2:$NE$60=I$3)*(GMWQ!$ND$2:$ND$60=I$4)*(GMWQ!$NF$2:$NF$60=I$1),0),$E285-1966)</f>
        <v>299009.7</v>
      </c>
      <c r="J285" s="13" cm="1">
        <f t="array" ref="J285">INDEX(GMWQ!$A$2:$NF$60,MATCH(1,(GMWQ!$NE$2:$NE$60=J$3)*(GMWQ!$ND$2:$ND$60=J$4)*(GMWQ!$NF$2:$NF$60=J$1),0),$E285-1966)</f>
        <v>1396083</v>
      </c>
      <c r="K285" s="13" cm="1">
        <f t="array" ref="K285">INDEX(GMWQ!$A$2:$NF$60,MATCH(1,(GMWQ!$NE$2:$NE$60=K$3)*(GMWQ!$ND$2:$ND$60=K$4)*(GMWQ!$NF$2:$NF$60=K$1),0),$E285-1966)</f>
        <v>561890.80000000005</v>
      </c>
      <c r="L285" s="13" cm="1">
        <f t="array" ref="L285">INDEX(GMWQ!$A$2:$NF$60,MATCH(1,(GMWQ!$NE$2:$NE$60=L$3)*(GMWQ!$ND$2:$ND$60=L$4)*(GMWQ!$NF$2:$NF$60=L$1),0),$E285-1966)</f>
        <v>884497.2</v>
      </c>
      <c r="M285" s="13" cm="1">
        <f t="array" ref="M285">INDEX(GMWQ!$A$2:$NF$60,MATCH(1,(GMWQ!$NE$2:$NE$60=M$3)*(GMWQ!$ND$2:$ND$60=M$4)*(GMWQ!$NF$2:$NF$60=M$1),0),$E285-1966)</f>
        <v>555468.1</v>
      </c>
      <c r="N285" s="13" cm="1">
        <f t="array" ref="N285">INDEX(GMWQ!$A$2:$NF$60,MATCH(1,(GMWQ!$NE$2:$NE$60=N$3)*(GMWQ!$ND$2:$ND$60=N$4)*(GMWQ!$NF$2:$NF$60=N$1),0),$E285-1966)</f>
        <v>159.1951</v>
      </c>
    </row>
    <row r="286" spans="1:14" x14ac:dyDescent="0.25">
      <c r="B286" s="13">
        <f t="shared" si="23"/>
        <v>2042</v>
      </c>
      <c r="C286" s="13">
        <f t="shared" si="23"/>
        <v>2042</v>
      </c>
      <c r="E286" s="13">
        <f t="shared" si="20"/>
        <v>2252</v>
      </c>
      <c r="F286" s="13" cm="1">
        <f t="array" ref="F286">INDEX(GMWQ!$A$2:$NF$60,MATCH(1,(GMWQ!$NE$2:$NE$60=F$3)*(GMWQ!$ND$2:$ND$60=F$4)*(GMWQ!$NF$2:$NF$60=F$1),0),$E286-1966)</f>
        <v>222.44569999999999</v>
      </c>
      <c r="G286" s="13" cm="1">
        <f t="array" ref="G286">INDEX(GMWQ!$A$2:$NF$60,MATCH(1,(GMWQ!$NE$2:$NE$60=G$3)*(GMWQ!$ND$2:$ND$60=G$4)*(GMWQ!$NF$2:$NF$60=G$1),0),$E286-1966)</f>
        <v>89730.94</v>
      </c>
      <c r="H286" s="13" cm="1">
        <f t="array" ref="H286">INDEX(GMWQ!$A$2:$NF$60,MATCH(1,(GMWQ!$NE$2:$NE$60=H$3)*(GMWQ!$ND$2:$ND$60=H$4)*(GMWQ!$NF$2:$NF$60=H$1),0),$E286-1966)</f>
        <v>1205.277</v>
      </c>
      <c r="I286" s="13" cm="1">
        <f t="array" ref="I286">INDEX(GMWQ!$A$2:$NF$60,MATCH(1,(GMWQ!$NE$2:$NE$60=I$3)*(GMWQ!$ND$2:$ND$60=I$4)*(GMWQ!$NF$2:$NF$60=I$1),0),$E286-1966)</f>
        <v>301673</v>
      </c>
      <c r="J286" s="13" cm="1">
        <f t="array" ref="J286">INDEX(GMWQ!$A$2:$NF$60,MATCH(1,(GMWQ!$NE$2:$NE$60=J$3)*(GMWQ!$ND$2:$ND$60=J$4)*(GMWQ!$NF$2:$NF$60=J$1),0),$E286-1966)</f>
        <v>1408904</v>
      </c>
      <c r="K286" s="13" cm="1">
        <f t="array" ref="K286">INDEX(GMWQ!$A$2:$NF$60,MATCH(1,(GMWQ!$NE$2:$NE$60=K$3)*(GMWQ!$ND$2:$ND$60=K$4)*(GMWQ!$NF$2:$NF$60=K$1),0),$E286-1966)</f>
        <v>566860.80000000005</v>
      </c>
      <c r="L286" s="13" cm="1">
        <f t="array" ref="L286">INDEX(GMWQ!$A$2:$NF$60,MATCH(1,(GMWQ!$NE$2:$NE$60=L$3)*(GMWQ!$ND$2:$ND$60=L$4)*(GMWQ!$NF$2:$NF$60=L$1),0),$E286-1966)</f>
        <v>892155.4</v>
      </c>
      <c r="M286" s="13" cm="1">
        <f t="array" ref="M286">INDEX(GMWQ!$A$2:$NF$60,MATCH(1,(GMWQ!$NE$2:$NE$60=M$3)*(GMWQ!$ND$2:$ND$60=M$4)*(GMWQ!$NF$2:$NF$60=M$1),0),$E286-1966)</f>
        <v>557511.9</v>
      </c>
      <c r="N286" s="13" cm="1">
        <f t="array" ref="N286">INDEX(GMWQ!$A$2:$NF$60,MATCH(1,(GMWQ!$NE$2:$NE$60=N$3)*(GMWQ!$ND$2:$ND$60=N$4)*(GMWQ!$NF$2:$NF$60=N$1),0),$E286-1966)</f>
        <v>159.98509999999999</v>
      </c>
    </row>
    <row r="287" spans="1:14" x14ac:dyDescent="0.25">
      <c r="A287" s="13">
        <v>2043</v>
      </c>
      <c r="B287" s="13">
        <f t="shared" si="23"/>
        <v>2043</v>
      </c>
      <c r="C287" s="13">
        <f t="shared" si="23"/>
        <v>2042</v>
      </c>
      <c r="D287" s="13">
        <f t="shared" si="23"/>
        <v>2042</v>
      </c>
      <c r="E287" s="13">
        <f t="shared" si="20"/>
        <v>2253</v>
      </c>
      <c r="F287" s="13" cm="1">
        <f t="array" ref="F287">INDEX(GMWQ!$A$2:$NF$60,MATCH(1,(GMWQ!$NE$2:$NE$60=F$3)*(GMWQ!$ND$2:$ND$60=F$4)*(GMWQ!$NF$2:$NF$60=F$1),0),$E287-1966)</f>
        <v>223.56880000000001</v>
      </c>
      <c r="G287" s="13" cm="1">
        <f t="array" ref="G287">INDEX(GMWQ!$A$2:$NF$60,MATCH(1,(GMWQ!$NE$2:$NE$60=G$3)*(GMWQ!$ND$2:$ND$60=G$4)*(GMWQ!$NF$2:$NF$60=G$1),0),$E287-1966)</f>
        <v>90524.47</v>
      </c>
      <c r="H287" s="13" cm="1">
        <f t="array" ref="H287">INDEX(GMWQ!$A$2:$NF$60,MATCH(1,(GMWQ!$NE$2:$NE$60=H$3)*(GMWQ!$ND$2:$ND$60=H$4)*(GMWQ!$NF$2:$NF$60=H$1),0),$E287-1966)</f>
        <v>1214.8230000000001</v>
      </c>
      <c r="I287" s="13" cm="1">
        <f t="array" ref="I287">INDEX(GMWQ!$A$2:$NF$60,MATCH(1,(GMWQ!$NE$2:$NE$60=I$3)*(GMWQ!$ND$2:$ND$60=I$4)*(GMWQ!$NF$2:$NF$60=I$1),0),$E287-1966)</f>
        <v>304517</v>
      </c>
      <c r="J287" s="13" cm="1">
        <f t="array" ref="J287">INDEX(GMWQ!$A$2:$NF$60,MATCH(1,(GMWQ!$NE$2:$NE$60=J$3)*(GMWQ!$ND$2:$ND$60=J$4)*(GMWQ!$NF$2:$NF$60=J$1),0),$E287-1966)</f>
        <v>1421824</v>
      </c>
      <c r="K287" s="13" cm="1">
        <f t="array" ref="K287">INDEX(GMWQ!$A$2:$NF$60,MATCH(1,(GMWQ!$NE$2:$NE$60=K$3)*(GMWQ!$ND$2:$ND$60=K$4)*(GMWQ!$NF$2:$NF$60=K$1),0),$E287-1966)</f>
        <v>571873.80000000005</v>
      </c>
      <c r="L287" s="13" cm="1">
        <f t="array" ref="L287">INDEX(GMWQ!$A$2:$NF$60,MATCH(1,(GMWQ!$NE$2:$NE$60=L$3)*(GMWQ!$ND$2:$ND$60=L$4)*(GMWQ!$NF$2:$NF$60=L$1),0),$E287-1966)</f>
        <v>899879.8</v>
      </c>
      <c r="M287" s="13" cm="1">
        <f t="array" ref="M287">INDEX(GMWQ!$A$2:$NF$60,MATCH(1,(GMWQ!$NE$2:$NE$60=M$3)*(GMWQ!$ND$2:$ND$60=M$4)*(GMWQ!$NF$2:$NF$60=M$1),0),$E287-1966)</f>
        <v>559563.80000000005</v>
      </c>
      <c r="N287" s="13" cm="1">
        <f t="array" ref="N287">INDEX(GMWQ!$A$2:$NF$60,MATCH(1,(GMWQ!$NE$2:$NE$60=N$3)*(GMWQ!$ND$2:$ND$60=N$4)*(GMWQ!$NF$2:$NF$60=N$1),0),$E287-1966)</f>
        <v>160.77889999999999</v>
      </c>
    </row>
    <row r="288" spans="1:14" x14ac:dyDescent="0.25">
      <c r="B288" s="13">
        <f t="shared" si="23"/>
        <v>2043</v>
      </c>
      <c r="C288" s="13">
        <f t="shared" si="23"/>
        <v>2043</v>
      </c>
      <c r="E288" s="13">
        <f t="shared" si="20"/>
        <v>2254</v>
      </c>
      <c r="F288" s="13" cm="1">
        <f t="array" ref="F288">INDEX(GMWQ!$A$2:$NF$60,MATCH(1,(GMWQ!$NE$2:$NE$60=F$3)*(GMWQ!$ND$2:$ND$60=F$4)*(GMWQ!$NF$2:$NF$60=F$1),0),$E288-1966)</f>
        <v>224.69739999999999</v>
      </c>
      <c r="G288" s="13" cm="1">
        <f t="array" ref="G288">INDEX(GMWQ!$A$2:$NF$60,MATCH(1,(GMWQ!$NE$2:$NE$60=G$3)*(GMWQ!$ND$2:$ND$60=G$4)*(GMWQ!$NF$2:$NF$60=G$1),0),$E288-1966)</f>
        <v>91324.83</v>
      </c>
      <c r="H288" s="13" cm="1">
        <f t="array" ref="H288">INDEX(GMWQ!$A$2:$NF$60,MATCH(1,(GMWQ!$NE$2:$NE$60=H$3)*(GMWQ!$ND$2:$ND$60=H$4)*(GMWQ!$NF$2:$NF$60=H$1),0),$E288-1966)</f>
        <v>1224.442</v>
      </c>
      <c r="I288" s="13" cm="1">
        <f t="array" ref="I288">INDEX(GMWQ!$A$2:$NF$60,MATCH(1,(GMWQ!$NE$2:$NE$60=I$3)*(GMWQ!$ND$2:$ND$60=I$4)*(GMWQ!$NF$2:$NF$60=I$1),0),$E288-1966)</f>
        <v>307480.09999999998</v>
      </c>
      <c r="J288" s="13" cm="1">
        <f t="array" ref="J288">INDEX(GMWQ!$A$2:$NF$60,MATCH(1,(GMWQ!$NE$2:$NE$60=J$3)*(GMWQ!$ND$2:$ND$60=J$4)*(GMWQ!$NF$2:$NF$60=J$1),0),$E288-1966)</f>
        <v>1434861</v>
      </c>
      <c r="K288" s="13" cm="1">
        <f t="array" ref="K288">INDEX(GMWQ!$A$2:$NF$60,MATCH(1,(GMWQ!$NE$2:$NE$60=K$3)*(GMWQ!$ND$2:$ND$60=K$4)*(GMWQ!$NF$2:$NF$60=K$1),0),$E288-1966)</f>
        <v>576929.9</v>
      </c>
      <c r="L288" s="13" cm="1">
        <f t="array" ref="L288">INDEX(GMWQ!$A$2:$NF$60,MATCH(1,(GMWQ!$NE$2:$NE$60=L$3)*(GMWQ!$ND$2:$ND$60=L$4)*(GMWQ!$NF$2:$NF$60=L$1),0),$E288-1966)</f>
        <v>907668.7</v>
      </c>
      <c r="M288" s="13" cm="1">
        <f t="array" ref="M288">INDEX(GMWQ!$A$2:$NF$60,MATCH(1,(GMWQ!$NE$2:$NE$60=M$3)*(GMWQ!$ND$2:$ND$60=M$4)*(GMWQ!$NF$2:$NF$60=M$1),0),$E288-1966)</f>
        <v>561621.30000000005</v>
      </c>
      <c r="N288" s="13" cm="1">
        <f t="array" ref="N288">INDEX(GMWQ!$A$2:$NF$60,MATCH(1,(GMWQ!$NE$2:$NE$60=N$3)*(GMWQ!$ND$2:$ND$60=N$4)*(GMWQ!$NF$2:$NF$60=N$1),0),$E288-1966)</f>
        <v>161.57669999999999</v>
      </c>
    </row>
    <row r="289" spans="1:14" x14ac:dyDescent="0.25">
      <c r="B289" s="13">
        <f t="shared" si="23"/>
        <v>2043</v>
      </c>
      <c r="C289" s="13">
        <f t="shared" si="23"/>
        <v>2043</v>
      </c>
      <c r="E289" s="13">
        <f t="shared" si="20"/>
        <v>2255</v>
      </c>
      <c r="F289" s="13" cm="1">
        <f t="array" ref="F289">INDEX(GMWQ!$A$2:$NF$60,MATCH(1,(GMWQ!$NE$2:$NE$60=F$3)*(GMWQ!$ND$2:$ND$60=F$4)*(GMWQ!$NF$2:$NF$60=F$1),0),$E289-1966)</f>
        <v>225.8321</v>
      </c>
      <c r="G289" s="13" cm="1">
        <f t="array" ref="G289">INDEX(GMWQ!$A$2:$NF$60,MATCH(1,(GMWQ!$NE$2:$NE$60=G$3)*(GMWQ!$ND$2:$ND$60=G$4)*(GMWQ!$NF$2:$NF$60=G$1),0),$E289-1966)</f>
        <v>92132.160000000003</v>
      </c>
      <c r="H289" s="13" cm="1">
        <f t="array" ref="H289">INDEX(GMWQ!$A$2:$NF$60,MATCH(1,(GMWQ!$NE$2:$NE$60=H$3)*(GMWQ!$ND$2:$ND$60=H$4)*(GMWQ!$NF$2:$NF$60=H$1),0),$E289-1966)</f>
        <v>1234.1369999999999</v>
      </c>
      <c r="I289" s="13" cm="1">
        <f t="array" ref="I289">INDEX(GMWQ!$A$2:$NF$60,MATCH(1,(GMWQ!$NE$2:$NE$60=I$3)*(GMWQ!$ND$2:$ND$60=I$4)*(GMWQ!$NF$2:$NF$60=I$1),0),$E289-1966)</f>
        <v>310137.2</v>
      </c>
      <c r="J289" s="13" cm="1">
        <f t="array" ref="J289">INDEX(GMWQ!$A$2:$NF$60,MATCH(1,(GMWQ!$NE$2:$NE$60=J$3)*(GMWQ!$ND$2:$ND$60=J$4)*(GMWQ!$NF$2:$NF$60=J$1),0),$E289-1966)</f>
        <v>1448015</v>
      </c>
      <c r="K289" s="13" cm="1">
        <f t="array" ref="K289">INDEX(GMWQ!$A$2:$NF$60,MATCH(1,(GMWQ!$NE$2:$NE$60=K$3)*(GMWQ!$ND$2:$ND$60=K$4)*(GMWQ!$NF$2:$NF$60=K$1),0),$E289-1966)</f>
        <v>582030.1</v>
      </c>
      <c r="L289" s="13" cm="1">
        <f t="array" ref="L289">INDEX(GMWQ!$A$2:$NF$60,MATCH(1,(GMWQ!$NE$2:$NE$60=L$3)*(GMWQ!$ND$2:$ND$60=L$4)*(GMWQ!$NF$2:$NF$60=L$1),0),$E289-1966)</f>
        <v>915524.1</v>
      </c>
      <c r="M289" s="13" cm="1">
        <f t="array" ref="M289">INDEX(GMWQ!$A$2:$NF$60,MATCH(1,(GMWQ!$NE$2:$NE$60=M$3)*(GMWQ!$ND$2:$ND$60=M$4)*(GMWQ!$NF$2:$NF$60=M$1),0),$E289-1966)</f>
        <v>563686.30000000005</v>
      </c>
      <c r="N289" s="13" cm="1">
        <f t="array" ref="N289">INDEX(GMWQ!$A$2:$NF$60,MATCH(1,(GMWQ!$NE$2:$NE$60=N$3)*(GMWQ!$ND$2:$ND$60=N$4)*(GMWQ!$NF$2:$NF$60=N$1),0),$E289-1966)</f>
        <v>162.3784</v>
      </c>
    </row>
    <row r="290" spans="1:14" x14ac:dyDescent="0.25">
      <c r="B290" s="13">
        <f t="shared" si="23"/>
        <v>2043</v>
      </c>
      <c r="C290" s="13">
        <f t="shared" si="23"/>
        <v>2043</v>
      </c>
      <c r="E290" s="13">
        <f t="shared" si="20"/>
        <v>2256</v>
      </c>
      <c r="F290" s="13" cm="1">
        <f t="array" ref="F290">INDEX(GMWQ!$A$2:$NF$60,MATCH(1,(GMWQ!$NE$2:$NE$60=F$3)*(GMWQ!$ND$2:$ND$60=F$4)*(GMWQ!$NF$2:$NF$60=F$1),0),$E290-1966)</f>
        <v>226.9726</v>
      </c>
      <c r="G290" s="13" cm="1">
        <f t="array" ref="G290">INDEX(GMWQ!$A$2:$NF$60,MATCH(1,(GMWQ!$NE$2:$NE$60=G$3)*(GMWQ!$ND$2:$ND$60=G$4)*(GMWQ!$NF$2:$NF$60=G$1),0),$E290-1966)</f>
        <v>92946.48</v>
      </c>
      <c r="H290" s="13" cm="1">
        <f t="array" ref="H290">INDEX(GMWQ!$A$2:$NF$60,MATCH(1,(GMWQ!$NE$2:$NE$60=H$3)*(GMWQ!$ND$2:$ND$60=H$4)*(GMWQ!$NF$2:$NF$60=H$1),0),$E290-1966)</f>
        <v>1243.9079999999999</v>
      </c>
      <c r="I290" s="13" cm="1">
        <f t="array" ref="I290">INDEX(GMWQ!$A$2:$NF$60,MATCH(1,(GMWQ!$NE$2:$NE$60=I$3)*(GMWQ!$ND$2:$ND$60=I$4)*(GMWQ!$NF$2:$NF$60=I$1),0),$E290-1966)</f>
        <v>312894.5</v>
      </c>
      <c r="J290" s="13" cm="1">
        <f t="array" ref="J290">INDEX(GMWQ!$A$2:$NF$60,MATCH(1,(GMWQ!$NE$2:$NE$60=J$3)*(GMWQ!$ND$2:$ND$60=J$4)*(GMWQ!$NF$2:$NF$60=J$1),0),$E290-1966)</f>
        <v>1461286</v>
      </c>
      <c r="K290" s="13" cm="1">
        <f t="array" ref="K290">INDEX(GMWQ!$A$2:$NF$60,MATCH(1,(GMWQ!$NE$2:$NE$60=K$3)*(GMWQ!$ND$2:$ND$60=K$4)*(GMWQ!$NF$2:$NF$60=K$1),0),$E290-1966)</f>
        <v>587174.40000000002</v>
      </c>
      <c r="L290" s="13" cm="1">
        <f t="array" ref="L290">INDEX(GMWQ!$A$2:$NF$60,MATCH(1,(GMWQ!$NE$2:$NE$60=L$3)*(GMWQ!$ND$2:$ND$60=L$4)*(GMWQ!$NF$2:$NF$60=L$1),0),$E290-1966)</f>
        <v>923445.3</v>
      </c>
      <c r="M290" s="13" cm="1">
        <f t="array" ref="M290">INDEX(GMWQ!$A$2:$NF$60,MATCH(1,(GMWQ!$NE$2:$NE$60=M$3)*(GMWQ!$ND$2:$ND$60=M$4)*(GMWQ!$NF$2:$NF$60=M$1),0),$E290-1966)</f>
        <v>565756.9</v>
      </c>
      <c r="N290" s="13" cm="1">
        <f t="array" ref="N290">INDEX(GMWQ!$A$2:$NF$60,MATCH(1,(GMWQ!$NE$2:$NE$60=N$3)*(GMWQ!$ND$2:$ND$60=N$4)*(GMWQ!$NF$2:$NF$60=N$1),0),$E290-1966)</f>
        <v>163.1842</v>
      </c>
    </row>
    <row r="291" spans="1:14" x14ac:dyDescent="0.25">
      <c r="A291" s="13">
        <v>2044</v>
      </c>
      <c r="B291" s="13">
        <f t="shared" si="23"/>
        <v>2044</v>
      </c>
      <c r="C291" s="13">
        <f t="shared" si="23"/>
        <v>2043</v>
      </c>
      <c r="D291" s="13">
        <f t="shared" si="23"/>
        <v>2043</v>
      </c>
      <c r="E291" s="13">
        <f t="shared" si="20"/>
        <v>2257</v>
      </c>
      <c r="F291" s="13" cm="1">
        <f t="array" ref="F291">INDEX(GMWQ!$A$2:$NF$60,MATCH(1,(GMWQ!$NE$2:$NE$60=F$3)*(GMWQ!$ND$2:$ND$60=F$4)*(GMWQ!$NF$2:$NF$60=F$1),0),$E291-1966)</f>
        <v>228.11879999999999</v>
      </c>
      <c r="G291" s="13" cm="1">
        <f t="array" ref="G291">INDEX(GMWQ!$A$2:$NF$60,MATCH(1,(GMWQ!$NE$2:$NE$60=G$3)*(GMWQ!$ND$2:$ND$60=G$4)*(GMWQ!$NF$2:$NF$60=G$1),0),$E291-1966)</f>
        <v>93767.74</v>
      </c>
      <c r="H291" s="13" cm="1">
        <f t="array" ref="H291">INDEX(GMWQ!$A$2:$NF$60,MATCH(1,(GMWQ!$NE$2:$NE$60=H$3)*(GMWQ!$ND$2:$ND$60=H$4)*(GMWQ!$NF$2:$NF$60=H$1),0),$E291-1966)</f>
        <v>1253.7550000000001</v>
      </c>
      <c r="I291" s="13" cm="1">
        <f t="array" ref="I291">INDEX(GMWQ!$A$2:$NF$60,MATCH(1,(GMWQ!$NE$2:$NE$60=I$3)*(GMWQ!$ND$2:$ND$60=I$4)*(GMWQ!$NF$2:$NF$60=I$1),0),$E291-1966)</f>
        <v>315838.90000000002</v>
      </c>
      <c r="J291" s="13" cm="1">
        <f t="array" ref="J291">INDEX(GMWQ!$A$2:$NF$60,MATCH(1,(GMWQ!$NE$2:$NE$60=J$3)*(GMWQ!$ND$2:$ND$60=J$4)*(GMWQ!$NF$2:$NF$60=J$1),0),$E291-1966)</f>
        <v>1474676</v>
      </c>
      <c r="K291" s="13" cm="1">
        <f t="array" ref="K291">INDEX(GMWQ!$A$2:$NF$60,MATCH(1,(GMWQ!$NE$2:$NE$60=K$3)*(GMWQ!$ND$2:$ND$60=K$4)*(GMWQ!$NF$2:$NF$60=K$1),0),$E291-1966)</f>
        <v>592362.6</v>
      </c>
      <c r="L291" s="13" cm="1">
        <f t="array" ref="L291">INDEX(GMWQ!$A$2:$NF$60,MATCH(1,(GMWQ!$NE$2:$NE$60=L$3)*(GMWQ!$ND$2:$ND$60=L$4)*(GMWQ!$NF$2:$NF$60=L$1),0),$E291-1966)</f>
        <v>931434</v>
      </c>
      <c r="M291" s="13" cm="1">
        <f t="array" ref="M291">INDEX(GMWQ!$A$2:$NF$60,MATCH(1,(GMWQ!$NE$2:$NE$60=M$3)*(GMWQ!$ND$2:$ND$60=M$4)*(GMWQ!$NF$2:$NF$60=M$1),0),$E291-1966)</f>
        <v>567835</v>
      </c>
      <c r="N291" s="13" cm="1">
        <f t="array" ref="N291">INDEX(GMWQ!$A$2:$NF$60,MATCH(1,(GMWQ!$NE$2:$NE$60=N$3)*(GMWQ!$ND$2:$ND$60=N$4)*(GMWQ!$NF$2:$NF$60=N$1),0),$E291-1966)</f>
        <v>163.9939</v>
      </c>
    </row>
    <row r="292" spans="1:14" x14ac:dyDescent="0.25">
      <c r="B292" s="13">
        <f t="shared" si="23"/>
        <v>2044</v>
      </c>
      <c r="C292" s="13">
        <f t="shared" si="23"/>
        <v>2044</v>
      </c>
      <c r="E292" s="13">
        <f t="shared" si="20"/>
        <v>2258</v>
      </c>
      <c r="F292" s="13" cm="1">
        <f t="array" ref="F292">INDEX(GMWQ!$A$2:$NF$60,MATCH(1,(GMWQ!$NE$2:$NE$60=F$3)*(GMWQ!$ND$2:$ND$60=F$4)*(GMWQ!$NF$2:$NF$60=F$1),0),$E292-1966)</f>
        <v>229.27099999999999</v>
      </c>
      <c r="G292" s="13" cm="1">
        <f t="array" ref="G292">INDEX(GMWQ!$A$2:$NF$60,MATCH(1,(GMWQ!$NE$2:$NE$60=G$3)*(GMWQ!$ND$2:$ND$60=G$4)*(GMWQ!$NF$2:$NF$60=G$1),0),$E292-1966)</f>
        <v>94596.13</v>
      </c>
      <c r="H292" s="13" cm="1">
        <f t="array" ref="H292">INDEX(GMWQ!$A$2:$NF$60,MATCH(1,(GMWQ!$NE$2:$NE$60=H$3)*(GMWQ!$ND$2:$ND$60=H$4)*(GMWQ!$NF$2:$NF$60=H$1),0),$E292-1966)</f>
        <v>1263.6769999999999</v>
      </c>
      <c r="I292" s="13" cm="1">
        <f t="array" ref="I292">INDEX(GMWQ!$A$2:$NF$60,MATCH(1,(GMWQ!$NE$2:$NE$60=I$3)*(GMWQ!$ND$2:$ND$60=I$4)*(GMWQ!$NF$2:$NF$60=I$1),0),$E292-1966)</f>
        <v>318909.8</v>
      </c>
      <c r="J292" s="13" cm="1">
        <f t="array" ref="J292">INDEX(GMWQ!$A$2:$NF$60,MATCH(1,(GMWQ!$NE$2:$NE$60=J$3)*(GMWQ!$ND$2:$ND$60=J$4)*(GMWQ!$NF$2:$NF$60=J$1),0),$E292-1966)</f>
        <v>1488185</v>
      </c>
      <c r="K292" s="13" cm="1">
        <f t="array" ref="K292">INDEX(GMWQ!$A$2:$NF$60,MATCH(1,(GMWQ!$NE$2:$NE$60=K$3)*(GMWQ!$ND$2:$ND$60=K$4)*(GMWQ!$NF$2:$NF$60=K$1),0),$E292-1966)</f>
        <v>597595.80000000005</v>
      </c>
      <c r="L292" s="13" cm="1">
        <f t="array" ref="L292">INDEX(GMWQ!$A$2:$NF$60,MATCH(1,(GMWQ!$NE$2:$NE$60=L$3)*(GMWQ!$ND$2:$ND$60=L$4)*(GMWQ!$NF$2:$NF$60=L$1),0),$E292-1966)</f>
        <v>939489</v>
      </c>
      <c r="M292" s="13" cm="1">
        <f t="array" ref="M292">INDEX(GMWQ!$A$2:$NF$60,MATCH(1,(GMWQ!$NE$2:$NE$60=M$3)*(GMWQ!$ND$2:$ND$60=M$4)*(GMWQ!$NF$2:$NF$60=M$1),0),$E292-1966)</f>
        <v>569918.9</v>
      </c>
      <c r="N292" s="13" cm="1">
        <f t="array" ref="N292">INDEX(GMWQ!$A$2:$NF$60,MATCH(1,(GMWQ!$NE$2:$NE$60=N$3)*(GMWQ!$ND$2:$ND$60=N$4)*(GMWQ!$NF$2:$NF$60=N$1),0),$E292-1966)</f>
        <v>164.80760000000001</v>
      </c>
    </row>
    <row r="293" spans="1:14" x14ac:dyDescent="0.25">
      <c r="B293" s="13">
        <f t="shared" si="23"/>
        <v>2044</v>
      </c>
      <c r="C293" s="13">
        <f t="shared" si="23"/>
        <v>2044</v>
      </c>
      <c r="E293" s="13">
        <f t="shared" si="20"/>
        <v>2259</v>
      </c>
      <c r="F293" s="13" cm="1">
        <f t="array" ref="F293">INDEX(GMWQ!$A$2:$NF$60,MATCH(1,(GMWQ!$NE$2:$NE$60=F$3)*(GMWQ!$ND$2:$ND$60=F$4)*(GMWQ!$NF$2:$NF$60=F$1),0),$E293-1966)</f>
        <v>230.42920000000001</v>
      </c>
      <c r="G293" s="13" cm="1">
        <f t="array" ref="G293">INDEX(GMWQ!$A$2:$NF$60,MATCH(1,(GMWQ!$NE$2:$NE$60=G$3)*(GMWQ!$ND$2:$ND$60=G$4)*(GMWQ!$NF$2:$NF$60=G$1),0),$E293-1966)</f>
        <v>95431.64</v>
      </c>
      <c r="H293" s="13" cm="1">
        <f t="array" ref="H293">INDEX(GMWQ!$A$2:$NF$60,MATCH(1,(GMWQ!$NE$2:$NE$60=H$3)*(GMWQ!$ND$2:$ND$60=H$4)*(GMWQ!$NF$2:$NF$60=H$1),0),$E293-1966)</f>
        <v>1273.6780000000001</v>
      </c>
      <c r="I293" s="13" cm="1">
        <f t="array" ref="I293">INDEX(GMWQ!$A$2:$NF$60,MATCH(1,(GMWQ!$NE$2:$NE$60=I$3)*(GMWQ!$ND$2:$ND$60=I$4)*(GMWQ!$NF$2:$NF$60=I$1),0),$E293-1966)</f>
        <v>321663</v>
      </c>
      <c r="J293" s="13" cm="1">
        <f t="array" ref="J293">INDEX(GMWQ!$A$2:$NF$60,MATCH(1,(GMWQ!$NE$2:$NE$60=J$3)*(GMWQ!$ND$2:$ND$60=J$4)*(GMWQ!$NF$2:$NF$60=J$1),0),$E293-1966)</f>
        <v>1501815</v>
      </c>
      <c r="K293" s="13" cm="1">
        <f t="array" ref="K293">INDEX(GMWQ!$A$2:$NF$60,MATCH(1,(GMWQ!$NE$2:$NE$60=K$3)*(GMWQ!$ND$2:$ND$60=K$4)*(GMWQ!$NF$2:$NF$60=K$1),0),$E293-1966)</f>
        <v>602874</v>
      </c>
      <c r="L293" s="13" cm="1">
        <f t="array" ref="L293">INDEX(GMWQ!$A$2:$NF$60,MATCH(1,(GMWQ!$NE$2:$NE$60=L$3)*(GMWQ!$ND$2:$ND$60=L$4)*(GMWQ!$NF$2:$NF$60=L$1),0),$E293-1966)</f>
        <v>947611.8</v>
      </c>
      <c r="M293" s="13" cm="1">
        <f t="array" ref="M293">INDEX(GMWQ!$A$2:$NF$60,MATCH(1,(GMWQ!$NE$2:$NE$60=M$3)*(GMWQ!$ND$2:$ND$60=M$4)*(GMWQ!$NF$2:$NF$60=M$1),0),$E293-1966)</f>
        <v>572009.1</v>
      </c>
      <c r="N293" s="13" cm="1">
        <f t="array" ref="N293">INDEX(GMWQ!$A$2:$NF$60,MATCH(1,(GMWQ!$NE$2:$NE$60=N$3)*(GMWQ!$ND$2:$ND$60=N$4)*(GMWQ!$NF$2:$NF$60=N$1),0),$E293-1966)</f>
        <v>165.62540000000001</v>
      </c>
    </row>
    <row r="294" spans="1:14" x14ac:dyDescent="0.25">
      <c r="B294" s="13">
        <f t="shared" si="23"/>
        <v>2044</v>
      </c>
      <c r="C294" s="13">
        <f t="shared" si="23"/>
        <v>2044</v>
      </c>
      <c r="E294" s="13">
        <f t="shared" si="20"/>
        <v>2260</v>
      </c>
      <c r="F294" s="13" cm="1">
        <f t="array" ref="F294">INDEX(GMWQ!$A$2:$NF$60,MATCH(1,(GMWQ!$NE$2:$NE$60=F$3)*(GMWQ!$ND$2:$ND$60=F$4)*(GMWQ!$NF$2:$NF$60=F$1),0),$E294-1966)</f>
        <v>231.5932</v>
      </c>
      <c r="G294" s="13" cm="1">
        <f t="array" ref="G294">INDEX(GMWQ!$A$2:$NF$60,MATCH(1,(GMWQ!$NE$2:$NE$60=G$3)*(GMWQ!$ND$2:$ND$60=G$4)*(GMWQ!$NF$2:$NF$60=G$1),0),$E294-1966)</f>
        <v>96274.27</v>
      </c>
      <c r="H294" s="13" cm="1">
        <f t="array" ref="H294">INDEX(GMWQ!$A$2:$NF$60,MATCH(1,(GMWQ!$NE$2:$NE$60=H$3)*(GMWQ!$ND$2:$ND$60=H$4)*(GMWQ!$NF$2:$NF$60=H$1),0),$E294-1966)</f>
        <v>1283.7550000000001</v>
      </c>
      <c r="I294" s="13" cm="1">
        <f t="array" ref="I294">INDEX(GMWQ!$A$2:$NF$60,MATCH(1,(GMWQ!$NE$2:$NE$60=I$3)*(GMWQ!$ND$2:$ND$60=I$4)*(GMWQ!$NF$2:$NF$60=I$1),0),$E294-1966)</f>
        <v>324520</v>
      </c>
      <c r="J294" s="13" cm="1">
        <f t="array" ref="J294">INDEX(GMWQ!$A$2:$NF$60,MATCH(1,(GMWQ!$NE$2:$NE$60=J$3)*(GMWQ!$ND$2:$ND$60=J$4)*(GMWQ!$NF$2:$NF$60=J$1),0),$E294-1966)</f>
        <v>1515566</v>
      </c>
      <c r="K294" s="13" cm="1">
        <f t="array" ref="K294">INDEX(GMWQ!$A$2:$NF$60,MATCH(1,(GMWQ!$NE$2:$NE$60=K$3)*(GMWQ!$ND$2:$ND$60=K$4)*(GMWQ!$NF$2:$NF$60=K$1),0),$E294-1966)</f>
        <v>608197.19999999995</v>
      </c>
      <c r="L294" s="13" cm="1">
        <f t="array" ref="L294">INDEX(GMWQ!$A$2:$NF$60,MATCH(1,(GMWQ!$NE$2:$NE$60=L$3)*(GMWQ!$ND$2:$ND$60=L$4)*(GMWQ!$NF$2:$NF$60=L$1),0),$E294-1966)</f>
        <v>955802.8</v>
      </c>
      <c r="M294" s="13" cm="1">
        <f t="array" ref="M294">INDEX(GMWQ!$A$2:$NF$60,MATCH(1,(GMWQ!$NE$2:$NE$60=M$3)*(GMWQ!$ND$2:$ND$60=M$4)*(GMWQ!$NF$2:$NF$60=M$1),0),$E294-1966)</f>
        <v>574106.1</v>
      </c>
      <c r="N294" s="13" cm="1">
        <f t="array" ref="N294">INDEX(GMWQ!$A$2:$NF$60,MATCH(1,(GMWQ!$NE$2:$NE$60=N$3)*(GMWQ!$ND$2:$ND$60=N$4)*(GMWQ!$NF$2:$NF$60=N$1),0),$E294-1966)</f>
        <v>166.44720000000001</v>
      </c>
    </row>
    <row r="295" spans="1:14" x14ac:dyDescent="0.25">
      <c r="A295" s="13">
        <v>2045</v>
      </c>
      <c r="B295" s="13">
        <f t="shared" si="23"/>
        <v>2045</v>
      </c>
      <c r="C295" s="13">
        <f t="shared" si="23"/>
        <v>2044</v>
      </c>
      <c r="D295" s="13">
        <f t="shared" si="23"/>
        <v>2044</v>
      </c>
      <c r="E295" s="13">
        <f t="shared" si="20"/>
        <v>2261</v>
      </c>
      <c r="F295" s="13" cm="1">
        <f t="array" ref="F295">INDEX(GMWQ!$A$2:$NF$60,MATCH(1,(GMWQ!$NE$2:$NE$60=F$3)*(GMWQ!$ND$2:$ND$60=F$4)*(GMWQ!$NF$2:$NF$60=F$1),0),$E295-1966)</f>
        <v>232.76320000000001</v>
      </c>
      <c r="G295" s="13" cm="1">
        <f t="array" ref="G295">INDEX(GMWQ!$A$2:$NF$60,MATCH(1,(GMWQ!$NE$2:$NE$60=G$3)*(GMWQ!$ND$2:$ND$60=G$4)*(GMWQ!$NF$2:$NF$60=G$1),0),$E295-1966)</f>
        <v>97124.15</v>
      </c>
      <c r="H295" s="13" cm="1">
        <f t="array" ref="H295">INDEX(GMWQ!$A$2:$NF$60,MATCH(1,(GMWQ!$NE$2:$NE$60=H$3)*(GMWQ!$ND$2:$ND$60=H$4)*(GMWQ!$NF$2:$NF$60=H$1),0),$E295-1966)</f>
        <v>1293.9100000000001</v>
      </c>
      <c r="I295" s="13" cm="1">
        <f t="array" ref="I295">INDEX(GMWQ!$A$2:$NF$60,MATCH(1,(GMWQ!$NE$2:$NE$60=I$3)*(GMWQ!$ND$2:$ND$60=I$4)*(GMWQ!$NF$2:$NF$60=I$1),0),$E295-1966)</f>
        <v>327570.7</v>
      </c>
      <c r="J295" s="13" cm="1">
        <f t="array" ref="J295">INDEX(GMWQ!$A$2:$NF$60,MATCH(1,(GMWQ!$NE$2:$NE$60=J$3)*(GMWQ!$ND$2:$ND$60=J$4)*(GMWQ!$NF$2:$NF$60=J$1),0),$E295-1966)</f>
        <v>1529439</v>
      </c>
      <c r="K295" s="13" cm="1">
        <f t="array" ref="K295">INDEX(GMWQ!$A$2:$NF$60,MATCH(1,(GMWQ!$NE$2:$NE$60=K$3)*(GMWQ!$ND$2:$ND$60=K$4)*(GMWQ!$NF$2:$NF$60=K$1),0),$E295-1966)</f>
        <v>613566.19999999995</v>
      </c>
      <c r="L295" s="13" cm="1">
        <f t="array" ref="L295">INDEX(GMWQ!$A$2:$NF$60,MATCH(1,(GMWQ!$NE$2:$NE$60=L$3)*(GMWQ!$ND$2:$ND$60=L$4)*(GMWQ!$NF$2:$NF$60=L$1),0),$E295-1966)</f>
        <v>964061.9</v>
      </c>
      <c r="M295" s="13" cm="1">
        <f t="array" ref="M295">INDEX(GMWQ!$A$2:$NF$60,MATCH(1,(GMWQ!$NE$2:$NE$60=M$3)*(GMWQ!$ND$2:$ND$60=M$4)*(GMWQ!$NF$2:$NF$60=M$1),0),$E295-1966)</f>
        <v>576208.9</v>
      </c>
      <c r="N295" s="13" cm="1">
        <f t="array" ref="N295">INDEX(GMWQ!$A$2:$NF$60,MATCH(1,(GMWQ!$NE$2:$NE$60=N$3)*(GMWQ!$ND$2:$ND$60=N$4)*(GMWQ!$NF$2:$NF$60=N$1),0),$E295-1966)</f>
        <v>167.2731</v>
      </c>
    </row>
    <row r="296" spans="1:14" x14ac:dyDescent="0.25">
      <c r="B296" s="13">
        <f t="shared" si="23"/>
        <v>2045</v>
      </c>
      <c r="C296" s="13">
        <f t="shared" si="23"/>
        <v>2045</v>
      </c>
      <c r="E296" s="13">
        <f t="shared" si="20"/>
        <v>2262</v>
      </c>
      <c r="F296" s="13" cm="1">
        <f t="array" ref="F296">INDEX(GMWQ!$A$2:$NF$60,MATCH(1,(GMWQ!$NE$2:$NE$60=F$3)*(GMWQ!$ND$2:$ND$60=F$4)*(GMWQ!$NF$2:$NF$60=F$1),0),$E296-1966)</f>
        <v>233.9391</v>
      </c>
      <c r="G296" s="13" cm="1">
        <f t="array" ref="G296">INDEX(GMWQ!$A$2:$NF$60,MATCH(1,(GMWQ!$NE$2:$NE$60=G$3)*(GMWQ!$ND$2:$ND$60=G$4)*(GMWQ!$NF$2:$NF$60=G$1),0),$E296-1966)</f>
        <v>97981.27</v>
      </c>
      <c r="H296" s="13" cm="1">
        <f t="array" ref="H296">INDEX(GMWQ!$A$2:$NF$60,MATCH(1,(GMWQ!$NE$2:$NE$60=H$3)*(GMWQ!$ND$2:$ND$60=H$4)*(GMWQ!$NF$2:$NF$60=H$1),0),$E296-1966)</f>
        <v>1304.144</v>
      </c>
      <c r="I296" s="13" cm="1">
        <f t="array" ref="I296">INDEX(GMWQ!$A$2:$NF$60,MATCH(1,(GMWQ!$NE$2:$NE$60=I$3)*(GMWQ!$ND$2:$ND$60=I$4)*(GMWQ!$NF$2:$NF$60=I$1),0),$E296-1966)</f>
        <v>330752.7</v>
      </c>
      <c r="J296" s="13" cm="1">
        <f t="array" ref="J296">INDEX(GMWQ!$A$2:$NF$60,MATCH(1,(GMWQ!$NE$2:$NE$60=J$3)*(GMWQ!$ND$2:$ND$60=J$4)*(GMWQ!$NF$2:$NF$60=J$1),0),$E296-1966)</f>
        <v>1543436</v>
      </c>
      <c r="K296" s="13" cm="1">
        <f t="array" ref="K296">INDEX(GMWQ!$A$2:$NF$60,MATCH(1,(GMWQ!$NE$2:$NE$60=K$3)*(GMWQ!$ND$2:$ND$60=K$4)*(GMWQ!$NF$2:$NF$60=K$1),0),$E296-1966)</f>
        <v>618980.9</v>
      </c>
      <c r="L296" s="13" cm="1">
        <f t="array" ref="L296">INDEX(GMWQ!$A$2:$NF$60,MATCH(1,(GMWQ!$NE$2:$NE$60=L$3)*(GMWQ!$ND$2:$ND$60=L$4)*(GMWQ!$NF$2:$NF$60=L$1),0),$E296-1966)</f>
        <v>972390.8</v>
      </c>
      <c r="M296" s="13" cm="1">
        <f t="array" ref="M296">INDEX(GMWQ!$A$2:$NF$60,MATCH(1,(GMWQ!$NE$2:$NE$60=M$3)*(GMWQ!$ND$2:$ND$60=M$4)*(GMWQ!$NF$2:$NF$60=M$1),0),$E296-1966)</f>
        <v>578318.6</v>
      </c>
      <c r="N296" s="13" cm="1">
        <f t="array" ref="N296">INDEX(GMWQ!$A$2:$NF$60,MATCH(1,(GMWQ!$NE$2:$NE$60=N$3)*(GMWQ!$ND$2:$ND$60=N$4)*(GMWQ!$NF$2:$NF$60=N$1),0),$E296-1966)</f>
        <v>168.10310000000001</v>
      </c>
    </row>
    <row r="297" spans="1:14" x14ac:dyDescent="0.25">
      <c r="B297" s="13">
        <f t="shared" si="23"/>
        <v>2045</v>
      </c>
      <c r="C297" s="13">
        <f t="shared" si="23"/>
        <v>2045</v>
      </c>
      <c r="E297" s="13">
        <f t="shared" si="20"/>
        <v>2263</v>
      </c>
      <c r="F297" s="13" cm="1">
        <f t="array" ref="F297">INDEX(GMWQ!$A$2:$NF$60,MATCH(1,(GMWQ!$NE$2:$NE$60=F$3)*(GMWQ!$ND$2:$ND$60=F$4)*(GMWQ!$NF$2:$NF$60=F$1),0),$E297-1966)</f>
        <v>235.12090000000001</v>
      </c>
      <c r="G297" s="13" cm="1">
        <f t="array" ref="G297">INDEX(GMWQ!$A$2:$NF$60,MATCH(1,(GMWQ!$NE$2:$NE$60=G$3)*(GMWQ!$ND$2:$ND$60=G$4)*(GMWQ!$NF$2:$NF$60=G$1),0),$E297-1966)</f>
        <v>98845.7</v>
      </c>
      <c r="H297" s="13" cm="1">
        <f t="array" ref="H297">INDEX(GMWQ!$A$2:$NF$60,MATCH(1,(GMWQ!$NE$2:$NE$60=H$3)*(GMWQ!$ND$2:$ND$60=H$4)*(GMWQ!$NF$2:$NF$60=H$1),0),$E297-1966)</f>
        <v>1314.4549999999999</v>
      </c>
      <c r="I297" s="13" cm="1">
        <f t="array" ref="I297">INDEX(GMWQ!$A$2:$NF$60,MATCH(1,(GMWQ!$NE$2:$NE$60=I$3)*(GMWQ!$ND$2:$ND$60=I$4)*(GMWQ!$NF$2:$NF$60=I$1),0),$E297-1966)</f>
        <v>333605</v>
      </c>
      <c r="J297" s="13" cm="1">
        <f t="array" ref="J297">INDEX(GMWQ!$A$2:$NF$60,MATCH(1,(GMWQ!$NE$2:$NE$60=J$3)*(GMWQ!$ND$2:$ND$60=J$4)*(GMWQ!$NF$2:$NF$60=J$1),0),$E297-1966)</f>
        <v>1557558</v>
      </c>
      <c r="K297" s="13" cm="1">
        <f t="array" ref="K297">INDEX(GMWQ!$A$2:$NF$60,MATCH(1,(GMWQ!$NE$2:$NE$60=K$3)*(GMWQ!$ND$2:$ND$60=K$4)*(GMWQ!$NF$2:$NF$60=K$1),0),$E297-1966)</f>
        <v>624441.80000000005</v>
      </c>
      <c r="L297" s="13" cm="1">
        <f t="array" ref="L297">INDEX(GMWQ!$A$2:$NF$60,MATCH(1,(GMWQ!$NE$2:$NE$60=L$3)*(GMWQ!$ND$2:$ND$60=L$4)*(GMWQ!$NF$2:$NF$60=L$1),0),$E297-1966)</f>
        <v>980788.9</v>
      </c>
      <c r="M297" s="13" cm="1">
        <f t="array" ref="M297">INDEX(GMWQ!$A$2:$NF$60,MATCH(1,(GMWQ!$NE$2:$NE$60=M$3)*(GMWQ!$ND$2:$ND$60=M$4)*(GMWQ!$NF$2:$NF$60=M$1),0),$E297-1966)</f>
        <v>580434</v>
      </c>
      <c r="N297" s="13" cm="1">
        <f t="array" ref="N297">INDEX(GMWQ!$A$2:$NF$60,MATCH(1,(GMWQ!$NE$2:$NE$60=N$3)*(GMWQ!$ND$2:$ND$60=N$4)*(GMWQ!$NF$2:$NF$60=N$1),0),$E297-1966)</f>
        <v>168.93729999999999</v>
      </c>
    </row>
    <row r="298" spans="1:14" x14ac:dyDescent="0.25">
      <c r="B298" s="13">
        <f t="shared" si="23"/>
        <v>2045</v>
      </c>
      <c r="C298" s="13">
        <f t="shared" si="23"/>
        <v>2045</v>
      </c>
      <c r="E298" s="13">
        <f t="shared" si="20"/>
        <v>2264</v>
      </c>
      <c r="F298" s="13" cm="1">
        <f t="array" ref="F298">INDEX(GMWQ!$A$2:$NF$60,MATCH(1,(GMWQ!$NE$2:$NE$60=F$3)*(GMWQ!$ND$2:$ND$60=F$4)*(GMWQ!$NF$2:$NF$60=F$1),0),$E298-1966)</f>
        <v>236.30889999999999</v>
      </c>
      <c r="G298" s="13" cm="1">
        <f t="array" ref="G298">INDEX(GMWQ!$A$2:$NF$60,MATCH(1,(GMWQ!$NE$2:$NE$60=G$3)*(GMWQ!$ND$2:$ND$60=G$4)*(GMWQ!$NF$2:$NF$60=G$1),0),$E298-1966)</f>
        <v>99717.62</v>
      </c>
      <c r="H298" s="13" cm="1">
        <f t="array" ref="H298">INDEX(GMWQ!$A$2:$NF$60,MATCH(1,(GMWQ!$NE$2:$NE$60=H$3)*(GMWQ!$ND$2:$ND$60=H$4)*(GMWQ!$NF$2:$NF$60=H$1),0),$E298-1966)</f>
        <v>1324.848</v>
      </c>
      <c r="I298" s="13" cm="1">
        <f t="array" ref="I298">INDEX(GMWQ!$A$2:$NF$60,MATCH(1,(GMWQ!$NE$2:$NE$60=I$3)*(GMWQ!$ND$2:$ND$60=I$4)*(GMWQ!$NF$2:$NF$60=I$1),0),$E298-1966)</f>
        <v>336565.1</v>
      </c>
      <c r="J298" s="13" cm="1">
        <f t="array" ref="J298">INDEX(GMWQ!$A$2:$NF$60,MATCH(1,(GMWQ!$NE$2:$NE$60=J$3)*(GMWQ!$ND$2:$ND$60=J$4)*(GMWQ!$NF$2:$NF$60=J$1),0),$E298-1966)</f>
        <v>1571805</v>
      </c>
      <c r="K298" s="13" cm="1">
        <f t="array" ref="K298">INDEX(GMWQ!$A$2:$NF$60,MATCH(1,(GMWQ!$NE$2:$NE$60=K$3)*(GMWQ!$ND$2:$ND$60=K$4)*(GMWQ!$NF$2:$NF$60=K$1),0),$E298-1966)</f>
        <v>629950</v>
      </c>
      <c r="L298" s="13" cm="1">
        <f t="array" ref="L298">INDEX(GMWQ!$A$2:$NF$60,MATCH(1,(GMWQ!$NE$2:$NE$60=L$3)*(GMWQ!$ND$2:$ND$60=L$4)*(GMWQ!$NF$2:$NF$60=L$1),0),$E298-1966)</f>
        <v>989258.3</v>
      </c>
      <c r="M298" s="13" cm="1">
        <f t="array" ref="M298">INDEX(GMWQ!$A$2:$NF$60,MATCH(1,(GMWQ!$NE$2:$NE$60=M$3)*(GMWQ!$ND$2:$ND$60=M$4)*(GMWQ!$NF$2:$NF$60=M$1),0),$E298-1966)</f>
        <v>582556.9</v>
      </c>
      <c r="N298" s="13" cm="1">
        <f t="array" ref="N298">INDEX(GMWQ!$A$2:$NF$60,MATCH(1,(GMWQ!$NE$2:$NE$60=N$3)*(GMWQ!$ND$2:$ND$60=N$4)*(GMWQ!$NF$2:$NF$60=N$1),0),$E298-1966)</f>
        <v>169.77549999999999</v>
      </c>
    </row>
    <row r="299" spans="1:14" x14ac:dyDescent="0.25">
      <c r="A299" s="13">
        <v>2046</v>
      </c>
      <c r="B299" s="13">
        <f t="shared" si="23"/>
        <v>2046</v>
      </c>
      <c r="C299" s="13">
        <f t="shared" si="23"/>
        <v>2045</v>
      </c>
      <c r="D299" s="13">
        <f t="shared" si="23"/>
        <v>2045</v>
      </c>
      <c r="E299" s="13">
        <f t="shared" si="20"/>
        <v>2265</v>
      </c>
      <c r="F299" s="13" cm="1">
        <f t="array" ref="F299">INDEX(GMWQ!$A$2:$NF$60,MATCH(1,(GMWQ!$NE$2:$NE$60=F$3)*(GMWQ!$ND$2:$ND$60=F$4)*(GMWQ!$NF$2:$NF$60=F$1),0),$E299-1966)</f>
        <v>237.5027</v>
      </c>
      <c r="G299" s="13" cm="1">
        <f t="array" ref="G299">INDEX(GMWQ!$A$2:$NF$60,MATCH(1,(GMWQ!$NE$2:$NE$60=G$3)*(GMWQ!$ND$2:$ND$60=G$4)*(GMWQ!$NF$2:$NF$60=G$1),0),$E299-1966)</f>
        <v>100596.9</v>
      </c>
      <c r="H299" s="13" cm="1">
        <f t="array" ref="H299">INDEX(GMWQ!$A$2:$NF$60,MATCH(1,(GMWQ!$NE$2:$NE$60=H$3)*(GMWQ!$ND$2:$ND$60=H$4)*(GMWQ!$NF$2:$NF$60=H$1),0),$E299-1966)</f>
        <v>1335.319</v>
      </c>
      <c r="I299" s="13" cm="1">
        <f t="array" ref="I299">INDEX(GMWQ!$A$2:$NF$60,MATCH(1,(GMWQ!$NE$2:$NE$60=I$3)*(GMWQ!$ND$2:$ND$60=I$4)*(GMWQ!$NF$2:$NF$60=I$1),0),$E299-1966)</f>
        <v>339726</v>
      </c>
      <c r="J299" s="13" cm="1">
        <f t="array" ref="J299">INDEX(GMWQ!$A$2:$NF$60,MATCH(1,(GMWQ!$NE$2:$NE$60=J$3)*(GMWQ!$ND$2:$ND$60=J$4)*(GMWQ!$NF$2:$NF$60=J$1),0),$E299-1966)</f>
        <v>1586179</v>
      </c>
      <c r="K299" s="13" cm="1">
        <f t="array" ref="K299">INDEX(GMWQ!$A$2:$NF$60,MATCH(1,(GMWQ!$NE$2:$NE$60=K$3)*(GMWQ!$ND$2:$ND$60=K$4)*(GMWQ!$NF$2:$NF$60=K$1),0),$E299-1966)</f>
        <v>635504.6</v>
      </c>
      <c r="L299" s="13" cm="1">
        <f t="array" ref="L299">INDEX(GMWQ!$A$2:$NF$60,MATCH(1,(GMWQ!$NE$2:$NE$60=L$3)*(GMWQ!$ND$2:$ND$60=L$4)*(GMWQ!$NF$2:$NF$60=L$1),0),$E299-1966)</f>
        <v>997797.4</v>
      </c>
      <c r="M299" s="13" cm="1">
        <f t="array" ref="M299">INDEX(GMWQ!$A$2:$NF$60,MATCH(1,(GMWQ!$NE$2:$NE$60=M$3)*(GMWQ!$ND$2:$ND$60=M$4)*(GMWQ!$NF$2:$NF$60=M$1),0),$E299-1966)</f>
        <v>584685.1</v>
      </c>
      <c r="N299" s="13" cm="1">
        <f t="array" ref="N299">INDEX(GMWQ!$A$2:$NF$60,MATCH(1,(GMWQ!$NE$2:$NE$60=N$3)*(GMWQ!$ND$2:$ND$60=N$4)*(GMWQ!$NF$2:$NF$60=N$1),0),$E299-1966)</f>
        <v>170.61799999999999</v>
      </c>
    </row>
    <row r="300" spans="1:14" x14ac:dyDescent="0.25">
      <c r="B300" s="13">
        <f t="shared" ref="B300:D315" si="24">+B296+1</f>
        <v>2046</v>
      </c>
      <c r="C300" s="13">
        <f t="shared" si="24"/>
        <v>2046</v>
      </c>
      <c r="E300" s="13">
        <f t="shared" si="20"/>
        <v>2266</v>
      </c>
      <c r="F300" s="13" cm="1">
        <f t="array" ref="F300">INDEX(GMWQ!$A$2:$NF$60,MATCH(1,(GMWQ!$NE$2:$NE$60=F$3)*(GMWQ!$ND$2:$ND$60=F$4)*(GMWQ!$NF$2:$NF$60=F$1),0),$E300-1966)</f>
        <v>238.7029</v>
      </c>
      <c r="G300" s="13" cm="1">
        <f t="array" ref="G300">INDEX(GMWQ!$A$2:$NF$60,MATCH(1,(GMWQ!$NE$2:$NE$60=G$3)*(GMWQ!$ND$2:$ND$60=G$4)*(GMWQ!$NF$2:$NF$60=G$1),0),$E300-1966)</f>
        <v>101483.8</v>
      </c>
      <c r="H300" s="13" cm="1">
        <f t="array" ref="H300">INDEX(GMWQ!$A$2:$NF$60,MATCH(1,(GMWQ!$NE$2:$NE$60=H$3)*(GMWQ!$ND$2:$ND$60=H$4)*(GMWQ!$NF$2:$NF$60=H$1),0),$E300-1966)</f>
        <v>1345.873</v>
      </c>
      <c r="I300" s="13" cm="1">
        <f t="array" ref="I300">INDEX(GMWQ!$A$2:$NF$60,MATCH(1,(GMWQ!$NE$2:$NE$60=I$3)*(GMWQ!$ND$2:$ND$60=I$4)*(GMWQ!$NF$2:$NF$60=I$1),0),$E300-1966)</f>
        <v>343023</v>
      </c>
      <c r="J300" s="13" cm="1">
        <f t="array" ref="J300">INDEX(GMWQ!$A$2:$NF$60,MATCH(1,(GMWQ!$NE$2:$NE$60=J$3)*(GMWQ!$ND$2:$ND$60=J$4)*(GMWQ!$NF$2:$NF$60=J$1),0),$E300-1966)</f>
        <v>1600679</v>
      </c>
      <c r="K300" s="13" cm="1">
        <f t="array" ref="K300">INDEX(GMWQ!$A$2:$NF$60,MATCH(1,(GMWQ!$NE$2:$NE$60=K$3)*(GMWQ!$ND$2:$ND$60=K$4)*(GMWQ!$NF$2:$NF$60=K$1),0),$E300-1966)</f>
        <v>641107.30000000005</v>
      </c>
      <c r="L300" s="13" cm="1">
        <f t="array" ref="L300">INDEX(GMWQ!$A$2:$NF$60,MATCH(1,(GMWQ!$NE$2:$NE$60=L$3)*(GMWQ!$ND$2:$ND$60=L$4)*(GMWQ!$NF$2:$NF$60=L$1),0),$E300-1966)</f>
        <v>1006409</v>
      </c>
      <c r="M300" s="13" cm="1">
        <f t="array" ref="M300">INDEX(GMWQ!$A$2:$NF$60,MATCH(1,(GMWQ!$NE$2:$NE$60=M$3)*(GMWQ!$ND$2:$ND$60=M$4)*(GMWQ!$NF$2:$NF$60=M$1),0),$E300-1966)</f>
        <v>586820.5</v>
      </c>
      <c r="N300" s="13" cm="1">
        <f t="array" ref="N300">INDEX(GMWQ!$A$2:$NF$60,MATCH(1,(GMWQ!$NE$2:$NE$60=N$3)*(GMWQ!$ND$2:$ND$60=N$4)*(GMWQ!$NF$2:$NF$60=N$1),0),$E300-1966)</f>
        <v>171.46459999999999</v>
      </c>
    </row>
    <row r="301" spans="1:14" x14ac:dyDescent="0.25">
      <c r="B301" s="13">
        <f t="shared" si="24"/>
        <v>2046</v>
      </c>
      <c r="C301" s="13">
        <f t="shared" si="24"/>
        <v>2046</v>
      </c>
      <c r="E301" s="13">
        <f t="shared" si="20"/>
        <v>2267</v>
      </c>
      <c r="F301" s="13" cm="1">
        <f t="array" ref="F301">INDEX(GMWQ!$A$2:$NF$60,MATCH(1,(GMWQ!$NE$2:$NE$60=F$3)*(GMWQ!$ND$2:$ND$60=F$4)*(GMWQ!$NF$2:$NF$60=F$1),0),$E301-1966)</f>
        <v>239.90899999999999</v>
      </c>
      <c r="G301" s="13" cm="1">
        <f t="array" ref="G301">INDEX(GMWQ!$A$2:$NF$60,MATCH(1,(GMWQ!$NE$2:$NE$60=G$3)*(GMWQ!$ND$2:$ND$60=G$4)*(GMWQ!$NF$2:$NF$60=G$1),0),$E301-1966)</f>
        <v>102378.2</v>
      </c>
      <c r="H301" s="13" cm="1">
        <f t="array" ref="H301">INDEX(GMWQ!$A$2:$NF$60,MATCH(1,(GMWQ!$NE$2:$NE$60=H$3)*(GMWQ!$ND$2:$ND$60=H$4)*(GMWQ!$NF$2:$NF$60=H$1),0),$E301-1966)</f>
        <v>1356.5060000000001</v>
      </c>
      <c r="I301" s="13" cm="1">
        <f t="array" ref="I301">INDEX(GMWQ!$A$2:$NF$60,MATCH(1,(GMWQ!$NE$2:$NE$60=I$3)*(GMWQ!$ND$2:$ND$60=I$4)*(GMWQ!$NF$2:$NF$60=I$1),0),$E301-1966)</f>
        <v>345977.8</v>
      </c>
      <c r="J301" s="13" cm="1">
        <f t="array" ref="J301">INDEX(GMWQ!$A$2:$NF$60,MATCH(1,(GMWQ!$NE$2:$NE$60=J$3)*(GMWQ!$ND$2:$ND$60=J$4)*(GMWQ!$NF$2:$NF$60=J$1),0),$E301-1966)</f>
        <v>1615309</v>
      </c>
      <c r="K301" s="13" cm="1">
        <f t="array" ref="K301">INDEX(GMWQ!$A$2:$NF$60,MATCH(1,(GMWQ!$NE$2:$NE$60=K$3)*(GMWQ!$ND$2:$ND$60=K$4)*(GMWQ!$NF$2:$NF$60=K$1),0),$E301-1966)</f>
        <v>646757.6</v>
      </c>
      <c r="L301" s="13" cm="1">
        <f t="array" ref="L301">INDEX(GMWQ!$A$2:$NF$60,MATCH(1,(GMWQ!$NE$2:$NE$60=L$3)*(GMWQ!$ND$2:$ND$60=L$4)*(GMWQ!$NF$2:$NF$60=L$1),0),$E301-1966)</f>
        <v>1015091</v>
      </c>
      <c r="M301" s="13" cm="1">
        <f t="array" ref="M301">INDEX(GMWQ!$A$2:$NF$60,MATCH(1,(GMWQ!$NE$2:$NE$60=M$3)*(GMWQ!$ND$2:$ND$60=M$4)*(GMWQ!$NF$2:$NF$60=M$1),0),$E301-1966)</f>
        <v>588961.9</v>
      </c>
      <c r="N301" s="13" cm="1">
        <f t="array" ref="N301">INDEX(GMWQ!$A$2:$NF$60,MATCH(1,(GMWQ!$NE$2:$NE$60=N$3)*(GMWQ!$ND$2:$ND$60=N$4)*(GMWQ!$NF$2:$NF$60=N$1),0),$E301-1966)</f>
        <v>172.31540000000001</v>
      </c>
    </row>
    <row r="302" spans="1:14" x14ac:dyDescent="0.25">
      <c r="B302" s="13">
        <f t="shared" si="24"/>
        <v>2046</v>
      </c>
      <c r="C302" s="13">
        <f t="shared" si="24"/>
        <v>2046</v>
      </c>
      <c r="E302" s="13">
        <f t="shared" si="20"/>
        <v>2268</v>
      </c>
      <c r="F302" s="13" cm="1">
        <f t="array" ref="F302">INDEX(GMWQ!$A$2:$NF$60,MATCH(1,(GMWQ!$NE$2:$NE$60=F$3)*(GMWQ!$ND$2:$ND$60=F$4)*(GMWQ!$NF$2:$NF$60=F$1),0),$E302-1966)</f>
        <v>241.12119999999999</v>
      </c>
      <c r="G302" s="13" cm="1">
        <f t="array" ref="G302">INDEX(GMWQ!$A$2:$NF$60,MATCH(1,(GMWQ!$NE$2:$NE$60=G$3)*(GMWQ!$ND$2:$ND$60=G$4)*(GMWQ!$NF$2:$NF$60=G$1),0),$E302-1966)</f>
        <v>103280.2</v>
      </c>
      <c r="H302" s="13" cm="1">
        <f t="array" ref="H302">INDEX(GMWQ!$A$2:$NF$60,MATCH(1,(GMWQ!$NE$2:$NE$60=H$3)*(GMWQ!$ND$2:$ND$60=H$4)*(GMWQ!$NF$2:$NF$60=H$1),0),$E302-1966)</f>
        <v>1367.223</v>
      </c>
      <c r="I302" s="13" cm="1">
        <f t="array" ref="I302">INDEX(GMWQ!$A$2:$NF$60,MATCH(1,(GMWQ!$NE$2:$NE$60=I$3)*(GMWQ!$ND$2:$ND$60=I$4)*(GMWQ!$NF$2:$NF$60=I$1),0),$E302-1966)</f>
        <v>349044.5</v>
      </c>
      <c r="J302" s="13" cm="1">
        <f t="array" ref="J302">INDEX(GMWQ!$A$2:$NF$60,MATCH(1,(GMWQ!$NE$2:$NE$60=J$3)*(GMWQ!$ND$2:$ND$60=J$4)*(GMWQ!$NF$2:$NF$60=J$1),0),$E302-1966)</f>
        <v>1630069</v>
      </c>
      <c r="K302" s="13" cm="1">
        <f t="array" ref="K302">INDEX(GMWQ!$A$2:$NF$60,MATCH(1,(GMWQ!$NE$2:$NE$60=K$3)*(GMWQ!$ND$2:$ND$60=K$4)*(GMWQ!$NF$2:$NF$60=K$1),0),$E302-1966)</f>
        <v>652456</v>
      </c>
      <c r="L302" s="13" cm="1">
        <f t="array" ref="L302">INDEX(GMWQ!$A$2:$NF$60,MATCH(1,(GMWQ!$NE$2:$NE$60=L$3)*(GMWQ!$ND$2:$ND$60=L$4)*(GMWQ!$NF$2:$NF$60=L$1),0),$E302-1966)</f>
        <v>1023847</v>
      </c>
      <c r="M302" s="13" cm="1">
        <f t="array" ref="M302">INDEX(GMWQ!$A$2:$NF$60,MATCH(1,(GMWQ!$NE$2:$NE$60=M$3)*(GMWQ!$ND$2:$ND$60=M$4)*(GMWQ!$NF$2:$NF$60=M$1),0),$E302-1966)</f>
        <v>591110</v>
      </c>
      <c r="N302" s="13" cm="1">
        <f t="array" ref="N302">INDEX(GMWQ!$A$2:$NF$60,MATCH(1,(GMWQ!$NE$2:$NE$60=N$3)*(GMWQ!$ND$2:$ND$60=N$4)*(GMWQ!$NF$2:$NF$60=N$1),0),$E302-1966)</f>
        <v>173.1704</v>
      </c>
    </row>
    <row r="303" spans="1:14" x14ac:dyDescent="0.25">
      <c r="A303" s="13">
        <v>2047</v>
      </c>
      <c r="B303" s="13">
        <f t="shared" si="24"/>
        <v>2047</v>
      </c>
      <c r="C303" s="13">
        <f t="shared" si="24"/>
        <v>2046</v>
      </c>
      <c r="D303" s="13">
        <f t="shared" si="24"/>
        <v>2046</v>
      </c>
      <c r="E303" s="13">
        <f t="shared" si="20"/>
        <v>2269</v>
      </c>
      <c r="F303" s="13" cm="1">
        <f t="array" ref="F303">INDEX(GMWQ!$A$2:$NF$60,MATCH(1,(GMWQ!$NE$2:$NE$60=F$3)*(GMWQ!$ND$2:$ND$60=F$4)*(GMWQ!$NF$2:$NF$60=F$1),0),$E303-1966)</f>
        <v>242.33959999999999</v>
      </c>
      <c r="G303" s="13" cm="1">
        <f t="array" ref="G303">INDEX(GMWQ!$A$2:$NF$60,MATCH(1,(GMWQ!$NE$2:$NE$60=G$3)*(GMWQ!$ND$2:$ND$60=G$4)*(GMWQ!$NF$2:$NF$60=G$1),0),$E303-1966)</f>
        <v>104190</v>
      </c>
      <c r="H303" s="13" cm="1">
        <f t="array" ref="H303">INDEX(GMWQ!$A$2:$NF$60,MATCH(1,(GMWQ!$NE$2:$NE$60=H$3)*(GMWQ!$ND$2:$ND$60=H$4)*(GMWQ!$NF$2:$NF$60=H$1),0),$E303-1966)</f>
        <v>1378.021</v>
      </c>
      <c r="I303" s="13" cm="1">
        <f t="array" ref="I303">INDEX(GMWQ!$A$2:$NF$60,MATCH(1,(GMWQ!$NE$2:$NE$60=I$3)*(GMWQ!$ND$2:$ND$60=I$4)*(GMWQ!$NF$2:$NF$60=I$1),0),$E303-1966)</f>
        <v>352319.1</v>
      </c>
      <c r="J303" s="13" cm="1">
        <f t="array" ref="J303">INDEX(GMWQ!$A$2:$NF$60,MATCH(1,(GMWQ!$NE$2:$NE$60=J$3)*(GMWQ!$ND$2:$ND$60=J$4)*(GMWQ!$NF$2:$NF$60=J$1),0),$E303-1966)</f>
        <v>1644961</v>
      </c>
      <c r="K303" s="13" cm="1">
        <f t="array" ref="K303">INDEX(GMWQ!$A$2:$NF$60,MATCH(1,(GMWQ!$NE$2:$NE$60=K$3)*(GMWQ!$ND$2:$ND$60=K$4)*(GMWQ!$NF$2:$NF$60=K$1),0),$E303-1966)</f>
        <v>658203.30000000005</v>
      </c>
      <c r="L303" s="13" cm="1">
        <f t="array" ref="L303">INDEX(GMWQ!$A$2:$NF$60,MATCH(1,(GMWQ!$NE$2:$NE$60=L$3)*(GMWQ!$ND$2:$ND$60=L$4)*(GMWQ!$NF$2:$NF$60=L$1),0),$E303-1966)</f>
        <v>1032675</v>
      </c>
      <c r="M303" s="13" cm="1">
        <f t="array" ref="M303">INDEX(GMWQ!$A$2:$NF$60,MATCH(1,(GMWQ!$NE$2:$NE$60=M$3)*(GMWQ!$ND$2:$ND$60=M$4)*(GMWQ!$NF$2:$NF$60=M$1),0),$E303-1966)</f>
        <v>593264.19999999995</v>
      </c>
      <c r="N303" s="13" cm="1">
        <f t="array" ref="N303">INDEX(GMWQ!$A$2:$NF$60,MATCH(1,(GMWQ!$NE$2:$NE$60=N$3)*(GMWQ!$ND$2:$ND$60=N$4)*(GMWQ!$NF$2:$NF$60=N$1),0),$E303-1966)</f>
        <v>174.02969999999999</v>
      </c>
    </row>
    <row r="304" spans="1:14" x14ac:dyDescent="0.25">
      <c r="B304" s="13">
        <f t="shared" si="24"/>
        <v>2047</v>
      </c>
      <c r="C304" s="13">
        <f t="shared" si="24"/>
        <v>2047</v>
      </c>
      <c r="E304" s="13">
        <f t="shared" si="20"/>
        <v>2270</v>
      </c>
      <c r="F304" s="13" cm="1">
        <f t="array" ref="F304">INDEX(GMWQ!$A$2:$NF$60,MATCH(1,(GMWQ!$NE$2:$NE$60=F$3)*(GMWQ!$ND$2:$ND$60=F$4)*(GMWQ!$NF$2:$NF$60=F$1),0),$E304-1966)</f>
        <v>243.5643</v>
      </c>
      <c r="G304" s="13" cm="1">
        <f t="array" ref="G304">INDEX(GMWQ!$A$2:$NF$60,MATCH(1,(GMWQ!$NE$2:$NE$60=G$3)*(GMWQ!$ND$2:$ND$60=G$4)*(GMWQ!$NF$2:$NF$60=G$1),0),$E304-1966)</f>
        <v>105107.5</v>
      </c>
      <c r="H304" s="13" cm="1">
        <f t="array" ref="H304">INDEX(GMWQ!$A$2:$NF$60,MATCH(1,(GMWQ!$NE$2:$NE$60=H$3)*(GMWQ!$ND$2:$ND$60=H$4)*(GMWQ!$NF$2:$NF$60=H$1),0),$E304-1966)</f>
        <v>1388.903</v>
      </c>
      <c r="I304" s="13" cm="1">
        <f t="array" ref="I304">INDEX(GMWQ!$A$2:$NF$60,MATCH(1,(GMWQ!$NE$2:$NE$60=I$3)*(GMWQ!$ND$2:$ND$60=I$4)*(GMWQ!$NF$2:$NF$60=I$1),0),$E304-1966)</f>
        <v>355735</v>
      </c>
      <c r="J304" s="13" cm="1">
        <f t="array" ref="J304">INDEX(GMWQ!$A$2:$NF$60,MATCH(1,(GMWQ!$NE$2:$NE$60=J$3)*(GMWQ!$ND$2:$ND$60=J$4)*(GMWQ!$NF$2:$NF$60=J$1),0),$E304-1966)</f>
        <v>1659984</v>
      </c>
      <c r="K304" s="13" cm="1">
        <f t="array" ref="K304">INDEX(GMWQ!$A$2:$NF$60,MATCH(1,(GMWQ!$NE$2:$NE$60=K$3)*(GMWQ!$ND$2:$ND$60=K$4)*(GMWQ!$NF$2:$NF$60=K$1),0),$E304-1966)</f>
        <v>663999.80000000005</v>
      </c>
      <c r="L304" s="13" cm="1">
        <f t="array" ref="L304">INDEX(GMWQ!$A$2:$NF$60,MATCH(1,(GMWQ!$NE$2:$NE$60=L$3)*(GMWQ!$ND$2:$ND$60=L$4)*(GMWQ!$NF$2:$NF$60=L$1),0),$E304-1966)</f>
        <v>1041578</v>
      </c>
      <c r="M304" s="13" cm="1">
        <f t="array" ref="M304">INDEX(GMWQ!$A$2:$NF$60,MATCH(1,(GMWQ!$NE$2:$NE$60=M$3)*(GMWQ!$ND$2:$ND$60=M$4)*(GMWQ!$NF$2:$NF$60=M$1),0),$E304-1966)</f>
        <v>595425.30000000005</v>
      </c>
      <c r="N304" s="13" cm="1">
        <f t="array" ref="N304">INDEX(GMWQ!$A$2:$NF$60,MATCH(1,(GMWQ!$NE$2:$NE$60=N$3)*(GMWQ!$ND$2:$ND$60=N$4)*(GMWQ!$NF$2:$NF$60=N$1),0),$E304-1966)</f>
        <v>174.89320000000001</v>
      </c>
    </row>
    <row r="305" spans="1:14" x14ac:dyDescent="0.25">
      <c r="B305" s="13">
        <f t="shared" si="24"/>
        <v>2047</v>
      </c>
      <c r="C305" s="13">
        <f t="shared" si="24"/>
        <v>2047</v>
      </c>
      <c r="E305" s="13">
        <f t="shared" ref="E305:E358" si="25">+E304+1</f>
        <v>2271</v>
      </c>
      <c r="F305" s="13" cm="1">
        <f t="array" ref="F305">INDEX(GMWQ!$A$2:$NF$60,MATCH(1,(GMWQ!$NE$2:$NE$60=F$3)*(GMWQ!$ND$2:$ND$60=F$4)*(GMWQ!$NF$2:$NF$60=F$1),0),$E305-1966)</f>
        <v>244.79509999999999</v>
      </c>
      <c r="G305" s="13" cm="1">
        <f t="array" ref="G305">INDEX(GMWQ!$A$2:$NF$60,MATCH(1,(GMWQ!$NE$2:$NE$60=G$3)*(GMWQ!$ND$2:$ND$60=G$4)*(GMWQ!$NF$2:$NF$60=G$1),0),$E305-1966)</f>
        <v>106032.9</v>
      </c>
      <c r="H305" s="13" cm="1">
        <f t="array" ref="H305">INDEX(GMWQ!$A$2:$NF$60,MATCH(1,(GMWQ!$NE$2:$NE$60=H$3)*(GMWQ!$ND$2:$ND$60=H$4)*(GMWQ!$NF$2:$NF$60=H$1),0),$E305-1966)</f>
        <v>1399.8679999999999</v>
      </c>
      <c r="I305" s="13" cm="1">
        <f t="array" ref="I305">INDEX(GMWQ!$A$2:$NF$60,MATCH(1,(GMWQ!$NE$2:$NE$60=I$3)*(GMWQ!$ND$2:$ND$60=I$4)*(GMWQ!$NF$2:$NF$60=I$1),0),$E305-1966)</f>
        <v>358796.2</v>
      </c>
      <c r="J305" s="13" cm="1">
        <f t="array" ref="J305">INDEX(GMWQ!$A$2:$NF$60,MATCH(1,(GMWQ!$NE$2:$NE$60=J$3)*(GMWQ!$ND$2:$ND$60=J$4)*(GMWQ!$NF$2:$NF$60=J$1),0),$E305-1966)</f>
        <v>1675140</v>
      </c>
      <c r="K305" s="13" cm="1">
        <f t="array" ref="K305">INDEX(GMWQ!$A$2:$NF$60,MATCH(1,(GMWQ!$NE$2:$NE$60=K$3)*(GMWQ!$ND$2:$ND$60=K$4)*(GMWQ!$NF$2:$NF$60=K$1),0),$E305-1966)</f>
        <v>669845.4</v>
      </c>
      <c r="L305" s="13" cm="1">
        <f t="array" ref="L305">INDEX(GMWQ!$A$2:$NF$60,MATCH(1,(GMWQ!$NE$2:$NE$60=L$3)*(GMWQ!$ND$2:$ND$60=L$4)*(GMWQ!$NF$2:$NF$60=L$1),0),$E305-1966)</f>
        <v>1050554</v>
      </c>
      <c r="M305" s="13" cm="1">
        <f t="array" ref="M305">INDEX(GMWQ!$A$2:$NF$60,MATCH(1,(GMWQ!$NE$2:$NE$60=M$3)*(GMWQ!$ND$2:$ND$60=M$4)*(GMWQ!$NF$2:$NF$60=M$1),0),$E305-1966)</f>
        <v>597592.80000000005</v>
      </c>
      <c r="N305" s="13" cm="1">
        <f t="array" ref="N305">INDEX(GMWQ!$A$2:$NF$60,MATCH(1,(GMWQ!$NE$2:$NE$60=N$3)*(GMWQ!$ND$2:$ND$60=N$4)*(GMWQ!$NF$2:$NF$60=N$1),0),$E305-1966)</f>
        <v>175.761</v>
      </c>
    </row>
    <row r="306" spans="1:14" x14ac:dyDescent="0.25">
      <c r="B306" s="13">
        <f t="shared" si="24"/>
        <v>2047</v>
      </c>
      <c r="C306" s="13">
        <f t="shared" si="24"/>
        <v>2047</v>
      </c>
      <c r="E306" s="13">
        <f t="shared" si="25"/>
        <v>2272</v>
      </c>
      <c r="F306" s="13" cm="1">
        <f t="array" ref="F306">INDEX(GMWQ!$A$2:$NF$60,MATCH(1,(GMWQ!$NE$2:$NE$60=F$3)*(GMWQ!$ND$2:$ND$60=F$4)*(GMWQ!$NF$2:$NF$60=F$1),0),$E306-1966)</f>
        <v>246.03210000000001</v>
      </c>
      <c r="G306" s="13" cm="1">
        <f t="array" ref="G306">INDEX(GMWQ!$A$2:$NF$60,MATCH(1,(GMWQ!$NE$2:$NE$60=G$3)*(GMWQ!$ND$2:$ND$60=G$4)*(GMWQ!$NF$2:$NF$60=G$1),0),$E306-1966)</f>
        <v>106966.1</v>
      </c>
      <c r="H306" s="13" cm="1">
        <f t="array" ref="H306">INDEX(GMWQ!$A$2:$NF$60,MATCH(1,(GMWQ!$NE$2:$NE$60=H$3)*(GMWQ!$ND$2:$ND$60=H$4)*(GMWQ!$NF$2:$NF$60=H$1),0),$E306-1966)</f>
        <v>1410.9190000000001</v>
      </c>
      <c r="I306" s="13" cm="1">
        <f t="array" ref="I306">INDEX(GMWQ!$A$2:$NF$60,MATCH(1,(GMWQ!$NE$2:$NE$60=I$3)*(GMWQ!$ND$2:$ND$60=I$4)*(GMWQ!$NF$2:$NF$60=I$1),0),$E306-1966)</f>
        <v>361973</v>
      </c>
      <c r="J306" s="13" cm="1">
        <f t="array" ref="J306">INDEX(GMWQ!$A$2:$NF$60,MATCH(1,(GMWQ!$NE$2:$NE$60=J$3)*(GMWQ!$ND$2:$ND$60=J$4)*(GMWQ!$NF$2:$NF$60=J$1),0),$E306-1966)</f>
        <v>1690432</v>
      </c>
      <c r="K306" s="13" cm="1">
        <f t="array" ref="K306">INDEX(GMWQ!$A$2:$NF$60,MATCH(1,(GMWQ!$NE$2:$NE$60=K$3)*(GMWQ!$ND$2:$ND$60=K$4)*(GMWQ!$NF$2:$NF$60=K$1),0),$E306-1966)</f>
        <v>675741.1</v>
      </c>
      <c r="L306" s="13" cm="1">
        <f t="array" ref="L306">INDEX(GMWQ!$A$2:$NF$60,MATCH(1,(GMWQ!$NE$2:$NE$60=L$3)*(GMWQ!$ND$2:$ND$60=L$4)*(GMWQ!$NF$2:$NF$60=L$1),0),$E306-1966)</f>
        <v>1059606</v>
      </c>
      <c r="M306" s="13" cm="1">
        <f t="array" ref="M306">INDEX(GMWQ!$A$2:$NF$60,MATCH(1,(GMWQ!$NE$2:$NE$60=M$3)*(GMWQ!$ND$2:$ND$60=M$4)*(GMWQ!$NF$2:$NF$60=M$1),0),$E306-1966)</f>
        <v>599766.4</v>
      </c>
      <c r="N306" s="13" cm="1">
        <f t="array" ref="N306">INDEX(GMWQ!$A$2:$NF$60,MATCH(1,(GMWQ!$NE$2:$NE$60=N$3)*(GMWQ!$ND$2:$ND$60=N$4)*(GMWQ!$NF$2:$NF$60=N$1),0),$E306-1966)</f>
        <v>176.63319999999999</v>
      </c>
    </row>
    <row r="307" spans="1:14" x14ac:dyDescent="0.25">
      <c r="A307" s="13">
        <v>2048</v>
      </c>
      <c r="B307" s="13">
        <f t="shared" si="24"/>
        <v>2048</v>
      </c>
      <c r="C307" s="13">
        <f t="shared" si="24"/>
        <v>2047</v>
      </c>
      <c r="D307" s="13">
        <f t="shared" si="24"/>
        <v>2047</v>
      </c>
      <c r="E307" s="13">
        <f t="shared" si="25"/>
        <v>2273</v>
      </c>
      <c r="F307" s="13" cm="1">
        <f t="array" ref="F307">INDEX(GMWQ!$A$2:$NF$60,MATCH(1,(GMWQ!$NE$2:$NE$60=F$3)*(GMWQ!$ND$2:$ND$60=F$4)*(GMWQ!$NF$2:$NF$60=F$1),0),$E307-1966)</f>
        <v>247.27539999999999</v>
      </c>
      <c r="G307" s="13" cm="1">
        <f t="array" ref="G307">INDEX(GMWQ!$A$2:$NF$60,MATCH(1,(GMWQ!$NE$2:$NE$60=G$3)*(GMWQ!$ND$2:$ND$60=G$4)*(GMWQ!$NF$2:$NF$60=G$1),0),$E307-1966)</f>
        <v>107907.3</v>
      </c>
      <c r="H307" s="13" cm="1">
        <f t="array" ref="H307">INDEX(GMWQ!$A$2:$NF$60,MATCH(1,(GMWQ!$NE$2:$NE$60=H$3)*(GMWQ!$ND$2:$ND$60=H$4)*(GMWQ!$NF$2:$NF$60=H$1),0),$E307-1966)</f>
        <v>1422.0540000000001</v>
      </c>
      <c r="I307" s="13" cm="1">
        <f t="array" ref="I307">INDEX(GMWQ!$A$2:$NF$60,MATCH(1,(GMWQ!$NE$2:$NE$60=I$3)*(GMWQ!$ND$2:$ND$60=I$4)*(GMWQ!$NF$2:$NF$60=I$1),0),$E307-1966)</f>
        <v>365365.9</v>
      </c>
      <c r="J307" s="13" cm="1">
        <f t="array" ref="J307">INDEX(GMWQ!$A$2:$NF$60,MATCH(1,(GMWQ!$NE$2:$NE$60=J$3)*(GMWQ!$ND$2:$ND$60=J$4)*(GMWQ!$NF$2:$NF$60=J$1),0),$E307-1966)</f>
        <v>1705860</v>
      </c>
      <c r="K307" s="13" cm="1">
        <f t="array" ref="K307">INDEX(GMWQ!$A$2:$NF$60,MATCH(1,(GMWQ!$NE$2:$NE$60=K$3)*(GMWQ!$ND$2:$ND$60=K$4)*(GMWQ!$NF$2:$NF$60=K$1),0),$E307-1966)</f>
        <v>681687.3</v>
      </c>
      <c r="L307" s="13" cm="1">
        <f t="array" ref="L307">INDEX(GMWQ!$A$2:$NF$60,MATCH(1,(GMWQ!$NE$2:$NE$60=L$3)*(GMWQ!$ND$2:$ND$60=L$4)*(GMWQ!$NF$2:$NF$60=L$1),0),$E307-1966)</f>
        <v>1068733</v>
      </c>
      <c r="M307" s="13" cm="1">
        <f t="array" ref="M307">INDEX(GMWQ!$A$2:$NF$60,MATCH(1,(GMWQ!$NE$2:$NE$60=M$3)*(GMWQ!$ND$2:$ND$60=M$4)*(GMWQ!$NF$2:$NF$60=M$1),0),$E307-1966)</f>
        <v>601947.19999999995</v>
      </c>
      <c r="N307" s="13" cm="1">
        <f t="array" ref="N307">INDEX(GMWQ!$A$2:$NF$60,MATCH(1,(GMWQ!$NE$2:$NE$60=N$3)*(GMWQ!$ND$2:$ND$60=N$4)*(GMWQ!$NF$2:$NF$60=N$1),0),$E307-1966)</f>
        <v>177.50960000000001</v>
      </c>
    </row>
    <row r="308" spans="1:14" x14ac:dyDescent="0.25">
      <c r="B308" s="13">
        <f t="shared" si="24"/>
        <v>2048</v>
      </c>
      <c r="C308" s="13">
        <f t="shared" si="24"/>
        <v>2048</v>
      </c>
      <c r="E308" s="13">
        <f t="shared" si="25"/>
        <v>2274</v>
      </c>
      <c r="F308" s="13" cm="1">
        <f t="array" ref="F308">INDEX(GMWQ!$A$2:$NF$60,MATCH(1,(GMWQ!$NE$2:$NE$60=F$3)*(GMWQ!$ND$2:$ND$60=F$4)*(GMWQ!$NF$2:$NF$60=F$1),0),$E308-1966)</f>
        <v>248.52510000000001</v>
      </c>
      <c r="G308" s="13" cm="1">
        <f t="array" ref="G308">INDEX(GMWQ!$A$2:$NF$60,MATCH(1,(GMWQ!$NE$2:$NE$60=G$3)*(GMWQ!$ND$2:$ND$60=G$4)*(GMWQ!$NF$2:$NF$60=G$1),0),$E308-1966)</f>
        <v>108856.6</v>
      </c>
      <c r="H308" s="13" cm="1">
        <f t="array" ref="H308">INDEX(GMWQ!$A$2:$NF$60,MATCH(1,(GMWQ!$NE$2:$NE$60=H$3)*(GMWQ!$ND$2:$ND$60=H$4)*(GMWQ!$NF$2:$NF$60=H$1),0),$E308-1966)</f>
        <v>1433.2739999999999</v>
      </c>
      <c r="I308" s="13" cm="1">
        <f t="array" ref="I308">INDEX(GMWQ!$A$2:$NF$60,MATCH(1,(GMWQ!$NE$2:$NE$60=I$3)*(GMWQ!$ND$2:$ND$60=I$4)*(GMWQ!$NF$2:$NF$60=I$1),0),$E308-1966)</f>
        <v>368904.9</v>
      </c>
      <c r="J308" s="13" cm="1">
        <f t="array" ref="J308">INDEX(GMWQ!$A$2:$NF$60,MATCH(1,(GMWQ!$NE$2:$NE$60=J$3)*(GMWQ!$ND$2:$ND$60=J$4)*(GMWQ!$NF$2:$NF$60=J$1),0),$E308-1966)</f>
        <v>1721424</v>
      </c>
      <c r="K308" s="13" cm="1">
        <f t="array" ref="K308">INDEX(GMWQ!$A$2:$NF$60,MATCH(1,(GMWQ!$NE$2:$NE$60=K$3)*(GMWQ!$ND$2:$ND$60=K$4)*(GMWQ!$NF$2:$NF$60=K$1),0),$E308-1966)</f>
        <v>687684.1</v>
      </c>
      <c r="L308" s="13" cm="1">
        <f t="array" ref="L308">INDEX(GMWQ!$A$2:$NF$60,MATCH(1,(GMWQ!$NE$2:$NE$60=L$3)*(GMWQ!$ND$2:$ND$60=L$4)*(GMWQ!$NF$2:$NF$60=L$1),0),$E308-1966)</f>
        <v>1077937</v>
      </c>
      <c r="M308" s="13" cm="1">
        <f t="array" ref="M308">INDEX(GMWQ!$A$2:$NF$60,MATCH(1,(GMWQ!$NE$2:$NE$60=M$3)*(GMWQ!$ND$2:$ND$60=M$4)*(GMWQ!$NF$2:$NF$60=M$1),0),$E308-1966)</f>
        <v>604134.30000000005</v>
      </c>
      <c r="N308" s="13" cm="1">
        <f t="array" ref="N308">INDEX(GMWQ!$A$2:$NF$60,MATCH(1,(GMWQ!$NE$2:$NE$60=N$3)*(GMWQ!$ND$2:$ND$60=N$4)*(GMWQ!$NF$2:$NF$60=N$1),0),$E308-1966)</f>
        <v>178.3904</v>
      </c>
    </row>
    <row r="309" spans="1:14" x14ac:dyDescent="0.25">
      <c r="B309" s="13">
        <f t="shared" si="24"/>
        <v>2048</v>
      </c>
      <c r="C309" s="13">
        <f t="shared" si="24"/>
        <v>2048</v>
      </c>
      <c r="E309" s="13">
        <f t="shared" si="25"/>
        <v>2275</v>
      </c>
      <c r="F309" s="13" cm="1">
        <f t="array" ref="F309">INDEX(GMWQ!$A$2:$NF$60,MATCH(1,(GMWQ!$NE$2:$NE$60=F$3)*(GMWQ!$ND$2:$ND$60=F$4)*(GMWQ!$NF$2:$NF$60=F$1),0),$E309-1966)</f>
        <v>249.78110000000001</v>
      </c>
      <c r="G309" s="13" cm="1">
        <f t="array" ref="G309">INDEX(GMWQ!$A$2:$NF$60,MATCH(1,(GMWQ!$NE$2:$NE$60=G$3)*(GMWQ!$ND$2:$ND$60=G$4)*(GMWQ!$NF$2:$NF$60=G$1),0),$E309-1966)</f>
        <v>109814</v>
      </c>
      <c r="H309" s="13" cm="1">
        <f t="array" ref="H309">INDEX(GMWQ!$A$2:$NF$60,MATCH(1,(GMWQ!$NE$2:$NE$60=H$3)*(GMWQ!$ND$2:$ND$60=H$4)*(GMWQ!$NF$2:$NF$60=H$1),0),$E309-1966)</f>
        <v>1444.5830000000001</v>
      </c>
      <c r="I309" s="13" cm="1">
        <f t="array" ref="I309">INDEX(GMWQ!$A$2:$NF$60,MATCH(1,(GMWQ!$NE$2:$NE$60=I$3)*(GMWQ!$ND$2:$ND$60=I$4)*(GMWQ!$NF$2:$NF$60=I$1),0),$E309-1966)</f>
        <v>372076.1</v>
      </c>
      <c r="J309" s="13" cm="1">
        <f t="array" ref="J309">INDEX(GMWQ!$A$2:$NF$60,MATCH(1,(GMWQ!$NE$2:$NE$60=J$3)*(GMWQ!$ND$2:$ND$60=J$4)*(GMWQ!$NF$2:$NF$60=J$1),0),$E309-1966)</f>
        <v>1737126</v>
      </c>
      <c r="K309" s="13" cm="1">
        <f t="array" ref="K309">INDEX(GMWQ!$A$2:$NF$60,MATCH(1,(GMWQ!$NE$2:$NE$60=K$3)*(GMWQ!$ND$2:$ND$60=K$4)*(GMWQ!$NF$2:$NF$60=K$1),0),$E309-1966)</f>
        <v>693732.4</v>
      </c>
      <c r="L309" s="13" cm="1">
        <f t="array" ref="L309">INDEX(GMWQ!$A$2:$NF$60,MATCH(1,(GMWQ!$NE$2:$NE$60=L$3)*(GMWQ!$ND$2:$ND$60=L$4)*(GMWQ!$NF$2:$NF$60=L$1),0),$E309-1966)</f>
        <v>1087217</v>
      </c>
      <c r="M309" s="13" cm="1">
        <f t="array" ref="M309">INDEX(GMWQ!$A$2:$NF$60,MATCH(1,(GMWQ!$NE$2:$NE$60=M$3)*(GMWQ!$ND$2:$ND$60=M$4)*(GMWQ!$NF$2:$NF$60=M$1),0),$E309-1966)</f>
        <v>606327.9</v>
      </c>
      <c r="N309" s="13" cm="1">
        <f t="array" ref="N309">INDEX(GMWQ!$A$2:$NF$60,MATCH(1,(GMWQ!$NE$2:$NE$60=N$3)*(GMWQ!$ND$2:$ND$60=N$4)*(GMWQ!$NF$2:$NF$60=N$1),0),$E309-1966)</f>
        <v>179.2756</v>
      </c>
    </row>
    <row r="310" spans="1:14" x14ac:dyDescent="0.25">
      <c r="B310" s="13">
        <f t="shared" si="24"/>
        <v>2048</v>
      </c>
      <c r="C310" s="13">
        <f t="shared" si="24"/>
        <v>2048</v>
      </c>
      <c r="E310" s="13">
        <f t="shared" si="25"/>
        <v>2276</v>
      </c>
      <c r="F310" s="13" cm="1">
        <f t="array" ref="F310">INDEX(GMWQ!$A$2:$NF$60,MATCH(1,(GMWQ!$NE$2:$NE$60=F$3)*(GMWQ!$ND$2:$ND$60=F$4)*(GMWQ!$NF$2:$NF$60=F$1),0),$E310-1966)</f>
        <v>251.04349999999999</v>
      </c>
      <c r="G310" s="13" cm="1">
        <f t="array" ref="G310">INDEX(GMWQ!$A$2:$NF$60,MATCH(1,(GMWQ!$NE$2:$NE$60=G$3)*(GMWQ!$ND$2:$ND$60=G$4)*(GMWQ!$NF$2:$NF$60=G$1),0),$E310-1966)</f>
        <v>110779.6</v>
      </c>
      <c r="H310" s="13" cm="1">
        <f t="array" ref="H310">INDEX(GMWQ!$A$2:$NF$60,MATCH(1,(GMWQ!$NE$2:$NE$60=H$3)*(GMWQ!$ND$2:$ND$60=H$4)*(GMWQ!$NF$2:$NF$60=H$1),0),$E310-1966)</f>
        <v>1455.9770000000001</v>
      </c>
      <c r="I310" s="13" cm="1">
        <f t="array" ref="I310">INDEX(GMWQ!$A$2:$NF$60,MATCH(1,(GMWQ!$NE$2:$NE$60=I$3)*(GMWQ!$ND$2:$ND$60=I$4)*(GMWQ!$NF$2:$NF$60=I$1),0),$E310-1966)</f>
        <v>375367.3</v>
      </c>
      <c r="J310" s="13" cm="1">
        <f t="array" ref="J310">INDEX(GMWQ!$A$2:$NF$60,MATCH(1,(GMWQ!$NE$2:$NE$60=J$3)*(GMWQ!$ND$2:$ND$60=J$4)*(GMWQ!$NF$2:$NF$60=J$1),0),$E310-1966)</f>
        <v>1752968</v>
      </c>
      <c r="K310" s="13" cm="1">
        <f t="array" ref="K310">INDEX(GMWQ!$A$2:$NF$60,MATCH(1,(GMWQ!$NE$2:$NE$60=K$3)*(GMWQ!$ND$2:$ND$60=K$4)*(GMWQ!$NF$2:$NF$60=K$1),0),$E310-1966)</f>
        <v>699832</v>
      </c>
      <c r="L310" s="13" cm="1">
        <f t="array" ref="L310">INDEX(GMWQ!$A$2:$NF$60,MATCH(1,(GMWQ!$NE$2:$NE$60=L$3)*(GMWQ!$ND$2:$ND$60=L$4)*(GMWQ!$NF$2:$NF$60=L$1),0),$E310-1966)</f>
        <v>1096576</v>
      </c>
      <c r="M310" s="13" cm="1">
        <f t="array" ref="M310">INDEX(GMWQ!$A$2:$NF$60,MATCH(1,(GMWQ!$NE$2:$NE$60=M$3)*(GMWQ!$ND$2:$ND$60=M$4)*(GMWQ!$NF$2:$NF$60=M$1),0),$E310-1966)</f>
        <v>608528.4</v>
      </c>
      <c r="N310" s="13" cm="1">
        <f t="array" ref="N310">INDEX(GMWQ!$A$2:$NF$60,MATCH(1,(GMWQ!$NE$2:$NE$60=N$3)*(GMWQ!$ND$2:$ND$60=N$4)*(GMWQ!$NF$2:$NF$60=N$1),0),$E310-1966)</f>
        <v>180.1652</v>
      </c>
    </row>
    <row r="311" spans="1:14" x14ac:dyDescent="0.25">
      <c r="A311" s="13">
        <v>2049</v>
      </c>
      <c r="B311" s="13">
        <f t="shared" si="24"/>
        <v>2049</v>
      </c>
      <c r="C311" s="13">
        <f t="shared" si="24"/>
        <v>2048</v>
      </c>
      <c r="D311" s="13">
        <f t="shared" si="24"/>
        <v>2048</v>
      </c>
      <c r="E311" s="13">
        <f t="shared" si="25"/>
        <v>2277</v>
      </c>
      <c r="F311" s="13" cm="1">
        <f t="array" ref="F311">INDEX(GMWQ!$A$2:$NF$60,MATCH(1,(GMWQ!$NE$2:$NE$60=F$3)*(GMWQ!$ND$2:$ND$60=F$4)*(GMWQ!$NF$2:$NF$60=F$1),0),$E311-1966)</f>
        <v>252.3124</v>
      </c>
      <c r="G311" s="13" cm="1">
        <f t="array" ref="G311">INDEX(GMWQ!$A$2:$NF$60,MATCH(1,(GMWQ!$NE$2:$NE$60=G$3)*(GMWQ!$ND$2:$ND$60=G$4)*(GMWQ!$NF$2:$NF$60=G$1),0),$E311-1966)</f>
        <v>111753.3</v>
      </c>
      <c r="H311" s="13" cm="1">
        <f t="array" ref="H311">INDEX(GMWQ!$A$2:$NF$60,MATCH(1,(GMWQ!$NE$2:$NE$60=H$3)*(GMWQ!$ND$2:$ND$60=H$4)*(GMWQ!$NF$2:$NF$60=H$1),0),$E311-1966)</f>
        <v>1467.4590000000001</v>
      </c>
      <c r="I311" s="13" cm="1">
        <f t="array" ref="I311">INDEX(GMWQ!$A$2:$NF$60,MATCH(1,(GMWQ!$NE$2:$NE$60=I$3)*(GMWQ!$ND$2:$ND$60=I$4)*(GMWQ!$NF$2:$NF$60=I$1),0),$E311-1966)</f>
        <v>378882.2</v>
      </c>
      <c r="J311" s="13" cm="1">
        <f t="array" ref="J311">INDEX(GMWQ!$A$2:$NF$60,MATCH(1,(GMWQ!$NE$2:$NE$60=J$3)*(GMWQ!$ND$2:$ND$60=J$4)*(GMWQ!$NF$2:$NF$60=J$1),0),$E311-1966)</f>
        <v>1768949</v>
      </c>
      <c r="K311" s="13" cm="1">
        <f t="array" ref="K311">INDEX(GMWQ!$A$2:$NF$60,MATCH(1,(GMWQ!$NE$2:$NE$60=K$3)*(GMWQ!$ND$2:$ND$60=K$4)*(GMWQ!$NF$2:$NF$60=K$1),0),$E311-1966)</f>
        <v>705983.7</v>
      </c>
      <c r="L311" s="13" cm="1">
        <f t="array" ref="L311">INDEX(GMWQ!$A$2:$NF$60,MATCH(1,(GMWQ!$NE$2:$NE$60=L$3)*(GMWQ!$ND$2:$ND$60=L$4)*(GMWQ!$NF$2:$NF$60=L$1),0),$E311-1966)</f>
        <v>1106012</v>
      </c>
      <c r="M311" s="13" cm="1">
        <f t="array" ref="M311">INDEX(GMWQ!$A$2:$NF$60,MATCH(1,(GMWQ!$NE$2:$NE$60=M$3)*(GMWQ!$ND$2:$ND$60=M$4)*(GMWQ!$NF$2:$NF$60=M$1),0),$E311-1966)</f>
        <v>610735.6</v>
      </c>
      <c r="N311" s="13" cm="1">
        <f t="array" ref="N311">INDEX(GMWQ!$A$2:$NF$60,MATCH(1,(GMWQ!$NE$2:$NE$60=N$3)*(GMWQ!$ND$2:$ND$60=N$4)*(GMWQ!$NF$2:$NF$60=N$1),0),$E311-1966)</f>
        <v>181.0591</v>
      </c>
    </row>
    <row r="312" spans="1:14" x14ac:dyDescent="0.25">
      <c r="B312" s="13">
        <f t="shared" si="24"/>
        <v>2049</v>
      </c>
      <c r="C312" s="13">
        <f t="shared" si="24"/>
        <v>2049</v>
      </c>
      <c r="E312" s="13">
        <f t="shared" si="25"/>
        <v>2278</v>
      </c>
      <c r="F312" s="13" cm="1">
        <f t="array" ref="F312">INDEX(GMWQ!$A$2:$NF$60,MATCH(1,(GMWQ!$NE$2:$NE$60=F$3)*(GMWQ!$ND$2:$ND$60=F$4)*(GMWQ!$NF$2:$NF$60=F$1),0),$E312-1966)</f>
        <v>253.58760000000001</v>
      </c>
      <c r="G312" s="13" cm="1">
        <f t="array" ref="G312">INDEX(GMWQ!$A$2:$NF$60,MATCH(1,(GMWQ!$NE$2:$NE$60=G$3)*(GMWQ!$ND$2:$ND$60=G$4)*(GMWQ!$NF$2:$NF$60=G$1),0),$E312-1966)</f>
        <v>112735.4</v>
      </c>
      <c r="H312" s="13" cm="1">
        <f t="array" ref="H312">INDEX(GMWQ!$A$2:$NF$60,MATCH(1,(GMWQ!$NE$2:$NE$60=H$3)*(GMWQ!$ND$2:$ND$60=H$4)*(GMWQ!$NF$2:$NF$60=H$1),0),$E312-1966)</f>
        <v>1479.03</v>
      </c>
      <c r="I312" s="13" cm="1">
        <f t="array" ref="I312">INDEX(GMWQ!$A$2:$NF$60,MATCH(1,(GMWQ!$NE$2:$NE$60=I$3)*(GMWQ!$ND$2:$ND$60=I$4)*(GMWQ!$NF$2:$NF$60=I$1),0),$E312-1966)</f>
        <v>382548.4</v>
      </c>
      <c r="J312" s="13" cm="1">
        <f t="array" ref="J312">INDEX(GMWQ!$A$2:$NF$60,MATCH(1,(GMWQ!$NE$2:$NE$60=J$3)*(GMWQ!$ND$2:$ND$60=J$4)*(GMWQ!$NF$2:$NF$60=J$1),0),$E312-1966)</f>
        <v>1785073</v>
      </c>
      <c r="K312" s="13" cm="1">
        <f t="array" ref="K312">INDEX(GMWQ!$A$2:$NF$60,MATCH(1,(GMWQ!$NE$2:$NE$60=K$3)*(GMWQ!$ND$2:$ND$60=K$4)*(GMWQ!$NF$2:$NF$60=K$1),0),$E312-1966)</f>
        <v>712187.5</v>
      </c>
      <c r="L312" s="13" cm="1">
        <f t="array" ref="L312">INDEX(GMWQ!$A$2:$NF$60,MATCH(1,(GMWQ!$NE$2:$NE$60=L$3)*(GMWQ!$ND$2:$ND$60=L$4)*(GMWQ!$NF$2:$NF$60=L$1),0),$E312-1966)</f>
        <v>1115526</v>
      </c>
      <c r="M312" s="13" cm="1">
        <f t="array" ref="M312">INDEX(GMWQ!$A$2:$NF$60,MATCH(1,(GMWQ!$NE$2:$NE$60=M$3)*(GMWQ!$ND$2:$ND$60=M$4)*(GMWQ!$NF$2:$NF$60=M$1),0),$E312-1966)</f>
        <v>612948.5</v>
      </c>
      <c r="N312" s="13" cm="1">
        <f t="array" ref="N312">INDEX(GMWQ!$A$2:$NF$60,MATCH(1,(GMWQ!$NE$2:$NE$60=N$3)*(GMWQ!$ND$2:$ND$60=N$4)*(GMWQ!$NF$2:$NF$60=N$1),0),$E312-1966)</f>
        <v>181.95760000000001</v>
      </c>
    </row>
    <row r="313" spans="1:14" x14ac:dyDescent="0.25">
      <c r="B313" s="13">
        <f t="shared" si="24"/>
        <v>2049</v>
      </c>
      <c r="C313" s="13">
        <f t="shared" si="24"/>
        <v>2049</v>
      </c>
      <c r="E313" s="13">
        <f t="shared" si="25"/>
        <v>2279</v>
      </c>
      <c r="F313" s="13" cm="1">
        <f t="array" ref="F313">INDEX(GMWQ!$A$2:$NF$60,MATCH(1,(GMWQ!$NE$2:$NE$60=F$3)*(GMWQ!$ND$2:$ND$60=F$4)*(GMWQ!$NF$2:$NF$60=F$1),0),$E313-1966)</f>
        <v>254.86940000000001</v>
      </c>
      <c r="G313" s="13" cm="1">
        <f t="array" ref="G313">INDEX(GMWQ!$A$2:$NF$60,MATCH(1,(GMWQ!$NE$2:$NE$60=G$3)*(GMWQ!$ND$2:$ND$60=G$4)*(GMWQ!$NF$2:$NF$60=G$1),0),$E313-1966)</f>
        <v>113725.8</v>
      </c>
      <c r="H313" s="13" cm="1">
        <f t="array" ref="H313">INDEX(GMWQ!$A$2:$NF$60,MATCH(1,(GMWQ!$NE$2:$NE$60=H$3)*(GMWQ!$ND$2:$ND$60=H$4)*(GMWQ!$NF$2:$NF$60=H$1),0),$E313-1966)</f>
        <v>1490.6880000000001</v>
      </c>
      <c r="I313" s="13" cm="1">
        <f t="array" ref="I313">INDEX(GMWQ!$A$2:$NF$60,MATCH(1,(GMWQ!$NE$2:$NE$60=I$3)*(GMWQ!$ND$2:$ND$60=I$4)*(GMWQ!$NF$2:$NF$60=I$1),0),$E313-1966)</f>
        <v>385833.5</v>
      </c>
      <c r="J313" s="13" cm="1">
        <f t="array" ref="J313">INDEX(GMWQ!$A$2:$NF$60,MATCH(1,(GMWQ!$NE$2:$NE$60=J$3)*(GMWQ!$ND$2:$ND$60=J$4)*(GMWQ!$NF$2:$NF$60=J$1),0),$E313-1966)</f>
        <v>1801338</v>
      </c>
      <c r="K313" s="13" cm="1">
        <f t="array" ref="K313">INDEX(GMWQ!$A$2:$NF$60,MATCH(1,(GMWQ!$NE$2:$NE$60=K$3)*(GMWQ!$ND$2:$ND$60=K$4)*(GMWQ!$NF$2:$NF$60=K$1),0),$E313-1966)</f>
        <v>718444.4</v>
      </c>
      <c r="L313" s="13" cm="1">
        <f t="array" ref="L313">INDEX(GMWQ!$A$2:$NF$60,MATCH(1,(GMWQ!$NE$2:$NE$60=L$3)*(GMWQ!$ND$2:$ND$60=L$4)*(GMWQ!$NF$2:$NF$60=L$1),0),$E313-1966)</f>
        <v>1125120</v>
      </c>
      <c r="M313" s="13" cm="1">
        <f t="array" ref="M313">INDEX(GMWQ!$A$2:$NF$60,MATCH(1,(GMWQ!$NE$2:$NE$60=M$3)*(GMWQ!$ND$2:$ND$60=M$4)*(GMWQ!$NF$2:$NF$60=M$1),0),$E313-1966)</f>
        <v>615168.9</v>
      </c>
      <c r="N313" s="13" cm="1">
        <f t="array" ref="N313">INDEX(GMWQ!$A$2:$NF$60,MATCH(1,(GMWQ!$NE$2:$NE$60=N$3)*(GMWQ!$ND$2:$ND$60=N$4)*(GMWQ!$NF$2:$NF$60=N$1),0),$E313-1966)</f>
        <v>182.8604</v>
      </c>
    </row>
    <row r="314" spans="1:14" x14ac:dyDescent="0.25">
      <c r="B314" s="13">
        <f t="shared" si="24"/>
        <v>2049</v>
      </c>
      <c r="C314" s="13">
        <f t="shared" si="24"/>
        <v>2049</v>
      </c>
      <c r="E314" s="13">
        <f t="shared" si="25"/>
        <v>2280</v>
      </c>
      <c r="F314" s="13" cm="1">
        <f t="array" ref="F314">INDEX(GMWQ!$A$2:$NF$60,MATCH(1,(GMWQ!$NE$2:$NE$60=F$3)*(GMWQ!$ND$2:$ND$60=F$4)*(GMWQ!$NF$2:$NF$60=F$1),0),$E314-1966)</f>
        <v>256.15769999999998</v>
      </c>
      <c r="G314" s="13" cm="1">
        <f t="array" ref="G314">INDEX(GMWQ!$A$2:$NF$60,MATCH(1,(GMWQ!$NE$2:$NE$60=G$3)*(GMWQ!$ND$2:$ND$60=G$4)*(GMWQ!$NF$2:$NF$60=G$1),0),$E314-1966)</f>
        <v>114724.6</v>
      </c>
      <c r="H314" s="13" cm="1">
        <f t="array" ref="H314">INDEX(GMWQ!$A$2:$NF$60,MATCH(1,(GMWQ!$NE$2:$NE$60=H$3)*(GMWQ!$ND$2:$ND$60=H$4)*(GMWQ!$NF$2:$NF$60=H$1),0),$E314-1966)</f>
        <v>1502.4369999999999</v>
      </c>
      <c r="I314" s="13" cm="1">
        <f t="array" ref="I314">INDEX(GMWQ!$A$2:$NF$60,MATCH(1,(GMWQ!$NE$2:$NE$60=I$3)*(GMWQ!$ND$2:$ND$60=I$4)*(GMWQ!$NF$2:$NF$60=I$1),0),$E314-1966)</f>
        <v>389242.4</v>
      </c>
      <c r="J314" s="13" cm="1">
        <f t="array" ref="J314">INDEX(GMWQ!$A$2:$NF$60,MATCH(1,(GMWQ!$NE$2:$NE$60=J$3)*(GMWQ!$ND$2:$ND$60=J$4)*(GMWQ!$NF$2:$NF$60=J$1),0),$E314-1966)</f>
        <v>1817747</v>
      </c>
      <c r="K314" s="13" cm="1">
        <f t="array" ref="K314">INDEX(GMWQ!$A$2:$NF$60,MATCH(1,(GMWQ!$NE$2:$NE$60=K$3)*(GMWQ!$ND$2:$ND$60=K$4)*(GMWQ!$NF$2:$NF$60=K$1),0),$E314-1966)</f>
        <v>724754.4</v>
      </c>
      <c r="L314" s="13" cm="1">
        <f t="array" ref="L314">INDEX(GMWQ!$A$2:$NF$60,MATCH(1,(GMWQ!$NE$2:$NE$60=L$3)*(GMWQ!$ND$2:$ND$60=L$4)*(GMWQ!$NF$2:$NF$60=L$1),0),$E314-1966)</f>
        <v>1134792</v>
      </c>
      <c r="M314" s="13" cm="1">
        <f t="array" ref="M314">INDEX(GMWQ!$A$2:$NF$60,MATCH(1,(GMWQ!$NE$2:$NE$60=M$3)*(GMWQ!$ND$2:$ND$60=M$4)*(GMWQ!$NF$2:$NF$60=M$1),0),$E314-1966)</f>
        <v>617394.9</v>
      </c>
      <c r="N314" s="13" cm="1">
        <f t="array" ref="N314">INDEX(GMWQ!$A$2:$NF$60,MATCH(1,(GMWQ!$NE$2:$NE$60=N$3)*(GMWQ!$ND$2:$ND$60=N$4)*(GMWQ!$NF$2:$NF$60=N$1),0),$E314-1966)</f>
        <v>183.76779999999999</v>
      </c>
    </row>
    <row r="315" spans="1:14" x14ac:dyDescent="0.25">
      <c r="A315" s="13">
        <v>2050</v>
      </c>
      <c r="B315" s="13">
        <f t="shared" si="24"/>
        <v>2050</v>
      </c>
      <c r="C315" s="13">
        <f t="shared" si="24"/>
        <v>2049</v>
      </c>
      <c r="D315" s="13">
        <f t="shared" si="24"/>
        <v>2049</v>
      </c>
      <c r="E315" s="13">
        <f t="shared" si="25"/>
        <v>2281</v>
      </c>
      <c r="F315" s="13" cm="1">
        <f t="array" ref="F315">INDEX(GMWQ!$A$2:$NF$60,MATCH(1,(GMWQ!$NE$2:$NE$60=F$3)*(GMWQ!$ND$2:$ND$60=F$4)*(GMWQ!$NF$2:$NF$60=F$1),0),$E315-1966)</f>
        <v>257.45260000000002</v>
      </c>
      <c r="G315" s="13" cm="1">
        <f t="array" ref="G315">INDEX(GMWQ!$A$2:$NF$60,MATCH(1,(GMWQ!$NE$2:$NE$60=G$3)*(GMWQ!$ND$2:$ND$60=G$4)*(GMWQ!$NF$2:$NF$60=G$1),0),$E315-1966)</f>
        <v>115731.9</v>
      </c>
      <c r="H315" s="13" cm="1">
        <f t="array" ref="H315">INDEX(GMWQ!$A$2:$NF$60,MATCH(1,(GMWQ!$NE$2:$NE$60=H$3)*(GMWQ!$ND$2:$ND$60=H$4)*(GMWQ!$NF$2:$NF$60=H$1),0),$E315-1966)</f>
        <v>1514.2760000000001</v>
      </c>
      <c r="I315" s="13" cm="1">
        <f t="array" ref="I315">INDEX(GMWQ!$A$2:$NF$60,MATCH(1,(GMWQ!$NE$2:$NE$60=I$3)*(GMWQ!$ND$2:$ND$60=I$4)*(GMWQ!$NF$2:$NF$60=I$1),0),$E315-1966)</f>
        <v>392883.4</v>
      </c>
      <c r="J315" s="13" cm="1">
        <f t="array" ref="J315">INDEX(GMWQ!$A$2:$NF$60,MATCH(1,(GMWQ!$NE$2:$NE$60=J$3)*(GMWQ!$ND$2:$ND$60=J$4)*(GMWQ!$NF$2:$NF$60=J$1),0),$E315-1966)</f>
        <v>1834300</v>
      </c>
      <c r="K315" s="13" cm="1">
        <f t="array" ref="K315">INDEX(GMWQ!$A$2:$NF$60,MATCH(1,(GMWQ!$NE$2:$NE$60=K$3)*(GMWQ!$ND$2:$ND$60=K$4)*(GMWQ!$NF$2:$NF$60=K$1),0),$E315-1966)</f>
        <v>731117.8</v>
      </c>
      <c r="L315" s="13" cm="1">
        <f t="array" ref="L315">INDEX(GMWQ!$A$2:$NF$60,MATCH(1,(GMWQ!$NE$2:$NE$60=L$3)*(GMWQ!$ND$2:$ND$60=L$4)*(GMWQ!$NF$2:$NF$60=L$1),0),$E315-1966)</f>
        <v>1144546</v>
      </c>
      <c r="M315" s="13" cm="1">
        <f t="array" ref="M315">INDEX(GMWQ!$A$2:$NF$60,MATCH(1,(GMWQ!$NE$2:$NE$60=M$3)*(GMWQ!$ND$2:$ND$60=M$4)*(GMWQ!$NF$2:$NF$60=M$1),0),$E315-1966)</f>
        <v>619628.19999999995</v>
      </c>
      <c r="N315" s="13" cm="1">
        <f t="array" ref="N315">INDEX(GMWQ!$A$2:$NF$60,MATCH(1,(GMWQ!$NE$2:$NE$60=N$3)*(GMWQ!$ND$2:$ND$60=N$4)*(GMWQ!$NF$2:$NF$60=N$1),0),$E315-1966)</f>
        <v>184.67959999999999</v>
      </c>
    </row>
    <row r="316" spans="1:14" x14ac:dyDescent="0.25">
      <c r="B316" s="13">
        <f t="shared" ref="B316:D331" si="26">+B312+1</f>
        <v>2050</v>
      </c>
      <c r="C316" s="13">
        <f t="shared" si="26"/>
        <v>2050</v>
      </c>
      <c r="E316" s="13">
        <f t="shared" si="25"/>
        <v>2282</v>
      </c>
      <c r="F316" s="13" cm="1">
        <f t="array" ref="F316">INDEX(GMWQ!$A$2:$NF$60,MATCH(1,(GMWQ!$NE$2:$NE$60=F$3)*(GMWQ!$ND$2:$ND$60=F$4)*(GMWQ!$NF$2:$NF$60=F$1),0),$E316-1966)</f>
        <v>258.7543</v>
      </c>
      <c r="G316" s="13" cm="1">
        <f t="array" ref="G316">INDEX(GMWQ!$A$2:$NF$60,MATCH(1,(GMWQ!$NE$2:$NE$60=G$3)*(GMWQ!$ND$2:$ND$60=G$4)*(GMWQ!$NF$2:$NF$60=G$1),0),$E316-1966)</f>
        <v>116747.8</v>
      </c>
      <c r="H316" s="13" cm="1">
        <f t="array" ref="H316">INDEX(GMWQ!$A$2:$NF$60,MATCH(1,(GMWQ!$NE$2:$NE$60=H$3)*(GMWQ!$ND$2:$ND$60=H$4)*(GMWQ!$NF$2:$NF$60=H$1),0),$E316-1966)</f>
        <v>1526.204</v>
      </c>
      <c r="I316" s="13" cm="1">
        <f t="array" ref="I316">INDEX(GMWQ!$A$2:$NF$60,MATCH(1,(GMWQ!$NE$2:$NE$60=I$3)*(GMWQ!$ND$2:$ND$60=I$4)*(GMWQ!$NF$2:$NF$60=I$1),0),$E316-1966)</f>
        <v>396681.1</v>
      </c>
      <c r="J316" s="13" cm="1">
        <f t="array" ref="J316">INDEX(GMWQ!$A$2:$NF$60,MATCH(1,(GMWQ!$NE$2:$NE$60=J$3)*(GMWQ!$ND$2:$ND$60=J$4)*(GMWQ!$NF$2:$NF$60=J$1),0),$E316-1966)</f>
        <v>1850998</v>
      </c>
      <c r="K316" s="13" cm="1">
        <f t="array" ref="K316">INDEX(GMWQ!$A$2:$NF$60,MATCH(1,(GMWQ!$NE$2:$NE$60=K$3)*(GMWQ!$ND$2:$ND$60=K$4)*(GMWQ!$NF$2:$NF$60=K$1),0),$E316-1966)</f>
        <v>737535.1</v>
      </c>
      <c r="L316" s="13" cm="1">
        <f t="array" ref="L316">INDEX(GMWQ!$A$2:$NF$60,MATCH(1,(GMWQ!$NE$2:$NE$60=L$3)*(GMWQ!$ND$2:$ND$60=L$4)*(GMWQ!$NF$2:$NF$60=L$1),0),$E316-1966)</f>
        <v>1154419</v>
      </c>
      <c r="M316" s="13" cm="1">
        <f t="array" ref="M316">INDEX(GMWQ!$A$2:$NF$60,MATCH(1,(GMWQ!$NE$2:$NE$60=M$3)*(GMWQ!$ND$2:$ND$60=M$4)*(GMWQ!$NF$2:$NF$60=M$1),0),$E316-1966)</f>
        <v>621888.4</v>
      </c>
      <c r="N316" s="13" cm="1">
        <f t="array" ref="N316">INDEX(GMWQ!$A$2:$NF$60,MATCH(1,(GMWQ!$NE$2:$NE$60=N$3)*(GMWQ!$ND$2:$ND$60=N$4)*(GMWQ!$NF$2:$NF$60=N$1),0),$E316-1966)</f>
        <v>185.596</v>
      </c>
    </row>
    <row r="317" spans="1:14" x14ac:dyDescent="0.25">
      <c r="B317" s="13">
        <f t="shared" si="26"/>
        <v>2050</v>
      </c>
      <c r="C317" s="13">
        <f t="shared" si="26"/>
        <v>2050</v>
      </c>
      <c r="E317" s="13">
        <f t="shared" si="25"/>
        <v>2283</v>
      </c>
      <c r="F317" s="13" cm="1">
        <f t="array" ref="F317">INDEX(GMWQ!$A$2:$NF$60,MATCH(1,(GMWQ!$NE$2:$NE$60=F$3)*(GMWQ!$ND$2:$ND$60=F$4)*(GMWQ!$NF$2:$NF$60=F$1),0),$E317-1966)</f>
        <v>260.06259999999997</v>
      </c>
      <c r="G317" s="13" cm="1">
        <f t="array" ref="G317">INDEX(GMWQ!$A$2:$NF$60,MATCH(1,(GMWQ!$NE$2:$NE$60=G$3)*(GMWQ!$ND$2:$ND$60=G$4)*(GMWQ!$NF$2:$NF$60=G$1),0),$E317-1966)</f>
        <v>117772.1</v>
      </c>
      <c r="H317" s="13" cm="1">
        <f t="array" ref="H317">INDEX(GMWQ!$A$2:$NF$60,MATCH(1,(GMWQ!$NE$2:$NE$60=H$3)*(GMWQ!$ND$2:$ND$60=H$4)*(GMWQ!$NF$2:$NF$60=H$1),0),$E317-1966)</f>
        <v>1538.223</v>
      </c>
      <c r="I317" s="13" cm="1">
        <f t="array" ref="I317">INDEX(GMWQ!$A$2:$NF$60,MATCH(1,(GMWQ!$NE$2:$NE$60=I$3)*(GMWQ!$ND$2:$ND$60=I$4)*(GMWQ!$NF$2:$NF$60=I$1),0),$E317-1966)</f>
        <v>400082.8</v>
      </c>
      <c r="J317" s="13" cm="1">
        <f t="array" ref="J317">INDEX(GMWQ!$A$2:$NF$60,MATCH(1,(GMWQ!$NE$2:$NE$60=J$3)*(GMWQ!$ND$2:$ND$60=J$4)*(GMWQ!$NF$2:$NF$60=J$1),0),$E317-1966)</f>
        <v>1867839</v>
      </c>
      <c r="K317" s="13" cm="1">
        <f t="array" ref="K317">INDEX(GMWQ!$A$2:$NF$60,MATCH(1,(GMWQ!$NE$2:$NE$60=K$3)*(GMWQ!$ND$2:$ND$60=K$4)*(GMWQ!$NF$2:$NF$60=K$1),0),$E317-1966)</f>
        <v>744006.1</v>
      </c>
      <c r="L317" s="13" cm="1">
        <f t="array" ref="L317">INDEX(GMWQ!$A$2:$NF$60,MATCH(1,(GMWQ!$NE$2:$NE$60=L$3)*(GMWQ!$ND$2:$ND$60=L$4)*(GMWQ!$NF$2:$NF$60=L$1),0),$E317-1966)</f>
        <v>1164374</v>
      </c>
      <c r="M317" s="13" cm="1">
        <f t="array" ref="M317">INDEX(GMWQ!$A$2:$NF$60,MATCH(1,(GMWQ!$NE$2:$NE$60=M$3)*(GMWQ!$ND$2:$ND$60=M$4)*(GMWQ!$NF$2:$NF$60=M$1),0),$E317-1966)</f>
        <v>624155.1</v>
      </c>
      <c r="N317" s="13" cm="1">
        <f t="array" ref="N317">INDEX(GMWQ!$A$2:$NF$60,MATCH(1,(GMWQ!$NE$2:$NE$60=N$3)*(GMWQ!$ND$2:$ND$60=N$4)*(GMWQ!$NF$2:$NF$60=N$1),0),$E317-1966)</f>
        <v>186.51689999999999</v>
      </c>
    </row>
    <row r="318" spans="1:14" x14ac:dyDescent="0.25">
      <c r="B318" s="13">
        <f t="shared" si="26"/>
        <v>2050</v>
      </c>
      <c r="C318" s="13">
        <f t="shared" si="26"/>
        <v>2050</v>
      </c>
      <c r="E318" s="13">
        <f t="shared" si="25"/>
        <v>2284</v>
      </c>
      <c r="F318" s="13" cm="1">
        <f t="array" ref="F318">INDEX(GMWQ!$A$2:$NF$60,MATCH(1,(GMWQ!$NE$2:$NE$60=F$3)*(GMWQ!$ND$2:$ND$60=F$4)*(GMWQ!$NF$2:$NF$60=F$1),0),$E318-1966)</f>
        <v>261.3777</v>
      </c>
      <c r="G318" s="13" cm="1">
        <f t="array" ref="G318">INDEX(GMWQ!$A$2:$NF$60,MATCH(1,(GMWQ!$NE$2:$NE$60=G$3)*(GMWQ!$ND$2:$ND$60=G$4)*(GMWQ!$NF$2:$NF$60=G$1),0),$E318-1966)</f>
        <v>118805</v>
      </c>
      <c r="H318" s="13" cm="1">
        <f t="array" ref="H318">INDEX(GMWQ!$A$2:$NF$60,MATCH(1,(GMWQ!$NE$2:$NE$60=H$3)*(GMWQ!$ND$2:$ND$60=H$4)*(GMWQ!$NF$2:$NF$60=H$1),0),$E318-1966)</f>
        <v>1550.3320000000001</v>
      </c>
      <c r="I318" s="13" cm="1">
        <f t="array" ref="I318">INDEX(GMWQ!$A$2:$NF$60,MATCH(1,(GMWQ!$NE$2:$NE$60=I$3)*(GMWQ!$ND$2:$ND$60=I$4)*(GMWQ!$NF$2:$NF$60=I$1),0),$E318-1966)</f>
        <v>403612.5</v>
      </c>
      <c r="J318" s="13" cm="1">
        <f t="array" ref="J318">INDEX(GMWQ!$A$2:$NF$60,MATCH(1,(GMWQ!$NE$2:$NE$60=J$3)*(GMWQ!$ND$2:$ND$60=J$4)*(GMWQ!$NF$2:$NF$60=J$1),0),$E318-1966)</f>
        <v>1884828</v>
      </c>
      <c r="K318" s="13" cm="1">
        <f t="array" ref="K318">INDEX(GMWQ!$A$2:$NF$60,MATCH(1,(GMWQ!$NE$2:$NE$60=K$3)*(GMWQ!$ND$2:$ND$60=K$4)*(GMWQ!$NF$2:$NF$60=K$1),0),$E318-1966)</f>
        <v>750531.4</v>
      </c>
      <c r="L318" s="13" cm="1">
        <f t="array" ref="L318">INDEX(GMWQ!$A$2:$NF$60,MATCH(1,(GMWQ!$NE$2:$NE$60=L$3)*(GMWQ!$ND$2:$ND$60=L$4)*(GMWQ!$NF$2:$NF$60=L$1),0),$E318-1966)</f>
        <v>1174410</v>
      </c>
      <c r="M318" s="13" cm="1">
        <f t="array" ref="M318">INDEX(GMWQ!$A$2:$NF$60,MATCH(1,(GMWQ!$NE$2:$NE$60=M$3)*(GMWQ!$ND$2:$ND$60=M$4)*(GMWQ!$NF$2:$NF$60=M$1),0),$E318-1966)</f>
        <v>626427.6</v>
      </c>
      <c r="N318" s="13" cm="1">
        <f t="array" ref="N318">INDEX(GMWQ!$A$2:$NF$60,MATCH(1,(GMWQ!$NE$2:$NE$60=N$3)*(GMWQ!$ND$2:$ND$60=N$4)*(GMWQ!$NF$2:$NF$60=N$1),0),$E318-1966)</f>
        <v>187.44239999999999</v>
      </c>
    </row>
    <row r="319" spans="1:14" x14ac:dyDescent="0.25">
      <c r="A319" s="13">
        <v>2051</v>
      </c>
      <c r="B319" s="13">
        <f t="shared" si="26"/>
        <v>2051</v>
      </c>
      <c r="C319" s="13">
        <f t="shared" si="26"/>
        <v>2050</v>
      </c>
      <c r="D319" s="13">
        <f t="shared" si="26"/>
        <v>2050</v>
      </c>
      <c r="E319" s="13">
        <f t="shared" si="25"/>
        <v>2285</v>
      </c>
      <c r="F319" s="13" cm="1">
        <f t="array" ref="F319">INDEX(GMWQ!$A$2:$NF$60,MATCH(1,(GMWQ!$NE$2:$NE$60=F$3)*(GMWQ!$ND$2:$ND$60=F$4)*(GMWQ!$NF$2:$NF$60=F$1),0),$E319-1966)</f>
        <v>262.67219999999998</v>
      </c>
      <c r="G319" s="13" cm="1">
        <f t="array" ref="G319">INDEX(GMWQ!$A$2:$NF$60,MATCH(1,(GMWQ!$NE$2:$NE$60=G$3)*(GMWQ!$ND$2:$ND$60=G$4)*(GMWQ!$NF$2:$NF$60=G$1),0),$E319-1966)</f>
        <v>119805.8</v>
      </c>
      <c r="H319" s="13" cm="1">
        <f t="array" ref="H319">INDEX(GMWQ!$A$2:$NF$60,MATCH(1,(GMWQ!$NE$2:$NE$60=H$3)*(GMWQ!$ND$2:$ND$60=H$4)*(GMWQ!$NF$2:$NF$60=H$1),0),$E319-1966)</f>
        <v>1562.5820000000001</v>
      </c>
      <c r="I319" s="13" cm="1">
        <f t="array" ref="I319">INDEX(GMWQ!$A$2:$NF$60,MATCH(1,(GMWQ!$NE$2:$NE$60=I$3)*(GMWQ!$ND$2:$ND$60=I$4)*(GMWQ!$NF$2:$NF$60=I$1),0),$E319-1966)</f>
        <v>407382.2</v>
      </c>
      <c r="J319" s="13" cm="1">
        <f t="array" ref="J319">INDEX(GMWQ!$A$2:$NF$60,MATCH(1,(GMWQ!$NE$2:$NE$60=J$3)*(GMWQ!$ND$2:$ND$60=J$4)*(GMWQ!$NF$2:$NF$60=J$1),0),$E319-1966)</f>
        <v>1901508</v>
      </c>
      <c r="K319" s="13" cm="1">
        <f t="array" ref="K319">INDEX(GMWQ!$A$2:$NF$60,MATCH(1,(GMWQ!$NE$2:$NE$60=K$3)*(GMWQ!$ND$2:$ND$60=K$4)*(GMWQ!$NF$2:$NF$60=K$1),0),$E319-1966)</f>
        <v>756853.8</v>
      </c>
      <c r="L319" s="13" cm="1">
        <f t="array" ref="L319">INDEX(GMWQ!$A$2:$NF$60,MATCH(1,(GMWQ!$NE$2:$NE$60=L$3)*(GMWQ!$ND$2:$ND$60=L$4)*(GMWQ!$NF$2:$NF$60=L$1),0),$E319-1966)</f>
        <v>1184529</v>
      </c>
      <c r="M319" s="13" cm="1">
        <f t="array" ref="M319">INDEX(GMWQ!$A$2:$NF$60,MATCH(1,(GMWQ!$NE$2:$NE$60=M$3)*(GMWQ!$ND$2:$ND$60=M$4)*(GMWQ!$NF$2:$NF$60=M$1),0),$E319-1966)</f>
        <v>628706.1</v>
      </c>
      <c r="N319" s="13" cm="1">
        <f t="array" ref="N319">INDEX(GMWQ!$A$2:$NF$60,MATCH(1,(GMWQ!$NE$2:$NE$60=N$3)*(GMWQ!$ND$2:$ND$60=N$4)*(GMWQ!$NF$2:$NF$60=N$1),0),$E319-1966)</f>
        <v>188.3725</v>
      </c>
    </row>
    <row r="320" spans="1:14" x14ac:dyDescent="0.25">
      <c r="B320" s="13">
        <f t="shared" si="26"/>
        <v>2051</v>
      </c>
      <c r="C320" s="13">
        <f t="shared" si="26"/>
        <v>2051</v>
      </c>
      <c r="E320" s="13">
        <f t="shared" si="25"/>
        <v>2286</v>
      </c>
      <c r="F320" s="13" cm="1">
        <f t="array" ref="F320">INDEX(GMWQ!$A$2:$NF$60,MATCH(1,(GMWQ!$NE$2:$NE$60=F$3)*(GMWQ!$ND$2:$ND$60=F$4)*(GMWQ!$NF$2:$NF$60=F$1),0),$E320-1966)</f>
        <v>263.9819</v>
      </c>
      <c r="G320" s="13" cm="1">
        <f t="array" ref="G320">INDEX(GMWQ!$A$2:$NF$60,MATCH(1,(GMWQ!$NE$2:$NE$60=G$3)*(GMWQ!$ND$2:$ND$60=G$4)*(GMWQ!$NF$2:$NF$60=G$1),0),$E320-1966)</f>
        <v>120818.4</v>
      </c>
      <c r="H320" s="13" cm="1">
        <f t="array" ref="H320">INDEX(GMWQ!$A$2:$NF$60,MATCH(1,(GMWQ!$NE$2:$NE$60=H$3)*(GMWQ!$ND$2:$ND$60=H$4)*(GMWQ!$NF$2:$NF$60=H$1),0),$E320-1966)</f>
        <v>1574.973</v>
      </c>
      <c r="I320" s="13" cm="1">
        <f t="array" ref="I320">INDEX(GMWQ!$A$2:$NF$60,MATCH(1,(GMWQ!$NE$2:$NE$60=I$3)*(GMWQ!$ND$2:$ND$60=I$4)*(GMWQ!$NF$2:$NF$60=I$1),0),$E320-1966)</f>
        <v>411215.4</v>
      </c>
      <c r="J320" s="13" cm="1">
        <f t="array" ref="J320">INDEX(GMWQ!$A$2:$NF$60,MATCH(1,(GMWQ!$NE$2:$NE$60=J$3)*(GMWQ!$ND$2:$ND$60=J$4)*(GMWQ!$NF$2:$NF$60=J$1),0),$E320-1966)</f>
        <v>1918327</v>
      </c>
      <c r="K320" s="13" cm="1">
        <f t="array" ref="K320">INDEX(GMWQ!$A$2:$NF$60,MATCH(1,(GMWQ!$NE$2:$NE$60=K$3)*(GMWQ!$ND$2:$ND$60=K$4)*(GMWQ!$NF$2:$NF$60=K$1),0),$E320-1966)</f>
        <v>763250.7</v>
      </c>
      <c r="L320" s="13" cm="1">
        <f t="array" ref="L320">INDEX(GMWQ!$A$2:$NF$60,MATCH(1,(GMWQ!$NE$2:$NE$60=L$3)*(GMWQ!$ND$2:$ND$60=L$4)*(GMWQ!$NF$2:$NF$60=L$1),0),$E320-1966)</f>
        <v>1194443</v>
      </c>
      <c r="M320" s="13" cm="1">
        <f t="array" ref="M320">INDEX(GMWQ!$A$2:$NF$60,MATCH(1,(GMWQ!$NE$2:$NE$60=M$3)*(GMWQ!$ND$2:$ND$60=M$4)*(GMWQ!$NF$2:$NF$60=M$1),0),$E320-1966)</f>
        <v>630839.19999999995</v>
      </c>
      <c r="N320" s="13" cm="1">
        <f t="array" ref="N320">INDEX(GMWQ!$A$2:$NF$60,MATCH(1,(GMWQ!$NE$2:$NE$60=N$3)*(GMWQ!$ND$2:$ND$60=N$4)*(GMWQ!$NF$2:$NF$60=N$1),0),$E320-1966)</f>
        <v>189.30719999999999</v>
      </c>
    </row>
    <row r="321" spans="1:14" x14ac:dyDescent="0.25">
      <c r="B321" s="13">
        <f t="shared" si="26"/>
        <v>2051</v>
      </c>
      <c r="C321" s="13">
        <f t="shared" si="26"/>
        <v>2051</v>
      </c>
      <c r="E321" s="13">
        <f t="shared" si="25"/>
        <v>2287</v>
      </c>
      <c r="F321" s="13" cm="1">
        <f t="array" ref="F321">INDEX(GMWQ!$A$2:$NF$60,MATCH(1,(GMWQ!$NE$2:$NE$60=F$3)*(GMWQ!$ND$2:$ND$60=F$4)*(GMWQ!$NF$2:$NF$60=F$1),0),$E321-1966)</f>
        <v>265.30220000000003</v>
      </c>
      <c r="G321" s="13" cm="1">
        <f t="array" ref="G321">INDEX(GMWQ!$A$2:$NF$60,MATCH(1,(GMWQ!$NE$2:$NE$60=G$3)*(GMWQ!$ND$2:$ND$60=G$4)*(GMWQ!$NF$2:$NF$60=G$1),0),$E321-1966)</f>
        <v>121835.9</v>
      </c>
      <c r="H321" s="13" cm="1">
        <f t="array" ref="H321">INDEX(GMWQ!$A$2:$NF$60,MATCH(1,(GMWQ!$NE$2:$NE$60=H$3)*(GMWQ!$ND$2:$ND$60=H$4)*(GMWQ!$NF$2:$NF$60=H$1),0),$E321-1966)</f>
        <v>1587.5160000000001</v>
      </c>
      <c r="I321" s="13" cm="1">
        <f t="array" ref="I321">INDEX(GMWQ!$A$2:$NF$60,MATCH(1,(GMWQ!$NE$2:$NE$60=I$3)*(GMWQ!$ND$2:$ND$60=I$4)*(GMWQ!$NF$2:$NF$60=I$1),0),$E321-1966)</f>
        <v>414635.7</v>
      </c>
      <c r="J321" s="13" cm="1">
        <f t="array" ref="J321">INDEX(GMWQ!$A$2:$NF$60,MATCH(1,(GMWQ!$NE$2:$NE$60=J$3)*(GMWQ!$ND$2:$ND$60=J$4)*(GMWQ!$NF$2:$NF$60=J$1),0),$E321-1966)</f>
        <v>1935206</v>
      </c>
      <c r="K321" s="13" cm="1">
        <f t="array" ref="K321">INDEX(GMWQ!$A$2:$NF$60,MATCH(1,(GMWQ!$NE$2:$NE$60=K$3)*(GMWQ!$ND$2:$ND$60=K$4)*(GMWQ!$NF$2:$NF$60=K$1),0),$E321-1966)</f>
        <v>769678.9</v>
      </c>
      <c r="L321" s="13" cm="1">
        <f t="array" ref="L321">INDEX(GMWQ!$A$2:$NF$60,MATCH(1,(GMWQ!$NE$2:$NE$60=L$3)*(GMWQ!$ND$2:$ND$60=L$4)*(GMWQ!$NF$2:$NF$60=L$1),0),$E321-1966)</f>
        <v>1204435</v>
      </c>
      <c r="M321" s="13" cm="1">
        <f t="array" ref="M321">INDEX(GMWQ!$A$2:$NF$60,MATCH(1,(GMWQ!$NE$2:$NE$60=M$3)*(GMWQ!$ND$2:$ND$60=M$4)*(GMWQ!$NF$2:$NF$60=M$1),0),$E321-1966)</f>
        <v>632976.30000000005</v>
      </c>
      <c r="N321" s="13" cm="1">
        <f t="array" ref="N321">INDEX(GMWQ!$A$2:$NF$60,MATCH(1,(GMWQ!$NE$2:$NE$60=N$3)*(GMWQ!$ND$2:$ND$60=N$4)*(GMWQ!$NF$2:$NF$60=N$1),0),$E321-1966)</f>
        <v>190.2466</v>
      </c>
    </row>
    <row r="322" spans="1:14" x14ac:dyDescent="0.25">
      <c r="B322" s="13">
        <f t="shared" si="26"/>
        <v>2051</v>
      </c>
      <c r="C322" s="13">
        <f t="shared" si="26"/>
        <v>2051</v>
      </c>
      <c r="E322" s="13">
        <f t="shared" si="25"/>
        <v>2288</v>
      </c>
      <c r="F322" s="13" cm="1">
        <f t="array" ref="F322">INDEX(GMWQ!$A$2:$NF$60,MATCH(1,(GMWQ!$NE$2:$NE$60=F$3)*(GMWQ!$ND$2:$ND$60=F$4)*(GMWQ!$NF$2:$NF$60=F$1),0),$E322-1966)</f>
        <v>266.63929999999999</v>
      </c>
      <c r="G322" s="13" cm="1">
        <f t="array" ref="G322">INDEX(GMWQ!$A$2:$NF$60,MATCH(1,(GMWQ!$NE$2:$NE$60=G$3)*(GMWQ!$ND$2:$ND$60=G$4)*(GMWQ!$NF$2:$NF$60=G$1),0),$E322-1966)</f>
        <v>122866</v>
      </c>
      <c r="H322" s="13" cm="1">
        <f t="array" ref="H322">INDEX(GMWQ!$A$2:$NF$60,MATCH(1,(GMWQ!$NE$2:$NE$60=H$3)*(GMWQ!$ND$2:$ND$60=H$4)*(GMWQ!$NF$2:$NF$60=H$1),0),$E322-1966)</f>
        <v>1600.21</v>
      </c>
      <c r="I322" s="13" cm="1">
        <f t="array" ref="I322">INDEX(GMWQ!$A$2:$NF$60,MATCH(1,(GMWQ!$NE$2:$NE$60=I$3)*(GMWQ!$ND$2:$ND$60=I$4)*(GMWQ!$NF$2:$NF$60=I$1),0),$E322-1966)</f>
        <v>418169.5</v>
      </c>
      <c r="J322" s="13" cm="1">
        <f t="array" ref="J322">INDEX(GMWQ!$A$2:$NF$60,MATCH(1,(GMWQ!$NE$2:$NE$60=J$3)*(GMWQ!$ND$2:$ND$60=J$4)*(GMWQ!$NF$2:$NF$60=J$1),0),$E322-1966)</f>
        <v>1952224</v>
      </c>
      <c r="K322" s="13" cm="1">
        <f t="array" ref="K322">INDEX(GMWQ!$A$2:$NF$60,MATCH(1,(GMWQ!$NE$2:$NE$60=K$3)*(GMWQ!$ND$2:$ND$60=K$4)*(GMWQ!$NF$2:$NF$60=K$1),0),$E322-1966)</f>
        <v>776186.4</v>
      </c>
      <c r="L322" s="13" cm="1">
        <f t="array" ref="L322">INDEX(GMWQ!$A$2:$NF$60,MATCH(1,(GMWQ!$NE$2:$NE$60=L$3)*(GMWQ!$ND$2:$ND$60=L$4)*(GMWQ!$NF$2:$NF$60=L$1),0),$E322-1966)</f>
        <v>1214456</v>
      </c>
      <c r="M322" s="13" cm="1">
        <f t="array" ref="M322">INDEX(GMWQ!$A$2:$NF$60,MATCH(1,(GMWQ!$NE$2:$NE$60=M$3)*(GMWQ!$ND$2:$ND$60=M$4)*(GMWQ!$NF$2:$NF$60=M$1),0),$E322-1966)</f>
        <v>635092.1</v>
      </c>
      <c r="N322" s="13" cm="1">
        <f t="array" ref="N322">INDEX(GMWQ!$A$2:$NF$60,MATCH(1,(GMWQ!$NE$2:$NE$60=N$3)*(GMWQ!$ND$2:$ND$60=N$4)*(GMWQ!$NF$2:$NF$60=N$1),0),$E322-1966)</f>
        <v>191.19059999999999</v>
      </c>
    </row>
    <row r="323" spans="1:14" x14ac:dyDescent="0.25">
      <c r="A323" s="13">
        <v>2052</v>
      </c>
      <c r="B323" s="13">
        <f t="shared" si="26"/>
        <v>2052</v>
      </c>
      <c r="C323" s="13">
        <f t="shared" si="26"/>
        <v>2051</v>
      </c>
      <c r="D323" s="13">
        <f t="shared" si="26"/>
        <v>2051</v>
      </c>
      <c r="E323" s="13">
        <f t="shared" si="25"/>
        <v>2289</v>
      </c>
      <c r="F323" s="13" cm="1">
        <f t="array" ref="F323">INDEX(GMWQ!$A$2:$NF$60,MATCH(1,(GMWQ!$NE$2:$NE$60=F$3)*(GMWQ!$ND$2:$ND$60=F$4)*(GMWQ!$NF$2:$NF$60=F$1),0),$E323-1966)</f>
        <v>267.98469999999998</v>
      </c>
      <c r="G323" s="13" cm="1">
        <f t="array" ref="G323">INDEX(GMWQ!$A$2:$NF$60,MATCH(1,(GMWQ!$NE$2:$NE$60=G$3)*(GMWQ!$ND$2:$ND$60=G$4)*(GMWQ!$NF$2:$NF$60=G$1),0),$E323-1966)</f>
        <v>123904.9</v>
      </c>
      <c r="H323" s="13" cm="1">
        <f t="array" ref="H323">INDEX(GMWQ!$A$2:$NF$60,MATCH(1,(GMWQ!$NE$2:$NE$60=H$3)*(GMWQ!$ND$2:$ND$60=H$4)*(GMWQ!$NF$2:$NF$60=H$1),0),$E323-1966)</f>
        <v>1613.0070000000001</v>
      </c>
      <c r="I323" s="13" cm="1">
        <f t="array" ref="I323">INDEX(GMWQ!$A$2:$NF$60,MATCH(1,(GMWQ!$NE$2:$NE$60=I$3)*(GMWQ!$ND$2:$ND$60=I$4)*(GMWQ!$NF$2:$NF$60=I$1),0),$E323-1966)</f>
        <v>421948.8</v>
      </c>
      <c r="J323" s="13" cm="1">
        <f t="array" ref="J323">INDEX(GMWQ!$A$2:$NF$60,MATCH(1,(GMWQ!$NE$2:$NE$60=J$3)*(GMWQ!$ND$2:$ND$60=J$4)*(GMWQ!$NF$2:$NF$60=J$1),0),$E323-1966)</f>
        <v>1969380</v>
      </c>
      <c r="K323" s="13" cm="1">
        <f t="array" ref="K323">INDEX(GMWQ!$A$2:$NF$60,MATCH(1,(GMWQ!$NE$2:$NE$60=K$3)*(GMWQ!$ND$2:$ND$60=K$4)*(GMWQ!$NF$2:$NF$60=K$1),0),$E323-1966)</f>
        <v>782749.2</v>
      </c>
      <c r="L323" s="13" cm="1">
        <f t="array" ref="L323">INDEX(GMWQ!$A$2:$NF$60,MATCH(1,(GMWQ!$NE$2:$NE$60=L$3)*(GMWQ!$ND$2:$ND$60=L$4)*(GMWQ!$NF$2:$NF$60=L$1),0),$E323-1966)</f>
        <v>1224553</v>
      </c>
      <c r="M323" s="13" cm="1">
        <f t="array" ref="M323">INDEX(GMWQ!$A$2:$NF$60,MATCH(1,(GMWQ!$NE$2:$NE$60=M$3)*(GMWQ!$ND$2:$ND$60=M$4)*(GMWQ!$NF$2:$NF$60=M$1),0),$E323-1966)</f>
        <v>637211.1</v>
      </c>
      <c r="N323" s="13" cm="1">
        <f t="array" ref="N323">INDEX(GMWQ!$A$2:$NF$60,MATCH(1,(GMWQ!$NE$2:$NE$60=N$3)*(GMWQ!$ND$2:$ND$60=N$4)*(GMWQ!$NF$2:$NF$60=N$1),0),$E323-1966)</f>
        <v>192.13929999999999</v>
      </c>
    </row>
    <row r="324" spans="1:14" x14ac:dyDescent="0.25">
      <c r="B324" s="13">
        <f t="shared" si="26"/>
        <v>2052</v>
      </c>
      <c r="C324" s="13">
        <f t="shared" si="26"/>
        <v>2052</v>
      </c>
      <c r="E324" s="13">
        <f t="shared" si="25"/>
        <v>2290</v>
      </c>
      <c r="F324" s="13" cm="1">
        <f t="array" ref="F324">INDEX(GMWQ!$A$2:$NF$60,MATCH(1,(GMWQ!$NE$2:$NE$60=F$3)*(GMWQ!$ND$2:$ND$60=F$4)*(GMWQ!$NF$2:$NF$60=F$1),0),$E324-1966)</f>
        <v>269.3383</v>
      </c>
      <c r="G324" s="13" cm="1">
        <f t="array" ref="G324">INDEX(GMWQ!$A$2:$NF$60,MATCH(1,(GMWQ!$NE$2:$NE$60=G$3)*(GMWQ!$ND$2:$ND$60=G$4)*(GMWQ!$NF$2:$NF$60=G$1),0),$E324-1966)</f>
        <v>124952.6</v>
      </c>
      <c r="H324" s="13" cm="1">
        <f t="array" ref="H324">INDEX(GMWQ!$A$2:$NF$60,MATCH(1,(GMWQ!$NE$2:$NE$60=H$3)*(GMWQ!$ND$2:$ND$60=H$4)*(GMWQ!$NF$2:$NF$60=H$1),0),$E324-1966)</f>
        <v>1625.9069999999999</v>
      </c>
      <c r="I324" s="13" cm="1">
        <f t="array" ref="I324">INDEX(GMWQ!$A$2:$NF$60,MATCH(1,(GMWQ!$NE$2:$NE$60=I$3)*(GMWQ!$ND$2:$ND$60=I$4)*(GMWQ!$NF$2:$NF$60=I$1),0),$E324-1966)</f>
        <v>425893.2</v>
      </c>
      <c r="J324" s="13" cm="1">
        <f t="array" ref="J324">INDEX(GMWQ!$A$2:$NF$60,MATCH(1,(GMWQ!$NE$2:$NE$60=J$3)*(GMWQ!$ND$2:$ND$60=J$4)*(GMWQ!$NF$2:$NF$60=J$1),0),$E324-1966)</f>
        <v>1986678</v>
      </c>
      <c r="K324" s="13" cm="1">
        <f t="array" ref="K324">INDEX(GMWQ!$A$2:$NF$60,MATCH(1,(GMWQ!$NE$2:$NE$60=K$3)*(GMWQ!$ND$2:$ND$60=K$4)*(GMWQ!$NF$2:$NF$60=K$1),0),$E324-1966)</f>
        <v>789367.6</v>
      </c>
      <c r="L324" s="13" cm="1">
        <f t="array" ref="L324">INDEX(GMWQ!$A$2:$NF$60,MATCH(1,(GMWQ!$NE$2:$NE$60=L$3)*(GMWQ!$ND$2:$ND$60=L$4)*(GMWQ!$NF$2:$NF$60=L$1),0),$E324-1966)</f>
        <v>1234727</v>
      </c>
      <c r="M324" s="13" cm="1">
        <f t="array" ref="M324">INDEX(GMWQ!$A$2:$NF$60,MATCH(1,(GMWQ!$NE$2:$NE$60=M$3)*(GMWQ!$ND$2:$ND$60=M$4)*(GMWQ!$NF$2:$NF$60=M$1),0),$E324-1966)</f>
        <v>639334.40000000002</v>
      </c>
      <c r="N324" s="13" cm="1">
        <f t="array" ref="N324">INDEX(GMWQ!$A$2:$NF$60,MATCH(1,(GMWQ!$NE$2:$NE$60=N$3)*(GMWQ!$ND$2:$ND$60=N$4)*(GMWQ!$NF$2:$NF$60=N$1),0),$E324-1966)</f>
        <v>193.09270000000001</v>
      </c>
    </row>
    <row r="325" spans="1:14" x14ac:dyDescent="0.25">
      <c r="B325" s="13">
        <f t="shared" si="26"/>
        <v>2052</v>
      </c>
      <c r="C325" s="13">
        <f t="shared" si="26"/>
        <v>2052</v>
      </c>
      <c r="E325" s="13">
        <f t="shared" si="25"/>
        <v>2291</v>
      </c>
      <c r="F325" s="13" cm="1">
        <f t="array" ref="F325">INDEX(GMWQ!$A$2:$NF$60,MATCH(1,(GMWQ!$NE$2:$NE$60=F$3)*(GMWQ!$ND$2:$ND$60=F$4)*(GMWQ!$NF$2:$NF$60=F$1),0),$E325-1966)</f>
        <v>270.69060000000002</v>
      </c>
      <c r="G325" s="13" cm="1">
        <f t="array" ref="G325">INDEX(GMWQ!$A$2:$NF$60,MATCH(1,(GMWQ!$NE$2:$NE$60=G$3)*(GMWQ!$ND$2:$ND$60=G$4)*(GMWQ!$NF$2:$NF$60=G$1),0),$E325-1966)</f>
        <v>125995.8</v>
      </c>
      <c r="H325" s="13" cm="1">
        <f t="array" ref="H325">INDEX(GMWQ!$A$2:$NF$60,MATCH(1,(GMWQ!$NE$2:$NE$60=H$3)*(GMWQ!$ND$2:$ND$60=H$4)*(GMWQ!$NF$2:$NF$60=H$1),0),$E325-1966)</f>
        <v>1638.9169999999999</v>
      </c>
      <c r="I325" s="13" cm="1">
        <f t="array" ref="I325">INDEX(GMWQ!$A$2:$NF$60,MATCH(1,(GMWQ!$NE$2:$NE$60=I$3)*(GMWQ!$ND$2:$ND$60=I$4)*(GMWQ!$NF$2:$NF$60=I$1),0),$E325-1966)</f>
        <v>429409.4</v>
      </c>
      <c r="J325" s="13" cm="1">
        <f t="array" ref="J325">INDEX(GMWQ!$A$2:$NF$60,MATCH(1,(GMWQ!$NE$2:$NE$60=J$3)*(GMWQ!$ND$2:$ND$60=J$4)*(GMWQ!$NF$2:$NF$60=J$1),0),$E325-1966)</f>
        <v>2003976</v>
      </c>
      <c r="K325" s="13" cm="1">
        <f t="array" ref="K325">INDEX(GMWQ!$A$2:$NF$60,MATCH(1,(GMWQ!$NE$2:$NE$60=K$3)*(GMWQ!$ND$2:$ND$60=K$4)*(GMWQ!$NF$2:$NF$60=K$1),0),$E325-1966)</f>
        <v>795958.4</v>
      </c>
      <c r="L325" s="13" cm="1">
        <f t="array" ref="L325">INDEX(GMWQ!$A$2:$NF$60,MATCH(1,(GMWQ!$NE$2:$NE$60=L$3)*(GMWQ!$ND$2:$ND$60=L$4)*(GMWQ!$NF$2:$NF$60=L$1),0),$E325-1966)</f>
        <v>1244980</v>
      </c>
      <c r="M325" s="13" cm="1">
        <f t="array" ref="M325">INDEX(GMWQ!$A$2:$NF$60,MATCH(1,(GMWQ!$NE$2:$NE$60=M$3)*(GMWQ!$ND$2:$ND$60=M$4)*(GMWQ!$NF$2:$NF$60=M$1),0),$E325-1966)</f>
        <v>641461.4</v>
      </c>
      <c r="N325" s="13" cm="1">
        <f t="array" ref="N325">INDEX(GMWQ!$A$2:$NF$60,MATCH(1,(GMWQ!$NE$2:$NE$60=N$3)*(GMWQ!$ND$2:$ND$60=N$4)*(GMWQ!$NF$2:$NF$60=N$1),0),$E325-1966)</f>
        <v>194.05080000000001</v>
      </c>
    </row>
    <row r="326" spans="1:14" x14ac:dyDescent="0.25">
      <c r="B326" s="13">
        <f t="shared" si="26"/>
        <v>2052</v>
      </c>
      <c r="C326" s="13">
        <f t="shared" si="26"/>
        <v>2052</v>
      </c>
      <c r="E326" s="13">
        <f t="shared" si="25"/>
        <v>2292</v>
      </c>
      <c r="F326" s="13" cm="1">
        <f t="array" ref="F326">INDEX(GMWQ!$A$2:$NF$60,MATCH(1,(GMWQ!$NE$2:$NE$60=F$3)*(GMWQ!$ND$2:$ND$60=F$4)*(GMWQ!$NF$2:$NF$60=F$1),0),$E326-1966)</f>
        <v>272.05250000000001</v>
      </c>
      <c r="G326" s="13" cm="1">
        <f t="array" ref="G326">INDEX(GMWQ!$A$2:$NF$60,MATCH(1,(GMWQ!$NE$2:$NE$60=G$3)*(GMWQ!$ND$2:$ND$60=G$4)*(GMWQ!$NF$2:$NF$60=G$1),0),$E326-1966)</f>
        <v>127048.4</v>
      </c>
      <c r="H326" s="13" cm="1">
        <f t="array" ref="H326">INDEX(GMWQ!$A$2:$NF$60,MATCH(1,(GMWQ!$NE$2:$NE$60=H$3)*(GMWQ!$ND$2:$ND$60=H$4)*(GMWQ!$NF$2:$NF$60=H$1),0),$E326-1966)</f>
        <v>1652.038</v>
      </c>
      <c r="I326" s="13" cm="1">
        <f t="array" ref="I326">INDEX(GMWQ!$A$2:$NF$60,MATCH(1,(GMWQ!$NE$2:$NE$60=I$3)*(GMWQ!$ND$2:$ND$60=I$4)*(GMWQ!$NF$2:$NF$60=I$1),0),$E326-1966)</f>
        <v>433029.5</v>
      </c>
      <c r="J326" s="13" cm="1">
        <f t="array" ref="J326">INDEX(GMWQ!$A$2:$NF$60,MATCH(1,(GMWQ!$NE$2:$NE$60=J$3)*(GMWQ!$ND$2:$ND$60=J$4)*(GMWQ!$NF$2:$NF$60=J$1),0),$E326-1966)</f>
        <v>2021412</v>
      </c>
      <c r="K326" s="13" cm="1">
        <f t="array" ref="K326">INDEX(GMWQ!$A$2:$NF$60,MATCH(1,(GMWQ!$NE$2:$NE$60=K$3)*(GMWQ!$ND$2:$ND$60=K$4)*(GMWQ!$NF$2:$NF$60=K$1),0),$E326-1966)</f>
        <v>802607.6</v>
      </c>
      <c r="L326" s="13" cm="1">
        <f t="array" ref="L326">INDEX(GMWQ!$A$2:$NF$60,MATCH(1,(GMWQ!$NE$2:$NE$60=L$3)*(GMWQ!$ND$2:$ND$60=L$4)*(GMWQ!$NF$2:$NF$60=L$1),0),$E326-1966)</f>
        <v>1255223</v>
      </c>
      <c r="M326" s="13" cm="1">
        <f t="array" ref="M326">INDEX(GMWQ!$A$2:$NF$60,MATCH(1,(GMWQ!$NE$2:$NE$60=M$3)*(GMWQ!$ND$2:$ND$60=M$4)*(GMWQ!$NF$2:$NF$60=M$1),0),$E326-1966)</f>
        <v>643546.4</v>
      </c>
      <c r="N326" s="13" cm="1">
        <f t="array" ref="N326">INDEX(GMWQ!$A$2:$NF$60,MATCH(1,(GMWQ!$NE$2:$NE$60=N$3)*(GMWQ!$ND$2:$ND$60=N$4)*(GMWQ!$NF$2:$NF$60=N$1),0),$E326-1966)</f>
        <v>195.0137</v>
      </c>
    </row>
    <row r="327" spans="1:14" x14ac:dyDescent="0.25">
      <c r="A327" s="13">
        <v>2053</v>
      </c>
      <c r="B327" s="13">
        <f t="shared" si="26"/>
        <v>2053</v>
      </c>
      <c r="C327" s="13">
        <f t="shared" si="26"/>
        <v>2052</v>
      </c>
      <c r="D327" s="13">
        <f t="shared" si="26"/>
        <v>2052</v>
      </c>
      <c r="E327" s="13">
        <f t="shared" si="25"/>
        <v>2293</v>
      </c>
      <c r="F327" s="13" cm="1">
        <f t="array" ref="F327">INDEX(GMWQ!$A$2:$NF$60,MATCH(1,(GMWQ!$NE$2:$NE$60=F$3)*(GMWQ!$ND$2:$ND$60=F$4)*(GMWQ!$NF$2:$NF$60=F$1),0),$E327-1966)</f>
        <v>273.4239</v>
      </c>
      <c r="G327" s="13" cm="1">
        <f t="array" ref="G327">INDEX(GMWQ!$A$2:$NF$60,MATCH(1,(GMWQ!$NE$2:$NE$60=G$3)*(GMWQ!$ND$2:$ND$60=G$4)*(GMWQ!$NF$2:$NF$60=G$1),0),$E327-1966)</f>
        <v>128110.2</v>
      </c>
      <c r="H327" s="13" cm="1">
        <f t="array" ref="H327">INDEX(GMWQ!$A$2:$NF$60,MATCH(1,(GMWQ!$NE$2:$NE$60=H$3)*(GMWQ!$ND$2:$ND$60=H$4)*(GMWQ!$NF$2:$NF$60=H$1),0),$E327-1966)</f>
        <v>1665.27</v>
      </c>
      <c r="I327" s="13" cm="1">
        <f t="array" ref="I327">INDEX(GMWQ!$A$2:$NF$60,MATCH(1,(GMWQ!$NE$2:$NE$60=I$3)*(GMWQ!$ND$2:$ND$60=I$4)*(GMWQ!$NF$2:$NF$60=I$1),0),$E327-1966)</f>
        <v>436903</v>
      </c>
      <c r="J327" s="13" cm="1">
        <f t="array" ref="J327">INDEX(GMWQ!$A$2:$NF$60,MATCH(1,(GMWQ!$NE$2:$NE$60=J$3)*(GMWQ!$ND$2:$ND$60=J$4)*(GMWQ!$NF$2:$NF$60=J$1),0),$E327-1966)</f>
        <v>2038987</v>
      </c>
      <c r="K327" s="13" cm="1">
        <f t="array" ref="K327">INDEX(GMWQ!$A$2:$NF$60,MATCH(1,(GMWQ!$NE$2:$NE$60=K$3)*(GMWQ!$ND$2:$ND$60=K$4)*(GMWQ!$NF$2:$NF$60=K$1),0),$E327-1966)</f>
        <v>809315.3</v>
      </c>
      <c r="L327" s="13" cm="1">
        <f t="array" ref="L327">INDEX(GMWQ!$A$2:$NF$60,MATCH(1,(GMWQ!$NE$2:$NE$60=L$3)*(GMWQ!$ND$2:$ND$60=L$4)*(GMWQ!$NF$2:$NF$60=L$1),0),$E327-1966)</f>
        <v>1265543</v>
      </c>
      <c r="M327" s="13" cm="1">
        <f t="array" ref="M327">INDEX(GMWQ!$A$2:$NF$60,MATCH(1,(GMWQ!$NE$2:$NE$60=M$3)*(GMWQ!$ND$2:$ND$60=M$4)*(GMWQ!$NF$2:$NF$60=M$1),0),$E327-1966)</f>
        <v>645634.9</v>
      </c>
      <c r="N327" s="13" cm="1">
        <f t="array" ref="N327">INDEX(GMWQ!$A$2:$NF$60,MATCH(1,(GMWQ!$NE$2:$NE$60=N$3)*(GMWQ!$ND$2:$ND$60=N$4)*(GMWQ!$NF$2:$NF$60=N$1),0),$E327-1966)</f>
        <v>195.9813</v>
      </c>
    </row>
    <row r="328" spans="1:14" x14ac:dyDescent="0.25">
      <c r="B328" s="13">
        <f t="shared" si="26"/>
        <v>2053</v>
      </c>
      <c r="C328" s="13">
        <f t="shared" si="26"/>
        <v>2053</v>
      </c>
      <c r="E328" s="13">
        <f t="shared" si="25"/>
        <v>2294</v>
      </c>
      <c r="F328" s="13" cm="1">
        <f t="array" ref="F328">INDEX(GMWQ!$A$2:$NF$60,MATCH(1,(GMWQ!$NE$2:$NE$60=F$3)*(GMWQ!$ND$2:$ND$60=F$4)*(GMWQ!$NF$2:$NF$60=F$1),0),$E328-1966)</f>
        <v>274.80459999999999</v>
      </c>
      <c r="G328" s="13" cm="1">
        <f t="array" ref="G328">INDEX(GMWQ!$A$2:$NF$60,MATCH(1,(GMWQ!$NE$2:$NE$60=G$3)*(GMWQ!$ND$2:$ND$60=G$4)*(GMWQ!$NF$2:$NF$60=G$1),0),$E328-1966)</f>
        <v>129181.2</v>
      </c>
      <c r="H328" s="13" cm="1">
        <f t="array" ref="H328">INDEX(GMWQ!$A$2:$NF$60,MATCH(1,(GMWQ!$NE$2:$NE$60=H$3)*(GMWQ!$ND$2:$ND$60=H$4)*(GMWQ!$NF$2:$NF$60=H$1),0),$E328-1966)</f>
        <v>1678.614</v>
      </c>
      <c r="I328" s="13" cm="1">
        <f t="array" ref="I328">INDEX(GMWQ!$A$2:$NF$60,MATCH(1,(GMWQ!$NE$2:$NE$60=I$3)*(GMWQ!$ND$2:$ND$60=I$4)*(GMWQ!$NF$2:$NF$60=I$1),0),$E328-1966)</f>
        <v>440946.3</v>
      </c>
      <c r="J328" s="13" cm="1">
        <f t="array" ref="J328">INDEX(GMWQ!$A$2:$NF$60,MATCH(1,(GMWQ!$NE$2:$NE$60=J$3)*(GMWQ!$ND$2:$ND$60=J$4)*(GMWQ!$NF$2:$NF$60=J$1),0),$E328-1966)</f>
        <v>2056704</v>
      </c>
      <c r="K328" s="13" cm="1">
        <f t="array" ref="K328">INDEX(GMWQ!$A$2:$NF$60,MATCH(1,(GMWQ!$NE$2:$NE$60=K$3)*(GMWQ!$ND$2:$ND$60=K$4)*(GMWQ!$NF$2:$NF$60=K$1),0),$E328-1966)</f>
        <v>816081.2</v>
      </c>
      <c r="L328" s="13" cm="1">
        <f t="array" ref="L328">INDEX(GMWQ!$A$2:$NF$60,MATCH(1,(GMWQ!$NE$2:$NE$60=L$3)*(GMWQ!$ND$2:$ND$60=L$4)*(GMWQ!$NF$2:$NF$60=L$1),0),$E328-1966)</f>
        <v>1275939</v>
      </c>
      <c r="M328" s="13" cm="1">
        <f t="array" ref="M328">INDEX(GMWQ!$A$2:$NF$60,MATCH(1,(GMWQ!$NE$2:$NE$60=M$3)*(GMWQ!$ND$2:$ND$60=M$4)*(GMWQ!$NF$2:$NF$60=M$1),0),$E328-1966)</f>
        <v>647725.4</v>
      </c>
      <c r="N328" s="13" cm="1">
        <f t="array" ref="N328">INDEX(GMWQ!$A$2:$NF$60,MATCH(1,(GMWQ!$NE$2:$NE$60=N$3)*(GMWQ!$ND$2:$ND$60=N$4)*(GMWQ!$NF$2:$NF$60=N$1),0),$E328-1966)</f>
        <v>196.9538</v>
      </c>
    </row>
    <row r="329" spans="1:14" x14ac:dyDescent="0.25">
      <c r="B329" s="13">
        <f t="shared" si="26"/>
        <v>2053</v>
      </c>
      <c r="C329" s="13">
        <f t="shared" si="26"/>
        <v>2053</v>
      </c>
      <c r="E329" s="13">
        <f t="shared" si="25"/>
        <v>2295</v>
      </c>
      <c r="F329" s="13" cm="1">
        <f t="array" ref="F329">INDEX(GMWQ!$A$2:$NF$60,MATCH(1,(GMWQ!$NE$2:$NE$60=F$3)*(GMWQ!$ND$2:$ND$60=F$4)*(GMWQ!$NF$2:$NF$60=F$1),0),$E329-1966)</f>
        <v>276.19260000000003</v>
      </c>
      <c r="G329" s="13" cm="1">
        <f t="array" ref="G329">INDEX(GMWQ!$A$2:$NF$60,MATCH(1,(GMWQ!$NE$2:$NE$60=G$3)*(GMWQ!$ND$2:$ND$60=G$4)*(GMWQ!$NF$2:$NF$60=G$1),0),$E329-1966)</f>
        <v>130260.6</v>
      </c>
      <c r="H329" s="13" cm="1">
        <f t="array" ref="H329">INDEX(GMWQ!$A$2:$NF$60,MATCH(1,(GMWQ!$NE$2:$NE$60=H$3)*(GMWQ!$ND$2:$ND$60=H$4)*(GMWQ!$NF$2:$NF$60=H$1),0),$E329-1966)</f>
        <v>1692.0540000000001</v>
      </c>
      <c r="I329" s="13" cm="1">
        <f t="array" ref="I329">INDEX(GMWQ!$A$2:$NF$60,MATCH(1,(GMWQ!$NE$2:$NE$60=I$3)*(GMWQ!$ND$2:$ND$60=I$4)*(GMWQ!$NF$2:$NF$60=I$1),0),$E329-1966)</f>
        <v>444545</v>
      </c>
      <c r="J329" s="13" cm="1">
        <f t="array" ref="J329">INDEX(GMWQ!$A$2:$NF$60,MATCH(1,(GMWQ!$NE$2:$NE$60=J$3)*(GMWQ!$ND$2:$ND$60=J$4)*(GMWQ!$NF$2:$NF$60=J$1),0),$E329-1966)</f>
        <v>2074564</v>
      </c>
      <c r="K329" s="13" cm="1">
        <f t="array" ref="K329">INDEX(GMWQ!$A$2:$NF$60,MATCH(1,(GMWQ!$NE$2:$NE$60=K$3)*(GMWQ!$ND$2:$ND$60=K$4)*(GMWQ!$NF$2:$NF$60=K$1),0),$E329-1966)</f>
        <v>822900.4</v>
      </c>
      <c r="L329" s="13" cm="1">
        <f t="array" ref="L329">INDEX(GMWQ!$A$2:$NF$60,MATCH(1,(GMWQ!$NE$2:$NE$60=L$3)*(GMWQ!$ND$2:$ND$60=L$4)*(GMWQ!$NF$2:$NF$60=L$1),0),$E329-1966)</f>
        <v>1286414</v>
      </c>
      <c r="M329" s="13" cm="1">
        <f t="array" ref="M329">INDEX(GMWQ!$A$2:$NF$60,MATCH(1,(GMWQ!$NE$2:$NE$60=M$3)*(GMWQ!$ND$2:$ND$60=M$4)*(GMWQ!$NF$2:$NF$60=M$1),0),$E329-1966)</f>
        <v>649819.4</v>
      </c>
      <c r="N329" s="13" cm="1">
        <f t="array" ref="N329">INDEX(GMWQ!$A$2:$NF$60,MATCH(1,(GMWQ!$NE$2:$NE$60=N$3)*(GMWQ!$ND$2:$ND$60=N$4)*(GMWQ!$NF$2:$NF$60=N$1),0),$E329-1966)</f>
        <v>197.93109999999999</v>
      </c>
    </row>
    <row r="330" spans="1:14" x14ac:dyDescent="0.25">
      <c r="B330" s="13">
        <f t="shared" si="26"/>
        <v>2053</v>
      </c>
      <c r="C330" s="13">
        <f t="shared" si="26"/>
        <v>2053</v>
      </c>
      <c r="E330" s="13">
        <f t="shared" si="25"/>
        <v>2296</v>
      </c>
      <c r="F330" s="13" cm="1">
        <f t="array" ref="F330">INDEX(GMWQ!$A$2:$NF$60,MATCH(1,(GMWQ!$NE$2:$NE$60=F$3)*(GMWQ!$ND$2:$ND$60=F$4)*(GMWQ!$NF$2:$NF$60=F$1),0),$E330-1966)</f>
        <v>277.58749999999998</v>
      </c>
      <c r="G330" s="13" cm="1">
        <f t="array" ref="G330">INDEX(GMWQ!$A$2:$NF$60,MATCH(1,(GMWQ!$NE$2:$NE$60=G$3)*(GMWQ!$ND$2:$ND$60=G$4)*(GMWQ!$NF$2:$NF$60=G$1),0),$E330-1966)</f>
        <v>131348.29999999999</v>
      </c>
      <c r="H330" s="13" cm="1">
        <f t="array" ref="H330">INDEX(GMWQ!$A$2:$NF$60,MATCH(1,(GMWQ!$NE$2:$NE$60=H$3)*(GMWQ!$ND$2:$ND$60=H$4)*(GMWQ!$NF$2:$NF$60=H$1),0),$E330-1966)</f>
        <v>1705.5909999999999</v>
      </c>
      <c r="I330" s="13" cm="1">
        <f t="array" ref="I330">INDEX(GMWQ!$A$2:$NF$60,MATCH(1,(GMWQ!$NE$2:$NE$60=I$3)*(GMWQ!$ND$2:$ND$60=I$4)*(GMWQ!$NF$2:$NF$60=I$1),0),$E330-1966)</f>
        <v>448282.5</v>
      </c>
      <c r="J330" s="13" cm="1">
        <f t="array" ref="J330">INDEX(GMWQ!$A$2:$NF$60,MATCH(1,(GMWQ!$NE$2:$NE$60=J$3)*(GMWQ!$ND$2:$ND$60=J$4)*(GMWQ!$NF$2:$NF$60=J$1),0),$E330-1966)</f>
        <v>2092567</v>
      </c>
      <c r="K330" s="13" cm="1">
        <f t="array" ref="K330">INDEX(GMWQ!$A$2:$NF$60,MATCH(1,(GMWQ!$NE$2:$NE$60=K$3)*(GMWQ!$ND$2:$ND$60=K$4)*(GMWQ!$NF$2:$NF$60=K$1),0),$E330-1966)</f>
        <v>829771.6</v>
      </c>
      <c r="L330" s="13" cm="1">
        <f t="array" ref="L330">INDEX(GMWQ!$A$2:$NF$60,MATCH(1,(GMWQ!$NE$2:$NE$60=L$3)*(GMWQ!$ND$2:$ND$60=L$4)*(GMWQ!$NF$2:$NF$60=L$1),0),$E330-1966)</f>
        <v>1296969</v>
      </c>
      <c r="M330" s="13" cm="1">
        <f t="array" ref="M330">INDEX(GMWQ!$A$2:$NF$60,MATCH(1,(GMWQ!$NE$2:$NE$60=M$3)*(GMWQ!$ND$2:$ND$60=M$4)*(GMWQ!$NF$2:$NF$60=M$1),0),$E330-1966)</f>
        <v>651917.1</v>
      </c>
      <c r="N330" s="13" cm="1">
        <f t="array" ref="N330">INDEX(GMWQ!$A$2:$NF$60,MATCH(1,(GMWQ!$NE$2:$NE$60=N$3)*(GMWQ!$ND$2:$ND$60=N$4)*(GMWQ!$NF$2:$NF$60=N$1),0),$E330-1966)</f>
        <v>198.91319999999999</v>
      </c>
    </row>
    <row r="331" spans="1:14" x14ac:dyDescent="0.25">
      <c r="A331" s="13">
        <v>2054</v>
      </c>
      <c r="B331" s="13">
        <f t="shared" si="26"/>
        <v>2054</v>
      </c>
      <c r="C331" s="13">
        <f t="shared" si="26"/>
        <v>2053</v>
      </c>
      <c r="D331" s="13">
        <f t="shared" si="26"/>
        <v>2053</v>
      </c>
      <c r="E331" s="13">
        <f t="shared" si="25"/>
        <v>2297</v>
      </c>
      <c r="F331" s="13" cm="1">
        <f t="array" ref="F331">INDEX(GMWQ!$A$2:$NF$60,MATCH(1,(GMWQ!$NE$2:$NE$60=F$3)*(GMWQ!$ND$2:$ND$60=F$4)*(GMWQ!$NF$2:$NF$60=F$1),0),$E331-1966)</f>
        <v>278.98930000000001</v>
      </c>
      <c r="G331" s="13" cm="1">
        <f t="array" ref="G331">INDEX(GMWQ!$A$2:$NF$60,MATCH(1,(GMWQ!$NE$2:$NE$60=G$3)*(GMWQ!$ND$2:$ND$60=G$4)*(GMWQ!$NF$2:$NF$60=G$1),0),$E331-1966)</f>
        <v>132444.20000000001</v>
      </c>
      <c r="H331" s="13" cm="1">
        <f t="array" ref="H331">INDEX(GMWQ!$A$2:$NF$60,MATCH(1,(GMWQ!$NE$2:$NE$60=H$3)*(GMWQ!$ND$2:$ND$60=H$4)*(GMWQ!$NF$2:$NF$60=H$1),0),$E331-1966)</f>
        <v>1719.2270000000001</v>
      </c>
      <c r="I331" s="13" cm="1">
        <f t="array" ref="I331">INDEX(GMWQ!$A$2:$NF$60,MATCH(1,(GMWQ!$NE$2:$NE$60=I$3)*(GMWQ!$ND$2:$ND$60=I$4)*(GMWQ!$NF$2:$NF$60=I$1),0),$E331-1966)</f>
        <v>452282.3</v>
      </c>
      <c r="J331" s="13" cm="1">
        <f t="array" ref="J331">INDEX(GMWQ!$A$2:$NF$60,MATCH(1,(GMWQ!$NE$2:$NE$60=J$3)*(GMWQ!$ND$2:$ND$60=J$4)*(GMWQ!$NF$2:$NF$60=J$1),0),$E331-1966)</f>
        <v>2110714</v>
      </c>
      <c r="K331" s="13" cm="1">
        <f t="array" ref="K331">INDEX(GMWQ!$A$2:$NF$60,MATCH(1,(GMWQ!$NE$2:$NE$60=K$3)*(GMWQ!$ND$2:$ND$60=K$4)*(GMWQ!$NF$2:$NF$60=K$1),0),$E331-1966)</f>
        <v>836695.1</v>
      </c>
      <c r="L331" s="13" cm="1">
        <f t="array" ref="L331">INDEX(GMWQ!$A$2:$NF$60,MATCH(1,(GMWQ!$NE$2:$NE$60=L$3)*(GMWQ!$ND$2:$ND$60=L$4)*(GMWQ!$NF$2:$NF$60=L$1),0),$E331-1966)</f>
        <v>1307602</v>
      </c>
      <c r="M331" s="13" cm="1">
        <f t="array" ref="M331">INDEX(GMWQ!$A$2:$NF$60,MATCH(1,(GMWQ!$NE$2:$NE$60=M$3)*(GMWQ!$ND$2:$ND$60=M$4)*(GMWQ!$NF$2:$NF$60=M$1),0),$E331-1966)</f>
        <v>654017.30000000005</v>
      </c>
      <c r="N331" s="13" cm="1">
        <f t="array" ref="N331">INDEX(GMWQ!$A$2:$NF$60,MATCH(1,(GMWQ!$NE$2:$NE$60=N$3)*(GMWQ!$ND$2:$ND$60=N$4)*(GMWQ!$NF$2:$NF$60=N$1),0),$E331-1966)</f>
        <v>199.90020000000001</v>
      </c>
    </row>
    <row r="332" spans="1:14" x14ac:dyDescent="0.25">
      <c r="B332" s="13">
        <f t="shared" ref="B332:D347" si="27">+B328+1</f>
        <v>2054</v>
      </c>
      <c r="C332" s="13">
        <f t="shared" si="27"/>
        <v>2054</v>
      </c>
      <c r="E332" s="13">
        <f t="shared" si="25"/>
        <v>2298</v>
      </c>
      <c r="F332" s="13" cm="1">
        <f t="array" ref="F332">INDEX(GMWQ!$A$2:$NF$60,MATCH(1,(GMWQ!$NE$2:$NE$60=F$3)*(GMWQ!$ND$2:$ND$60=F$4)*(GMWQ!$NF$2:$NF$60=F$1),0),$E332-1966)</f>
        <v>280.3981</v>
      </c>
      <c r="G332" s="13" cm="1">
        <f t="array" ref="G332">INDEX(GMWQ!$A$2:$NF$60,MATCH(1,(GMWQ!$NE$2:$NE$60=G$3)*(GMWQ!$ND$2:$ND$60=G$4)*(GMWQ!$NF$2:$NF$60=G$1),0),$E332-1966)</f>
        <v>133548.5</v>
      </c>
      <c r="H332" s="13" cm="1">
        <f t="array" ref="H332">INDEX(GMWQ!$A$2:$NF$60,MATCH(1,(GMWQ!$NE$2:$NE$60=H$3)*(GMWQ!$ND$2:$ND$60=H$4)*(GMWQ!$NF$2:$NF$60=H$1),0),$E332-1966)</f>
        <v>1732.963</v>
      </c>
      <c r="I332" s="13" cm="1">
        <f t="array" ref="I332">INDEX(GMWQ!$A$2:$NF$60,MATCH(1,(GMWQ!$NE$2:$NE$60=I$3)*(GMWQ!$ND$2:$ND$60=I$4)*(GMWQ!$NF$2:$NF$60=I$1),0),$E332-1966)</f>
        <v>456457.7</v>
      </c>
      <c r="J332" s="13" cm="1">
        <f t="array" ref="J332">INDEX(GMWQ!$A$2:$NF$60,MATCH(1,(GMWQ!$NE$2:$NE$60=J$3)*(GMWQ!$ND$2:$ND$60=J$4)*(GMWQ!$NF$2:$NF$60=J$1),0),$E332-1966)</f>
        <v>2129007</v>
      </c>
      <c r="K332" s="13" cm="1">
        <f t="array" ref="K332">INDEX(GMWQ!$A$2:$NF$60,MATCH(1,(GMWQ!$NE$2:$NE$60=K$3)*(GMWQ!$ND$2:$ND$60=K$4)*(GMWQ!$NF$2:$NF$60=K$1),0),$E332-1966)</f>
        <v>843671.3</v>
      </c>
      <c r="L332" s="13" cm="1">
        <f t="array" ref="L332">INDEX(GMWQ!$A$2:$NF$60,MATCH(1,(GMWQ!$NE$2:$NE$60=L$3)*(GMWQ!$ND$2:$ND$60=L$4)*(GMWQ!$NF$2:$NF$60=L$1),0),$E332-1966)</f>
        <v>1318315</v>
      </c>
      <c r="M332" s="13" cm="1">
        <f t="array" ref="M332">INDEX(GMWQ!$A$2:$NF$60,MATCH(1,(GMWQ!$NE$2:$NE$60=M$3)*(GMWQ!$ND$2:$ND$60=M$4)*(GMWQ!$NF$2:$NF$60=M$1),0),$E332-1966)</f>
        <v>656121.1</v>
      </c>
      <c r="N332" s="13" cm="1">
        <f t="array" ref="N332">INDEX(GMWQ!$A$2:$NF$60,MATCH(1,(GMWQ!$NE$2:$NE$60=N$3)*(GMWQ!$ND$2:$ND$60=N$4)*(GMWQ!$NF$2:$NF$60=N$1),0),$E332-1966)</f>
        <v>200.8921</v>
      </c>
    </row>
    <row r="333" spans="1:14" x14ac:dyDescent="0.25">
      <c r="B333" s="13">
        <f t="shared" si="27"/>
        <v>2054</v>
      </c>
      <c r="C333" s="13">
        <f t="shared" si="27"/>
        <v>2054</v>
      </c>
      <c r="E333" s="13">
        <f t="shared" si="25"/>
        <v>2299</v>
      </c>
      <c r="F333" s="13" cm="1">
        <f t="array" ref="F333">INDEX(GMWQ!$A$2:$NF$60,MATCH(1,(GMWQ!$NE$2:$NE$60=F$3)*(GMWQ!$ND$2:$ND$60=F$4)*(GMWQ!$NF$2:$NF$60=F$1),0),$E333-1966)</f>
        <v>281.81020000000001</v>
      </c>
      <c r="G333" s="13" cm="1">
        <f t="array" ref="G333">INDEX(GMWQ!$A$2:$NF$60,MATCH(1,(GMWQ!$NE$2:$NE$60=G$3)*(GMWQ!$ND$2:$ND$60=G$4)*(GMWQ!$NF$2:$NF$60=G$1),0),$E333-1966)</f>
        <v>134655</v>
      </c>
      <c r="H333" s="13" cm="1">
        <f t="array" ref="H333">INDEX(GMWQ!$A$2:$NF$60,MATCH(1,(GMWQ!$NE$2:$NE$60=H$3)*(GMWQ!$ND$2:$ND$60=H$4)*(GMWQ!$NF$2:$NF$60=H$1),0),$E333-1966)</f>
        <v>1746.806</v>
      </c>
      <c r="I333" s="13" cm="1">
        <f t="array" ref="I333">INDEX(GMWQ!$A$2:$NF$60,MATCH(1,(GMWQ!$NE$2:$NE$60=I$3)*(GMWQ!$ND$2:$ND$60=I$4)*(GMWQ!$NF$2:$NF$60=I$1),0),$E333-1966)</f>
        <v>460172.9</v>
      </c>
      <c r="J333" s="13" cm="1">
        <f t="array" ref="J333">INDEX(GMWQ!$A$2:$NF$60,MATCH(1,(GMWQ!$NE$2:$NE$60=J$3)*(GMWQ!$ND$2:$ND$60=J$4)*(GMWQ!$NF$2:$NF$60=J$1),0),$E333-1966)</f>
        <v>2147375</v>
      </c>
      <c r="K333" s="13" cm="1">
        <f t="array" ref="K333">INDEX(GMWQ!$A$2:$NF$60,MATCH(1,(GMWQ!$NE$2:$NE$60=K$3)*(GMWQ!$ND$2:$ND$60=K$4)*(GMWQ!$NF$2:$NF$60=K$1),0),$E333-1966)</f>
        <v>850661.4</v>
      </c>
      <c r="L333" s="13" cm="1">
        <f t="array" ref="L333">INDEX(GMWQ!$A$2:$NF$60,MATCH(1,(GMWQ!$NE$2:$NE$60=L$3)*(GMWQ!$ND$2:$ND$60=L$4)*(GMWQ!$NF$2:$NF$60=L$1),0),$E333-1966)</f>
        <v>1329109</v>
      </c>
      <c r="M333" s="13" cm="1">
        <f t="array" ref="M333">INDEX(GMWQ!$A$2:$NF$60,MATCH(1,(GMWQ!$NE$2:$NE$60=M$3)*(GMWQ!$ND$2:$ND$60=M$4)*(GMWQ!$NF$2:$NF$60=M$1),0),$E333-1966)</f>
        <v>658228</v>
      </c>
      <c r="N333" s="13" cm="1">
        <f t="array" ref="N333">INDEX(GMWQ!$A$2:$NF$60,MATCH(1,(GMWQ!$NE$2:$NE$60=N$3)*(GMWQ!$ND$2:$ND$60=N$4)*(GMWQ!$NF$2:$NF$60=N$1),0),$E333-1966)</f>
        <v>201.88890000000001</v>
      </c>
    </row>
    <row r="334" spans="1:14" x14ac:dyDescent="0.25">
      <c r="B334" s="13">
        <f t="shared" si="27"/>
        <v>2054</v>
      </c>
      <c r="C334" s="13">
        <f t="shared" si="27"/>
        <v>2054</v>
      </c>
      <c r="E334" s="13">
        <f t="shared" si="25"/>
        <v>2300</v>
      </c>
      <c r="F334" s="13" cm="1">
        <f t="array" ref="F334">INDEX(GMWQ!$A$2:$NF$60,MATCH(1,(GMWQ!$NE$2:$NE$60=F$3)*(GMWQ!$ND$2:$ND$60=F$4)*(GMWQ!$NF$2:$NF$60=F$1),0),$E334-1966)</f>
        <v>283.23050000000001</v>
      </c>
      <c r="G334" s="13" cm="1">
        <f t="array" ref="G334">INDEX(GMWQ!$A$2:$NF$60,MATCH(1,(GMWQ!$NE$2:$NE$60=G$3)*(GMWQ!$ND$2:$ND$60=G$4)*(GMWQ!$NF$2:$NF$60=G$1),0),$E334-1966)</f>
        <v>135770.5</v>
      </c>
      <c r="H334" s="13" cm="1">
        <f t="array" ref="H334">INDEX(GMWQ!$A$2:$NF$60,MATCH(1,(GMWQ!$NE$2:$NE$60=H$3)*(GMWQ!$ND$2:$ND$60=H$4)*(GMWQ!$NF$2:$NF$60=H$1),0),$E334-1966)</f>
        <v>1760.7560000000001</v>
      </c>
      <c r="I334" s="13" cm="1">
        <f t="array" ref="I334">INDEX(GMWQ!$A$2:$NF$60,MATCH(1,(GMWQ!$NE$2:$NE$60=I$3)*(GMWQ!$ND$2:$ND$60=I$4)*(GMWQ!$NF$2:$NF$60=I$1),0),$E334-1966)</f>
        <v>464015.8</v>
      </c>
      <c r="J334" s="13" cm="1">
        <f t="array" ref="J334">INDEX(GMWQ!$A$2:$NF$60,MATCH(1,(GMWQ!$NE$2:$NE$60=J$3)*(GMWQ!$ND$2:$ND$60=J$4)*(GMWQ!$NF$2:$NF$60=J$1),0),$E334-1966)</f>
        <v>2165889</v>
      </c>
      <c r="K334" s="13" cm="1">
        <f t="array" ref="K334">INDEX(GMWQ!$A$2:$NF$60,MATCH(1,(GMWQ!$NE$2:$NE$60=K$3)*(GMWQ!$ND$2:$ND$60=K$4)*(GMWQ!$NF$2:$NF$60=K$1),0),$E334-1966)</f>
        <v>857708.1</v>
      </c>
      <c r="L334" s="13" cm="1">
        <f t="array" ref="L334">INDEX(GMWQ!$A$2:$NF$60,MATCH(1,(GMWQ!$NE$2:$NE$60=L$3)*(GMWQ!$ND$2:$ND$60=L$4)*(GMWQ!$NF$2:$NF$60=L$1),0),$E334-1966)</f>
        <v>1339938</v>
      </c>
      <c r="M334" s="13" cm="1">
        <f t="array" ref="M334">INDEX(GMWQ!$A$2:$NF$60,MATCH(1,(GMWQ!$NE$2:$NE$60=M$3)*(GMWQ!$ND$2:$ND$60=M$4)*(GMWQ!$NF$2:$NF$60=M$1),0),$E334-1966)</f>
        <v>660315.4</v>
      </c>
      <c r="N334" s="13" cm="1">
        <f t="array" ref="N334">INDEX(GMWQ!$A$2:$NF$60,MATCH(1,(GMWQ!$NE$2:$NE$60=N$3)*(GMWQ!$ND$2:$ND$60=N$4)*(GMWQ!$NF$2:$NF$60=N$1),0),$E334-1966)</f>
        <v>202.89070000000001</v>
      </c>
    </row>
    <row r="335" spans="1:14" x14ac:dyDescent="0.25">
      <c r="A335" s="13">
        <v>2055</v>
      </c>
      <c r="B335" s="13">
        <f t="shared" si="27"/>
        <v>2055</v>
      </c>
      <c r="C335" s="13">
        <f t="shared" si="27"/>
        <v>2054</v>
      </c>
      <c r="D335" s="13">
        <f t="shared" si="27"/>
        <v>2054</v>
      </c>
      <c r="E335" s="13">
        <f t="shared" si="25"/>
        <v>2301</v>
      </c>
      <c r="F335" s="13" cm="1">
        <f t="array" ref="F335">INDEX(GMWQ!$A$2:$NF$60,MATCH(1,(GMWQ!$NE$2:$NE$60=F$3)*(GMWQ!$ND$2:$ND$60=F$4)*(GMWQ!$NF$2:$NF$60=F$1),0),$E335-1966)</f>
        <v>284.65929999999997</v>
      </c>
      <c r="G335" s="13" cm="1">
        <f t="array" ref="G335">INDEX(GMWQ!$A$2:$NF$60,MATCH(1,(GMWQ!$NE$2:$NE$60=G$3)*(GMWQ!$ND$2:$ND$60=G$4)*(GMWQ!$NF$2:$NF$60=G$1),0),$E335-1966)</f>
        <v>136894.9</v>
      </c>
      <c r="H335" s="13" cm="1">
        <f t="array" ref="H335">INDEX(GMWQ!$A$2:$NF$60,MATCH(1,(GMWQ!$NE$2:$NE$60=H$3)*(GMWQ!$ND$2:$ND$60=H$4)*(GMWQ!$NF$2:$NF$60=H$1),0),$E335-1966)</f>
        <v>1774.817</v>
      </c>
      <c r="I335" s="13" cm="1">
        <f t="array" ref="I335">INDEX(GMWQ!$A$2:$NF$60,MATCH(1,(GMWQ!$NE$2:$NE$60=I$3)*(GMWQ!$ND$2:$ND$60=I$4)*(GMWQ!$NF$2:$NF$60=I$1),0),$E335-1966)</f>
        <v>468130</v>
      </c>
      <c r="J335" s="13" cm="1">
        <f t="array" ref="J335">INDEX(GMWQ!$A$2:$NF$60,MATCH(1,(GMWQ!$NE$2:$NE$60=J$3)*(GMWQ!$ND$2:$ND$60=J$4)*(GMWQ!$NF$2:$NF$60=J$1),0),$E335-1966)</f>
        <v>2184549</v>
      </c>
      <c r="K335" s="13" cm="1">
        <f t="array" ref="K335">INDEX(GMWQ!$A$2:$NF$60,MATCH(1,(GMWQ!$NE$2:$NE$60=K$3)*(GMWQ!$ND$2:$ND$60=K$4)*(GMWQ!$NF$2:$NF$60=K$1),0),$E335-1966)</f>
        <v>864811.6</v>
      </c>
      <c r="L335" s="13" cm="1">
        <f t="array" ref="L335">INDEX(GMWQ!$A$2:$NF$60,MATCH(1,(GMWQ!$NE$2:$NE$60=L$3)*(GMWQ!$ND$2:$ND$60=L$4)*(GMWQ!$NF$2:$NF$60=L$1),0),$E335-1966)</f>
        <v>1350848</v>
      </c>
      <c r="M335" s="13" cm="1">
        <f t="array" ref="M335">INDEX(GMWQ!$A$2:$NF$60,MATCH(1,(GMWQ!$NE$2:$NE$60=M$3)*(GMWQ!$ND$2:$ND$60=M$4)*(GMWQ!$NF$2:$NF$60=M$1),0),$E335-1966)</f>
        <v>662405.80000000005</v>
      </c>
      <c r="N335" s="13" cm="1">
        <f t="array" ref="N335">INDEX(GMWQ!$A$2:$NF$60,MATCH(1,(GMWQ!$NE$2:$NE$60=N$3)*(GMWQ!$ND$2:$ND$60=N$4)*(GMWQ!$NF$2:$NF$60=N$1),0),$E335-1966)</f>
        <v>203.89750000000001</v>
      </c>
    </row>
    <row r="336" spans="1:14" x14ac:dyDescent="0.25">
      <c r="B336" s="13">
        <f t="shared" si="27"/>
        <v>2055</v>
      </c>
      <c r="C336" s="13">
        <f t="shared" si="27"/>
        <v>2055</v>
      </c>
      <c r="E336" s="13">
        <f t="shared" si="25"/>
        <v>2302</v>
      </c>
      <c r="F336" s="13" cm="1">
        <f t="array" ref="F336">INDEX(GMWQ!$A$2:$NF$60,MATCH(1,(GMWQ!$NE$2:$NE$60=F$3)*(GMWQ!$ND$2:$ND$60=F$4)*(GMWQ!$NF$2:$NF$60=F$1),0),$E336-1966)</f>
        <v>286.09690000000001</v>
      </c>
      <c r="G336" s="13" cm="1">
        <f t="array" ref="G336">INDEX(GMWQ!$A$2:$NF$60,MATCH(1,(GMWQ!$NE$2:$NE$60=G$3)*(GMWQ!$ND$2:$ND$60=G$4)*(GMWQ!$NF$2:$NF$60=G$1),0),$E336-1966)</f>
        <v>138028.5</v>
      </c>
      <c r="H336" s="13" cm="1">
        <f t="array" ref="H336">INDEX(GMWQ!$A$2:$NF$60,MATCH(1,(GMWQ!$NE$2:$NE$60=H$3)*(GMWQ!$ND$2:$ND$60=H$4)*(GMWQ!$NF$2:$NF$60=H$1),0),$E336-1966)</f>
        <v>1788.9839999999999</v>
      </c>
      <c r="I336" s="13" cm="1">
        <f t="array" ref="I336">INDEX(GMWQ!$A$2:$NF$60,MATCH(1,(GMWQ!$NE$2:$NE$60=I$3)*(GMWQ!$ND$2:$ND$60=I$4)*(GMWQ!$NF$2:$NF$60=I$1),0),$E336-1966)</f>
        <v>472425.1</v>
      </c>
      <c r="J336" s="13" cm="1">
        <f t="array" ref="J336">INDEX(GMWQ!$A$2:$NF$60,MATCH(1,(GMWQ!$NE$2:$NE$60=J$3)*(GMWQ!$ND$2:$ND$60=J$4)*(GMWQ!$NF$2:$NF$60=J$1),0),$E336-1966)</f>
        <v>2203355</v>
      </c>
      <c r="K336" s="13" cm="1">
        <f t="array" ref="K336">INDEX(GMWQ!$A$2:$NF$60,MATCH(1,(GMWQ!$NE$2:$NE$60=K$3)*(GMWQ!$ND$2:$ND$60=K$4)*(GMWQ!$NF$2:$NF$60=K$1),0),$E336-1966)</f>
        <v>871972.5</v>
      </c>
      <c r="L336" s="13" cm="1">
        <f t="array" ref="L336">INDEX(GMWQ!$A$2:$NF$60,MATCH(1,(GMWQ!$NE$2:$NE$60=L$3)*(GMWQ!$ND$2:$ND$60=L$4)*(GMWQ!$NF$2:$NF$60=L$1),0),$E336-1966)</f>
        <v>1361840</v>
      </c>
      <c r="M336" s="13" cm="1">
        <f t="array" ref="M336">INDEX(GMWQ!$A$2:$NF$60,MATCH(1,(GMWQ!$NE$2:$NE$60=M$3)*(GMWQ!$ND$2:$ND$60=M$4)*(GMWQ!$NF$2:$NF$60=M$1),0),$E336-1966)</f>
        <v>664499.30000000005</v>
      </c>
      <c r="N336" s="13" cm="1">
        <f t="array" ref="N336">INDEX(GMWQ!$A$2:$NF$60,MATCH(1,(GMWQ!$NE$2:$NE$60=N$3)*(GMWQ!$ND$2:$ND$60=N$4)*(GMWQ!$NF$2:$NF$60=N$1),0),$E336-1966)</f>
        <v>204.9092</v>
      </c>
    </row>
    <row r="337" spans="1:14" x14ac:dyDescent="0.25">
      <c r="B337" s="13">
        <f t="shared" si="27"/>
        <v>2055</v>
      </c>
      <c r="C337" s="13">
        <f t="shared" si="27"/>
        <v>2055</v>
      </c>
      <c r="E337" s="13">
        <f t="shared" si="25"/>
        <v>2303</v>
      </c>
      <c r="F337" s="13" cm="1">
        <f t="array" ref="F337">INDEX(GMWQ!$A$2:$NF$60,MATCH(1,(GMWQ!$NE$2:$NE$60=F$3)*(GMWQ!$ND$2:$ND$60=F$4)*(GMWQ!$NF$2:$NF$60=F$1),0),$E337-1966)</f>
        <v>287.53809999999999</v>
      </c>
      <c r="G337" s="13" cm="1">
        <f t="array" ref="G337">INDEX(GMWQ!$A$2:$NF$60,MATCH(1,(GMWQ!$NE$2:$NE$60=G$3)*(GMWQ!$ND$2:$ND$60=G$4)*(GMWQ!$NF$2:$NF$60=G$1),0),$E337-1966)</f>
        <v>139165.4</v>
      </c>
      <c r="H337" s="13" cm="1">
        <f t="array" ref="H337">INDEX(GMWQ!$A$2:$NF$60,MATCH(1,(GMWQ!$NE$2:$NE$60=H$3)*(GMWQ!$ND$2:$ND$60=H$4)*(GMWQ!$NF$2:$NF$60=H$1),0),$E337-1966)</f>
        <v>1803.2629999999999</v>
      </c>
      <c r="I337" s="13" cm="1">
        <f t="array" ref="I337">INDEX(GMWQ!$A$2:$NF$60,MATCH(1,(GMWQ!$NE$2:$NE$60=I$3)*(GMWQ!$ND$2:$ND$60=I$4)*(GMWQ!$NF$2:$NF$60=I$1),0),$E337-1966)</f>
        <v>476242.8</v>
      </c>
      <c r="J337" s="13" cm="1">
        <f t="array" ref="J337">INDEX(GMWQ!$A$2:$NF$60,MATCH(1,(GMWQ!$NE$2:$NE$60=J$3)*(GMWQ!$ND$2:$ND$60=J$4)*(GMWQ!$NF$2:$NF$60=J$1),0),$E337-1966)</f>
        <v>2222254</v>
      </c>
      <c r="K337" s="13" cm="1">
        <f t="array" ref="K337">INDEX(GMWQ!$A$2:$NF$60,MATCH(1,(GMWQ!$NE$2:$NE$60=K$3)*(GMWQ!$ND$2:$ND$60=K$4)*(GMWQ!$NF$2:$NF$60=K$1),0),$E337-1966)</f>
        <v>879154.9</v>
      </c>
      <c r="L337" s="13" cm="1">
        <f t="array" ref="L337">INDEX(GMWQ!$A$2:$NF$60,MATCH(1,(GMWQ!$NE$2:$NE$60=L$3)*(GMWQ!$ND$2:$ND$60=L$4)*(GMWQ!$NF$2:$NF$60=L$1),0),$E337-1966)</f>
        <v>1372911</v>
      </c>
      <c r="M337" s="13" cm="1">
        <f t="array" ref="M337">INDEX(GMWQ!$A$2:$NF$60,MATCH(1,(GMWQ!$NE$2:$NE$60=M$3)*(GMWQ!$ND$2:$ND$60=M$4)*(GMWQ!$NF$2:$NF$60=M$1),0),$E337-1966)</f>
        <v>666594.69999999995</v>
      </c>
      <c r="N337" s="13" cm="1">
        <f t="array" ref="N337">INDEX(GMWQ!$A$2:$NF$60,MATCH(1,(GMWQ!$NE$2:$NE$60=N$3)*(GMWQ!$ND$2:$ND$60=N$4)*(GMWQ!$NF$2:$NF$60=N$1),0),$E337-1966)</f>
        <v>205.92599999999999</v>
      </c>
    </row>
    <row r="338" spans="1:14" x14ac:dyDescent="0.25">
      <c r="B338" s="13">
        <f t="shared" si="27"/>
        <v>2055</v>
      </c>
      <c r="C338" s="13">
        <f t="shared" si="27"/>
        <v>2055</v>
      </c>
      <c r="E338" s="13">
        <f t="shared" si="25"/>
        <v>2304</v>
      </c>
      <c r="F338" s="13" cm="1">
        <f t="array" ref="F338">INDEX(GMWQ!$A$2:$NF$60,MATCH(1,(GMWQ!$NE$2:$NE$60=F$3)*(GMWQ!$ND$2:$ND$60=F$4)*(GMWQ!$NF$2:$NF$60=F$1),0),$E338-1966)</f>
        <v>288.98770000000002</v>
      </c>
      <c r="G338" s="13" cm="1">
        <f t="array" ref="G338">INDEX(GMWQ!$A$2:$NF$60,MATCH(1,(GMWQ!$NE$2:$NE$60=G$3)*(GMWQ!$ND$2:$ND$60=G$4)*(GMWQ!$NF$2:$NF$60=G$1),0),$E338-1966)</f>
        <v>140311.29999999999</v>
      </c>
      <c r="H338" s="13" cm="1">
        <f t="array" ref="H338">INDEX(GMWQ!$A$2:$NF$60,MATCH(1,(GMWQ!$NE$2:$NE$60=H$3)*(GMWQ!$ND$2:$ND$60=H$4)*(GMWQ!$NF$2:$NF$60=H$1),0),$E338-1966)</f>
        <v>1817.6489999999999</v>
      </c>
      <c r="I338" s="13" cm="1">
        <f t="array" ref="I338">INDEX(GMWQ!$A$2:$NF$60,MATCH(1,(GMWQ!$NE$2:$NE$60=I$3)*(GMWQ!$ND$2:$ND$60=I$4)*(GMWQ!$NF$2:$NF$60=I$1),0),$E338-1966)</f>
        <v>480196.1</v>
      </c>
      <c r="J338" s="13" cm="1">
        <f t="array" ref="J338">INDEX(GMWQ!$A$2:$NF$60,MATCH(1,(GMWQ!$NE$2:$NE$60=J$3)*(GMWQ!$ND$2:$ND$60=J$4)*(GMWQ!$NF$2:$NF$60=J$1),0),$E338-1966)</f>
        <v>2241301</v>
      </c>
      <c r="K338" s="13" cm="1">
        <f t="array" ref="K338">INDEX(GMWQ!$A$2:$NF$60,MATCH(1,(GMWQ!$NE$2:$NE$60=K$3)*(GMWQ!$ND$2:$ND$60=K$4)*(GMWQ!$NF$2:$NF$60=K$1),0),$E338-1966)</f>
        <v>886394.2</v>
      </c>
      <c r="L338" s="13" cm="1">
        <f t="array" ref="L338">INDEX(GMWQ!$A$2:$NF$60,MATCH(1,(GMWQ!$NE$2:$NE$60=L$3)*(GMWQ!$ND$2:$ND$60=L$4)*(GMWQ!$NF$2:$NF$60=L$1),0),$E338-1966)</f>
        <v>1384028</v>
      </c>
      <c r="M338" s="13" cm="1">
        <f t="array" ref="M338">INDEX(GMWQ!$A$2:$NF$60,MATCH(1,(GMWQ!$NE$2:$NE$60=M$3)*(GMWQ!$ND$2:$ND$60=M$4)*(GMWQ!$NF$2:$NF$60=M$1),0),$E338-1966)</f>
        <v>668675.4</v>
      </c>
      <c r="N338" s="13" cm="1">
        <f t="array" ref="N338">INDEX(GMWQ!$A$2:$NF$60,MATCH(1,(GMWQ!$NE$2:$NE$60=N$3)*(GMWQ!$ND$2:$ND$60=N$4)*(GMWQ!$NF$2:$NF$60=N$1),0),$E338-1966)</f>
        <v>206.9478</v>
      </c>
    </row>
    <row r="339" spans="1:14" x14ac:dyDescent="0.25">
      <c r="A339" s="13">
        <v>2056</v>
      </c>
      <c r="B339" s="13">
        <f t="shared" si="27"/>
        <v>2056</v>
      </c>
      <c r="C339" s="13">
        <f t="shared" si="27"/>
        <v>2055</v>
      </c>
      <c r="D339" s="13">
        <f t="shared" si="27"/>
        <v>2055</v>
      </c>
      <c r="E339" s="13">
        <f t="shared" si="25"/>
        <v>2305</v>
      </c>
      <c r="F339" s="13" cm="1">
        <f t="array" ref="F339">INDEX(GMWQ!$A$2:$NF$60,MATCH(1,(GMWQ!$NE$2:$NE$60=F$3)*(GMWQ!$ND$2:$ND$60=F$4)*(GMWQ!$NF$2:$NF$60=F$1),0),$E339-1966)</f>
        <v>290.44580000000002</v>
      </c>
      <c r="G339" s="13" cm="1">
        <f t="array" ref="G339">INDEX(GMWQ!$A$2:$NF$60,MATCH(1,(GMWQ!$NE$2:$NE$60=G$3)*(GMWQ!$ND$2:$ND$60=G$4)*(GMWQ!$NF$2:$NF$60=G$1),0),$E339-1966)</f>
        <v>141466.20000000001</v>
      </c>
      <c r="H339" s="13" cm="1">
        <f t="array" ref="H339">INDEX(GMWQ!$A$2:$NF$60,MATCH(1,(GMWQ!$NE$2:$NE$60=H$3)*(GMWQ!$ND$2:$ND$60=H$4)*(GMWQ!$NF$2:$NF$60=H$1),0),$E339-1966)</f>
        <v>1832.144</v>
      </c>
      <c r="I339" s="13" cm="1">
        <f t="array" ref="I339">INDEX(GMWQ!$A$2:$NF$60,MATCH(1,(GMWQ!$NE$2:$NE$60=I$3)*(GMWQ!$ND$2:$ND$60=I$4)*(GMWQ!$NF$2:$NF$60=I$1),0),$E339-1966)</f>
        <v>484429.3</v>
      </c>
      <c r="J339" s="13" cm="1">
        <f t="array" ref="J339">INDEX(GMWQ!$A$2:$NF$60,MATCH(1,(GMWQ!$NE$2:$NE$60=J$3)*(GMWQ!$ND$2:$ND$60=J$4)*(GMWQ!$NF$2:$NF$60=J$1),0),$E339-1966)</f>
        <v>2260493</v>
      </c>
      <c r="K339" s="13" cm="1">
        <f t="array" ref="K339">INDEX(GMWQ!$A$2:$NF$60,MATCH(1,(GMWQ!$NE$2:$NE$60=K$3)*(GMWQ!$ND$2:$ND$60=K$4)*(GMWQ!$NF$2:$NF$60=K$1),0),$E339-1966)</f>
        <v>893690.1</v>
      </c>
      <c r="L339" s="13" cm="1">
        <f t="array" ref="L339">INDEX(GMWQ!$A$2:$NF$60,MATCH(1,(GMWQ!$NE$2:$NE$60=L$3)*(GMWQ!$ND$2:$ND$60=L$4)*(GMWQ!$NF$2:$NF$60=L$1),0),$E339-1966)</f>
        <v>1395227</v>
      </c>
      <c r="M339" s="13" cm="1">
        <f t="array" ref="M339">INDEX(GMWQ!$A$2:$NF$60,MATCH(1,(GMWQ!$NE$2:$NE$60=M$3)*(GMWQ!$ND$2:$ND$60=M$4)*(GMWQ!$NF$2:$NF$60=M$1),0),$E339-1966)</f>
        <v>670758.6</v>
      </c>
      <c r="N339" s="13" cm="1">
        <f t="array" ref="N339">INDEX(GMWQ!$A$2:$NF$60,MATCH(1,(GMWQ!$NE$2:$NE$60=N$3)*(GMWQ!$ND$2:$ND$60=N$4)*(GMWQ!$NF$2:$NF$60=N$1),0),$E339-1966)</f>
        <v>207.97460000000001</v>
      </c>
    </row>
    <row r="340" spans="1:14" x14ac:dyDescent="0.25">
      <c r="B340" s="13">
        <f t="shared" si="27"/>
        <v>2056</v>
      </c>
      <c r="C340" s="13">
        <f t="shared" si="27"/>
        <v>2056</v>
      </c>
      <c r="E340" s="13">
        <f t="shared" si="25"/>
        <v>2306</v>
      </c>
      <c r="F340" s="13" cm="1">
        <f t="array" ref="F340">INDEX(GMWQ!$A$2:$NF$60,MATCH(1,(GMWQ!$NE$2:$NE$60=F$3)*(GMWQ!$ND$2:$ND$60=F$4)*(GMWQ!$NF$2:$NF$60=F$1),0),$E340-1966)</f>
        <v>291.91210000000001</v>
      </c>
      <c r="G340" s="13" cm="1">
        <f t="array" ref="G340">INDEX(GMWQ!$A$2:$NF$60,MATCH(1,(GMWQ!$NE$2:$NE$60=G$3)*(GMWQ!$ND$2:$ND$60=G$4)*(GMWQ!$NF$2:$NF$60=G$1),0),$E340-1966)</f>
        <v>142630.29999999999</v>
      </c>
      <c r="H340" s="13" cm="1">
        <f t="array" ref="H340">INDEX(GMWQ!$A$2:$NF$60,MATCH(1,(GMWQ!$NE$2:$NE$60=H$3)*(GMWQ!$ND$2:$ND$60=H$4)*(GMWQ!$NF$2:$NF$60=H$1),0),$E340-1966)</f>
        <v>1846.752</v>
      </c>
      <c r="I340" s="13" cm="1">
        <f t="array" ref="I340">INDEX(GMWQ!$A$2:$NF$60,MATCH(1,(GMWQ!$NE$2:$NE$60=I$3)*(GMWQ!$ND$2:$ND$60=I$4)*(GMWQ!$NF$2:$NF$60=I$1),0),$E340-1966)</f>
        <v>488848.5</v>
      </c>
      <c r="J340" s="13" cm="1">
        <f t="array" ref="J340">INDEX(GMWQ!$A$2:$NF$60,MATCH(1,(GMWQ!$NE$2:$NE$60=J$3)*(GMWQ!$ND$2:$ND$60=J$4)*(GMWQ!$NF$2:$NF$60=J$1),0),$E340-1966)</f>
        <v>2279839</v>
      </c>
      <c r="K340" s="13" cm="1">
        <f t="array" ref="K340">INDEX(GMWQ!$A$2:$NF$60,MATCH(1,(GMWQ!$NE$2:$NE$60=K$3)*(GMWQ!$ND$2:$ND$60=K$4)*(GMWQ!$NF$2:$NF$60=K$1),0),$E340-1966)</f>
        <v>901043.8</v>
      </c>
      <c r="L340" s="13" cm="1">
        <f t="array" ref="L340">INDEX(GMWQ!$A$2:$NF$60,MATCH(1,(GMWQ!$NE$2:$NE$60=L$3)*(GMWQ!$ND$2:$ND$60=L$4)*(GMWQ!$NF$2:$NF$60=L$1),0),$E340-1966)</f>
        <v>1406507</v>
      </c>
      <c r="M340" s="13" cm="1">
        <f t="array" ref="M340">INDEX(GMWQ!$A$2:$NF$60,MATCH(1,(GMWQ!$NE$2:$NE$60=M$3)*(GMWQ!$ND$2:$ND$60=M$4)*(GMWQ!$NF$2:$NF$60=M$1),0),$E340-1966)</f>
        <v>672843.6</v>
      </c>
      <c r="N340" s="13" cm="1">
        <f t="array" ref="N340">INDEX(GMWQ!$A$2:$NF$60,MATCH(1,(GMWQ!$NE$2:$NE$60=N$3)*(GMWQ!$ND$2:$ND$60=N$4)*(GMWQ!$NF$2:$NF$60=N$1),0),$E340-1966)</f>
        <v>209.00659999999999</v>
      </c>
    </row>
    <row r="341" spans="1:14" x14ac:dyDescent="0.25">
      <c r="B341" s="13">
        <f t="shared" si="27"/>
        <v>2056</v>
      </c>
      <c r="C341" s="13">
        <f t="shared" si="27"/>
        <v>2056</v>
      </c>
      <c r="E341" s="13">
        <f t="shared" si="25"/>
        <v>2307</v>
      </c>
      <c r="F341" s="13" cm="1">
        <f t="array" ref="F341">INDEX(GMWQ!$A$2:$NF$60,MATCH(1,(GMWQ!$NE$2:$NE$60=F$3)*(GMWQ!$ND$2:$ND$60=F$4)*(GMWQ!$NF$2:$NF$60=F$1),0),$E341-1966)</f>
        <v>293.38589999999999</v>
      </c>
      <c r="G341" s="13" cm="1">
        <f t="array" ref="G341">INDEX(GMWQ!$A$2:$NF$60,MATCH(1,(GMWQ!$NE$2:$NE$60=G$3)*(GMWQ!$ND$2:$ND$60=G$4)*(GMWQ!$NF$2:$NF$60=G$1),0),$E341-1966)</f>
        <v>143803.29999999999</v>
      </c>
      <c r="H341" s="13" cm="1">
        <f t="array" ref="H341">INDEX(GMWQ!$A$2:$NF$60,MATCH(1,(GMWQ!$NE$2:$NE$60=H$3)*(GMWQ!$ND$2:$ND$60=H$4)*(GMWQ!$NF$2:$NF$60=H$1),0),$E341-1966)</f>
        <v>1861.463</v>
      </c>
      <c r="I341" s="13" cm="1">
        <f t="array" ref="I341">INDEX(GMWQ!$A$2:$NF$60,MATCH(1,(GMWQ!$NE$2:$NE$60=I$3)*(GMWQ!$ND$2:$ND$60=I$4)*(GMWQ!$NF$2:$NF$60=I$1),0),$E341-1966)</f>
        <v>492774.40000000002</v>
      </c>
      <c r="J341" s="13" cm="1">
        <f t="array" ref="J341">INDEX(GMWQ!$A$2:$NF$60,MATCH(1,(GMWQ!$NE$2:$NE$60=J$3)*(GMWQ!$ND$2:$ND$60=J$4)*(GMWQ!$NF$2:$NF$60=J$1),0),$E341-1966)</f>
        <v>2299340</v>
      </c>
      <c r="K341" s="13" cm="1">
        <f t="array" ref="K341">INDEX(GMWQ!$A$2:$NF$60,MATCH(1,(GMWQ!$NE$2:$NE$60=K$3)*(GMWQ!$ND$2:$ND$60=K$4)*(GMWQ!$NF$2:$NF$60=K$1),0),$E341-1966)</f>
        <v>908454.40000000002</v>
      </c>
      <c r="L341" s="13" cm="1">
        <f t="array" ref="L341">INDEX(GMWQ!$A$2:$NF$60,MATCH(1,(GMWQ!$NE$2:$NE$60=L$3)*(GMWQ!$ND$2:$ND$60=L$4)*(GMWQ!$NF$2:$NF$60=L$1),0),$E341-1966)</f>
        <v>1417870</v>
      </c>
      <c r="M341" s="13" cm="1">
        <f t="array" ref="M341">INDEX(GMWQ!$A$2:$NF$60,MATCH(1,(GMWQ!$NE$2:$NE$60=M$3)*(GMWQ!$ND$2:$ND$60=M$4)*(GMWQ!$NF$2:$NF$60=M$1),0),$E341-1966)</f>
        <v>674931.4</v>
      </c>
      <c r="N341" s="13" cm="1">
        <f t="array" ref="N341">INDEX(GMWQ!$A$2:$NF$60,MATCH(1,(GMWQ!$NE$2:$NE$60=N$3)*(GMWQ!$ND$2:$ND$60=N$4)*(GMWQ!$NF$2:$NF$60=N$1),0),$E341-1966)</f>
        <v>210.0437</v>
      </c>
    </row>
    <row r="342" spans="1:14" x14ac:dyDescent="0.25">
      <c r="B342" s="13">
        <f t="shared" si="27"/>
        <v>2056</v>
      </c>
      <c r="C342" s="13">
        <f t="shared" si="27"/>
        <v>2056</v>
      </c>
      <c r="E342" s="13">
        <f t="shared" si="25"/>
        <v>2308</v>
      </c>
      <c r="F342" s="13" cm="1">
        <f t="array" ref="F342">INDEX(GMWQ!$A$2:$NF$60,MATCH(1,(GMWQ!$NE$2:$NE$60=F$3)*(GMWQ!$ND$2:$ND$60=F$4)*(GMWQ!$NF$2:$NF$60=F$1),0),$E342-1966)</f>
        <v>294.86709999999999</v>
      </c>
      <c r="G342" s="13" cm="1">
        <f t="array" ref="G342">INDEX(GMWQ!$A$2:$NF$60,MATCH(1,(GMWQ!$NE$2:$NE$60=G$3)*(GMWQ!$ND$2:$ND$60=G$4)*(GMWQ!$NF$2:$NF$60=G$1),0),$E342-1966)</f>
        <v>144985</v>
      </c>
      <c r="H342" s="13" cm="1">
        <f t="array" ref="H342">INDEX(GMWQ!$A$2:$NF$60,MATCH(1,(GMWQ!$NE$2:$NE$60=H$3)*(GMWQ!$ND$2:$ND$60=H$4)*(GMWQ!$NF$2:$NF$60=H$1),0),$E342-1966)</f>
        <v>1876.279</v>
      </c>
      <c r="I342" s="13" cm="1">
        <f t="array" ref="I342">INDEX(GMWQ!$A$2:$NF$60,MATCH(1,(GMWQ!$NE$2:$NE$60=I$3)*(GMWQ!$ND$2:$ND$60=I$4)*(GMWQ!$NF$2:$NF$60=I$1),0),$E342-1966)</f>
        <v>496853.2</v>
      </c>
      <c r="J342" s="13" cm="1">
        <f t="array" ref="J342">INDEX(GMWQ!$A$2:$NF$60,MATCH(1,(GMWQ!$NE$2:$NE$60=J$3)*(GMWQ!$ND$2:$ND$60=J$4)*(GMWQ!$NF$2:$NF$60=J$1),0),$E342-1966)</f>
        <v>2318992</v>
      </c>
      <c r="K342" s="13" cm="1">
        <f t="array" ref="K342">INDEX(GMWQ!$A$2:$NF$60,MATCH(1,(GMWQ!$NE$2:$NE$60=K$3)*(GMWQ!$ND$2:$ND$60=K$4)*(GMWQ!$NF$2:$NF$60=K$1),0),$E342-1966)</f>
        <v>915919.7</v>
      </c>
      <c r="L342" s="13" cm="1">
        <f t="array" ref="L342">INDEX(GMWQ!$A$2:$NF$60,MATCH(1,(GMWQ!$NE$2:$NE$60=L$3)*(GMWQ!$ND$2:$ND$60=L$4)*(GMWQ!$NF$2:$NF$60=L$1),0),$E342-1966)</f>
        <v>1429318</v>
      </c>
      <c r="M342" s="13" cm="1">
        <f t="array" ref="M342">INDEX(GMWQ!$A$2:$NF$60,MATCH(1,(GMWQ!$NE$2:$NE$60=M$3)*(GMWQ!$ND$2:$ND$60=M$4)*(GMWQ!$NF$2:$NF$60=M$1),0),$E342-1966)</f>
        <v>677022.3</v>
      </c>
      <c r="N342" s="13" cm="1">
        <f t="array" ref="N342">INDEX(GMWQ!$A$2:$NF$60,MATCH(1,(GMWQ!$NE$2:$NE$60=N$3)*(GMWQ!$ND$2:$ND$60=N$4)*(GMWQ!$NF$2:$NF$60=N$1),0),$E342-1966)</f>
        <v>211.08590000000001</v>
      </c>
    </row>
    <row r="343" spans="1:14" x14ac:dyDescent="0.25">
      <c r="A343" s="13">
        <v>2057</v>
      </c>
      <c r="B343" s="13">
        <f t="shared" si="27"/>
        <v>2057</v>
      </c>
      <c r="C343" s="13">
        <f t="shared" si="27"/>
        <v>2056</v>
      </c>
      <c r="D343" s="13">
        <f t="shared" si="27"/>
        <v>2056</v>
      </c>
      <c r="E343" s="13">
        <f t="shared" si="25"/>
        <v>2309</v>
      </c>
      <c r="F343" s="13" cm="1">
        <f t="array" ref="F343">INDEX(GMWQ!$A$2:$NF$60,MATCH(1,(GMWQ!$NE$2:$NE$60=F$3)*(GMWQ!$ND$2:$ND$60=F$4)*(GMWQ!$NF$2:$NF$60=F$1),0),$E343-1966)</f>
        <v>296.35570000000001</v>
      </c>
      <c r="G343" s="13" cm="1">
        <f t="array" ref="G343">INDEX(GMWQ!$A$2:$NF$60,MATCH(1,(GMWQ!$NE$2:$NE$60=G$3)*(GMWQ!$ND$2:$ND$60=G$4)*(GMWQ!$NF$2:$NF$60=G$1),0),$E343-1966)</f>
        <v>146175.70000000001</v>
      </c>
      <c r="H343" s="13" cm="1">
        <f t="array" ref="H343">INDEX(GMWQ!$A$2:$NF$60,MATCH(1,(GMWQ!$NE$2:$NE$60=H$3)*(GMWQ!$ND$2:$ND$60=H$4)*(GMWQ!$NF$2:$NF$60=H$1),0),$E343-1966)</f>
        <v>1891.204</v>
      </c>
      <c r="I343" s="13" cm="1">
        <f t="array" ref="I343">INDEX(GMWQ!$A$2:$NF$60,MATCH(1,(GMWQ!$NE$2:$NE$60=I$3)*(GMWQ!$ND$2:$ND$60=I$4)*(GMWQ!$NF$2:$NF$60=I$1),0),$E343-1966)</f>
        <v>501221.4</v>
      </c>
      <c r="J343" s="13" cm="1">
        <f t="array" ref="J343">INDEX(GMWQ!$A$2:$NF$60,MATCH(1,(GMWQ!$NE$2:$NE$60=J$3)*(GMWQ!$ND$2:$ND$60=J$4)*(GMWQ!$NF$2:$NF$60=J$1),0),$E343-1966)</f>
        <v>2338801</v>
      </c>
      <c r="K343" s="13" cm="1">
        <f t="array" ref="K343">INDEX(GMWQ!$A$2:$NF$60,MATCH(1,(GMWQ!$NE$2:$NE$60=K$3)*(GMWQ!$ND$2:$ND$60=K$4)*(GMWQ!$NF$2:$NF$60=K$1),0),$E343-1966)</f>
        <v>923441.4</v>
      </c>
      <c r="L343" s="13" cm="1">
        <f t="array" ref="L343">INDEX(GMWQ!$A$2:$NF$60,MATCH(1,(GMWQ!$NE$2:$NE$60=L$3)*(GMWQ!$ND$2:$ND$60=L$4)*(GMWQ!$NF$2:$NF$60=L$1),0),$E343-1966)</f>
        <v>1440850</v>
      </c>
      <c r="M343" s="13" cm="1">
        <f t="array" ref="M343">INDEX(GMWQ!$A$2:$NF$60,MATCH(1,(GMWQ!$NE$2:$NE$60=M$3)*(GMWQ!$ND$2:$ND$60=M$4)*(GMWQ!$NF$2:$NF$60=M$1),0),$E343-1966)</f>
        <v>679115.7</v>
      </c>
      <c r="N343" s="13" cm="1">
        <f t="array" ref="N343">INDEX(GMWQ!$A$2:$NF$60,MATCH(1,(GMWQ!$NE$2:$NE$60=N$3)*(GMWQ!$ND$2:$ND$60=N$4)*(GMWQ!$NF$2:$NF$60=N$1),0),$E343-1966)</f>
        <v>212.13329999999999</v>
      </c>
    </row>
    <row r="344" spans="1:14" x14ac:dyDescent="0.25">
      <c r="B344" s="13">
        <f t="shared" si="27"/>
        <v>2057</v>
      </c>
      <c r="C344" s="13">
        <f t="shared" si="27"/>
        <v>2057</v>
      </c>
      <c r="E344" s="13">
        <f t="shared" si="25"/>
        <v>2310</v>
      </c>
      <c r="F344" s="13" cm="1">
        <f t="array" ref="F344">INDEX(GMWQ!$A$2:$NF$60,MATCH(1,(GMWQ!$NE$2:$NE$60=F$3)*(GMWQ!$ND$2:$ND$60=F$4)*(GMWQ!$NF$2:$NF$60=F$1),0),$E344-1966)</f>
        <v>297.85169999999999</v>
      </c>
      <c r="G344" s="13" cm="1">
        <f t="array" ref="G344">INDEX(GMWQ!$A$2:$NF$60,MATCH(1,(GMWQ!$NE$2:$NE$60=G$3)*(GMWQ!$ND$2:$ND$60=G$4)*(GMWQ!$NF$2:$NF$60=G$1),0),$E344-1966)</f>
        <v>147375.20000000001</v>
      </c>
      <c r="H344" s="13" cm="1">
        <f t="array" ref="H344">INDEX(GMWQ!$A$2:$NF$60,MATCH(1,(GMWQ!$NE$2:$NE$60=H$3)*(GMWQ!$ND$2:$ND$60=H$4)*(GMWQ!$NF$2:$NF$60=H$1),0),$E344-1966)</f>
        <v>1906.2349999999999</v>
      </c>
      <c r="I344" s="13" cm="1">
        <f t="array" ref="I344">INDEX(GMWQ!$A$2:$NF$60,MATCH(1,(GMWQ!$NE$2:$NE$60=I$3)*(GMWQ!$ND$2:$ND$60=I$4)*(GMWQ!$NF$2:$NF$60=I$1),0),$E344-1966)</f>
        <v>505783.2</v>
      </c>
      <c r="J344" s="13" cm="1">
        <f t="array" ref="J344">INDEX(GMWQ!$A$2:$NF$60,MATCH(1,(GMWQ!$NE$2:$NE$60=J$3)*(GMWQ!$ND$2:$ND$60=J$4)*(GMWQ!$NF$2:$NF$60=J$1),0),$E344-1966)</f>
        <v>2358764</v>
      </c>
      <c r="K344" s="13" cm="1">
        <f t="array" ref="K344">INDEX(GMWQ!$A$2:$NF$60,MATCH(1,(GMWQ!$NE$2:$NE$60=K$3)*(GMWQ!$ND$2:$ND$60=K$4)*(GMWQ!$NF$2:$NF$60=K$1),0),$E344-1966)</f>
        <v>931018.8</v>
      </c>
      <c r="L344" s="13" cm="1">
        <f t="array" ref="L344">INDEX(GMWQ!$A$2:$NF$60,MATCH(1,(GMWQ!$NE$2:$NE$60=L$3)*(GMWQ!$ND$2:$ND$60=L$4)*(GMWQ!$NF$2:$NF$60=L$1),0),$E344-1966)</f>
        <v>1452467</v>
      </c>
      <c r="M344" s="13" cm="1">
        <f t="array" ref="M344">INDEX(GMWQ!$A$2:$NF$60,MATCH(1,(GMWQ!$NE$2:$NE$60=M$3)*(GMWQ!$ND$2:$ND$60=M$4)*(GMWQ!$NF$2:$NF$60=M$1),0),$E344-1966)</f>
        <v>681211.6</v>
      </c>
      <c r="N344" s="13" cm="1">
        <f t="array" ref="N344">INDEX(GMWQ!$A$2:$NF$60,MATCH(1,(GMWQ!$NE$2:$NE$60=N$3)*(GMWQ!$ND$2:$ND$60=N$4)*(GMWQ!$NF$2:$NF$60=N$1),0),$E344-1966)</f>
        <v>213.1859</v>
      </c>
    </row>
    <row r="345" spans="1:14" x14ac:dyDescent="0.25">
      <c r="B345" s="13">
        <f t="shared" si="27"/>
        <v>2057</v>
      </c>
      <c r="C345" s="13">
        <f t="shared" si="27"/>
        <v>2057</v>
      </c>
      <c r="E345" s="13">
        <f t="shared" si="25"/>
        <v>2311</v>
      </c>
      <c r="F345" s="13" cm="1">
        <f t="array" ref="F345">INDEX(GMWQ!$A$2:$NF$60,MATCH(1,(GMWQ!$NE$2:$NE$60=F$3)*(GMWQ!$ND$2:$ND$60=F$4)*(GMWQ!$NF$2:$NF$60=F$1),0),$E345-1966)</f>
        <v>299.35939999999999</v>
      </c>
      <c r="G345" s="13" cm="1">
        <f t="array" ref="G345">INDEX(GMWQ!$A$2:$NF$60,MATCH(1,(GMWQ!$NE$2:$NE$60=G$3)*(GMWQ!$ND$2:$ND$60=G$4)*(GMWQ!$NF$2:$NF$60=G$1),0),$E345-1966)</f>
        <v>148590.5</v>
      </c>
      <c r="H345" s="13" cm="1">
        <f t="array" ref="H345">INDEX(GMWQ!$A$2:$NF$60,MATCH(1,(GMWQ!$NE$2:$NE$60=H$3)*(GMWQ!$ND$2:$ND$60=H$4)*(GMWQ!$NF$2:$NF$60=H$1),0),$E345-1966)</f>
        <v>1921.366</v>
      </c>
      <c r="I345" s="13" cm="1">
        <f t="array" ref="I345">INDEX(GMWQ!$A$2:$NF$60,MATCH(1,(GMWQ!$NE$2:$NE$60=I$3)*(GMWQ!$ND$2:$ND$60=I$4)*(GMWQ!$NF$2:$NF$60=I$1),0),$E345-1966)</f>
        <v>509833.7</v>
      </c>
      <c r="J345" s="13" cm="1">
        <f t="array" ref="J345">INDEX(GMWQ!$A$2:$NF$60,MATCH(1,(GMWQ!$NE$2:$NE$60=J$3)*(GMWQ!$ND$2:$ND$60=J$4)*(GMWQ!$NF$2:$NF$60=J$1),0),$E345-1966)</f>
        <v>2378962</v>
      </c>
      <c r="K345" s="13" cm="1">
        <f t="array" ref="K345">INDEX(GMWQ!$A$2:$NF$60,MATCH(1,(GMWQ!$NE$2:$NE$60=K$3)*(GMWQ!$ND$2:$ND$60=K$4)*(GMWQ!$NF$2:$NF$60=K$1),0),$E345-1966)</f>
        <v>938696.4</v>
      </c>
      <c r="L345" s="13" cm="1">
        <f t="array" ref="L345">INDEX(GMWQ!$A$2:$NF$60,MATCH(1,(GMWQ!$NE$2:$NE$60=L$3)*(GMWQ!$ND$2:$ND$60=L$4)*(GMWQ!$NF$2:$NF$60=L$1),0),$E345-1966)</f>
        <v>1464169</v>
      </c>
      <c r="M345" s="13" cm="1">
        <f t="array" ref="M345">INDEX(GMWQ!$A$2:$NF$60,MATCH(1,(GMWQ!$NE$2:$NE$60=M$3)*(GMWQ!$ND$2:$ND$60=M$4)*(GMWQ!$NF$2:$NF$60=M$1),0),$E345-1966)</f>
        <v>683309.9</v>
      </c>
      <c r="N345" s="13" cm="1">
        <f t="array" ref="N345">INDEX(GMWQ!$A$2:$NF$60,MATCH(1,(GMWQ!$NE$2:$NE$60=N$3)*(GMWQ!$ND$2:$ND$60=N$4)*(GMWQ!$NF$2:$NF$60=N$1),0),$E345-1966)</f>
        <v>214.24379999999999</v>
      </c>
    </row>
    <row r="346" spans="1:14" x14ac:dyDescent="0.25">
      <c r="B346" s="13">
        <f t="shared" si="27"/>
        <v>2057</v>
      </c>
      <c r="C346" s="13">
        <f t="shared" si="27"/>
        <v>2057</v>
      </c>
      <c r="E346" s="13">
        <f t="shared" si="25"/>
        <v>2312</v>
      </c>
      <c r="F346" s="13" cm="1">
        <f t="array" ref="F346">INDEX(GMWQ!$A$2:$NF$60,MATCH(1,(GMWQ!$NE$2:$NE$60=F$3)*(GMWQ!$ND$2:$ND$60=F$4)*(GMWQ!$NF$2:$NF$60=F$1),0),$E346-1966)</f>
        <v>300.8734</v>
      </c>
      <c r="G346" s="13" cm="1">
        <f t="array" ref="G346">INDEX(GMWQ!$A$2:$NF$60,MATCH(1,(GMWQ!$NE$2:$NE$60=G$3)*(GMWQ!$ND$2:$ND$60=G$4)*(GMWQ!$NF$2:$NF$60=G$1),0),$E346-1966)</f>
        <v>149814.29999999999</v>
      </c>
      <c r="H346" s="13" cm="1">
        <f t="array" ref="H346">INDEX(GMWQ!$A$2:$NF$60,MATCH(1,(GMWQ!$NE$2:$NE$60=H$3)*(GMWQ!$ND$2:$ND$60=H$4)*(GMWQ!$NF$2:$NF$60=H$1),0),$E346-1966)</f>
        <v>1936.598</v>
      </c>
      <c r="I346" s="13" cm="1">
        <f t="array" ref="I346">INDEX(GMWQ!$A$2:$NF$60,MATCH(1,(GMWQ!$NE$2:$NE$60=I$3)*(GMWQ!$ND$2:$ND$60=I$4)*(GMWQ!$NF$2:$NF$60=I$1),0),$E346-1966)</f>
        <v>514058.4</v>
      </c>
      <c r="J346" s="13" cm="1">
        <f t="array" ref="J346">INDEX(GMWQ!$A$2:$NF$60,MATCH(1,(GMWQ!$NE$2:$NE$60=J$3)*(GMWQ!$ND$2:$ND$60=J$4)*(GMWQ!$NF$2:$NF$60=J$1),0),$E346-1966)</f>
        <v>2399320</v>
      </c>
      <c r="K346" s="13" cm="1">
        <f t="array" ref="K346">INDEX(GMWQ!$A$2:$NF$60,MATCH(1,(GMWQ!$NE$2:$NE$60=K$3)*(GMWQ!$ND$2:$ND$60=K$4)*(GMWQ!$NF$2:$NF$60=K$1),0),$E346-1966)</f>
        <v>946428</v>
      </c>
      <c r="L346" s="13" cm="1">
        <f t="array" ref="L346">INDEX(GMWQ!$A$2:$NF$60,MATCH(1,(GMWQ!$NE$2:$NE$60=L$3)*(GMWQ!$ND$2:$ND$60=L$4)*(GMWQ!$NF$2:$NF$60=L$1),0),$E346-1966)</f>
        <v>1476005</v>
      </c>
      <c r="M346" s="13" cm="1">
        <f t="array" ref="M346">INDEX(GMWQ!$A$2:$NF$60,MATCH(1,(GMWQ!$NE$2:$NE$60=M$3)*(GMWQ!$ND$2:$ND$60=M$4)*(GMWQ!$NF$2:$NF$60=M$1),0),$E346-1966)</f>
        <v>685433.5</v>
      </c>
      <c r="N346" s="13" cm="1">
        <f t="array" ref="N346">INDEX(GMWQ!$A$2:$NF$60,MATCH(1,(GMWQ!$NE$2:$NE$60=N$3)*(GMWQ!$ND$2:$ND$60=N$4)*(GMWQ!$NF$2:$NF$60=N$1),0),$E346-1966)</f>
        <v>215.30690000000001</v>
      </c>
    </row>
    <row r="347" spans="1:14" x14ac:dyDescent="0.25">
      <c r="A347" s="13">
        <v>2058</v>
      </c>
      <c r="B347" s="13">
        <f t="shared" si="27"/>
        <v>2058</v>
      </c>
      <c r="C347" s="13">
        <f t="shared" si="27"/>
        <v>2057</v>
      </c>
      <c r="D347" s="13">
        <f t="shared" si="27"/>
        <v>2057</v>
      </c>
      <c r="E347" s="13">
        <f t="shared" si="25"/>
        <v>2313</v>
      </c>
      <c r="F347" s="13" cm="1">
        <f t="array" ref="F347">INDEX(GMWQ!$A$2:$NF$60,MATCH(1,(GMWQ!$NE$2:$NE$60=F$3)*(GMWQ!$ND$2:$ND$60=F$4)*(GMWQ!$NF$2:$NF$60=F$1),0),$E347-1966)</f>
        <v>302.39339999999999</v>
      </c>
      <c r="G347" s="13" cm="1">
        <f t="array" ref="G347">INDEX(GMWQ!$A$2:$NF$60,MATCH(1,(GMWQ!$NE$2:$NE$60=G$3)*(GMWQ!$ND$2:$ND$60=G$4)*(GMWQ!$NF$2:$NF$60=G$1),0),$E347-1966)</f>
        <v>151046.79999999999</v>
      </c>
      <c r="H347" s="13" cm="1">
        <f t="array" ref="H347">INDEX(GMWQ!$A$2:$NF$60,MATCH(1,(GMWQ!$NE$2:$NE$60=H$3)*(GMWQ!$ND$2:$ND$60=H$4)*(GMWQ!$NF$2:$NF$60=H$1),0),$E347-1966)</f>
        <v>1951.932</v>
      </c>
      <c r="I347" s="13" cm="1">
        <f t="array" ref="I347">INDEX(GMWQ!$A$2:$NF$60,MATCH(1,(GMWQ!$NE$2:$NE$60=I$3)*(GMWQ!$ND$2:$ND$60=I$4)*(GMWQ!$NF$2:$NF$60=I$1),0),$E347-1966)</f>
        <v>518583.2</v>
      </c>
      <c r="J347" s="13" cm="1">
        <f t="array" ref="J347">INDEX(GMWQ!$A$2:$NF$60,MATCH(1,(GMWQ!$NE$2:$NE$60=J$3)*(GMWQ!$ND$2:$ND$60=J$4)*(GMWQ!$NF$2:$NF$60=J$1),0),$E347-1966)</f>
        <v>2419841</v>
      </c>
      <c r="K347" s="13" cm="1">
        <f t="array" ref="K347">INDEX(GMWQ!$A$2:$NF$60,MATCH(1,(GMWQ!$NE$2:$NE$60=K$3)*(GMWQ!$ND$2:$ND$60=K$4)*(GMWQ!$NF$2:$NF$60=K$1),0),$E347-1966)</f>
        <v>954213.8</v>
      </c>
      <c r="L347" s="13" cm="1">
        <f t="array" ref="L347">INDEX(GMWQ!$A$2:$NF$60,MATCH(1,(GMWQ!$NE$2:$NE$60=L$3)*(GMWQ!$ND$2:$ND$60=L$4)*(GMWQ!$NF$2:$NF$60=L$1),0),$E347-1966)</f>
        <v>1487929</v>
      </c>
      <c r="M347" s="13" cm="1">
        <f t="array" ref="M347">INDEX(GMWQ!$A$2:$NF$60,MATCH(1,(GMWQ!$NE$2:$NE$60=M$3)*(GMWQ!$ND$2:$ND$60=M$4)*(GMWQ!$NF$2:$NF$60=M$1),0),$E347-1966)</f>
        <v>687560.3</v>
      </c>
      <c r="N347" s="13" cm="1">
        <f t="array" ref="N347">INDEX(GMWQ!$A$2:$NF$60,MATCH(1,(GMWQ!$NE$2:$NE$60=N$3)*(GMWQ!$ND$2:$ND$60=N$4)*(GMWQ!$NF$2:$NF$60=N$1),0),$E347-1966)</f>
        <v>216.37520000000001</v>
      </c>
    </row>
    <row r="348" spans="1:14" x14ac:dyDescent="0.25">
      <c r="B348" s="13">
        <f t="shared" ref="B348:D359" si="28">+B344+1</f>
        <v>2058</v>
      </c>
      <c r="C348" s="13">
        <f t="shared" si="28"/>
        <v>2058</v>
      </c>
      <c r="E348" s="13">
        <f t="shared" si="25"/>
        <v>2314</v>
      </c>
      <c r="F348" s="13" cm="1">
        <f t="array" ref="F348">INDEX(GMWQ!$A$2:$NF$60,MATCH(1,(GMWQ!$NE$2:$NE$60=F$3)*(GMWQ!$ND$2:$ND$60=F$4)*(GMWQ!$NF$2:$NF$60=F$1),0),$E348-1966)</f>
        <v>303.91989999999998</v>
      </c>
      <c r="G348" s="13" cm="1">
        <f t="array" ref="G348">INDEX(GMWQ!$A$2:$NF$60,MATCH(1,(GMWQ!$NE$2:$NE$60=G$3)*(GMWQ!$ND$2:$ND$60=G$4)*(GMWQ!$NF$2:$NF$60=G$1),0),$E348-1966)</f>
        <v>152287.9</v>
      </c>
      <c r="H348" s="13" cm="1">
        <f t="array" ref="H348">INDEX(GMWQ!$A$2:$NF$60,MATCH(1,(GMWQ!$NE$2:$NE$60=H$3)*(GMWQ!$ND$2:$ND$60=H$4)*(GMWQ!$NF$2:$NF$60=H$1),0),$E348-1966)</f>
        <v>1967.3689999999999</v>
      </c>
      <c r="I348" s="13" cm="1">
        <f t="array" ref="I348">INDEX(GMWQ!$A$2:$NF$60,MATCH(1,(GMWQ!$NE$2:$NE$60=I$3)*(GMWQ!$ND$2:$ND$60=I$4)*(GMWQ!$NF$2:$NF$60=I$1),0),$E348-1966)</f>
        <v>523308.6</v>
      </c>
      <c r="J348" s="13" cm="1">
        <f t="array" ref="J348">INDEX(GMWQ!$A$2:$NF$60,MATCH(1,(GMWQ!$NE$2:$NE$60=J$3)*(GMWQ!$ND$2:$ND$60=J$4)*(GMWQ!$NF$2:$NF$60=J$1),0),$E348-1966)</f>
        <v>2440524</v>
      </c>
      <c r="K348" s="13" cm="1">
        <f t="array" ref="K348">INDEX(GMWQ!$A$2:$NF$60,MATCH(1,(GMWQ!$NE$2:$NE$60=K$3)*(GMWQ!$ND$2:$ND$60=K$4)*(GMWQ!$NF$2:$NF$60=K$1),0),$E348-1966)</f>
        <v>962054.5</v>
      </c>
      <c r="L348" s="13" cm="1">
        <f t="array" ref="L348">INDEX(GMWQ!$A$2:$NF$60,MATCH(1,(GMWQ!$NE$2:$NE$60=L$3)*(GMWQ!$ND$2:$ND$60=L$4)*(GMWQ!$NF$2:$NF$60=L$1),0),$E348-1966)</f>
        <v>1499942</v>
      </c>
      <c r="M348" s="13" cm="1">
        <f t="array" ref="M348">INDEX(GMWQ!$A$2:$NF$60,MATCH(1,(GMWQ!$NE$2:$NE$60=M$3)*(GMWQ!$ND$2:$ND$60=M$4)*(GMWQ!$NF$2:$NF$60=M$1),0),$E348-1966)</f>
        <v>689689.5</v>
      </c>
      <c r="N348" s="13" cm="1">
        <f t="array" ref="N348">INDEX(GMWQ!$A$2:$NF$60,MATCH(1,(GMWQ!$NE$2:$NE$60=N$3)*(GMWQ!$ND$2:$ND$60=N$4)*(GMWQ!$NF$2:$NF$60=N$1),0),$E348-1966)</f>
        <v>217.44890000000001</v>
      </c>
    </row>
    <row r="349" spans="1:14" x14ac:dyDescent="0.25">
      <c r="B349" s="13">
        <f t="shared" si="28"/>
        <v>2058</v>
      </c>
      <c r="C349" s="13">
        <f t="shared" si="28"/>
        <v>2058</v>
      </c>
      <c r="E349" s="13">
        <f t="shared" si="25"/>
        <v>2315</v>
      </c>
      <c r="F349" s="13" cm="1">
        <f t="array" ref="F349">INDEX(GMWQ!$A$2:$NF$60,MATCH(1,(GMWQ!$NE$2:$NE$60=F$3)*(GMWQ!$ND$2:$ND$60=F$4)*(GMWQ!$NF$2:$NF$60=F$1),0),$E349-1966)</f>
        <v>305.4529</v>
      </c>
      <c r="G349" s="13" cm="1">
        <f t="array" ref="G349">INDEX(GMWQ!$A$2:$NF$60,MATCH(1,(GMWQ!$NE$2:$NE$60=G$3)*(GMWQ!$ND$2:$ND$60=G$4)*(GMWQ!$NF$2:$NF$60=G$1),0),$E349-1966)</f>
        <v>153536.5</v>
      </c>
      <c r="H349" s="13" cm="1">
        <f t="array" ref="H349">INDEX(GMWQ!$A$2:$NF$60,MATCH(1,(GMWQ!$NE$2:$NE$60=H$3)*(GMWQ!$ND$2:$ND$60=H$4)*(GMWQ!$NF$2:$NF$60=H$1),0),$E349-1966)</f>
        <v>1982.92</v>
      </c>
      <c r="I349" s="13" cm="1">
        <f t="array" ref="I349">INDEX(GMWQ!$A$2:$NF$60,MATCH(1,(GMWQ!$NE$2:$NE$60=I$3)*(GMWQ!$ND$2:$ND$60=I$4)*(GMWQ!$NF$2:$NF$60=I$1),0),$E349-1966)</f>
        <v>527505.6</v>
      </c>
      <c r="J349" s="13" cm="1">
        <f t="array" ref="J349">INDEX(GMWQ!$A$2:$NF$60,MATCH(1,(GMWQ!$NE$2:$NE$60=J$3)*(GMWQ!$ND$2:$ND$60=J$4)*(GMWQ!$NF$2:$NF$60=J$1),0),$E349-1966)</f>
        <v>2461347</v>
      </c>
      <c r="K349" s="13" cm="1">
        <f t="array" ref="K349">INDEX(GMWQ!$A$2:$NF$60,MATCH(1,(GMWQ!$NE$2:$NE$60=K$3)*(GMWQ!$ND$2:$ND$60=K$4)*(GMWQ!$NF$2:$NF$60=K$1),0),$E349-1966)</f>
        <v>969941.8</v>
      </c>
      <c r="L349" s="13" cm="1">
        <f t="array" ref="L349">INDEX(GMWQ!$A$2:$NF$60,MATCH(1,(GMWQ!$NE$2:$NE$60=L$3)*(GMWQ!$ND$2:$ND$60=L$4)*(GMWQ!$NF$2:$NF$60=L$1),0),$E349-1966)</f>
        <v>1512043</v>
      </c>
      <c r="M349" s="13" cm="1">
        <f t="array" ref="M349">INDEX(GMWQ!$A$2:$NF$60,MATCH(1,(GMWQ!$NE$2:$NE$60=M$3)*(GMWQ!$ND$2:$ND$60=M$4)*(GMWQ!$NF$2:$NF$60=M$1),0),$E349-1966)</f>
        <v>691822.3</v>
      </c>
      <c r="N349" s="13" cm="1">
        <f t="array" ref="N349">INDEX(GMWQ!$A$2:$NF$60,MATCH(1,(GMWQ!$NE$2:$NE$60=N$3)*(GMWQ!$ND$2:$ND$60=N$4)*(GMWQ!$NF$2:$NF$60=N$1),0),$E349-1966)</f>
        <v>218.52780000000001</v>
      </c>
    </row>
    <row r="350" spans="1:14" x14ac:dyDescent="0.25">
      <c r="B350" s="13">
        <f t="shared" si="28"/>
        <v>2058</v>
      </c>
      <c r="C350" s="13">
        <f t="shared" si="28"/>
        <v>2058</v>
      </c>
      <c r="E350" s="13">
        <f t="shared" si="25"/>
        <v>2316</v>
      </c>
      <c r="F350" s="13" cm="1">
        <f t="array" ref="F350">INDEX(GMWQ!$A$2:$NF$60,MATCH(1,(GMWQ!$NE$2:$NE$60=F$3)*(GMWQ!$ND$2:$ND$60=F$4)*(GMWQ!$NF$2:$NF$60=F$1),0),$E350-1966)</f>
        <v>306.99380000000002</v>
      </c>
      <c r="G350" s="13" cm="1">
        <f t="array" ref="G350">INDEX(GMWQ!$A$2:$NF$60,MATCH(1,(GMWQ!$NE$2:$NE$60=G$3)*(GMWQ!$ND$2:$ND$60=G$4)*(GMWQ!$NF$2:$NF$60=G$1),0),$E350-1966)</f>
        <v>154794.5</v>
      </c>
      <c r="H350" s="13" cm="1">
        <f t="array" ref="H350">INDEX(GMWQ!$A$2:$NF$60,MATCH(1,(GMWQ!$NE$2:$NE$60=H$3)*(GMWQ!$ND$2:$ND$60=H$4)*(GMWQ!$NF$2:$NF$60=H$1),0),$E350-1966)</f>
        <v>1998.5840000000001</v>
      </c>
      <c r="I350" s="13" cm="1">
        <f t="array" ref="I350">INDEX(GMWQ!$A$2:$NF$60,MATCH(1,(GMWQ!$NE$2:$NE$60=I$3)*(GMWQ!$ND$2:$ND$60=I$4)*(GMWQ!$NF$2:$NF$60=I$1),0),$E350-1966)</f>
        <v>531860.6</v>
      </c>
      <c r="J350" s="13" cm="1">
        <f t="array" ref="J350">INDEX(GMWQ!$A$2:$NF$60,MATCH(1,(GMWQ!$NE$2:$NE$60=J$3)*(GMWQ!$ND$2:$ND$60=J$4)*(GMWQ!$NF$2:$NF$60=J$1),0),$E350-1966)</f>
        <v>2482336</v>
      </c>
      <c r="K350" s="13" cm="1">
        <f t="array" ref="K350">INDEX(GMWQ!$A$2:$NF$60,MATCH(1,(GMWQ!$NE$2:$NE$60=K$3)*(GMWQ!$ND$2:$ND$60=K$4)*(GMWQ!$NF$2:$NF$60=K$1),0),$E350-1966)</f>
        <v>977889.4</v>
      </c>
      <c r="L350" s="13" cm="1">
        <f t="array" ref="L350">INDEX(GMWQ!$A$2:$NF$60,MATCH(1,(GMWQ!$NE$2:$NE$60=L$3)*(GMWQ!$ND$2:$ND$60=L$4)*(GMWQ!$NF$2:$NF$60=L$1),0),$E350-1966)</f>
        <v>1524220</v>
      </c>
      <c r="M350" s="13" cm="1">
        <f t="array" ref="M350">INDEX(GMWQ!$A$2:$NF$60,MATCH(1,(GMWQ!$NE$2:$NE$60=M$3)*(GMWQ!$ND$2:$ND$60=M$4)*(GMWQ!$NF$2:$NF$60=M$1),0),$E350-1966)</f>
        <v>693950.8</v>
      </c>
      <c r="N350" s="13" cm="1">
        <f t="array" ref="N350">INDEX(GMWQ!$A$2:$NF$60,MATCH(1,(GMWQ!$NE$2:$NE$60=N$3)*(GMWQ!$ND$2:$ND$60=N$4)*(GMWQ!$NF$2:$NF$60=N$1),0),$E350-1966)</f>
        <v>219.6122</v>
      </c>
    </row>
    <row r="351" spans="1:14" x14ac:dyDescent="0.25">
      <c r="A351" s="13">
        <v>2059</v>
      </c>
      <c r="B351" s="13">
        <f t="shared" si="28"/>
        <v>2059</v>
      </c>
      <c r="C351" s="13">
        <f t="shared" si="28"/>
        <v>2058</v>
      </c>
      <c r="D351" s="13">
        <f t="shared" si="28"/>
        <v>2058</v>
      </c>
      <c r="E351" s="13">
        <f t="shared" si="25"/>
        <v>2317</v>
      </c>
      <c r="F351" s="13" cm="1">
        <f t="array" ref="F351">INDEX(GMWQ!$A$2:$NF$60,MATCH(1,(GMWQ!$NE$2:$NE$60=F$3)*(GMWQ!$ND$2:$ND$60=F$4)*(GMWQ!$NF$2:$NF$60=F$1),0),$E351-1966)</f>
        <v>308.54300000000001</v>
      </c>
      <c r="G351" s="13" cm="1">
        <f t="array" ref="G351">INDEX(GMWQ!$A$2:$NF$60,MATCH(1,(GMWQ!$NE$2:$NE$60=G$3)*(GMWQ!$ND$2:$ND$60=G$4)*(GMWQ!$NF$2:$NF$60=G$1),0),$E351-1966)</f>
        <v>156062.39999999999</v>
      </c>
      <c r="H351" s="13" cm="1">
        <f t="array" ref="H351">INDEX(GMWQ!$A$2:$NF$60,MATCH(1,(GMWQ!$NE$2:$NE$60=H$3)*(GMWQ!$ND$2:$ND$60=H$4)*(GMWQ!$NF$2:$NF$60=H$1),0),$E351-1966)</f>
        <v>2014.367</v>
      </c>
      <c r="I351" s="13" cm="1">
        <f t="array" ref="I351">INDEX(GMWQ!$A$2:$NF$60,MATCH(1,(GMWQ!$NE$2:$NE$60=I$3)*(GMWQ!$ND$2:$ND$60=I$4)*(GMWQ!$NF$2:$NF$60=I$1),0),$E351-1966)</f>
        <v>536526.1</v>
      </c>
      <c r="J351" s="13" cm="1">
        <f t="array" ref="J351">INDEX(GMWQ!$A$2:$NF$60,MATCH(1,(GMWQ!$NE$2:$NE$60=J$3)*(GMWQ!$ND$2:$ND$60=J$4)*(GMWQ!$NF$2:$NF$60=J$1),0),$E351-1966)</f>
        <v>2503516</v>
      </c>
      <c r="K351" s="13" cm="1">
        <f t="array" ref="K351">INDEX(GMWQ!$A$2:$NF$60,MATCH(1,(GMWQ!$NE$2:$NE$60=K$3)*(GMWQ!$ND$2:$ND$60=K$4)*(GMWQ!$NF$2:$NF$60=K$1),0),$E351-1966)</f>
        <v>985898.9</v>
      </c>
      <c r="L351" s="13" cm="1">
        <f t="array" ref="L351">INDEX(GMWQ!$A$2:$NF$60,MATCH(1,(GMWQ!$NE$2:$NE$60=L$3)*(GMWQ!$ND$2:$ND$60=L$4)*(GMWQ!$NF$2:$NF$60=L$1),0),$E351-1966)</f>
        <v>1536488</v>
      </c>
      <c r="M351" s="13" cm="1">
        <f t="array" ref="M351">INDEX(GMWQ!$A$2:$NF$60,MATCH(1,(GMWQ!$NE$2:$NE$60=M$3)*(GMWQ!$ND$2:$ND$60=M$4)*(GMWQ!$NF$2:$NF$60=M$1),0),$E351-1966)</f>
        <v>696083.2</v>
      </c>
      <c r="N351" s="13" cm="1">
        <f t="array" ref="N351">INDEX(GMWQ!$A$2:$NF$60,MATCH(1,(GMWQ!$NE$2:$NE$60=N$3)*(GMWQ!$ND$2:$ND$60=N$4)*(GMWQ!$NF$2:$NF$60=N$1),0),$E351-1966)</f>
        <v>220.70189999999999</v>
      </c>
    </row>
    <row r="352" spans="1:14" x14ac:dyDescent="0.25">
      <c r="B352" s="13">
        <f t="shared" si="28"/>
        <v>2059</v>
      </c>
      <c r="C352" s="13">
        <f t="shared" si="28"/>
        <v>2059</v>
      </c>
      <c r="E352" s="13">
        <f t="shared" si="25"/>
        <v>2318</v>
      </c>
      <c r="F352" s="13" cm="1">
        <f t="array" ref="F352">INDEX(GMWQ!$A$2:$NF$60,MATCH(1,(GMWQ!$NE$2:$NE$60=F$3)*(GMWQ!$ND$2:$ND$60=F$4)*(GMWQ!$NF$2:$NF$60=F$1),0),$E352-1966)</f>
        <v>310.10019999999997</v>
      </c>
      <c r="G352" s="13" cm="1">
        <f t="array" ref="G352">INDEX(GMWQ!$A$2:$NF$60,MATCH(1,(GMWQ!$NE$2:$NE$60=G$3)*(GMWQ!$ND$2:$ND$60=G$4)*(GMWQ!$NF$2:$NF$60=G$1),0),$E352-1966)</f>
        <v>157339.9</v>
      </c>
      <c r="H352" s="13" cm="1">
        <f t="array" ref="H352">INDEX(GMWQ!$A$2:$NF$60,MATCH(1,(GMWQ!$NE$2:$NE$60=H$3)*(GMWQ!$ND$2:$ND$60=H$4)*(GMWQ!$NF$2:$NF$60=H$1),0),$E352-1966)</f>
        <v>2030.2650000000001</v>
      </c>
      <c r="I352" s="13" cm="1">
        <f t="array" ref="I352">INDEX(GMWQ!$A$2:$NF$60,MATCH(1,(GMWQ!$NE$2:$NE$60=I$3)*(GMWQ!$ND$2:$ND$60=I$4)*(GMWQ!$NF$2:$NF$60=I$1),0),$E352-1966)</f>
        <v>541404.1</v>
      </c>
      <c r="J352" s="13" cm="1">
        <f t="array" ref="J352">INDEX(GMWQ!$A$2:$NF$60,MATCH(1,(GMWQ!$NE$2:$NE$60=J$3)*(GMWQ!$ND$2:$ND$60=J$4)*(GMWQ!$NF$2:$NF$60=J$1),0),$E352-1966)</f>
        <v>2524865</v>
      </c>
      <c r="K352" s="13" cm="1">
        <f t="array" ref="K352">INDEX(GMWQ!$A$2:$NF$60,MATCH(1,(GMWQ!$NE$2:$NE$60=K$3)*(GMWQ!$ND$2:$ND$60=K$4)*(GMWQ!$NF$2:$NF$60=K$1),0),$E352-1966)</f>
        <v>993969.5</v>
      </c>
      <c r="L352" s="13" cm="1">
        <f t="array" ref="L352">INDEX(GMWQ!$A$2:$NF$60,MATCH(1,(GMWQ!$NE$2:$NE$60=L$3)*(GMWQ!$ND$2:$ND$60=L$4)*(GMWQ!$NF$2:$NF$60=L$1),0),$E352-1966)</f>
        <v>1548846</v>
      </c>
      <c r="M352" s="13" cm="1">
        <f t="array" ref="M352">INDEX(GMWQ!$A$2:$NF$60,MATCH(1,(GMWQ!$NE$2:$NE$60=M$3)*(GMWQ!$ND$2:$ND$60=M$4)*(GMWQ!$NF$2:$NF$60=M$1),0),$E352-1966)</f>
        <v>698218</v>
      </c>
      <c r="N352" s="13" cm="1">
        <f t="array" ref="N352">INDEX(GMWQ!$A$2:$NF$60,MATCH(1,(GMWQ!$NE$2:$NE$60=N$3)*(GMWQ!$ND$2:$ND$60=N$4)*(GMWQ!$NF$2:$NF$60=N$1),0),$E352-1966)</f>
        <v>221.797</v>
      </c>
    </row>
    <row r="353" spans="1:14" x14ac:dyDescent="0.25">
      <c r="B353" s="13">
        <f t="shared" si="28"/>
        <v>2059</v>
      </c>
      <c r="C353" s="13">
        <f t="shared" si="28"/>
        <v>2059</v>
      </c>
      <c r="E353" s="13">
        <f t="shared" si="25"/>
        <v>2319</v>
      </c>
      <c r="F353" s="13" cm="1">
        <f t="array" ref="F353">INDEX(GMWQ!$A$2:$NF$60,MATCH(1,(GMWQ!$NE$2:$NE$60=F$3)*(GMWQ!$ND$2:$ND$60=F$4)*(GMWQ!$NF$2:$NF$60=F$1),0),$E353-1966)</f>
        <v>311.66989999999998</v>
      </c>
      <c r="G353" s="13" cm="1">
        <f t="array" ref="G353">INDEX(GMWQ!$A$2:$NF$60,MATCH(1,(GMWQ!$NE$2:$NE$60=G$3)*(GMWQ!$ND$2:$ND$60=G$4)*(GMWQ!$NF$2:$NF$60=G$1),0),$E353-1966)</f>
        <v>158634.70000000001</v>
      </c>
      <c r="H353" s="13" cm="1">
        <f t="array" ref="H353">INDEX(GMWQ!$A$2:$NF$60,MATCH(1,(GMWQ!$NE$2:$NE$60=H$3)*(GMWQ!$ND$2:$ND$60=H$4)*(GMWQ!$NF$2:$NF$60=H$1),0),$E353-1966)</f>
        <v>2046.27</v>
      </c>
      <c r="I353" s="13" cm="1">
        <f t="array" ref="I353">INDEX(GMWQ!$A$2:$NF$60,MATCH(1,(GMWQ!$NE$2:$NE$60=I$3)*(GMWQ!$ND$2:$ND$60=I$4)*(GMWQ!$NF$2:$NF$60=I$1),0),$E353-1966)</f>
        <v>545735.4</v>
      </c>
      <c r="J353" s="13" cm="1">
        <f t="array" ref="J353">INDEX(GMWQ!$A$2:$NF$60,MATCH(1,(GMWQ!$NE$2:$NE$60=J$3)*(GMWQ!$ND$2:$ND$60=J$4)*(GMWQ!$NF$2:$NF$60=J$1),0),$E353-1966)</f>
        <v>2546468</v>
      </c>
      <c r="K353" s="13" cm="1">
        <f t="array" ref="K353">INDEX(GMWQ!$A$2:$NF$60,MATCH(1,(GMWQ!$NE$2:$NE$60=K$3)*(GMWQ!$ND$2:$ND$60=K$4)*(GMWQ!$NF$2:$NF$60=K$1),0),$E353-1966)</f>
        <v>1002149</v>
      </c>
      <c r="L353" s="13" cm="1">
        <f t="array" ref="L353">INDEX(GMWQ!$A$2:$NF$60,MATCH(1,(GMWQ!$NE$2:$NE$60=L$3)*(GMWQ!$ND$2:$ND$60=L$4)*(GMWQ!$NF$2:$NF$60=L$1),0),$E353-1966)</f>
        <v>1561296</v>
      </c>
      <c r="M353" s="13" cm="1">
        <f t="array" ref="M353">INDEX(GMWQ!$A$2:$NF$60,MATCH(1,(GMWQ!$NE$2:$NE$60=M$3)*(GMWQ!$ND$2:$ND$60=M$4)*(GMWQ!$NF$2:$NF$60=M$1),0),$E353-1966)</f>
        <v>700355.7</v>
      </c>
      <c r="N353" s="13" cm="1">
        <f t="array" ref="N353">INDEX(GMWQ!$A$2:$NF$60,MATCH(1,(GMWQ!$NE$2:$NE$60=N$3)*(GMWQ!$ND$2:$ND$60=N$4)*(GMWQ!$NF$2:$NF$60=N$1),0),$E353-1966)</f>
        <v>222.89760000000001</v>
      </c>
    </row>
    <row r="354" spans="1:14" x14ac:dyDescent="0.25">
      <c r="B354" s="13">
        <f t="shared" si="28"/>
        <v>2059</v>
      </c>
      <c r="C354" s="13">
        <f t="shared" si="28"/>
        <v>2059</v>
      </c>
      <c r="E354" s="13">
        <f t="shared" si="25"/>
        <v>2320</v>
      </c>
      <c r="F354" s="13" cm="1">
        <f t="array" ref="F354">INDEX(GMWQ!$A$2:$NF$60,MATCH(1,(GMWQ!$NE$2:$NE$60=F$3)*(GMWQ!$ND$2:$ND$60=F$4)*(GMWQ!$NF$2:$NF$60=F$1),0),$E354-1966)</f>
        <v>313.24610000000001</v>
      </c>
      <c r="G354" s="13" cm="1">
        <f t="array" ref="G354">INDEX(GMWQ!$A$2:$NF$60,MATCH(1,(GMWQ!$NE$2:$NE$60=G$3)*(GMWQ!$ND$2:$ND$60=G$4)*(GMWQ!$NF$2:$NF$60=G$1),0),$E354-1966)</f>
        <v>159938.70000000001</v>
      </c>
      <c r="H354" s="13" cm="1">
        <f t="array" ref="H354">INDEX(GMWQ!$A$2:$NF$60,MATCH(1,(GMWQ!$NE$2:$NE$60=H$3)*(GMWQ!$ND$2:$ND$60=H$4)*(GMWQ!$NF$2:$NF$60=H$1),0),$E354-1966)</f>
        <v>2062.3820000000001</v>
      </c>
      <c r="I354" s="13" cm="1">
        <f t="array" ref="I354">INDEX(GMWQ!$A$2:$NF$60,MATCH(1,(GMWQ!$NE$2:$NE$60=I$3)*(GMWQ!$ND$2:$ND$60=I$4)*(GMWQ!$NF$2:$NF$60=I$1),0),$E354-1966)</f>
        <v>550253.9</v>
      </c>
      <c r="J354" s="13" cm="1">
        <f t="array" ref="J354">INDEX(GMWQ!$A$2:$NF$60,MATCH(1,(GMWQ!$NE$2:$NE$60=J$3)*(GMWQ!$ND$2:$ND$60=J$4)*(GMWQ!$NF$2:$NF$60=J$1),0),$E354-1966)</f>
        <v>2568243</v>
      </c>
      <c r="K354" s="13" cm="1">
        <f t="array" ref="K354">INDEX(GMWQ!$A$2:$NF$60,MATCH(1,(GMWQ!$NE$2:$NE$60=K$3)*(GMWQ!$ND$2:$ND$60=K$4)*(GMWQ!$NF$2:$NF$60=K$1),0),$E354-1966)</f>
        <v>1010387</v>
      </c>
      <c r="L354" s="13" cm="1">
        <f t="array" ref="L354">INDEX(GMWQ!$A$2:$NF$60,MATCH(1,(GMWQ!$NE$2:$NE$60=L$3)*(GMWQ!$ND$2:$ND$60=L$4)*(GMWQ!$NF$2:$NF$60=L$1),0),$E354-1966)</f>
        <v>1573891</v>
      </c>
      <c r="M354" s="13" cm="1">
        <f t="array" ref="M354">INDEX(GMWQ!$A$2:$NF$60,MATCH(1,(GMWQ!$NE$2:$NE$60=M$3)*(GMWQ!$ND$2:$ND$60=M$4)*(GMWQ!$NF$2:$NF$60=M$1),0),$E354-1966)</f>
        <v>702520.6</v>
      </c>
      <c r="N354" s="13" cm="1">
        <f t="array" ref="N354">INDEX(GMWQ!$A$2:$NF$60,MATCH(1,(GMWQ!$NE$2:$NE$60=N$3)*(GMWQ!$ND$2:$ND$60=N$4)*(GMWQ!$NF$2:$NF$60=N$1),0),$E354-1966)</f>
        <v>224.00360000000001</v>
      </c>
    </row>
    <row r="355" spans="1:14" x14ac:dyDescent="0.25">
      <c r="A355" s="13">
        <v>2060</v>
      </c>
      <c r="B355" s="13">
        <f t="shared" si="28"/>
        <v>2060</v>
      </c>
      <c r="C355" s="13">
        <f t="shared" si="28"/>
        <v>2059</v>
      </c>
      <c r="D355" s="13">
        <f t="shared" si="28"/>
        <v>2059</v>
      </c>
      <c r="E355" s="13">
        <f t="shared" si="25"/>
        <v>2321</v>
      </c>
      <c r="F355" s="13" cm="1">
        <f t="array" ref="F355">INDEX(GMWQ!$A$2:$NF$60,MATCH(1,(GMWQ!$NE$2:$NE$60=F$3)*(GMWQ!$ND$2:$ND$60=F$4)*(GMWQ!$NF$2:$NF$60=F$1),0),$E355-1966)</f>
        <v>314.82859999999999</v>
      </c>
      <c r="G355" s="13" cm="1">
        <f t="array" ref="G355">INDEX(GMWQ!$A$2:$NF$60,MATCH(1,(GMWQ!$NE$2:$NE$60=G$3)*(GMWQ!$ND$2:$ND$60=G$4)*(GMWQ!$NF$2:$NF$60=G$1),0),$E355-1966)</f>
        <v>161251.79999999999</v>
      </c>
      <c r="H355" s="13" cm="1">
        <f t="array" ref="H355">INDEX(GMWQ!$A$2:$NF$60,MATCH(1,(GMWQ!$NE$2:$NE$60=H$3)*(GMWQ!$ND$2:$ND$60=H$4)*(GMWQ!$NF$2:$NF$60=H$1),0),$E355-1966)</f>
        <v>2078.6010000000001</v>
      </c>
      <c r="I355" s="13" cm="1">
        <f t="array" ref="I355">INDEX(GMWQ!$A$2:$NF$60,MATCH(1,(GMWQ!$NE$2:$NE$60=I$3)*(GMWQ!$ND$2:$ND$60=I$4)*(GMWQ!$NF$2:$NF$60=I$1),0),$E355-1966)</f>
        <v>555093.69999999995</v>
      </c>
      <c r="J355" s="13" cm="1">
        <f t="array" ref="J355">INDEX(GMWQ!$A$2:$NF$60,MATCH(1,(GMWQ!$NE$2:$NE$60=J$3)*(GMWQ!$ND$2:$ND$60=J$4)*(GMWQ!$NF$2:$NF$60=J$1),0),$E355-1966)</f>
        <v>2590193</v>
      </c>
      <c r="K355" s="13" cm="1">
        <f t="array" ref="K355">INDEX(GMWQ!$A$2:$NF$60,MATCH(1,(GMWQ!$NE$2:$NE$60=K$3)*(GMWQ!$ND$2:$ND$60=K$4)*(GMWQ!$NF$2:$NF$60=K$1),0),$E355-1966)</f>
        <v>1018682</v>
      </c>
      <c r="L355" s="13" cm="1">
        <f t="array" ref="L355">INDEX(GMWQ!$A$2:$NF$60,MATCH(1,(GMWQ!$NE$2:$NE$60=L$3)*(GMWQ!$ND$2:$ND$60=L$4)*(GMWQ!$NF$2:$NF$60=L$1),0),$E355-1966)</f>
        <v>1586580</v>
      </c>
      <c r="M355" s="13" cm="1">
        <f t="array" ref="M355">INDEX(GMWQ!$A$2:$NF$60,MATCH(1,(GMWQ!$NE$2:$NE$60=M$3)*(GMWQ!$ND$2:$ND$60=M$4)*(GMWQ!$NF$2:$NF$60=M$1),0),$E355-1966)</f>
        <v>704688.5</v>
      </c>
      <c r="N355" s="13" cm="1">
        <f t="array" ref="N355">INDEX(GMWQ!$A$2:$NF$60,MATCH(1,(GMWQ!$NE$2:$NE$60=N$3)*(GMWQ!$ND$2:$ND$60=N$4)*(GMWQ!$NF$2:$NF$60=N$1),0),$E355-1966)</f>
        <v>225.11510000000001</v>
      </c>
    </row>
    <row r="356" spans="1:14" x14ac:dyDescent="0.25">
      <c r="B356" s="13">
        <f t="shared" si="28"/>
        <v>2060</v>
      </c>
      <c r="C356" s="13">
        <f t="shared" si="28"/>
        <v>2060</v>
      </c>
      <c r="E356" s="13">
        <f t="shared" si="25"/>
        <v>2322</v>
      </c>
      <c r="F356" s="13" cm="1">
        <f t="array" ref="F356">INDEX(GMWQ!$A$2:$NF$60,MATCH(1,(GMWQ!$NE$2:$NE$60=F$3)*(GMWQ!$ND$2:$ND$60=F$4)*(GMWQ!$NF$2:$NF$60=F$1),0),$E356-1966)</f>
        <v>316.41770000000002</v>
      </c>
      <c r="G356" s="13" cm="1">
        <f t="array" ref="G356">INDEX(GMWQ!$A$2:$NF$60,MATCH(1,(GMWQ!$NE$2:$NE$60=G$3)*(GMWQ!$ND$2:$ND$60=G$4)*(GMWQ!$NF$2:$NF$60=G$1),0),$E356-1966)</f>
        <v>162574.20000000001</v>
      </c>
      <c r="H356" s="13" cm="1">
        <f t="array" ref="H356">INDEX(GMWQ!$A$2:$NF$60,MATCH(1,(GMWQ!$NE$2:$NE$60=H$3)*(GMWQ!$ND$2:$ND$60=H$4)*(GMWQ!$NF$2:$NF$60=H$1),0),$E356-1966)</f>
        <v>2094.9279999999999</v>
      </c>
      <c r="I356" s="13" cm="1">
        <f t="array" ref="I356">INDEX(GMWQ!$A$2:$NF$60,MATCH(1,(GMWQ!$NE$2:$NE$60=I$3)*(GMWQ!$ND$2:$ND$60=I$4)*(GMWQ!$NF$2:$NF$60=I$1),0),$E356-1966)</f>
        <v>560148.5</v>
      </c>
      <c r="J356" s="13" cm="1">
        <f t="array" ref="J356">INDEX(GMWQ!$A$2:$NF$60,MATCH(1,(GMWQ!$NE$2:$NE$60=J$3)*(GMWQ!$ND$2:$ND$60=J$4)*(GMWQ!$NF$2:$NF$60=J$1),0),$E356-1966)</f>
        <v>2612318</v>
      </c>
      <c r="K356" s="13" cm="1">
        <f t="array" ref="K356">INDEX(GMWQ!$A$2:$NF$60,MATCH(1,(GMWQ!$NE$2:$NE$60=K$3)*(GMWQ!$ND$2:$ND$60=K$4)*(GMWQ!$NF$2:$NF$60=K$1),0),$E356-1966)</f>
        <v>1027037</v>
      </c>
      <c r="L356" s="13" cm="1">
        <f t="array" ref="L356">INDEX(GMWQ!$A$2:$NF$60,MATCH(1,(GMWQ!$NE$2:$NE$60=L$3)*(GMWQ!$ND$2:$ND$60=L$4)*(GMWQ!$NF$2:$NF$60=L$1),0),$E356-1966)</f>
        <v>1599364</v>
      </c>
      <c r="M356" s="13" cm="1">
        <f t="array" ref="M356">INDEX(GMWQ!$A$2:$NF$60,MATCH(1,(GMWQ!$NE$2:$NE$60=M$3)*(GMWQ!$ND$2:$ND$60=M$4)*(GMWQ!$NF$2:$NF$60=M$1),0),$E356-1966)</f>
        <v>706859.9</v>
      </c>
      <c r="N356" s="13" cm="1">
        <f t="array" ref="N356">INDEX(GMWQ!$A$2:$NF$60,MATCH(1,(GMWQ!$NE$2:$NE$60=N$3)*(GMWQ!$ND$2:$ND$60=N$4)*(GMWQ!$NF$2:$NF$60=N$1),0),$E356-1966)</f>
        <v>226.2321</v>
      </c>
    </row>
    <row r="357" spans="1:14" x14ac:dyDescent="0.25">
      <c r="B357" s="13">
        <f t="shared" si="28"/>
        <v>2060</v>
      </c>
      <c r="C357" s="13">
        <f t="shared" si="28"/>
        <v>2060</v>
      </c>
      <c r="E357" s="13">
        <f t="shared" si="25"/>
        <v>2323</v>
      </c>
      <c r="F357" s="13" cm="1">
        <f t="array" ref="F357">INDEX(GMWQ!$A$2:$NF$60,MATCH(1,(GMWQ!$NE$2:$NE$60=F$3)*(GMWQ!$ND$2:$ND$60=F$4)*(GMWQ!$NF$2:$NF$60=F$1),0),$E357-1966)</f>
        <v>318.01490000000001</v>
      </c>
      <c r="G357" s="13" cm="1">
        <f t="array" ref="G357">INDEX(GMWQ!$A$2:$NF$60,MATCH(1,(GMWQ!$NE$2:$NE$60=G$3)*(GMWQ!$ND$2:$ND$60=G$4)*(GMWQ!$NF$2:$NF$60=G$1),0),$E357-1966)</f>
        <v>163906.70000000001</v>
      </c>
      <c r="H357" s="13" cm="1">
        <f t="array" ref="H357">INDEX(GMWQ!$A$2:$NF$60,MATCH(1,(GMWQ!$NE$2:$NE$60=H$3)*(GMWQ!$ND$2:$ND$60=H$4)*(GMWQ!$NF$2:$NF$60=H$1),0),$E357-1966)</f>
        <v>2111.373</v>
      </c>
      <c r="I357" s="13" cm="1">
        <f t="array" ref="I357">INDEX(GMWQ!$A$2:$NF$60,MATCH(1,(GMWQ!$NE$2:$NE$60=I$3)*(GMWQ!$ND$2:$ND$60=I$4)*(GMWQ!$NF$2:$NF$60=I$1),0),$E357-1966)</f>
        <v>564637.9</v>
      </c>
      <c r="J357" s="13" cm="1">
        <f t="array" ref="J357">INDEX(GMWQ!$A$2:$NF$60,MATCH(1,(GMWQ!$NE$2:$NE$60=J$3)*(GMWQ!$ND$2:$ND$60=J$4)*(GMWQ!$NF$2:$NF$60=J$1),0),$E357-1966)</f>
        <v>2634618</v>
      </c>
      <c r="K357" s="13" cm="1">
        <f t="array" ref="K357">INDEX(GMWQ!$A$2:$NF$60,MATCH(1,(GMWQ!$NE$2:$NE$60=K$3)*(GMWQ!$ND$2:$ND$60=K$4)*(GMWQ!$NF$2:$NF$60=K$1),0),$E357-1966)</f>
        <v>1035454</v>
      </c>
      <c r="L357" s="13" cm="1">
        <f t="array" ref="L357">INDEX(GMWQ!$A$2:$NF$60,MATCH(1,(GMWQ!$NE$2:$NE$60=L$3)*(GMWQ!$ND$2:$ND$60=L$4)*(GMWQ!$NF$2:$NF$60=L$1),0),$E357-1966)</f>
        <v>1612243</v>
      </c>
      <c r="M357" s="13" cm="1">
        <f t="array" ref="M357">INDEX(GMWQ!$A$2:$NF$60,MATCH(1,(GMWQ!$NE$2:$NE$60=M$3)*(GMWQ!$ND$2:$ND$60=M$4)*(GMWQ!$NF$2:$NF$60=M$1),0),$E357-1966)</f>
        <v>709034.4</v>
      </c>
      <c r="N357" s="13" cm="1">
        <f t="array" ref="N357">INDEX(GMWQ!$A$2:$NF$60,MATCH(1,(GMWQ!$NE$2:$NE$60=N$3)*(GMWQ!$ND$2:$ND$60=N$4)*(GMWQ!$NF$2:$NF$60=N$1),0),$E357-1966)</f>
        <v>227.35470000000001</v>
      </c>
    </row>
    <row r="358" spans="1:14" x14ac:dyDescent="0.25">
      <c r="B358" s="13">
        <f t="shared" si="28"/>
        <v>2060</v>
      </c>
      <c r="C358" s="13">
        <f t="shared" si="28"/>
        <v>2060</v>
      </c>
      <c r="E358" s="13">
        <f t="shared" si="25"/>
        <v>2324</v>
      </c>
      <c r="F358" s="13" cm="1">
        <f t="array" ref="F358">INDEX(GMWQ!$A$2:$NF$60,MATCH(1,(GMWQ!$NE$2:$NE$60=F$3)*(GMWQ!$ND$2:$ND$60=F$4)*(GMWQ!$NF$2:$NF$60=F$1),0),$E358-1966)</f>
        <v>319.61989999999997</v>
      </c>
      <c r="G358" s="13" cm="1">
        <f t="array" ref="G358">INDEX(GMWQ!$A$2:$NF$60,MATCH(1,(GMWQ!$NE$2:$NE$60=G$3)*(GMWQ!$ND$2:$ND$60=G$4)*(GMWQ!$NF$2:$NF$60=G$1),0),$E358-1966)</f>
        <v>165249.29999999999</v>
      </c>
      <c r="H358" s="13" cm="1">
        <f t="array" ref="H358">INDEX(GMWQ!$A$2:$NF$60,MATCH(1,(GMWQ!$NE$2:$NE$60=H$3)*(GMWQ!$ND$2:$ND$60=H$4)*(GMWQ!$NF$2:$NF$60=H$1),0),$E358-1966)</f>
        <v>2127.9389999999999</v>
      </c>
      <c r="I358" s="13" cm="1">
        <f t="array" ref="I358">INDEX(GMWQ!$A$2:$NF$60,MATCH(1,(GMWQ!$NE$2:$NE$60=I$3)*(GMWQ!$ND$2:$ND$60=I$4)*(GMWQ!$NF$2:$NF$60=I$1),0),$E358-1966)</f>
        <v>569301.9</v>
      </c>
      <c r="J358" s="13" cm="1">
        <f t="array" ref="J358">INDEX(GMWQ!$A$2:$NF$60,MATCH(1,(GMWQ!$NE$2:$NE$60=J$3)*(GMWQ!$ND$2:$ND$60=J$4)*(GMWQ!$NF$2:$NF$60=J$1),0),$E358-1966)</f>
        <v>2657099</v>
      </c>
      <c r="K358" s="13" cm="1">
        <f t="array" ref="K358">INDEX(GMWQ!$A$2:$NF$60,MATCH(1,(GMWQ!$NE$2:$NE$60=K$3)*(GMWQ!$ND$2:$ND$60=K$4)*(GMWQ!$NF$2:$NF$60=K$1),0),$E358-1966)</f>
        <v>1043936</v>
      </c>
      <c r="L358" s="13" cm="1">
        <f t="array" ref="L358">INDEX(GMWQ!$A$2:$NF$60,MATCH(1,(GMWQ!$NE$2:$NE$60=L$3)*(GMWQ!$ND$2:$ND$60=L$4)*(GMWQ!$NF$2:$NF$60=L$1),0),$E358-1966)</f>
        <v>1625219</v>
      </c>
      <c r="M358" s="13" cm="1">
        <f t="array" ref="M358">INDEX(GMWQ!$A$2:$NF$60,MATCH(1,(GMWQ!$NE$2:$NE$60=M$3)*(GMWQ!$ND$2:$ND$60=M$4)*(GMWQ!$NF$2:$NF$60=M$1),0),$E358-1966)</f>
        <v>711213</v>
      </c>
      <c r="N358" s="13" cm="1">
        <f t="array" ref="N358">INDEX(GMWQ!$A$2:$NF$60,MATCH(1,(GMWQ!$NE$2:$NE$60=N$3)*(GMWQ!$ND$2:$ND$60=N$4)*(GMWQ!$NF$2:$NF$60=N$1),0),$E358-1966)</f>
        <v>228.4828</v>
      </c>
    </row>
    <row r="359" spans="1:14" x14ac:dyDescent="0.25">
      <c r="C359" s="13">
        <f t="shared" si="28"/>
        <v>2060</v>
      </c>
      <c r="D359" s="13">
        <f t="shared" si="28"/>
        <v>2060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A0E3-B724-49EF-B8B5-91554EDA8FFB}">
  <dimension ref="A1:NF10"/>
  <sheetViews>
    <sheetView workbookViewId="0">
      <pane xSplit="6" ySplit="1" topLeftCell="MX2" activePane="bottomRight" state="frozen"/>
      <selection pane="topRight" activeCell="G1" sqref="G1"/>
      <selection pane="bottomLeft" activeCell="A2" sqref="A2"/>
      <selection pane="bottomRight" activeCell="NC2" sqref="NC2"/>
    </sheetView>
  </sheetViews>
  <sheetFormatPr defaultRowHeight="15" x14ac:dyDescent="0.25"/>
  <cols>
    <col min="1" max="1" width="15.7109375" customWidth="1"/>
    <col min="2" max="3" width="20.7109375" customWidth="1"/>
    <col min="4" max="5" width="10.7109375" customWidth="1"/>
    <col min="6" max="6" width="15.7109375" customWidth="1"/>
    <col min="7" max="359" width="10.7109375" customWidth="1"/>
    <col min="360" max="360" width="20.7109375" customWidth="1"/>
    <col min="361" max="362" width="15.7109375" customWidth="1"/>
    <col min="363" max="364" width="20.7109375" customWidth="1"/>
    <col min="365" max="365" width="18.7109375" customWidth="1"/>
    <col min="366" max="367" width="22.7109375" customWidth="1"/>
    <col min="368" max="368" width="13.7109375" customWidth="1"/>
    <col min="369" max="369" width="14.7109375" customWidth="1"/>
    <col min="370" max="370" width="10.7109375" customWidth="1"/>
  </cols>
  <sheetData>
    <row r="1" spans="1:370" ht="30" x14ac:dyDescent="0.25">
      <c r="A1" s="15" t="s">
        <v>864</v>
      </c>
      <c r="B1" s="15" t="s">
        <v>865</v>
      </c>
      <c r="C1" s="15" t="s">
        <v>866</v>
      </c>
      <c r="D1" s="15" t="s">
        <v>867</v>
      </c>
      <c r="E1" s="15" t="s">
        <v>868</v>
      </c>
      <c r="F1" s="15" t="s">
        <v>869</v>
      </c>
      <c r="G1" s="15" t="s">
        <v>870</v>
      </c>
      <c r="H1" s="15" t="s">
        <v>871</v>
      </c>
      <c r="I1" s="15" t="s">
        <v>872</v>
      </c>
      <c r="J1" s="15" t="s">
        <v>873</v>
      </c>
      <c r="K1" s="15" t="s">
        <v>874</v>
      </c>
      <c r="L1" s="15" t="s">
        <v>875</v>
      </c>
      <c r="M1" s="15" t="s">
        <v>876</v>
      </c>
      <c r="N1" s="15" t="s">
        <v>877</v>
      </c>
      <c r="O1" s="15" t="s">
        <v>878</v>
      </c>
      <c r="P1" s="15" t="s">
        <v>879</v>
      </c>
      <c r="Q1" s="15" t="s">
        <v>880</v>
      </c>
      <c r="R1" s="15" t="s">
        <v>881</v>
      </c>
      <c r="S1" s="15" t="s">
        <v>882</v>
      </c>
      <c r="T1" s="15" t="s">
        <v>883</v>
      </c>
      <c r="U1" s="15" t="s">
        <v>884</v>
      </c>
      <c r="V1" s="15" t="s">
        <v>885</v>
      </c>
      <c r="W1" s="15" t="s">
        <v>886</v>
      </c>
      <c r="X1" s="15" t="s">
        <v>887</v>
      </c>
      <c r="Y1" s="15" t="s">
        <v>888</v>
      </c>
      <c r="Z1" s="15" t="s">
        <v>889</v>
      </c>
      <c r="AA1" s="15" t="s">
        <v>890</v>
      </c>
      <c r="AB1" s="15" t="s">
        <v>891</v>
      </c>
      <c r="AC1" s="15" t="s">
        <v>892</v>
      </c>
      <c r="AD1" s="15" t="s">
        <v>893</v>
      </c>
      <c r="AE1" s="15" t="s">
        <v>894</v>
      </c>
      <c r="AF1" s="15" t="s">
        <v>895</v>
      </c>
      <c r="AG1" s="15" t="s">
        <v>896</v>
      </c>
      <c r="AH1" s="15" t="s">
        <v>897</v>
      </c>
      <c r="AI1" s="15" t="s">
        <v>898</v>
      </c>
      <c r="AJ1" s="15" t="s">
        <v>899</v>
      </c>
      <c r="AK1" s="15" t="s">
        <v>900</v>
      </c>
      <c r="AL1" s="15" t="s">
        <v>901</v>
      </c>
      <c r="AM1" s="15" t="s">
        <v>902</v>
      </c>
      <c r="AN1" s="15" t="s">
        <v>903</v>
      </c>
      <c r="AO1" s="15" t="s">
        <v>904</v>
      </c>
      <c r="AP1" s="15" t="s">
        <v>905</v>
      </c>
      <c r="AQ1" s="15" t="s">
        <v>906</v>
      </c>
      <c r="AR1" s="15" t="s">
        <v>907</v>
      </c>
      <c r="AS1" s="15" t="s">
        <v>908</v>
      </c>
      <c r="AT1" s="15" t="s">
        <v>909</v>
      </c>
      <c r="AU1" s="15" t="s">
        <v>910</v>
      </c>
      <c r="AV1" s="15" t="s">
        <v>911</v>
      </c>
      <c r="AW1" s="15" t="s">
        <v>912</v>
      </c>
      <c r="AX1" s="15" t="s">
        <v>913</v>
      </c>
      <c r="AY1" s="15" t="s">
        <v>914</v>
      </c>
      <c r="AZ1" s="15" t="s">
        <v>915</v>
      </c>
      <c r="BA1" s="15" t="s">
        <v>916</v>
      </c>
      <c r="BB1" s="15" t="s">
        <v>917</v>
      </c>
      <c r="BC1" s="15" t="s">
        <v>918</v>
      </c>
      <c r="BD1" s="15" t="s">
        <v>919</v>
      </c>
      <c r="BE1" s="15" t="s">
        <v>920</v>
      </c>
      <c r="BF1" s="15" t="s">
        <v>921</v>
      </c>
      <c r="BG1" s="15" t="s">
        <v>922</v>
      </c>
      <c r="BH1" s="15" t="s">
        <v>923</v>
      </c>
      <c r="BI1" s="15" t="s">
        <v>924</v>
      </c>
      <c r="BJ1" s="15" t="s">
        <v>925</v>
      </c>
      <c r="BK1" s="15" t="s">
        <v>926</v>
      </c>
      <c r="BL1" s="15" t="s">
        <v>927</v>
      </c>
      <c r="BM1" s="15" t="s">
        <v>928</v>
      </c>
      <c r="BN1" s="15" t="s">
        <v>929</v>
      </c>
      <c r="BO1" s="15" t="s">
        <v>930</v>
      </c>
      <c r="BP1" s="15" t="s">
        <v>931</v>
      </c>
      <c r="BQ1" s="15" t="s">
        <v>932</v>
      </c>
      <c r="BR1" s="15" t="s">
        <v>933</v>
      </c>
      <c r="BS1" s="15" t="s">
        <v>934</v>
      </c>
      <c r="BT1" s="15" t="s">
        <v>935</v>
      </c>
      <c r="BU1" s="15" t="s">
        <v>936</v>
      </c>
      <c r="BV1" s="15" t="s">
        <v>937</v>
      </c>
      <c r="BW1" s="15" t="s">
        <v>938</v>
      </c>
      <c r="BX1" s="15" t="s">
        <v>939</v>
      </c>
      <c r="BY1" s="15" t="s">
        <v>940</v>
      </c>
      <c r="BZ1" s="15" t="s">
        <v>941</v>
      </c>
      <c r="CA1" s="15" t="s">
        <v>942</v>
      </c>
      <c r="CB1" s="15" t="s">
        <v>943</v>
      </c>
      <c r="CC1" s="15" t="s">
        <v>944</v>
      </c>
      <c r="CD1" s="15" t="s">
        <v>945</v>
      </c>
      <c r="CE1" s="15" t="s">
        <v>946</v>
      </c>
      <c r="CF1" s="15" t="s">
        <v>947</v>
      </c>
      <c r="CG1" s="15" t="s">
        <v>948</v>
      </c>
      <c r="CH1" s="15" t="s">
        <v>949</v>
      </c>
      <c r="CI1" s="15" t="s">
        <v>950</v>
      </c>
      <c r="CJ1" s="15" t="s">
        <v>951</v>
      </c>
      <c r="CK1" s="15" t="s">
        <v>952</v>
      </c>
      <c r="CL1" s="15" t="s">
        <v>953</v>
      </c>
      <c r="CM1" s="15" t="s">
        <v>954</v>
      </c>
      <c r="CN1" s="15" t="s">
        <v>955</v>
      </c>
      <c r="CO1" s="15" t="s">
        <v>956</v>
      </c>
      <c r="CP1" s="15" t="s">
        <v>957</v>
      </c>
      <c r="CQ1" s="15" t="s">
        <v>958</v>
      </c>
      <c r="CR1" s="15" t="s">
        <v>959</v>
      </c>
      <c r="CS1" s="15" t="s">
        <v>960</v>
      </c>
      <c r="CT1" s="15" t="s">
        <v>961</v>
      </c>
      <c r="CU1" s="15" t="s">
        <v>962</v>
      </c>
      <c r="CV1" s="15" t="s">
        <v>963</v>
      </c>
      <c r="CW1" s="15" t="s">
        <v>964</v>
      </c>
      <c r="CX1" s="15" t="s">
        <v>965</v>
      </c>
      <c r="CY1" s="15" t="s">
        <v>966</v>
      </c>
      <c r="CZ1" s="15" t="s">
        <v>967</v>
      </c>
      <c r="DA1" s="15" t="s">
        <v>968</v>
      </c>
      <c r="DB1" s="15" t="s">
        <v>969</v>
      </c>
      <c r="DC1" s="15" t="s">
        <v>970</v>
      </c>
      <c r="DD1" s="15" t="s">
        <v>971</v>
      </c>
      <c r="DE1" s="15" t="s">
        <v>972</v>
      </c>
      <c r="DF1" s="15" t="s">
        <v>973</v>
      </c>
      <c r="DG1" s="15" t="s">
        <v>974</v>
      </c>
      <c r="DH1" s="15" t="s">
        <v>975</v>
      </c>
      <c r="DI1" s="15" t="s">
        <v>976</v>
      </c>
      <c r="DJ1" s="15" t="s">
        <v>977</v>
      </c>
      <c r="DK1" s="15" t="s">
        <v>978</v>
      </c>
      <c r="DL1" s="15" t="s">
        <v>979</v>
      </c>
      <c r="DM1" s="15" t="s">
        <v>980</v>
      </c>
      <c r="DN1" s="15" t="s">
        <v>981</v>
      </c>
      <c r="DO1" s="15" t="s">
        <v>982</v>
      </c>
      <c r="DP1" s="15" t="s">
        <v>983</v>
      </c>
      <c r="DQ1" s="15" t="s">
        <v>984</v>
      </c>
      <c r="DR1" s="15" t="s">
        <v>985</v>
      </c>
      <c r="DS1" s="15" t="s">
        <v>986</v>
      </c>
      <c r="DT1" s="15" t="s">
        <v>987</v>
      </c>
      <c r="DU1" s="15" t="s">
        <v>988</v>
      </c>
      <c r="DV1" s="15" t="s">
        <v>989</v>
      </c>
      <c r="DW1" s="15" t="s">
        <v>990</v>
      </c>
      <c r="DX1" s="15" t="s">
        <v>991</v>
      </c>
      <c r="DY1" s="15" t="s">
        <v>992</v>
      </c>
      <c r="DZ1" s="15" t="s">
        <v>993</v>
      </c>
      <c r="EA1" s="15" t="s">
        <v>994</v>
      </c>
      <c r="EB1" s="15" t="s">
        <v>995</v>
      </c>
      <c r="EC1" s="15" t="s">
        <v>996</v>
      </c>
      <c r="ED1" s="15" t="s">
        <v>997</v>
      </c>
      <c r="EE1" s="15" t="s">
        <v>998</v>
      </c>
      <c r="EF1" s="15" t="s">
        <v>999</v>
      </c>
      <c r="EG1" s="15" t="s">
        <v>1000</v>
      </c>
      <c r="EH1" s="15" t="s">
        <v>1001</v>
      </c>
      <c r="EI1" s="15" t="s">
        <v>1002</v>
      </c>
      <c r="EJ1" s="15" t="s">
        <v>1003</v>
      </c>
      <c r="EK1" s="15" t="s">
        <v>1004</v>
      </c>
      <c r="EL1" s="15" t="s">
        <v>1005</v>
      </c>
      <c r="EM1" s="15" t="s">
        <v>1006</v>
      </c>
      <c r="EN1" s="15" t="s">
        <v>1007</v>
      </c>
      <c r="EO1" s="15" t="s">
        <v>1008</v>
      </c>
      <c r="EP1" s="15" t="s">
        <v>1009</v>
      </c>
      <c r="EQ1" s="15" t="s">
        <v>1010</v>
      </c>
      <c r="ER1" s="15" t="s">
        <v>1011</v>
      </c>
      <c r="ES1" s="15" t="s">
        <v>1012</v>
      </c>
      <c r="ET1" s="15" t="s">
        <v>1013</v>
      </c>
      <c r="EU1" s="15" t="s">
        <v>1014</v>
      </c>
      <c r="EV1" s="15" t="s">
        <v>1015</v>
      </c>
      <c r="EW1" s="15" t="s">
        <v>1016</v>
      </c>
      <c r="EX1" s="15" t="s">
        <v>1017</v>
      </c>
      <c r="EY1" s="15" t="s">
        <v>1018</v>
      </c>
      <c r="EZ1" s="15" t="s">
        <v>1019</v>
      </c>
      <c r="FA1" s="15" t="s">
        <v>1020</v>
      </c>
      <c r="FB1" s="15" t="s">
        <v>1021</v>
      </c>
      <c r="FC1" s="15" t="s">
        <v>1022</v>
      </c>
      <c r="FD1" s="15" t="s">
        <v>1023</v>
      </c>
      <c r="FE1" s="15" t="s">
        <v>1024</v>
      </c>
      <c r="FF1" s="15" t="s">
        <v>1025</v>
      </c>
      <c r="FG1" s="15" t="s">
        <v>1026</v>
      </c>
      <c r="FH1" s="15" t="s">
        <v>1027</v>
      </c>
      <c r="FI1" s="15" t="s">
        <v>1028</v>
      </c>
      <c r="FJ1" s="15" t="s">
        <v>1029</v>
      </c>
      <c r="FK1" s="15" t="s">
        <v>1030</v>
      </c>
      <c r="FL1" s="15" t="s">
        <v>1031</v>
      </c>
      <c r="FM1" s="15" t="s">
        <v>1032</v>
      </c>
      <c r="FN1" s="15" t="s">
        <v>1033</v>
      </c>
      <c r="FO1" s="15" t="s">
        <v>1034</v>
      </c>
      <c r="FP1" s="15" t="s">
        <v>1035</v>
      </c>
      <c r="FQ1" s="15" t="s">
        <v>1036</v>
      </c>
      <c r="FR1" s="15" t="s">
        <v>1037</v>
      </c>
      <c r="FS1" s="15" t="s">
        <v>1038</v>
      </c>
      <c r="FT1" s="15" t="s">
        <v>1039</v>
      </c>
      <c r="FU1" s="15" t="s">
        <v>1040</v>
      </c>
      <c r="FV1" s="15" t="s">
        <v>1041</v>
      </c>
      <c r="FW1" s="15" t="s">
        <v>1042</v>
      </c>
      <c r="FX1" s="15" t="s">
        <v>1043</v>
      </c>
      <c r="FY1" s="15" t="s">
        <v>1044</v>
      </c>
      <c r="FZ1" s="15" t="s">
        <v>1045</v>
      </c>
      <c r="GA1" s="15" t="s">
        <v>1046</v>
      </c>
      <c r="GB1" s="15" t="s">
        <v>1047</v>
      </c>
      <c r="GC1" s="15" t="s">
        <v>1048</v>
      </c>
      <c r="GD1" s="15" t="s">
        <v>1049</v>
      </c>
      <c r="GE1" s="15" t="s">
        <v>1050</v>
      </c>
      <c r="GF1" s="15" t="s">
        <v>1051</v>
      </c>
      <c r="GG1" s="15" t="s">
        <v>1052</v>
      </c>
      <c r="GH1" s="15" t="s">
        <v>1053</v>
      </c>
      <c r="GI1" s="15" t="s">
        <v>1054</v>
      </c>
      <c r="GJ1" s="15" t="s">
        <v>1055</v>
      </c>
      <c r="GK1" s="15" t="s">
        <v>1056</v>
      </c>
      <c r="GL1" s="15" t="s">
        <v>1057</v>
      </c>
      <c r="GM1" s="15" t="s">
        <v>1058</v>
      </c>
      <c r="GN1" s="15" t="s">
        <v>1059</v>
      </c>
      <c r="GO1" s="15" t="s">
        <v>1060</v>
      </c>
      <c r="GP1" s="15" t="s">
        <v>1061</v>
      </c>
      <c r="GQ1" s="15" t="s">
        <v>1062</v>
      </c>
      <c r="GR1" s="15" t="s">
        <v>1063</v>
      </c>
      <c r="GS1" s="15" t="s">
        <v>1064</v>
      </c>
      <c r="GT1" s="15" t="s">
        <v>1065</v>
      </c>
      <c r="GU1" s="15" t="s">
        <v>1066</v>
      </c>
      <c r="GV1" s="15" t="s">
        <v>1067</v>
      </c>
      <c r="GW1" s="15" t="s">
        <v>1068</v>
      </c>
      <c r="GX1" s="15" t="s">
        <v>1069</v>
      </c>
      <c r="GY1" s="15" t="s">
        <v>1070</v>
      </c>
      <c r="GZ1" s="15" t="s">
        <v>1071</v>
      </c>
      <c r="HA1" s="15" t="s">
        <v>1072</v>
      </c>
      <c r="HB1" s="15" t="s">
        <v>1073</v>
      </c>
      <c r="HC1" s="15" t="s">
        <v>1074</v>
      </c>
      <c r="HD1" s="15" t="s">
        <v>1075</v>
      </c>
      <c r="HE1" s="15" t="s">
        <v>1076</v>
      </c>
      <c r="HF1" s="15" t="s">
        <v>1077</v>
      </c>
      <c r="HG1" s="15" t="s">
        <v>1078</v>
      </c>
      <c r="HH1" s="15" t="s">
        <v>1079</v>
      </c>
      <c r="HI1" s="15" t="s">
        <v>1080</v>
      </c>
      <c r="HJ1" s="15" t="s">
        <v>1081</v>
      </c>
      <c r="HK1" s="15" t="s">
        <v>1082</v>
      </c>
      <c r="HL1" s="15" t="s">
        <v>1083</v>
      </c>
      <c r="HM1" s="15" t="s">
        <v>1084</v>
      </c>
      <c r="HN1" s="15" t="s">
        <v>1085</v>
      </c>
      <c r="HO1" s="15" t="s">
        <v>1086</v>
      </c>
      <c r="HP1" s="15" t="s">
        <v>1087</v>
      </c>
      <c r="HQ1" s="15" t="s">
        <v>1088</v>
      </c>
      <c r="HR1" s="15" t="s">
        <v>1089</v>
      </c>
      <c r="HS1" s="15" t="s">
        <v>1090</v>
      </c>
      <c r="HT1" s="15" t="s">
        <v>1091</v>
      </c>
      <c r="HU1" s="15" t="s">
        <v>1092</v>
      </c>
      <c r="HV1" s="15" t="s">
        <v>1093</v>
      </c>
      <c r="HW1" s="15" t="s">
        <v>1094</v>
      </c>
      <c r="HX1" s="15" t="s">
        <v>1095</v>
      </c>
      <c r="HY1" s="15" t="s">
        <v>1096</v>
      </c>
      <c r="HZ1" s="15" t="s">
        <v>1097</v>
      </c>
      <c r="IA1" s="15" t="s">
        <v>1098</v>
      </c>
      <c r="IB1" s="15" t="s">
        <v>1099</v>
      </c>
      <c r="IC1" s="15" t="s">
        <v>1100</v>
      </c>
      <c r="ID1" s="15" t="s">
        <v>1101</v>
      </c>
      <c r="IE1" s="15" t="s">
        <v>1102</v>
      </c>
      <c r="IF1" s="15" t="s">
        <v>1103</v>
      </c>
      <c r="IG1" s="15" t="s">
        <v>1104</v>
      </c>
      <c r="IH1" s="15" t="s">
        <v>1105</v>
      </c>
      <c r="II1" s="15" t="s">
        <v>1106</v>
      </c>
      <c r="IJ1" s="15" t="s">
        <v>1107</v>
      </c>
      <c r="IK1" s="15" t="s">
        <v>1108</v>
      </c>
      <c r="IL1" s="15" t="s">
        <v>1109</v>
      </c>
      <c r="IM1" s="15" t="s">
        <v>1110</v>
      </c>
      <c r="IN1" s="15" t="s">
        <v>1111</v>
      </c>
      <c r="IO1" s="15" t="s">
        <v>1112</v>
      </c>
      <c r="IP1" s="15" t="s">
        <v>1113</v>
      </c>
      <c r="IQ1" s="15" t="s">
        <v>1114</v>
      </c>
      <c r="IR1" s="15" t="s">
        <v>1115</v>
      </c>
      <c r="IS1" s="15" t="s">
        <v>1116</v>
      </c>
      <c r="IT1" s="15" t="s">
        <v>1117</v>
      </c>
      <c r="IU1" s="15" t="s">
        <v>1118</v>
      </c>
      <c r="IV1" s="15" t="s">
        <v>1119</v>
      </c>
      <c r="IW1" s="15" t="s">
        <v>1120</v>
      </c>
      <c r="IX1" s="15" t="s">
        <v>1121</v>
      </c>
      <c r="IY1" s="15" t="s">
        <v>1122</v>
      </c>
      <c r="IZ1" s="15" t="s">
        <v>1123</v>
      </c>
      <c r="JA1" s="15" t="s">
        <v>1124</v>
      </c>
      <c r="JB1" s="15" t="s">
        <v>1125</v>
      </c>
      <c r="JC1" s="15" t="s">
        <v>1126</v>
      </c>
      <c r="JD1" s="15" t="s">
        <v>1127</v>
      </c>
      <c r="JE1" s="15" t="s">
        <v>1128</v>
      </c>
      <c r="JF1" s="15" t="s">
        <v>1129</v>
      </c>
      <c r="JG1" s="15" t="s">
        <v>1130</v>
      </c>
      <c r="JH1" s="15" t="s">
        <v>1131</v>
      </c>
      <c r="JI1" s="15" t="s">
        <v>1132</v>
      </c>
      <c r="JJ1" s="15" t="s">
        <v>1133</v>
      </c>
      <c r="JK1" s="15" t="s">
        <v>1134</v>
      </c>
      <c r="JL1" s="15" t="s">
        <v>1135</v>
      </c>
      <c r="JM1" s="15" t="s">
        <v>1136</v>
      </c>
      <c r="JN1" s="15" t="s">
        <v>1137</v>
      </c>
      <c r="JO1" s="15" t="s">
        <v>1138</v>
      </c>
      <c r="JP1" s="15" t="s">
        <v>1139</v>
      </c>
      <c r="JQ1" s="15" t="s">
        <v>1140</v>
      </c>
      <c r="JR1" s="15" t="s">
        <v>1141</v>
      </c>
      <c r="JS1" s="15" t="s">
        <v>1142</v>
      </c>
      <c r="JT1" s="15" t="s">
        <v>1143</v>
      </c>
      <c r="JU1" s="15" t="s">
        <v>1144</v>
      </c>
      <c r="JV1" s="15" t="s">
        <v>1145</v>
      </c>
      <c r="JW1" s="15" t="s">
        <v>1146</v>
      </c>
      <c r="JX1" s="15" t="s">
        <v>1147</v>
      </c>
      <c r="JY1" s="15" t="s">
        <v>1148</v>
      </c>
      <c r="JZ1" s="15" t="s">
        <v>1149</v>
      </c>
      <c r="KA1" s="15" t="s">
        <v>1150</v>
      </c>
      <c r="KB1" s="15" t="s">
        <v>1151</v>
      </c>
      <c r="KC1" s="15" t="s">
        <v>1152</v>
      </c>
      <c r="KD1" s="15" t="s">
        <v>1153</v>
      </c>
      <c r="KE1" s="15" t="s">
        <v>1154</v>
      </c>
      <c r="KF1" s="15" t="s">
        <v>1155</v>
      </c>
      <c r="KG1" s="15" t="s">
        <v>1156</v>
      </c>
      <c r="KH1" s="15" t="s">
        <v>1157</v>
      </c>
      <c r="KI1" s="15" t="s">
        <v>1158</v>
      </c>
      <c r="KJ1" s="15" t="s">
        <v>1159</v>
      </c>
      <c r="KK1" s="15" t="s">
        <v>1160</v>
      </c>
      <c r="KL1" s="15" t="s">
        <v>1161</v>
      </c>
      <c r="KM1" s="15" t="s">
        <v>1162</v>
      </c>
      <c r="KN1" s="15" t="s">
        <v>1163</v>
      </c>
      <c r="KO1" s="15" t="s">
        <v>1164</v>
      </c>
      <c r="KP1" s="15" t="s">
        <v>1165</v>
      </c>
      <c r="KQ1" s="15" t="s">
        <v>1166</v>
      </c>
      <c r="KR1" s="15" t="s">
        <v>1167</v>
      </c>
      <c r="KS1" s="15" t="s">
        <v>1168</v>
      </c>
      <c r="KT1" s="15" t="s">
        <v>1169</v>
      </c>
      <c r="KU1" s="15" t="s">
        <v>1170</v>
      </c>
      <c r="KV1" s="15" t="s">
        <v>1171</v>
      </c>
      <c r="KW1" s="15" t="s">
        <v>1172</v>
      </c>
      <c r="KX1" s="15" t="s">
        <v>1173</v>
      </c>
      <c r="KY1" s="15" t="s">
        <v>1174</v>
      </c>
      <c r="KZ1" s="15" t="s">
        <v>1175</v>
      </c>
      <c r="LA1" s="15" t="s">
        <v>1176</v>
      </c>
      <c r="LB1" s="15" t="s">
        <v>1177</v>
      </c>
      <c r="LC1" s="15" t="s">
        <v>1178</v>
      </c>
      <c r="LD1" s="15" t="s">
        <v>1179</v>
      </c>
      <c r="LE1" s="15" t="s">
        <v>1180</v>
      </c>
      <c r="LF1" s="15" t="s">
        <v>1181</v>
      </c>
      <c r="LG1" s="15" t="s">
        <v>1182</v>
      </c>
      <c r="LH1" s="15" t="s">
        <v>1183</v>
      </c>
      <c r="LI1" s="15" t="s">
        <v>1184</v>
      </c>
      <c r="LJ1" s="15" t="s">
        <v>1185</v>
      </c>
      <c r="LK1" s="15" t="s">
        <v>1186</v>
      </c>
      <c r="LL1" s="15" t="s">
        <v>1187</v>
      </c>
      <c r="LM1" s="15" t="s">
        <v>1188</v>
      </c>
      <c r="LN1" s="15" t="s">
        <v>1189</v>
      </c>
      <c r="LO1" s="15" t="s">
        <v>1190</v>
      </c>
      <c r="LP1" s="15" t="s">
        <v>1191</v>
      </c>
      <c r="LQ1" s="15" t="s">
        <v>1192</v>
      </c>
      <c r="LR1" s="15" t="s">
        <v>1193</v>
      </c>
      <c r="LS1" s="15" t="s">
        <v>1194</v>
      </c>
      <c r="LT1" s="15" t="s">
        <v>1195</v>
      </c>
      <c r="LU1" s="15" t="s">
        <v>1196</v>
      </c>
      <c r="LV1" s="15" t="s">
        <v>1197</v>
      </c>
      <c r="LW1" s="15" t="s">
        <v>1198</v>
      </c>
      <c r="LX1" s="15" t="s">
        <v>1199</v>
      </c>
      <c r="LY1" s="15" t="s">
        <v>1200</v>
      </c>
      <c r="LZ1" s="15" t="s">
        <v>1201</v>
      </c>
      <c r="MA1" s="15" t="s">
        <v>1202</v>
      </c>
      <c r="MB1" s="15" t="s">
        <v>1203</v>
      </c>
      <c r="MC1" s="15" t="s">
        <v>1204</v>
      </c>
      <c r="MD1" s="15" t="s">
        <v>1205</v>
      </c>
      <c r="ME1" s="15" t="s">
        <v>1206</v>
      </c>
      <c r="MF1" s="15" t="s">
        <v>1207</v>
      </c>
      <c r="MG1" s="15" t="s">
        <v>1208</v>
      </c>
      <c r="MH1" s="15" t="s">
        <v>1209</v>
      </c>
      <c r="MI1" s="15" t="s">
        <v>1210</v>
      </c>
      <c r="MJ1" s="15" t="s">
        <v>1211</v>
      </c>
      <c r="MK1" s="15" t="s">
        <v>1212</v>
      </c>
      <c r="ML1" s="15" t="s">
        <v>1213</v>
      </c>
      <c r="MM1" s="15" t="s">
        <v>1214</v>
      </c>
      <c r="MN1" s="15" t="s">
        <v>1215</v>
      </c>
      <c r="MO1" s="15" t="s">
        <v>1216</v>
      </c>
      <c r="MP1" s="15" t="s">
        <v>1217</v>
      </c>
      <c r="MQ1" s="15" t="s">
        <v>1218</v>
      </c>
      <c r="MR1" s="15" t="s">
        <v>1219</v>
      </c>
      <c r="MS1" s="15" t="s">
        <v>1220</v>
      </c>
      <c r="MT1" s="15" t="s">
        <v>1221</v>
      </c>
      <c r="MU1" s="15" t="s">
        <v>1222</v>
      </c>
      <c r="MV1" s="15" t="s">
        <v>1223</v>
      </c>
      <c r="MW1" s="15" t="s">
        <v>1224</v>
      </c>
      <c r="MX1" s="15" t="s">
        <v>1225</v>
      </c>
      <c r="MY1" s="15" t="s">
        <v>1226</v>
      </c>
      <c r="MZ1" s="15" t="s">
        <v>1227</v>
      </c>
      <c r="NA1" s="15" t="s">
        <v>1228</v>
      </c>
      <c r="NB1" s="15" t="s">
        <v>1229</v>
      </c>
      <c r="NC1" s="15" t="s">
        <v>1230</v>
      </c>
      <c r="ND1" s="15" t="s">
        <v>1231</v>
      </c>
      <c r="NE1" s="15" t="s">
        <v>1232</v>
      </c>
      <c r="NF1" s="15" t="s">
        <v>1233</v>
      </c>
    </row>
    <row r="2" spans="1:370" x14ac:dyDescent="0.25">
      <c r="A2" t="s">
        <v>1234</v>
      </c>
      <c r="B2" t="s">
        <v>1235</v>
      </c>
      <c r="C2" s="1" t="s">
        <v>1236</v>
      </c>
      <c r="D2" t="s">
        <v>1237</v>
      </c>
      <c r="E2" t="s">
        <v>1238</v>
      </c>
      <c r="F2" t="s">
        <v>1239</v>
      </c>
      <c r="G2" s="11">
        <v>11.31073</v>
      </c>
      <c r="H2" s="11">
        <v>11.68304</v>
      </c>
      <c r="I2" s="11">
        <v>12.17741</v>
      </c>
      <c r="J2" s="11">
        <v>12.711510000000001</v>
      </c>
      <c r="K2" s="11">
        <v>13.40424</v>
      </c>
      <c r="L2" s="11">
        <v>13.850160000000001</v>
      </c>
      <c r="M2" s="11">
        <v>15.049390000000001</v>
      </c>
      <c r="N2" s="11">
        <v>16.370239999999999</v>
      </c>
      <c r="O2" s="11">
        <v>18.178339999999999</v>
      </c>
      <c r="P2" s="11">
        <v>19.014800000000001</v>
      </c>
      <c r="Q2" s="11">
        <v>20.264759999999999</v>
      </c>
      <c r="R2" s="11">
        <v>20.490079999999999</v>
      </c>
      <c r="S2" s="11">
        <v>20.755050000000001</v>
      </c>
      <c r="T2" s="11">
        <v>21.472860000000001</v>
      </c>
      <c r="U2" s="11">
        <v>21.82996</v>
      </c>
      <c r="V2" s="11">
        <v>21.986699999999999</v>
      </c>
      <c r="W2" s="11">
        <v>22.594069999999999</v>
      </c>
      <c r="X2" s="11">
        <v>23.132210000000001</v>
      </c>
      <c r="Y2" s="11">
        <v>23.4834</v>
      </c>
      <c r="Z2" s="11">
        <v>23.903269999999999</v>
      </c>
      <c r="AA2" s="11">
        <v>24.66358</v>
      </c>
      <c r="AB2" s="11">
        <v>25.338439999999999</v>
      </c>
      <c r="AC2" s="11">
        <v>25.691469999999999</v>
      </c>
      <c r="AD2" s="11">
        <v>26.299160000000001</v>
      </c>
      <c r="AE2" s="11">
        <v>27.45561</v>
      </c>
      <c r="AF2" s="11">
        <v>27.490459999999999</v>
      </c>
      <c r="AG2" s="11">
        <v>29.598659999999999</v>
      </c>
      <c r="AH2" s="11">
        <v>30.8156</v>
      </c>
      <c r="AI2" s="11">
        <v>32.540550000000003</v>
      </c>
      <c r="AJ2" s="11">
        <v>34.726950000000002</v>
      </c>
      <c r="AK2" s="11">
        <v>35.928190000000001</v>
      </c>
      <c r="AL2" s="11">
        <v>37.0792</v>
      </c>
      <c r="AM2" s="11">
        <v>37.69285</v>
      </c>
      <c r="AN2" s="11">
        <v>38.15502</v>
      </c>
      <c r="AO2" s="11">
        <v>38.569020000000002</v>
      </c>
      <c r="AP2" s="11">
        <v>39.219499999999996</v>
      </c>
      <c r="AQ2" s="11">
        <v>39.838569999999997</v>
      </c>
      <c r="AR2" s="11">
        <v>39.87285</v>
      </c>
      <c r="AS2" s="11">
        <v>40.107120000000002</v>
      </c>
      <c r="AT2" s="11">
        <v>40.315269999999998</v>
      </c>
      <c r="AU2" s="11">
        <v>40.524909999999998</v>
      </c>
      <c r="AV2" s="11">
        <v>40.86721</v>
      </c>
      <c r="AW2" s="11">
        <v>41.293210000000002</v>
      </c>
      <c r="AX2" s="11">
        <v>41.64593</v>
      </c>
      <c r="AY2" s="11">
        <v>41.877119999999998</v>
      </c>
      <c r="AZ2" s="11">
        <v>42.863860000000003</v>
      </c>
      <c r="BA2" s="11">
        <v>43.386560000000003</v>
      </c>
      <c r="BB2" s="11">
        <v>43.714590000000001</v>
      </c>
      <c r="BC2" s="11">
        <v>43.859360000000002</v>
      </c>
      <c r="BD2" s="11">
        <v>43.822589999999998</v>
      </c>
      <c r="BE2" s="11">
        <v>44.954189999999997</v>
      </c>
      <c r="BF2" s="11">
        <v>45.39808</v>
      </c>
      <c r="BG2" s="11">
        <v>45.991010000000003</v>
      </c>
      <c r="BH2" s="11">
        <v>46.486730000000001</v>
      </c>
      <c r="BI2" s="11">
        <v>46.848269999999999</v>
      </c>
      <c r="BJ2" s="11">
        <v>46.625970000000002</v>
      </c>
      <c r="BK2" s="11">
        <v>46.734940000000002</v>
      </c>
      <c r="BL2" s="11">
        <v>47.143540000000002</v>
      </c>
      <c r="BM2" s="11">
        <v>47.220829999999999</v>
      </c>
      <c r="BN2" s="11">
        <v>47.960340000000002</v>
      </c>
      <c r="BO2" s="11">
        <v>48.486249999999998</v>
      </c>
      <c r="BP2" s="11">
        <v>49.414969999999997</v>
      </c>
      <c r="BQ2" s="11">
        <v>50.342970000000001</v>
      </c>
      <c r="BR2" s="11">
        <v>51.531849999999999</v>
      </c>
      <c r="BS2" s="11">
        <v>52.552460000000004</v>
      </c>
      <c r="BT2" s="11">
        <v>53.574669999999998</v>
      </c>
      <c r="BU2" s="11">
        <v>54.88494</v>
      </c>
      <c r="BV2" s="11">
        <v>56.612250000000003</v>
      </c>
      <c r="BW2" s="11">
        <v>57.932279999999999</v>
      </c>
      <c r="BX2" s="11">
        <v>58.926490000000001</v>
      </c>
      <c r="BY2" s="11">
        <v>60.597549999999998</v>
      </c>
      <c r="BZ2" s="11">
        <v>61.549779999999998</v>
      </c>
      <c r="CA2" s="11">
        <v>62.954430000000002</v>
      </c>
      <c r="CB2" s="11">
        <v>64.018299999999996</v>
      </c>
      <c r="CC2" s="11">
        <v>65.249420000000001</v>
      </c>
      <c r="CD2" s="11">
        <v>66.141959999999997</v>
      </c>
      <c r="CE2" s="11">
        <v>66.781809999999993</v>
      </c>
      <c r="CF2" s="11">
        <v>66.674689999999998</v>
      </c>
      <c r="CG2" s="11">
        <v>66.449650000000005</v>
      </c>
      <c r="CH2" s="11">
        <v>66.484099999999998</v>
      </c>
      <c r="CI2" s="11">
        <v>66.488950000000003</v>
      </c>
      <c r="CJ2" s="11">
        <v>67.052409999999995</v>
      </c>
      <c r="CK2" s="11">
        <v>67.312259999999995</v>
      </c>
      <c r="CL2" s="11">
        <v>67.660259999999994</v>
      </c>
      <c r="CM2" s="11">
        <v>67.295590000000004</v>
      </c>
      <c r="CN2" s="11">
        <v>66.660129999999995</v>
      </c>
      <c r="CO2" s="11">
        <v>67.098290000000006</v>
      </c>
      <c r="CP2" s="11">
        <v>67.555109999999999</v>
      </c>
      <c r="CQ2" s="11">
        <v>67.762289999999993</v>
      </c>
      <c r="CR2" s="11">
        <v>68.626689999999996</v>
      </c>
      <c r="CS2" s="11">
        <v>68.505549999999999</v>
      </c>
      <c r="CT2" s="11">
        <v>69.301109999999994</v>
      </c>
      <c r="CU2" s="11">
        <v>69.588480000000004</v>
      </c>
      <c r="CV2" s="11">
        <v>70.225399999999993</v>
      </c>
      <c r="CW2" s="11">
        <v>70.571240000000003</v>
      </c>
      <c r="CX2" s="11">
        <v>70.170429999999996</v>
      </c>
      <c r="CY2" s="11">
        <v>71.376000000000005</v>
      </c>
      <c r="CZ2" s="11">
        <v>72.359440000000006</v>
      </c>
      <c r="DA2" s="11">
        <v>73.215940000000003</v>
      </c>
      <c r="DB2" s="11">
        <v>72.752009999999999</v>
      </c>
      <c r="DC2" s="11">
        <v>72.372510000000005</v>
      </c>
      <c r="DD2" s="11">
        <v>73.19435</v>
      </c>
      <c r="DE2" s="11">
        <v>74.333060000000003</v>
      </c>
      <c r="DF2" s="11">
        <v>74.287930000000003</v>
      </c>
      <c r="DG2" s="11">
        <v>76.114940000000004</v>
      </c>
      <c r="DH2" s="11">
        <v>77.443020000000004</v>
      </c>
      <c r="DI2" s="11">
        <v>77.584969999999998</v>
      </c>
      <c r="DJ2" s="11">
        <v>77.568190000000001</v>
      </c>
      <c r="DK2" s="11">
        <v>77.594200000000001</v>
      </c>
      <c r="DL2" s="11">
        <v>78.701040000000006</v>
      </c>
      <c r="DM2" s="11">
        <v>79.935569999999998</v>
      </c>
      <c r="DN2" s="11">
        <v>81.523009999999999</v>
      </c>
      <c r="DO2" s="11">
        <v>82.72627</v>
      </c>
      <c r="DP2" s="11">
        <v>82.110759999999999</v>
      </c>
      <c r="DQ2" s="11">
        <v>82.220650000000006</v>
      </c>
      <c r="DR2" s="11">
        <v>82.690380000000005</v>
      </c>
      <c r="DS2" s="11">
        <v>82.958079999999995</v>
      </c>
      <c r="DT2" s="11">
        <v>82.72851</v>
      </c>
      <c r="DU2" s="11">
        <v>82.795910000000006</v>
      </c>
      <c r="DV2" s="11">
        <v>83.353229999999996</v>
      </c>
      <c r="DW2" s="11">
        <v>83.9208</v>
      </c>
      <c r="DX2" s="11">
        <v>83.920559999999995</v>
      </c>
      <c r="DY2" s="11">
        <v>85.274410000000003</v>
      </c>
      <c r="DZ2" s="11">
        <v>85.869309999999999</v>
      </c>
      <c r="EA2" s="11">
        <v>87.352059999999994</v>
      </c>
      <c r="EB2" s="11">
        <v>87.178790000000006</v>
      </c>
      <c r="EC2" s="11">
        <v>88.723380000000006</v>
      </c>
      <c r="ED2" s="11">
        <v>90.059650000000005</v>
      </c>
      <c r="EE2" s="11">
        <v>91.265820000000005</v>
      </c>
      <c r="EF2" s="11">
        <v>90.49091</v>
      </c>
      <c r="EG2" s="11">
        <v>91.347210000000004</v>
      </c>
      <c r="EH2" s="11">
        <v>90.819419999999994</v>
      </c>
      <c r="EI2" s="11">
        <v>93.32159</v>
      </c>
      <c r="EJ2" s="11">
        <v>92.744410000000002</v>
      </c>
      <c r="EK2" s="11">
        <v>93.980130000000003</v>
      </c>
      <c r="EL2" s="11">
        <v>95.982370000000003</v>
      </c>
      <c r="EM2" s="11">
        <v>97.296390000000002</v>
      </c>
      <c r="EN2" s="11">
        <v>97.197559999999996</v>
      </c>
      <c r="EO2" s="11">
        <v>98.634910000000005</v>
      </c>
      <c r="EP2" s="11">
        <v>97.96114</v>
      </c>
      <c r="EQ2" s="11">
        <v>99.501630000000006</v>
      </c>
      <c r="ER2" s="11">
        <v>98.887450000000001</v>
      </c>
      <c r="ES2" s="11">
        <v>100.008</v>
      </c>
      <c r="ET2" s="11">
        <v>101.60299999999999</v>
      </c>
      <c r="EU2" s="11">
        <v>102.3583</v>
      </c>
      <c r="EV2" s="11">
        <v>104.1228</v>
      </c>
      <c r="EW2" s="11">
        <v>103.6772</v>
      </c>
      <c r="EX2" s="11">
        <v>104.8081</v>
      </c>
      <c r="EY2" s="11">
        <v>104.5424</v>
      </c>
      <c r="EZ2" s="11">
        <v>103.5501</v>
      </c>
      <c r="FA2" s="11">
        <v>103.9633</v>
      </c>
      <c r="FB2" s="11">
        <v>103.9308</v>
      </c>
      <c r="FC2" s="11">
        <v>106.2204</v>
      </c>
      <c r="FD2" s="11">
        <v>105.1857</v>
      </c>
      <c r="FE2" s="11">
        <v>104.4241</v>
      </c>
      <c r="FF2" s="11">
        <v>104.49979999999999</v>
      </c>
      <c r="FG2" s="11">
        <v>105.1093</v>
      </c>
      <c r="FH2" s="11">
        <v>105.9355</v>
      </c>
      <c r="FI2" s="11">
        <v>105.08540000000001</v>
      </c>
      <c r="FJ2" s="11">
        <v>105.78</v>
      </c>
      <c r="FK2" s="11">
        <v>105.813</v>
      </c>
      <c r="FL2" s="11">
        <v>108.6726</v>
      </c>
      <c r="FM2" s="11">
        <v>108.0243</v>
      </c>
      <c r="FN2" s="11">
        <v>108.1934</v>
      </c>
      <c r="FO2" s="11">
        <v>108.4132</v>
      </c>
      <c r="FP2" s="11">
        <v>107.0247</v>
      </c>
      <c r="FQ2" s="11">
        <v>105.9806</v>
      </c>
      <c r="FR2" s="11">
        <v>106.4263</v>
      </c>
      <c r="FS2" s="11">
        <v>107.6554</v>
      </c>
      <c r="FT2" s="11">
        <v>107.7436</v>
      </c>
      <c r="FU2" s="11">
        <v>108.6159</v>
      </c>
      <c r="FV2" s="11">
        <v>108.54730000000001</v>
      </c>
      <c r="FW2" s="11">
        <v>109.2957</v>
      </c>
      <c r="FX2" s="11">
        <v>110.5784</v>
      </c>
      <c r="FY2" s="11">
        <v>111.0078</v>
      </c>
      <c r="FZ2" s="11">
        <v>110.4295</v>
      </c>
      <c r="GA2" s="11">
        <v>111.2424</v>
      </c>
      <c r="GB2" s="11">
        <v>112.0501</v>
      </c>
      <c r="GC2" s="11">
        <v>111.80800000000001</v>
      </c>
      <c r="GD2" s="11">
        <v>111.70650000000001</v>
      </c>
      <c r="GE2" s="11">
        <v>114.07389999999999</v>
      </c>
      <c r="GF2" s="11">
        <v>113.6866</v>
      </c>
      <c r="GG2" s="11">
        <v>115.17919999999999</v>
      </c>
      <c r="GH2" s="11">
        <v>116.4156</v>
      </c>
      <c r="GI2" s="11">
        <v>116.8866</v>
      </c>
      <c r="GJ2" s="11">
        <v>118.69540000000001</v>
      </c>
      <c r="GK2" s="11">
        <v>118.1284</v>
      </c>
      <c r="GL2" s="11">
        <v>118.05759999999999</v>
      </c>
      <c r="GM2" s="11">
        <v>121.4135</v>
      </c>
      <c r="GN2" s="11">
        <v>148.0633</v>
      </c>
      <c r="GO2" s="11">
        <v>130.36799999999999</v>
      </c>
      <c r="GP2" s="11">
        <v>131.90299999999999</v>
      </c>
      <c r="GQ2" s="11">
        <v>133.5222</v>
      </c>
      <c r="GR2" s="11">
        <v>127.8947</v>
      </c>
      <c r="GS2" s="11">
        <v>127.1511</v>
      </c>
      <c r="GT2" s="11">
        <v>126.23139999999999</v>
      </c>
      <c r="GU2" s="11">
        <v>128.774</v>
      </c>
      <c r="GV2" s="11">
        <v>130.8664</v>
      </c>
      <c r="GW2" s="11">
        <v>133.08009999999999</v>
      </c>
      <c r="GX2" s="11">
        <v>135.47059999999999</v>
      </c>
      <c r="GY2" s="11">
        <v>138.5436</v>
      </c>
      <c r="GZ2" s="11">
        <v>141.43100000000001</v>
      </c>
      <c r="HA2" s="11">
        <v>142.7002</v>
      </c>
      <c r="HB2" s="11">
        <v>144.6448</v>
      </c>
      <c r="HC2" s="11">
        <v>146.21080000000001</v>
      </c>
      <c r="HD2" s="11">
        <v>148.0625</v>
      </c>
      <c r="HE2" s="11">
        <v>149.06039999999999</v>
      </c>
      <c r="HF2" s="12">
        <v>151.52619999999999</v>
      </c>
      <c r="HG2" s="12">
        <v>152.41929999999999</v>
      </c>
      <c r="HH2" s="12">
        <v>156.24039999999999</v>
      </c>
      <c r="HI2" s="12">
        <v>157.3201</v>
      </c>
      <c r="HJ2" s="12">
        <v>158.30940000000001</v>
      </c>
      <c r="HK2" s="12">
        <v>159.12799999999999</v>
      </c>
      <c r="HL2" s="12">
        <v>159.905</v>
      </c>
      <c r="HM2" s="12">
        <v>160.6525</v>
      </c>
      <c r="HN2" s="12">
        <v>161.40700000000001</v>
      </c>
      <c r="HO2" s="12">
        <v>162.15979999999999</v>
      </c>
      <c r="HP2" s="12">
        <v>162.8638</v>
      </c>
      <c r="HQ2" s="12">
        <v>163.56870000000001</v>
      </c>
      <c r="HR2" s="12">
        <v>164.2876</v>
      </c>
      <c r="HS2" s="12">
        <v>165.03870000000001</v>
      </c>
      <c r="HT2" s="12">
        <v>165.869</v>
      </c>
      <c r="HU2" s="12">
        <v>166.72110000000001</v>
      </c>
      <c r="HV2" s="12">
        <v>167.63419999999999</v>
      </c>
      <c r="HW2" s="12">
        <v>168.55520000000001</v>
      </c>
      <c r="HX2" s="12">
        <v>169.44110000000001</v>
      </c>
      <c r="HY2" s="12">
        <v>170.3372</v>
      </c>
      <c r="HZ2" s="12">
        <v>171.23570000000001</v>
      </c>
      <c r="IA2" s="12">
        <v>172.13740000000001</v>
      </c>
      <c r="IB2" s="12">
        <v>173.0316</v>
      </c>
      <c r="IC2" s="12">
        <v>173.9144</v>
      </c>
      <c r="ID2" s="12">
        <v>174.7988</v>
      </c>
      <c r="IE2" s="12">
        <v>175.69110000000001</v>
      </c>
      <c r="IF2" s="12">
        <v>176.5926</v>
      </c>
      <c r="IG2" s="12">
        <v>177.49860000000001</v>
      </c>
      <c r="IH2" s="12">
        <v>178.4093</v>
      </c>
      <c r="II2" s="12">
        <v>179.32470000000001</v>
      </c>
      <c r="IJ2" s="12">
        <v>180.2313</v>
      </c>
      <c r="IK2" s="12">
        <v>181.1337</v>
      </c>
      <c r="IL2" s="12">
        <v>182.03559999999999</v>
      </c>
      <c r="IM2" s="12">
        <v>182.94290000000001</v>
      </c>
      <c r="IN2" s="12">
        <v>183.8545</v>
      </c>
      <c r="IO2" s="12">
        <v>184.78450000000001</v>
      </c>
      <c r="IP2" s="12">
        <v>185.7124</v>
      </c>
      <c r="IQ2" s="12">
        <v>186.6455</v>
      </c>
      <c r="IR2" s="12">
        <v>187.58250000000001</v>
      </c>
      <c r="IS2" s="12">
        <v>188.51509999999999</v>
      </c>
      <c r="IT2" s="12">
        <v>189.45859999999999</v>
      </c>
      <c r="IU2" s="12">
        <v>190.40690000000001</v>
      </c>
      <c r="IV2" s="12">
        <v>191.36170000000001</v>
      </c>
      <c r="IW2" s="12">
        <v>192.32329999999999</v>
      </c>
      <c r="IX2" s="12">
        <v>193.29220000000001</v>
      </c>
      <c r="IY2" s="12">
        <v>194.2535</v>
      </c>
      <c r="IZ2" s="12">
        <v>195.2235</v>
      </c>
      <c r="JA2" s="12">
        <v>196.20249999999999</v>
      </c>
      <c r="JB2" s="12">
        <v>197.19059999999999</v>
      </c>
      <c r="JC2" s="12">
        <v>198.18389999999999</v>
      </c>
      <c r="JD2" s="12">
        <v>199.18219999999999</v>
      </c>
      <c r="JE2" s="12">
        <v>200.1857</v>
      </c>
      <c r="JF2" s="12">
        <v>201.1943</v>
      </c>
      <c r="JG2" s="12">
        <v>202.19560000000001</v>
      </c>
      <c r="JH2" s="12">
        <v>203.2062</v>
      </c>
      <c r="JI2" s="12">
        <v>204.2261</v>
      </c>
      <c r="JJ2" s="12">
        <v>205.25559999999999</v>
      </c>
      <c r="JK2" s="12">
        <v>206.2903</v>
      </c>
      <c r="JL2" s="12">
        <v>207.3304</v>
      </c>
      <c r="JM2" s="12">
        <v>208.37549999999999</v>
      </c>
      <c r="JN2" s="12">
        <v>209.42619999999999</v>
      </c>
      <c r="JO2" s="12">
        <v>210.48230000000001</v>
      </c>
      <c r="JP2" s="12">
        <v>211.54409999999999</v>
      </c>
      <c r="JQ2" s="12">
        <v>212.61160000000001</v>
      </c>
      <c r="JR2" s="12">
        <v>213.68450000000001</v>
      </c>
      <c r="JS2" s="12">
        <v>214.75299999999999</v>
      </c>
      <c r="JT2" s="12">
        <v>215.83</v>
      </c>
      <c r="JU2" s="12">
        <v>216.91589999999999</v>
      </c>
      <c r="JV2" s="12">
        <v>218.01070000000001</v>
      </c>
      <c r="JW2" s="12">
        <v>219.11080000000001</v>
      </c>
      <c r="JX2" s="12">
        <v>220.21680000000001</v>
      </c>
      <c r="JY2" s="12">
        <v>221.32830000000001</v>
      </c>
      <c r="JZ2" s="12">
        <v>222.44569999999999</v>
      </c>
      <c r="KA2" s="12">
        <v>223.56880000000001</v>
      </c>
      <c r="KB2" s="12">
        <v>224.69739999999999</v>
      </c>
      <c r="KC2" s="12">
        <v>225.8321</v>
      </c>
      <c r="KD2" s="12">
        <v>226.9726</v>
      </c>
      <c r="KE2" s="12">
        <v>228.11879999999999</v>
      </c>
      <c r="KF2" s="12">
        <v>229.27099999999999</v>
      </c>
      <c r="KG2" s="12">
        <v>230.42920000000001</v>
      </c>
      <c r="KH2" s="12">
        <v>231.5932</v>
      </c>
      <c r="KI2" s="12">
        <v>232.76320000000001</v>
      </c>
      <c r="KJ2" s="12">
        <v>233.9391</v>
      </c>
      <c r="KK2" s="12">
        <v>235.12090000000001</v>
      </c>
      <c r="KL2" s="12">
        <v>236.30889999999999</v>
      </c>
      <c r="KM2" s="12">
        <v>237.5027</v>
      </c>
      <c r="KN2" s="12">
        <v>238.7029</v>
      </c>
      <c r="KO2" s="12">
        <v>239.90899999999999</v>
      </c>
      <c r="KP2" s="12">
        <v>241.12119999999999</v>
      </c>
      <c r="KQ2" s="12">
        <v>242.33959999999999</v>
      </c>
      <c r="KR2" s="12">
        <v>243.5643</v>
      </c>
      <c r="KS2" s="12">
        <v>244.79509999999999</v>
      </c>
      <c r="KT2" s="12">
        <v>246.03210000000001</v>
      </c>
      <c r="KU2" s="12">
        <v>247.27539999999999</v>
      </c>
      <c r="KV2" s="12">
        <v>248.52510000000001</v>
      </c>
      <c r="KW2" s="12">
        <v>249.78110000000001</v>
      </c>
      <c r="KX2" s="12">
        <v>251.04349999999999</v>
      </c>
      <c r="KY2" s="12">
        <v>252.3124</v>
      </c>
      <c r="KZ2" s="12">
        <v>253.58760000000001</v>
      </c>
      <c r="LA2" s="12">
        <v>254.86940000000001</v>
      </c>
      <c r="LB2" s="12">
        <v>256.15769999999998</v>
      </c>
      <c r="LC2" s="12">
        <v>257.45260000000002</v>
      </c>
      <c r="LD2" s="12">
        <v>258.7543</v>
      </c>
      <c r="LE2" s="12">
        <v>260.06259999999997</v>
      </c>
      <c r="LF2" s="12">
        <v>261.3777</v>
      </c>
      <c r="LG2" s="12">
        <v>262.67219999999998</v>
      </c>
      <c r="LH2" s="12">
        <v>263.9819</v>
      </c>
      <c r="LI2" s="12">
        <v>265.30220000000003</v>
      </c>
      <c r="LJ2" s="12">
        <v>266.63929999999999</v>
      </c>
      <c r="LK2" s="12">
        <v>267.98469999999998</v>
      </c>
      <c r="LL2" s="12">
        <v>269.3383</v>
      </c>
      <c r="LM2" s="12">
        <v>270.69060000000002</v>
      </c>
      <c r="LN2" s="12">
        <v>272.05250000000001</v>
      </c>
      <c r="LO2" s="12">
        <v>273.4239</v>
      </c>
      <c r="LP2" s="12">
        <v>274.80459999999999</v>
      </c>
      <c r="LQ2" s="12">
        <v>276.19260000000003</v>
      </c>
      <c r="LR2" s="12">
        <v>277.58749999999998</v>
      </c>
      <c r="LS2" s="12">
        <v>278.98930000000001</v>
      </c>
      <c r="LT2" s="12">
        <v>280.3981</v>
      </c>
      <c r="LU2" s="12">
        <v>281.81020000000001</v>
      </c>
      <c r="LV2" s="12">
        <v>283.23050000000001</v>
      </c>
      <c r="LW2" s="12">
        <v>284.65929999999997</v>
      </c>
      <c r="LX2" s="12">
        <v>286.09690000000001</v>
      </c>
      <c r="LY2" s="12">
        <v>287.53809999999999</v>
      </c>
      <c r="LZ2" s="12">
        <v>288.98770000000002</v>
      </c>
      <c r="MA2" s="12">
        <v>290.44580000000002</v>
      </c>
      <c r="MB2" s="12">
        <v>291.91210000000001</v>
      </c>
      <c r="MC2" s="12">
        <v>293.38589999999999</v>
      </c>
      <c r="MD2" s="12">
        <v>294.86709999999999</v>
      </c>
      <c r="ME2" s="12">
        <v>296.35570000000001</v>
      </c>
      <c r="MF2" s="12">
        <v>297.85169999999999</v>
      </c>
      <c r="MG2" s="12">
        <v>299.35939999999999</v>
      </c>
      <c r="MH2" s="12">
        <v>300.8734</v>
      </c>
      <c r="MI2" s="12">
        <v>302.39339999999999</v>
      </c>
      <c r="MJ2" s="12">
        <v>303.91989999999998</v>
      </c>
      <c r="MK2" s="12">
        <v>305.4529</v>
      </c>
      <c r="ML2" s="12">
        <v>306.99380000000002</v>
      </c>
      <c r="MM2" s="12">
        <v>308.54300000000001</v>
      </c>
      <c r="MN2" s="12">
        <v>310.10019999999997</v>
      </c>
      <c r="MO2" s="12">
        <v>311.66989999999998</v>
      </c>
      <c r="MP2" s="12">
        <v>313.24610000000001</v>
      </c>
      <c r="MQ2" s="12">
        <v>314.82859999999999</v>
      </c>
      <c r="MR2" s="12">
        <v>316.41770000000002</v>
      </c>
      <c r="MS2" s="12">
        <v>318.01490000000001</v>
      </c>
      <c r="MT2" s="12">
        <v>319.61989999999997</v>
      </c>
      <c r="MU2" t="s">
        <v>1240</v>
      </c>
      <c r="MV2" t="b">
        <v>0</v>
      </c>
      <c r="MW2" t="s">
        <v>1238</v>
      </c>
      <c r="MX2">
        <v>2008</v>
      </c>
      <c r="MY2">
        <v>2024</v>
      </c>
      <c r="MZ2">
        <v>3</v>
      </c>
      <c r="NA2" t="s">
        <v>1238</v>
      </c>
      <c r="NB2" t="s">
        <v>1240</v>
      </c>
      <c r="NC2" s="1" t="s">
        <v>1241</v>
      </c>
      <c r="ND2" t="s">
        <v>1242</v>
      </c>
      <c r="NE2" t="s">
        <v>1243</v>
      </c>
      <c r="NF2" s="1" t="s">
        <v>1244</v>
      </c>
    </row>
    <row r="3" spans="1:370" x14ac:dyDescent="0.25">
      <c r="A3" t="s">
        <v>1234</v>
      </c>
      <c r="B3" t="s">
        <v>1245</v>
      </c>
      <c r="C3" s="1" t="s">
        <v>1236</v>
      </c>
      <c r="D3" t="s">
        <v>1246</v>
      </c>
      <c r="E3" t="s">
        <v>1247</v>
      </c>
      <c r="F3" t="s">
        <v>1239</v>
      </c>
      <c r="G3" s="11">
        <v>552.03840000000002</v>
      </c>
      <c r="H3" s="11">
        <v>550.91409999999996</v>
      </c>
      <c r="I3" s="11">
        <v>576.77329999999995</v>
      </c>
      <c r="J3" s="11">
        <v>629.61609999999996</v>
      </c>
      <c r="K3" s="11">
        <v>677.96159999999998</v>
      </c>
      <c r="L3" s="11">
        <v>684.70749999999998</v>
      </c>
      <c r="M3" s="11">
        <v>843.23580000000004</v>
      </c>
      <c r="N3" s="11">
        <v>932.05669999999998</v>
      </c>
      <c r="O3" s="11">
        <v>1014.1319999999999</v>
      </c>
      <c r="P3" s="11">
        <v>1131.06</v>
      </c>
      <c r="Q3" s="11">
        <v>1191.7729999999999</v>
      </c>
      <c r="R3" s="11">
        <v>1236.7460000000001</v>
      </c>
      <c r="S3" s="11">
        <v>1310.951</v>
      </c>
      <c r="T3" s="11">
        <v>1421.133</v>
      </c>
      <c r="U3" s="11">
        <v>1454.8630000000001</v>
      </c>
      <c r="V3" s="11">
        <v>1508.83</v>
      </c>
      <c r="W3" s="11">
        <v>1574.04</v>
      </c>
      <c r="X3" s="11">
        <v>1571.7919999999999</v>
      </c>
      <c r="Y3" s="11">
        <v>1593.154</v>
      </c>
      <c r="Z3" s="11">
        <v>1662.8610000000001</v>
      </c>
      <c r="AA3" s="11">
        <v>1750.558</v>
      </c>
      <c r="AB3" s="11">
        <v>1639.25</v>
      </c>
      <c r="AC3" s="11">
        <v>1683.0989999999999</v>
      </c>
      <c r="AD3" s="11">
        <v>1750.558</v>
      </c>
      <c r="AE3" s="11">
        <v>1848.373</v>
      </c>
      <c r="AF3" s="11">
        <v>1895.5940000000001</v>
      </c>
      <c r="AG3" s="11">
        <v>1949.5609999999999</v>
      </c>
      <c r="AH3" s="11">
        <v>2051.8739999999998</v>
      </c>
      <c r="AI3" s="11">
        <v>2203.6559999999999</v>
      </c>
      <c r="AJ3" s="11">
        <v>2273.364</v>
      </c>
      <c r="AK3" s="11">
        <v>2332.9520000000002</v>
      </c>
      <c r="AL3" s="11">
        <v>2420.6489999999999</v>
      </c>
      <c r="AM3" s="11">
        <v>2498.2269999999999</v>
      </c>
      <c r="AN3" s="11">
        <v>2399.2869999999998</v>
      </c>
      <c r="AO3" s="11">
        <v>2452.13</v>
      </c>
      <c r="AP3" s="11">
        <v>2560.0639999999999</v>
      </c>
      <c r="AQ3" s="11">
        <v>2665.75</v>
      </c>
      <c r="AR3" s="11">
        <v>2569.0590000000002</v>
      </c>
      <c r="AS3" s="11">
        <v>2582.5500000000002</v>
      </c>
      <c r="AT3" s="11">
        <v>2688.2359999999999</v>
      </c>
      <c r="AU3" s="11">
        <v>2872.623</v>
      </c>
      <c r="AV3" s="11">
        <v>2925.4659999999999</v>
      </c>
      <c r="AW3" s="11">
        <v>2987.3029999999999</v>
      </c>
      <c r="AX3" s="11">
        <v>3060.384</v>
      </c>
      <c r="AY3" s="11">
        <v>3088.4920000000002</v>
      </c>
      <c r="AZ3" s="11">
        <v>3128.9670000000001</v>
      </c>
      <c r="BA3" s="11">
        <v>3185.183</v>
      </c>
      <c r="BB3" s="11">
        <v>3267.2579999999998</v>
      </c>
      <c r="BC3" s="11">
        <v>3359.4520000000002</v>
      </c>
      <c r="BD3" s="11">
        <v>3403.3</v>
      </c>
      <c r="BE3" s="11">
        <v>3447.1480000000001</v>
      </c>
      <c r="BF3" s="11">
        <v>3557.3310000000001</v>
      </c>
      <c r="BG3" s="11">
        <v>3637.1570000000002</v>
      </c>
      <c r="BH3" s="11">
        <v>3792.3130000000001</v>
      </c>
      <c r="BI3" s="11">
        <v>3863.145</v>
      </c>
      <c r="BJ3" s="11">
        <v>3930.6030000000001</v>
      </c>
      <c r="BK3" s="11">
        <v>4305</v>
      </c>
      <c r="BL3" s="11">
        <v>4334</v>
      </c>
      <c r="BM3" s="11">
        <v>4487</v>
      </c>
      <c r="BN3" s="11">
        <v>4632</v>
      </c>
      <c r="BO3" s="11">
        <v>4640</v>
      </c>
      <c r="BP3" s="11">
        <v>4879</v>
      </c>
      <c r="BQ3" s="11">
        <v>5040</v>
      </c>
      <c r="BR3" s="11">
        <v>5234</v>
      </c>
      <c r="BS3" s="11">
        <v>5239</v>
      </c>
      <c r="BT3" s="11">
        <v>5247</v>
      </c>
      <c r="BU3" s="11">
        <v>5405</v>
      </c>
      <c r="BV3" s="11">
        <v>5609</v>
      </c>
      <c r="BW3" s="11">
        <v>5594</v>
      </c>
      <c r="BX3" s="11">
        <v>5782</v>
      </c>
      <c r="BY3" s="11">
        <v>5930</v>
      </c>
      <c r="BZ3" s="11">
        <v>6012</v>
      </c>
      <c r="CA3" s="11">
        <v>5974</v>
      </c>
      <c r="CB3" s="11">
        <v>6126</v>
      </c>
      <c r="CC3" s="11">
        <v>6125</v>
      </c>
      <c r="CD3" s="11">
        <v>6492</v>
      </c>
      <c r="CE3" s="11">
        <v>6453</v>
      </c>
      <c r="CF3" s="11">
        <v>6234</v>
      </c>
      <c r="CG3" s="11">
        <v>6198</v>
      </c>
      <c r="CH3" s="11">
        <v>6517</v>
      </c>
      <c r="CI3" s="11">
        <v>6477</v>
      </c>
      <c r="CJ3" s="11">
        <v>6646</v>
      </c>
      <c r="CK3" s="11">
        <v>6727</v>
      </c>
      <c r="CL3" s="11">
        <v>6997</v>
      </c>
      <c r="CM3" s="11">
        <v>6841</v>
      </c>
      <c r="CN3" s="11">
        <v>6602</v>
      </c>
      <c r="CO3" s="11">
        <v>6704</v>
      </c>
      <c r="CP3" s="11">
        <v>6891</v>
      </c>
      <c r="CQ3" s="11">
        <v>6872</v>
      </c>
      <c r="CR3" s="11">
        <v>6901</v>
      </c>
      <c r="CS3" s="11">
        <v>6999</v>
      </c>
      <c r="CT3" s="11">
        <v>7120</v>
      </c>
      <c r="CU3" s="11">
        <v>7100</v>
      </c>
      <c r="CV3" s="11">
        <v>7308</v>
      </c>
      <c r="CW3" s="11">
        <v>7377</v>
      </c>
      <c r="CX3" s="11">
        <v>7428</v>
      </c>
      <c r="CY3" s="11">
        <v>7219</v>
      </c>
      <c r="CZ3" s="11">
        <v>7704</v>
      </c>
      <c r="DA3" s="11">
        <v>8050</v>
      </c>
      <c r="DB3" s="11">
        <v>8065</v>
      </c>
      <c r="DC3" s="11">
        <v>7887</v>
      </c>
      <c r="DD3" s="11">
        <v>8048</v>
      </c>
      <c r="DE3" s="11">
        <v>8448</v>
      </c>
      <c r="DF3" s="11">
        <v>8468</v>
      </c>
      <c r="DG3" s="11">
        <v>8757</v>
      </c>
      <c r="DH3" s="11">
        <v>8818</v>
      </c>
      <c r="DI3" s="11">
        <v>9094</v>
      </c>
      <c r="DJ3" s="11">
        <v>9184</v>
      </c>
      <c r="DK3" s="11">
        <v>9313</v>
      </c>
      <c r="DL3" s="11">
        <v>9861</v>
      </c>
      <c r="DM3" s="11">
        <v>9826</v>
      </c>
      <c r="DN3" s="11">
        <v>10195</v>
      </c>
      <c r="DO3" s="11">
        <v>10811</v>
      </c>
      <c r="DP3" s="11">
        <v>9870</v>
      </c>
      <c r="DQ3" s="11">
        <v>10189</v>
      </c>
      <c r="DR3" s="11">
        <v>10298</v>
      </c>
      <c r="DS3" s="11">
        <v>10629</v>
      </c>
      <c r="DT3" s="11">
        <v>10379</v>
      </c>
      <c r="DU3" s="11">
        <v>10146</v>
      </c>
      <c r="DV3" s="11">
        <v>10703</v>
      </c>
      <c r="DW3" s="11">
        <v>10366</v>
      </c>
      <c r="DX3" s="11">
        <v>11989</v>
      </c>
      <c r="DY3" s="11">
        <v>12409</v>
      </c>
      <c r="DZ3" s="11">
        <v>12408</v>
      </c>
      <c r="EA3" s="11">
        <v>12662</v>
      </c>
      <c r="EB3" s="11">
        <v>12920</v>
      </c>
      <c r="EC3" s="11">
        <v>13279</v>
      </c>
      <c r="ED3" s="11">
        <v>13669</v>
      </c>
      <c r="EE3" s="11">
        <v>13668</v>
      </c>
      <c r="EF3" s="11">
        <v>14205</v>
      </c>
      <c r="EG3" s="11">
        <v>14681</v>
      </c>
      <c r="EH3" s="11">
        <v>14643</v>
      </c>
      <c r="EI3" s="11">
        <v>14713</v>
      </c>
      <c r="EJ3" s="11">
        <v>14863</v>
      </c>
      <c r="EK3" s="11">
        <v>15292</v>
      </c>
      <c r="EL3" s="11">
        <v>15652</v>
      </c>
      <c r="EM3" s="11">
        <v>15661</v>
      </c>
      <c r="EN3" s="11">
        <v>16295</v>
      </c>
      <c r="EO3" s="11">
        <v>16680</v>
      </c>
      <c r="EP3" s="11">
        <v>17084</v>
      </c>
      <c r="EQ3" s="11">
        <v>17891</v>
      </c>
      <c r="ER3" s="11">
        <v>17172</v>
      </c>
      <c r="ES3" s="11">
        <v>17328</v>
      </c>
      <c r="ET3" s="11">
        <v>17305</v>
      </c>
      <c r="EU3" s="11">
        <v>16825</v>
      </c>
      <c r="EV3" s="11">
        <v>17195</v>
      </c>
      <c r="EW3" s="11">
        <v>17157</v>
      </c>
      <c r="EX3" s="11">
        <v>17618</v>
      </c>
      <c r="EY3" s="11">
        <v>18831</v>
      </c>
      <c r="EZ3" s="11">
        <v>17422</v>
      </c>
      <c r="FA3" s="11">
        <v>17548</v>
      </c>
      <c r="FB3" s="11">
        <v>17762</v>
      </c>
      <c r="FC3" s="11">
        <v>18475</v>
      </c>
      <c r="FD3" s="11">
        <v>18242</v>
      </c>
      <c r="FE3" s="11">
        <v>18350</v>
      </c>
      <c r="FF3" s="11">
        <v>18382</v>
      </c>
      <c r="FG3" s="11">
        <v>18603</v>
      </c>
      <c r="FH3" s="11">
        <v>19029</v>
      </c>
      <c r="FI3" s="11">
        <v>19095</v>
      </c>
      <c r="FJ3" s="11">
        <v>18982</v>
      </c>
      <c r="FK3" s="11">
        <v>18597</v>
      </c>
      <c r="FL3" s="11">
        <v>19598</v>
      </c>
      <c r="FM3" s="11">
        <v>19195</v>
      </c>
      <c r="FN3" s="11">
        <v>19482</v>
      </c>
      <c r="FO3" s="11">
        <v>19571</v>
      </c>
      <c r="FP3" s="11">
        <v>19575</v>
      </c>
      <c r="FQ3" s="11">
        <v>19825</v>
      </c>
      <c r="FR3" s="11">
        <v>19993</v>
      </c>
      <c r="FS3" s="11">
        <v>20426</v>
      </c>
      <c r="FT3" s="11">
        <v>20839</v>
      </c>
      <c r="FU3" s="11">
        <v>20846</v>
      </c>
      <c r="FV3" s="11">
        <v>21129</v>
      </c>
      <c r="FW3" s="11">
        <v>20549</v>
      </c>
      <c r="FX3" s="11">
        <v>22462</v>
      </c>
      <c r="FY3" s="11">
        <v>22802</v>
      </c>
      <c r="FZ3" s="11">
        <v>23011</v>
      </c>
      <c r="GA3" s="11">
        <v>23425</v>
      </c>
      <c r="GB3" s="11">
        <v>23645</v>
      </c>
      <c r="GC3" s="11">
        <v>23594</v>
      </c>
      <c r="GD3" s="11">
        <v>23997</v>
      </c>
      <c r="GE3" s="11">
        <v>24296</v>
      </c>
      <c r="GF3" s="11">
        <v>24403</v>
      </c>
      <c r="GG3" s="11">
        <v>24535</v>
      </c>
      <c r="GH3" s="11">
        <v>24830</v>
      </c>
      <c r="GI3" s="11">
        <v>25806</v>
      </c>
      <c r="GJ3" s="11">
        <v>26406</v>
      </c>
      <c r="GK3" s="11">
        <v>27085</v>
      </c>
      <c r="GL3" s="11">
        <v>27639</v>
      </c>
      <c r="GM3" s="11">
        <v>27453</v>
      </c>
      <c r="GN3" s="11">
        <v>27064</v>
      </c>
      <c r="GO3" s="11">
        <v>27978</v>
      </c>
      <c r="GP3" s="11">
        <v>28812</v>
      </c>
      <c r="GQ3" s="11">
        <v>28828</v>
      </c>
      <c r="GR3" s="11">
        <v>29940</v>
      </c>
      <c r="GS3" s="11">
        <v>30764</v>
      </c>
      <c r="GT3" s="11">
        <v>31560</v>
      </c>
      <c r="GU3" s="11">
        <v>32437</v>
      </c>
      <c r="GV3" s="11">
        <v>35271</v>
      </c>
      <c r="GW3" s="11">
        <v>35446</v>
      </c>
      <c r="GX3" s="11">
        <v>34778</v>
      </c>
      <c r="GY3" s="11">
        <v>34843</v>
      </c>
      <c r="GZ3" s="11">
        <v>35199</v>
      </c>
      <c r="HA3" s="11">
        <v>35743</v>
      </c>
      <c r="HB3" s="11">
        <v>37307</v>
      </c>
      <c r="HC3" s="11">
        <v>39008</v>
      </c>
      <c r="HD3" s="11">
        <v>38725</v>
      </c>
      <c r="HE3" s="11">
        <v>39142</v>
      </c>
      <c r="HF3" s="12">
        <v>39903.57</v>
      </c>
      <c r="HG3" s="12">
        <v>40354.629999999997</v>
      </c>
      <c r="HH3" s="12">
        <v>47578.68</v>
      </c>
      <c r="HI3" s="12">
        <v>48100.63</v>
      </c>
      <c r="HJ3" s="12">
        <v>48610.87</v>
      </c>
      <c r="HK3" s="12">
        <v>49088.800000000003</v>
      </c>
      <c r="HL3" s="12">
        <v>49542.93</v>
      </c>
      <c r="HM3" s="12">
        <v>50003.32</v>
      </c>
      <c r="HN3" s="12">
        <v>50471.55</v>
      </c>
      <c r="HO3" s="12">
        <v>50945.72</v>
      </c>
      <c r="HP3" s="12">
        <v>51413.8</v>
      </c>
      <c r="HQ3" s="12">
        <v>51884.18</v>
      </c>
      <c r="HR3" s="12">
        <v>52354.61</v>
      </c>
      <c r="HS3" s="12">
        <v>52834.55</v>
      </c>
      <c r="HT3" s="12">
        <v>53354.16</v>
      </c>
      <c r="HU3" s="12">
        <v>53880.37</v>
      </c>
      <c r="HV3" s="12">
        <v>54429.9</v>
      </c>
      <c r="HW3" s="12">
        <v>54980.49</v>
      </c>
      <c r="HX3" s="12">
        <v>55487.44</v>
      </c>
      <c r="HY3" s="12">
        <v>55998.07</v>
      </c>
      <c r="HZ3" s="12">
        <v>56518.15</v>
      </c>
      <c r="IA3" s="12">
        <v>57042.48</v>
      </c>
      <c r="IB3" s="12">
        <v>57567.59</v>
      </c>
      <c r="IC3" s="12">
        <v>58092.24</v>
      </c>
      <c r="ID3" s="12">
        <v>58620.61</v>
      </c>
      <c r="IE3" s="12">
        <v>59154.91</v>
      </c>
      <c r="IF3" s="12">
        <v>59695.55</v>
      </c>
      <c r="IG3" s="12">
        <v>60238.080000000002</v>
      </c>
      <c r="IH3" s="12">
        <v>60782.54</v>
      </c>
      <c r="II3" s="12">
        <v>61331.85</v>
      </c>
      <c r="IJ3" s="12">
        <v>61881.51</v>
      </c>
      <c r="IK3" s="12">
        <v>62439.19</v>
      </c>
      <c r="IL3" s="12">
        <v>62993.95</v>
      </c>
      <c r="IM3" s="12">
        <v>63564.39</v>
      </c>
      <c r="IN3" s="12">
        <v>64136.959999999999</v>
      </c>
      <c r="IO3" s="12">
        <v>64714.03</v>
      </c>
      <c r="IP3" s="12">
        <v>65288.01</v>
      </c>
      <c r="IQ3" s="12">
        <v>65876.800000000003</v>
      </c>
      <c r="IR3" s="12">
        <v>66459.89</v>
      </c>
      <c r="IS3" s="12">
        <v>67041.05</v>
      </c>
      <c r="IT3" s="12">
        <v>67623.05</v>
      </c>
      <c r="IU3" s="12">
        <v>68215.92</v>
      </c>
      <c r="IV3" s="12">
        <v>68814.41</v>
      </c>
      <c r="IW3" s="12">
        <v>69418.64</v>
      </c>
      <c r="IX3" s="12">
        <v>70028.800000000003</v>
      </c>
      <c r="IY3" s="12">
        <v>70645.62</v>
      </c>
      <c r="IZ3" s="12">
        <v>71269.3</v>
      </c>
      <c r="JA3" s="12">
        <v>71900.009999999995</v>
      </c>
      <c r="JB3" s="12">
        <v>72537.8</v>
      </c>
      <c r="JC3" s="12">
        <v>73181.33</v>
      </c>
      <c r="JD3" s="12">
        <v>73830.59</v>
      </c>
      <c r="JE3" s="12">
        <v>74485.66</v>
      </c>
      <c r="JF3" s="12">
        <v>75146.570000000007</v>
      </c>
      <c r="JG3" s="12">
        <v>75815.02</v>
      </c>
      <c r="JH3" s="12">
        <v>76491.02</v>
      </c>
      <c r="JI3" s="12">
        <v>77174.740000000005</v>
      </c>
      <c r="JJ3" s="12">
        <v>77866.36</v>
      </c>
      <c r="JK3" s="12">
        <v>78564.28</v>
      </c>
      <c r="JL3" s="12">
        <v>79268.61</v>
      </c>
      <c r="JM3" s="12">
        <v>79979.34</v>
      </c>
      <c r="JN3" s="12">
        <v>80696.649999999994</v>
      </c>
      <c r="JO3" s="12">
        <v>81420.52</v>
      </c>
      <c r="JP3" s="12">
        <v>82151.02</v>
      </c>
      <c r="JQ3" s="12">
        <v>82888.14</v>
      </c>
      <c r="JR3" s="12">
        <v>83631.91</v>
      </c>
      <c r="JS3" s="12">
        <v>84368.52</v>
      </c>
      <c r="JT3" s="12">
        <v>85112.79</v>
      </c>
      <c r="JU3" s="12">
        <v>85864.81</v>
      </c>
      <c r="JV3" s="12">
        <v>86624.7</v>
      </c>
      <c r="JW3" s="12">
        <v>87391.18</v>
      </c>
      <c r="JX3" s="12">
        <v>88164.36</v>
      </c>
      <c r="JY3" s="12">
        <v>88944.23</v>
      </c>
      <c r="JZ3" s="12">
        <v>89730.94</v>
      </c>
      <c r="KA3" s="12">
        <v>90524.47</v>
      </c>
      <c r="KB3" s="12">
        <v>91324.83</v>
      </c>
      <c r="KC3" s="12">
        <v>92132.160000000003</v>
      </c>
      <c r="KD3" s="12">
        <v>92946.48</v>
      </c>
      <c r="KE3" s="12">
        <v>93767.74</v>
      </c>
      <c r="KF3" s="12">
        <v>94596.13</v>
      </c>
      <c r="KG3" s="12">
        <v>95431.64</v>
      </c>
      <c r="KH3" s="12">
        <v>96274.27</v>
      </c>
      <c r="KI3" s="12">
        <v>97124.15</v>
      </c>
      <c r="KJ3" s="12">
        <v>97981.27</v>
      </c>
      <c r="KK3" s="12">
        <v>98845.7</v>
      </c>
      <c r="KL3" s="12">
        <v>99717.62</v>
      </c>
      <c r="KM3" s="12">
        <v>100596.9</v>
      </c>
      <c r="KN3" s="12">
        <v>101483.8</v>
      </c>
      <c r="KO3" s="12">
        <v>102378.2</v>
      </c>
      <c r="KP3" s="12">
        <v>103280.2</v>
      </c>
      <c r="KQ3" s="12">
        <v>104190</v>
      </c>
      <c r="KR3" s="12">
        <v>105107.5</v>
      </c>
      <c r="KS3" s="12">
        <v>106032.9</v>
      </c>
      <c r="KT3" s="12">
        <v>106966.1</v>
      </c>
      <c r="KU3" s="12">
        <v>107907.3</v>
      </c>
      <c r="KV3" s="12">
        <v>108856.6</v>
      </c>
      <c r="KW3" s="12">
        <v>109814</v>
      </c>
      <c r="KX3" s="12">
        <v>110779.6</v>
      </c>
      <c r="KY3" s="12">
        <v>111753.3</v>
      </c>
      <c r="KZ3" s="12">
        <v>112735.4</v>
      </c>
      <c r="LA3" s="12">
        <v>113725.8</v>
      </c>
      <c r="LB3" s="12">
        <v>114724.6</v>
      </c>
      <c r="LC3" s="12">
        <v>115731.9</v>
      </c>
      <c r="LD3" s="12">
        <v>116747.8</v>
      </c>
      <c r="LE3" s="12">
        <v>117772.1</v>
      </c>
      <c r="LF3" s="12">
        <v>118805</v>
      </c>
      <c r="LG3" s="12">
        <v>119805.8</v>
      </c>
      <c r="LH3" s="12">
        <v>120818.4</v>
      </c>
      <c r="LI3" s="12">
        <v>121835.9</v>
      </c>
      <c r="LJ3" s="12">
        <v>122866</v>
      </c>
      <c r="LK3" s="12">
        <v>123904.9</v>
      </c>
      <c r="LL3" s="12">
        <v>124952.6</v>
      </c>
      <c r="LM3" s="12">
        <v>125995.8</v>
      </c>
      <c r="LN3" s="12">
        <v>127048.4</v>
      </c>
      <c r="LO3" s="12">
        <v>128110.2</v>
      </c>
      <c r="LP3" s="12">
        <v>129181.2</v>
      </c>
      <c r="LQ3" s="12">
        <v>130260.6</v>
      </c>
      <c r="LR3" s="12">
        <v>131348.29999999999</v>
      </c>
      <c r="LS3" s="12">
        <v>132444.20000000001</v>
      </c>
      <c r="LT3" s="12">
        <v>133548.5</v>
      </c>
      <c r="LU3" s="12">
        <v>134655</v>
      </c>
      <c r="LV3" s="12">
        <v>135770.5</v>
      </c>
      <c r="LW3" s="12">
        <v>136894.9</v>
      </c>
      <c r="LX3" s="12">
        <v>138028.5</v>
      </c>
      <c r="LY3" s="12">
        <v>139165.4</v>
      </c>
      <c r="LZ3" s="12">
        <v>140311.29999999999</v>
      </c>
      <c r="MA3" s="12">
        <v>141466.20000000001</v>
      </c>
      <c r="MB3" s="12">
        <v>142630.29999999999</v>
      </c>
      <c r="MC3" s="12">
        <v>143803.29999999999</v>
      </c>
      <c r="MD3" s="12">
        <v>144985</v>
      </c>
      <c r="ME3" s="12">
        <v>146175.70000000001</v>
      </c>
      <c r="MF3" s="12">
        <v>147375.20000000001</v>
      </c>
      <c r="MG3" s="12">
        <v>148590.5</v>
      </c>
      <c r="MH3" s="12">
        <v>149814.29999999999</v>
      </c>
      <c r="MI3" s="12">
        <v>151046.79999999999</v>
      </c>
      <c r="MJ3" s="12">
        <v>152287.9</v>
      </c>
      <c r="MK3" s="12">
        <v>153536.5</v>
      </c>
      <c r="ML3" s="12">
        <v>154794.5</v>
      </c>
      <c r="MM3" s="12">
        <v>156062.39999999999</v>
      </c>
      <c r="MN3" s="12">
        <v>157339.9</v>
      </c>
      <c r="MO3" s="12">
        <v>158634.70000000001</v>
      </c>
      <c r="MP3" s="12">
        <v>159938.70000000001</v>
      </c>
      <c r="MQ3" s="12">
        <v>161251.79999999999</v>
      </c>
      <c r="MR3" s="12">
        <v>162574.20000000001</v>
      </c>
      <c r="MS3" s="12">
        <v>163906.70000000001</v>
      </c>
      <c r="MT3" s="12">
        <v>165249.29999999999</v>
      </c>
      <c r="MU3" t="s">
        <v>1248</v>
      </c>
      <c r="MV3" t="b">
        <v>1</v>
      </c>
      <c r="MW3" t="s">
        <v>1238</v>
      </c>
      <c r="MX3" t="s">
        <v>1238</v>
      </c>
      <c r="MY3">
        <v>2024</v>
      </c>
      <c r="MZ3">
        <v>3</v>
      </c>
      <c r="NA3" t="s">
        <v>1238</v>
      </c>
      <c r="NB3" t="s">
        <v>1249</v>
      </c>
      <c r="NC3" t="s">
        <v>1250</v>
      </c>
      <c r="ND3" t="s">
        <v>1242</v>
      </c>
      <c r="NE3" t="s">
        <v>1251</v>
      </c>
      <c r="NF3" s="1" t="s">
        <v>1244</v>
      </c>
    </row>
    <row r="4" spans="1:370" x14ac:dyDescent="0.25">
      <c r="A4" t="s">
        <v>1234</v>
      </c>
      <c r="B4" t="s">
        <v>1252</v>
      </c>
      <c r="C4" s="1" t="s">
        <v>1236</v>
      </c>
      <c r="D4" t="s">
        <v>1246</v>
      </c>
      <c r="E4" t="s">
        <v>1247</v>
      </c>
      <c r="F4" t="s">
        <v>1239</v>
      </c>
      <c r="G4" s="11">
        <v>4698</v>
      </c>
      <c r="H4" s="11">
        <v>4424</v>
      </c>
      <c r="I4" s="11">
        <v>4297</v>
      </c>
      <c r="J4" s="11">
        <v>4489</v>
      </c>
      <c r="K4" s="11">
        <v>3797</v>
      </c>
      <c r="L4" s="11">
        <v>4283</v>
      </c>
      <c r="M4" s="11">
        <v>4318</v>
      </c>
      <c r="N4" s="11">
        <v>4226</v>
      </c>
      <c r="O4" s="11">
        <v>4199</v>
      </c>
      <c r="P4" s="11">
        <v>4286</v>
      </c>
      <c r="Q4" s="11">
        <v>4257</v>
      </c>
      <c r="R4" s="11">
        <v>4955</v>
      </c>
      <c r="S4" s="11">
        <v>5071</v>
      </c>
      <c r="T4" s="11">
        <v>5072</v>
      </c>
      <c r="U4" s="11">
        <v>5440</v>
      </c>
      <c r="V4" s="11">
        <v>6497</v>
      </c>
      <c r="W4" s="11">
        <v>7199</v>
      </c>
      <c r="X4" s="11">
        <v>7734</v>
      </c>
      <c r="Y4" s="11">
        <v>8119</v>
      </c>
      <c r="Z4" s="11">
        <v>8600</v>
      </c>
      <c r="AA4" s="11">
        <v>9233</v>
      </c>
      <c r="AB4" s="11">
        <v>9234</v>
      </c>
      <c r="AC4" s="11">
        <v>9737</v>
      </c>
      <c r="AD4" s="11">
        <v>9903</v>
      </c>
      <c r="AE4" s="11">
        <v>10109</v>
      </c>
      <c r="AF4" s="11">
        <v>11219</v>
      </c>
      <c r="AG4" s="11">
        <v>11435</v>
      </c>
      <c r="AH4" s="11">
        <v>12092</v>
      </c>
      <c r="AI4" s="11">
        <v>12467</v>
      </c>
      <c r="AJ4" s="11">
        <v>12391</v>
      </c>
      <c r="AK4" s="11">
        <v>11886</v>
      </c>
      <c r="AL4" s="11">
        <v>12891</v>
      </c>
      <c r="AM4" s="11">
        <v>12538</v>
      </c>
      <c r="AN4" s="11">
        <v>13239</v>
      </c>
      <c r="AO4" s="11">
        <v>14561</v>
      </c>
      <c r="AP4" s="11">
        <v>15234</v>
      </c>
      <c r="AQ4" s="11">
        <v>14539</v>
      </c>
      <c r="AR4" s="11">
        <v>16436</v>
      </c>
      <c r="AS4" s="11">
        <v>16844</v>
      </c>
      <c r="AT4" s="11">
        <v>17632</v>
      </c>
      <c r="AU4" s="11">
        <v>18610</v>
      </c>
      <c r="AV4" s="11">
        <v>18587</v>
      </c>
      <c r="AW4" s="11">
        <v>19902</v>
      </c>
      <c r="AX4" s="11">
        <v>20754</v>
      </c>
      <c r="AY4" s="11">
        <v>20091</v>
      </c>
      <c r="AZ4" s="11">
        <v>21011</v>
      </c>
      <c r="BA4" s="11">
        <v>20871</v>
      </c>
      <c r="BB4" s="11">
        <v>22765</v>
      </c>
      <c r="BC4" s="11">
        <v>22241</v>
      </c>
      <c r="BD4" s="11">
        <v>25638</v>
      </c>
      <c r="BE4" s="11">
        <v>25043</v>
      </c>
      <c r="BF4" s="11">
        <v>25785</v>
      </c>
      <c r="BG4" s="11">
        <v>25399</v>
      </c>
      <c r="BH4" s="11">
        <v>24729</v>
      </c>
      <c r="BI4" s="11">
        <v>25297</v>
      </c>
      <c r="BJ4" s="11">
        <v>27509</v>
      </c>
      <c r="BK4" s="11">
        <v>27991</v>
      </c>
      <c r="BL4" s="11">
        <v>29936</v>
      </c>
      <c r="BM4" s="11">
        <v>32609</v>
      </c>
      <c r="BN4" s="11">
        <v>32677</v>
      </c>
      <c r="BO4" s="11">
        <v>33698</v>
      </c>
      <c r="BP4" s="11">
        <v>34292</v>
      </c>
      <c r="BQ4" s="11">
        <v>35863</v>
      </c>
      <c r="BR4" s="11">
        <v>37039</v>
      </c>
      <c r="BS4" s="11">
        <v>38606</v>
      </c>
      <c r="BT4" s="11">
        <v>38243</v>
      </c>
      <c r="BU4" s="11">
        <v>39834</v>
      </c>
      <c r="BV4" s="11">
        <v>40680</v>
      </c>
      <c r="BW4" s="11">
        <v>40800</v>
      </c>
      <c r="BX4" s="11">
        <v>41606</v>
      </c>
      <c r="BY4" s="11">
        <v>42072</v>
      </c>
      <c r="BZ4" s="11">
        <v>42207</v>
      </c>
      <c r="CA4" s="11">
        <v>41614</v>
      </c>
      <c r="CB4" s="11">
        <v>41313</v>
      </c>
      <c r="CC4" s="11">
        <v>40056</v>
      </c>
      <c r="CD4" s="11">
        <v>40341</v>
      </c>
      <c r="CE4" s="11">
        <v>40279</v>
      </c>
      <c r="CF4" s="11">
        <v>41056</v>
      </c>
      <c r="CG4" s="11">
        <v>40289</v>
      </c>
      <c r="CH4" s="11">
        <v>41932</v>
      </c>
      <c r="CI4" s="11">
        <v>45549</v>
      </c>
      <c r="CJ4" s="11">
        <v>44417</v>
      </c>
      <c r="CK4" s="11">
        <v>45845</v>
      </c>
      <c r="CL4" s="11">
        <v>46796</v>
      </c>
      <c r="CM4" s="11">
        <v>49533</v>
      </c>
      <c r="CN4" s="11">
        <v>49608</v>
      </c>
      <c r="CO4" s="11">
        <v>49092</v>
      </c>
      <c r="CP4" s="11">
        <v>51164</v>
      </c>
      <c r="CQ4" s="11">
        <v>50799</v>
      </c>
      <c r="CR4" s="11">
        <v>49847</v>
      </c>
      <c r="CS4" s="11">
        <v>52286</v>
      </c>
      <c r="CT4" s="11">
        <v>53374</v>
      </c>
      <c r="CU4" s="11">
        <v>54595</v>
      </c>
      <c r="CV4" s="11">
        <v>57114</v>
      </c>
      <c r="CW4" s="11">
        <v>58848</v>
      </c>
      <c r="CX4" s="11">
        <v>60252</v>
      </c>
      <c r="CY4" s="11">
        <v>58562</v>
      </c>
      <c r="CZ4" s="11">
        <v>56887</v>
      </c>
      <c r="DA4" s="11">
        <v>61702</v>
      </c>
      <c r="DB4" s="11">
        <v>57396</v>
      </c>
      <c r="DC4" s="11">
        <v>61415</v>
      </c>
      <c r="DD4" s="11">
        <v>60315</v>
      </c>
      <c r="DE4" s="11">
        <v>59247</v>
      </c>
      <c r="DF4" s="11">
        <v>61018</v>
      </c>
      <c r="DG4" s="11">
        <v>58057</v>
      </c>
      <c r="DH4" s="11">
        <v>56566</v>
      </c>
      <c r="DI4" s="11">
        <v>55975</v>
      </c>
      <c r="DJ4" s="11">
        <v>59028</v>
      </c>
      <c r="DK4" s="11">
        <v>61022</v>
      </c>
      <c r="DL4" s="11">
        <v>58869</v>
      </c>
      <c r="DM4" s="11">
        <v>57825</v>
      </c>
      <c r="DN4" s="11">
        <v>56273</v>
      </c>
      <c r="DO4" s="11">
        <v>56614</v>
      </c>
      <c r="DP4" s="11">
        <v>59422</v>
      </c>
      <c r="DQ4" s="11">
        <v>59828</v>
      </c>
      <c r="DR4" s="11">
        <v>59188</v>
      </c>
      <c r="DS4" s="11">
        <v>60667</v>
      </c>
      <c r="DT4" s="11">
        <v>62293</v>
      </c>
      <c r="DU4" s="11">
        <v>64473</v>
      </c>
      <c r="DV4" s="11">
        <v>67224</v>
      </c>
      <c r="DW4" s="11">
        <v>67091</v>
      </c>
      <c r="DX4" s="11">
        <v>70002</v>
      </c>
      <c r="DY4" s="11">
        <v>71030</v>
      </c>
      <c r="DZ4" s="11">
        <v>69510</v>
      </c>
      <c r="EA4" s="11">
        <v>66971</v>
      </c>
      <c r="EB4" s="11">
        <v>72939</v>
      </c>
      <c r="EC4" s="11">
        <v>71100</v>
      </c>
      <c r="ED4" s="11">
        <v>73776</v>
      </c>
      <c r="EE4" s="11">
        <v>72678</v>
      </c>
      <c r="EF4" s="11">
        <v>78380</v>
      </c>
      <c r="EG4" s="11">
        <v>77251</v>
      </c>
      <c r="EH4" s="11">
        <v>81107</v>
      </c>
      <c r="EI4" s="11">
        <v>76934</v>
      </c>
      <c r="EJ4" s="11">
        <v>83060</v>
      </c>
      <c r="EK4" s="11">
        <v>82467</v>
      </c>
      <c r="EL4" s="11">
        <v>78146</v>
      </c>
      <c r="EM4" s="11">
        <v>76454</v>
      </c>
      <c r="EN4" s="11">
        <v>84643</v>
      </c>
      <c r="EO4" s="11">
        <v>82980</v>
      </c>
      <c r="EP4" s="11">
        <v>85474</v>
      </c>
      <c r="EQ4" s="11">
        <v>84691</v>
      </c>
      <c r="ER4" s="11">
        <v>87843</v>
      </c>
      <c r="ES4" s="11">
        <v>90586</v>
      </c>
      <c r="ET4" s="11">
        <v>87779</v>
      </c>
      <c r="EU4" s="11">
        <v>87453</v>
      </c>
      <c r="EV4" s="11">
        <v>84343</v>
      </c>
      <c r="EW4" s="11">
        <v>86567</v>
      </c>
      <c r="EX4" s="11">
        <v>81654</v>
      </c>
      <c r="EY4" s="11">
        <v>86382</v>
      </c>
      <c r="EZ4" s="11">
        <v>85496</v>
      </c>
      <c r="FA4" s="11">
        <v>90085</v>
      </c>
      <c r="FB4" s="11">
        <v>91218</v>
      </c>
      <c r="FC4" s="11">
        <v>89806</v>
      </c>
      <c r="FD4" s="11">
        <v>90019</v>
      </c>
      <c r="FE4" s="11">
        <v>91757</v>
      </c>
      <c r="FF4" s="11">
        <v>95118</v>
      </c>
      <c r="FG4" s="11">
        <v>93359</v>
      </c>
      <c r="FH4" s="11">
        <v>92968</v>
      </c>
      <c r="FI4" s="11">
        <v>98031</v>
      </c>
      <c r="FJ4" s="11">
        <v>98174</v>
      </c>
      <c r="FK4" s="11">
        <v>100765</v>
      </c>
      <c r="FL4" s="11">
        <v>96733</v>
      </c>
      <c r="FM4" s="11">
        <v>99537</v>
      </c>
      <c r="FN4" s="11">
        <v>99553</v>
      </c>
      <c r="FO4" s="11">
        <v>99297</v>
      </c>
      <c r="FP4" s="11">
        <v>103492</v>
      </c>
      <c r="FQ4" s="11">
        <v>111995</v>
      </c>
      <c r="FR4" s="11">
        <v>110568</v>
      </c>
      <c r="FS4" s="11">
        <v>108361</v>
      </c>
      <c r="FT4" s="11">
        <v>106717</v>
      </c>
      <c r="FU4" s="11">
        <v>103717</v>
      </c>
      <c r="FV4" s="11">
        <v>107050</v>
      </c>
      <c r="FW4" s="11">
        <v>107542</v>
      </c>
      <c r="FX4" s="11">
        <v>106640</v>
      </c>
      <c r="FY4" s="11">
        <v>110732</v>
      </c>
      <c r="FZ4" s="11">
        <v>114569</v>
      </c>
      <c r="GA4" s="11">
        <v>115888</v>
      </c>
      <c r="GB4" s="11">
        <v>114975</v>
      </c>
      <c r="GC4" s="11">
        <v>115131</v>
      </c>
      <c r="GD4" s="11">
        <v>120994</v>
      </c>
      <c r="GE4" s="11">
        <v>116160</v>
      </c>
      <c r="GF4" s="11">
        <v>117940</v>
      </c>
      <c r="GG4" s="11">
        <v>117461</v>
      </c>
      <c r="GH4" s="11">
        <v>117040</v>
      </c>
      <c r="GI4" s="11">
        <v>116521</v>
      </c>
      <c r="GJ4" s="11">
        <v>118367</v>
      </c>
      <c r="GK4" s="11">
        <v>124088</v>
      </c>
      <c r="GL4" s="11">
        <v>126032</v>
      </c>
      <c r="GM4" s="11">
        <v>120061</v>
      </c>
      <c r="GN4" s="11">
        <v>115664</v>
      </c>
      <c r="GO4" s="11">
        <v>125991</v>
      </c>
      <c r="GP4" s="11">
        <v>117012</v>
      </c>
      <c r="GQ4" s="11">
        <v>118117</v>
      </c>
      <c r="GR4" s="11">
        <v>128410</v>
      </c>
      <c r="GS4" s="11">
        <v>126311</v>
      </c>
      <c r="GT4" s="11">
        <v>128877</v>
      </c>
      <c r="GU4" s="11">
        <v>128748</v>
      </c>
      <c r="GV4" s="11">
        <v>133727</v>
      </c>
      <c r="GW4" s="11">
        <v>134606</v>
      </c>
      <c r="GX4" s="11">
        <v>148171</v>
      </c>
      <c r="GY4" s="11">
        <v>156930</v>
      </c>
      <c r="GZ4" s="11">
        <v>146974</v>
      </c>
      <c r="HA4" s="11">
        <v>143930</v>
      </c>
      <c r="HB4" s="11">
        <v>140900</v>
      </c>
      <c r="HC4" s="11">
        <v>143050</v>
      </c>
      <c r="HD4" s="11">
        <v>142660</v>
      </c>
      <c r="HE4" s="11">
        <v>143506</v>
      </c>
      <c r="HF4" s="12">
        <v>145121.4</v>
      </c>
      <c r="HG4" s="12">
        <v>148374.5</v>
      </c>
      <c r="HH4" s="12">
        <v>146467.1</v>
      </c>
      <c r="HI4" s="12">
        <v>150111.6</v>
      </c>
      <c r="HJ4" s="12">
        <v>152220.1</v>
      </c>
      <c r="HK4" s="12">
        <v>154424</v>
      </c>
      <c r="HL4" s="12">
        <v>156013.29999999999</v>
      </c>
      <c r="HM4" s="12">
        <v>157985.1</v>
      </c>
      <c r="HN4" s="12">
        <v>160106.5</v>
      </c>
      <c r="HO4" s="12">
        <v>163575.29999999999</v>
      </c>
      <c r="HP4" s="12">
        <v>164811.20000000001</v>
      </c>
      <c r="HQ4" s="12">
        <v>167820.1</v>
      </c>
      <c r="HR4" s="12">
        <v>169857.1</v>
      </c>
      <c r="HS4" s="12">
        <v>171178.6</v>
      </c>
      <c r="HT4" s="12">
        <v>172792.8</v>
      </c>
      <c r="HU4" s="12">
        <v>175279.7</v>
      </c>
      <c r="HV4" s="12">
        <v>176999.6</v>
      </c>
      <c r="HW4" s="12">
        <v>178940.5</v>
      </c>
      <c r="HX4" s="12">
        <v>180484.2</v>
      </c>
      <c r="HY4" s="12">
        <v>182188.2</v>
      </c>
      <c r="HZ4" s="12">
        <v>184331.8</v>
      </c>
      <c r="IA4" s="12">
        <v>186213.6</v>
      </c>
      <c r="IB4" s="12">
        <v>188604.2</v>
      </c>
      <c r="IC4" s="12">
        <v>190545.3</v>
      </c>
      <c r="ID4" s="12">
        <v>192292.8</v>
      </c>
      <c r="IE4" s="12">
        <v>194713.3</v>
      </c>
      <c r="IF4" s="12">
        <v>197126.8</v>
      </c>
      <c r="IG4" s="12">
        <v>200050</v>
      </c>
      <c r="IH4" s="12">
        <v>201772.3</v>
      </c>
      <c r="II4" s="12">
        <v>203235.20000000001</v>
      </c>
      <c r="IJ4" s="12">
        <v>205228.1</v>
      </c>
      <c r="IK4" s="12">
        <v>207017.3</v>
      </c>
      <c r="IL4" s="12">
        <v>208894.9</v>
      </c>
      <c r="IM4" s="12">
        <v>210877.4</v>
      </c>
      <c r="IN4" s="12">
        <v>212980.8</v>
      </c>
      <c r="IO4" s="12">
        <v>214863.6</v>
      </c>
      <c r="IP4" s="12">
        <v>216798.8</v>
      </c>
      <c r="IQ4" s="12">
        <v>218844.3</v>
      </c>
      <c r="IR4" s="12">
        <v>221010.7</v>
      </c>
      <c r="IS4" s="12">
        <v>222921.9</v>
      </c>
      <c r="IT4" s="12">
        <v>224892.5</v>
      </c>
      <c r="IU4" s="12">
        <v>226976</v>
      </c>
      <c r="IV4" s="12">
        <v>229173.5</v>
      </c>
      <c r="IW4" s="12">
        <v>231142.6</v>
      </c>
      <c r="IX4" s="12">
        <v>233186</v>
      </c>
      <c r="IY4" s="12">
        <v>235368.3</v>
      </c>
      <c r="IZ4" s="12">
        <v>237665</v>
      </c>
      <c r="JA4" s="12">
        <v>239725.8</v>
      </c>
      <c r="JB4" s="12">
        <v>241865</v>
      </c>
      <c r="JC4" s="12">
        <v>244149.4</v>
      </c>
      <c r="JD4" s="12">
        <v>246532.4</v>
      </c>
      <c r="JE4" s="12">
        <v>248670.7</v>
      </c>
      <c r="JF4" s="12">
        <v>250890.1</v>
      </c>
      <c r="JG4" s="12">
        <v>253260.5</v>
      </c>
      <c r="JH4" s="12">
        <v>255756.7</v>
      </c>
      <c r="JI4" s="12">
        <v>257999.8</v>
      </c>
      <c r="JJ4" s="12">
        <v>260327.9</v>
      </c>
      <c r="JK4" s="12">
        <v>262813.2</v>
      </c>
      <c r="JL4" s="12">
        <v>265405.40000000002</v>
      </c>
      <c r="JM4" s="12">
        <v>267734.8</v>
      </c>
      <c r="JN4" s="12">
        <v>270152.8</v>
      </c>
      <c r="JO4" s="12">
        <v>272733.8</v>
      </c>
      <c r="JP4" s="12">
        <v>275425.90000000002</v>
      </c>
      <c r="JQ4" s="12">
        <v>277845</v>
      </c>
      <c r="JR4" s="12">
        <v>280355.3</v>
      </c>
      <c r="JS4" s="12">
        <v>283034.2</v>
      </c>
      <c r="JT4" s="12">
        <v>285794</v>
      </c>
      <c r="JU4" s="12">
        <v>288269.5</v>
      </c>
      <c r="JV4" s="12">
        <v>290838.7</v>
      </c>
      <c r="JW4" s="12">
        <v>293581.90000000002</v>
      </c>
      <c r="JX4" s="12">
        <v>296443.2</v>
      </c>
      <c r="JY4" s="12">
        <v>299009.7</v>
      </c>
      <c r="JZ4" s="12">
        <v>301673</v>
      </c>
      <c r="KA4" s="12">
        <v>304517</v>
      </c>
      <c r="KB4" s="12">
        <v>307480.09999999998</v>
      </c>
      <c r="KC4" s="12">
        <v>310137.2</v>
      </c>
      <c r="KD4" s="12">
        <v>312894.5</v>
      </c>
      <c r="KE4" s="12">
        <v>315838.90000000002</v>
      </c>
      <c r="KF4" s="12">
        <v>318909.8</v>
      </c>
      <c r="KG4" s="12">
        <v>321663</v>
      </c>
      <c r="KH4" s="12">
        <v>324520</v>
      </c>
      <c r="KI4" s="12">
        <v>327570.7</v>
      </c>
      <c r="KJ4" s="12">
        <v>330752.7</v>
      </c>
      <c r="KK4" s="12">
        <v>333605</v>
      </c>
      <c r="KL4" s="12">
        <v>336565.1</v>
      </c>
      <c r="KM4" s="12">
        <v>339726</v>
      </c>
      <c r="KN4" s="12">
        <v>343023</v>
      </c>
      <c r="KO4" s="12">
        <v>345977.8</v>
      </c>
      <c r="KP4" s="12">
        <v>349044.5</v>
      </c>
      <c r="KQ4" s="12">
        <v>352319.1</v>
      </c>
      <c r="KR4" s="12">
        <v>355735</v>
      </c>
      <c r="KS4" s="12">
        <v>358796.2</v>
      </c>
      <c r="KT4" s="12">
        <v>361973</v>
      </c>
      <c r="KU4" s="12">
        <v>365365.9</v>
      </c>
      <c r="KV4" s="12">
        <v>368904.9</v>
      </c>
      <c r="KW4" s="12">
        <v>372076.1</v>
      </c>
      <c r="KX4" s="12">
        <v>375367.3</v>
      </c>
      <c r="KY4" s="12">
        <v>378882.2</v>
      </c>
      <c r="KZ4" s="12">
        <v>382548.4</v>
      </c>
      <c r="LA4" s="12">
        <v>385833.5</v>
      </c>
      <c r="LB4" s="12">
        <v>389242.4</v>
      </c>
      <c r="LC4" s="12">
        <v>392883.4</v>
      </c>
      <c r="LD4" s="12">
        <v>396681.1</v>
      </c>
      <c r="LE4" s="12">
        <v>400082.8</v>
      </c>
      <c r="LF4" s="12">
        <v>403612.5</v>
      </c>
      <c r="LG4" s="12">
        <v>407382.2</v>
      </c>
      <c r="LH4" s="12">
        <v>411215.4</v>
      </c>
      <c r="LI4" s="12">
        <v>414635.7</v>
      </c>
      <c r="LJ4" s="12">
        <v>418169.5</v>
      </c>
      <c r="LK4" s="12">
        <v>421948.8</v>
      </c>
      <c r="LL4" s="12">
        <v>425893.2</v>
      </c>
      <c r="LM4" s="12">
        <v>429409.4</v>
      </c>
      <c r="LN4" s="12">
        <v>433029.5</v>
      </c>
      <c r="LO4" s="12">
        <v>436903</v>
      </c>
      <c r="LP4" s="12">
        <v>440946.3</v>
      </c>
      <c r="LQ4" s="12">
        <v>444545</v>
      </c>
      <c r="LR4" s="12">
        <v>448282.5</v>
      </c>
      <c r="LS4" s="12">
        <v>452282.3</v>
      </c>
      <c r="LT4" s="12">
        <v>456457.7</v>
      </c>
      <c r="LU4" s="12">
        <v>460172.9</v>
      </c>
      <c r="LV4" s="12">
        <v>464015.8</v>
      </c>
      <c r="LW4" s="12">
        <v>468130</v>
      </c>
      <c r="LX4" s="12">
        <v>472425.1</v>
      </c>
      <c r="LY4" s="12">
        <v>476242.8</v>
      </c>
      <c r="LZ4" s="12">
        <v>480196.1</v>
      </c>
      <c r="MA4" s="12">
        <v>484429.3</v>
      </c>
      <c r="MB4" s="12">
        <v>488848.5</v>
      </c>
      <c r="MC4" s="12">
        <v>492774.40000000002</v>
      </c>
      <c r="MD4" s="12">
        <v>496853.2</v>
      </c>
      <c r="ME4" s="12">
        <v>501221.4</v>
      </c>
      <c r="MF4" s="12">
        <v>505783.2</v>
      </c>
      <c r="MG4" s="12">
        <v>509833.7</v>
      </c>
      <c r="MH4" s="12">
        <v>514058.4</v>
      </c>
      <c r="MI4" s="12">
        <v>518583.2</v>
      </c>
      <c r="MJ4" s="12">
        <v>523308.6</v>
      </c>
      <c r="MK4" s="12">
        <v>527505.6</v>
      </c>
      <c r="ML4" s="12">
        <v>531860.6</v>
      </c>
      <c r="MM4" s="12">
        <v>536526.1</v>
      </c>
      <c r="MN4" s="12">
        <v>541404.1</v>
      </c>
      <c r="MO4" s="12">
        <v>545735.4</v>
      </c>
      <c r="MP4" s="12">
        <v>550253.9</v>
      </c>
      <c r="MQ4" s="12">
        <v>555093.69999999995</v>
      </c>
      <c r="MR4" s="12">
        <v>560148.5</v>
      </c>
      <c r="MS4" s="12">
        <v>564637.9</v>
      </c>
      <c r="MT4" s="12">
        <v>569301.9</v>
      </c>
      <c r="MU4" t="s">
        <v>1248</v>
      </c>
      <c r="MV4" t="b">
        <v>1</v>
      </c>
      <c r="MW4" t="s">
        <v>1238</v>
      </c>
      <c r="MX4" t="s">
        <v>1238</v>
      </c>
      <c r="MY4">
        <v>2024</v>
      </c>
      <c r="MZ4">
        <v>3</v>
      </c>
      <c r="NA4" t="s">
        <v>1238</v>
      </c>
      <c r="NB4" t="s">
        <v>1253</v>
      </c>
      <c r="NC4" t="s">
        <v>1254</v>
      </c>
      <c r="ND4" t="s">
        <v>1242</v>
      </c>
      <c r="NE4" t="s">
        <v>1255</v>
      </c>
      <c r="NF4" s="1" t="s">
        <v>1244</v>
      </c>
    </row>
    <row r="5" spans="1:370" x14ac:dyDescent="0.25">
      <c r="A5" t="s">
        <v>1234</v>
      </c>
      <c r="B5" t="s">
        <v>1256</v>
      </c>
      <c r="C5" s="1" t="s">
        <v>1236</v>
      </c>
      <c r="D5" t="s">
        <v>1246</v>
      </c>
      <c r="E5" t="s">
        <v>1247</v>
      </c>
      <c r="F5" t="s">
        <v>1239</v>
      </c>
      <c r="G5" s="11">
        <v>20046</v>
      </c>
      <c r="H5" s="11">
        <v>19874</v>
      </c>
      <c r="I5" s="11">
        <v>20558</v>
      </c>
      <c r="J5" s="11">
        <v>21315</v>
      </c>
      <c r="K5" s="11">
        <v>21132</v>
      </c>
      <c r="L5" s="11">
        <v>22651</v>
      </c>
      <c r="M5" s="11">
        <v>23896</v>
      </c>
      <c r="N5" s="11">
        <v>24994</v>
      </c>
      <c r="O5" s="11">
        <v>26814</v>
      </c>
      <c r="P5" s="11">
        <v>28129</v>
      </c>
      <c r="Q5" s="11">
        <v>29260</v>
      </c>
      <c r="R5" s="11">
        <v>30890</v>
      </c>
      <c r="S5" s="11">
        <v>32449</v>
      </c>
      <c r="T5" s="11">
        <v>33322</v>
      </c>
      <c r="U5" s="11">
        <v>34550</v>
      </c>
      <c r="V5" s="11">
        <v>36678</v>
      </c>
      <c r="W5" s="11">
        <v>38038</v>
      </c>
      <c r="X5" s="11">
        <v>39244</v>
      </c>
      <c r="Y5" s="11">
        <v>40339</v>
      </c>
      <c r="Z5" s="11">
        <v>42165</v>
      </c>
      <c r="AA5" s="11">
        <v>44140</v>
      </c>
      <c r="AB5" s="11">
        <v>45905</v>
      </c>
      <c r="AC5" s="11">
        <v>47207</v>
      </c>
      <c r="AD5" s="11">
        <v>48906</v>
      </c>
      <c r="AE5" s="11">
        <v>50459</v>
      </c>
      <c r="AF5" s="11">
        <v>53966</v>
      </c>
      <c r="AG5" s="11">
        <v>56767</v>
      </c>
      <c r="AH5" s="11">
        <v>59789</v>
      </c>
      <c r="AI5" s="11">
        <v>62107</v>
      </c>
      <c r="AJ5" s="11">
        <v>63704</v>
      </c>
      <c r="AK5" s="11">
        <v>66021</v>
      </c>
      <c r="AL5" s="11">
        <v>68138</v>
      </c>
      <c r="AM5" s="11">
        <v>69940</v>
      </c>
      <c r="AN5" s="11">
        <v>71334</v>
      </c>
      <c r="AO5" s="11">
        <v>73310</v>
      </c>
      <c r="AP5" s="11">
        <v>75596</v>
      </c>
      <c r="AQ5" s="11">
        <v>77468</v>
      </c>
      <c r="AR5" s="11">
        <v>78993</v>
      </c>
      <c r="AS5" s="11">
        <v>80430</v>
      </c>
      <c r="AT5" s="11">
        <v>82667</v>
      </c>
      <c r="AU5" s="11">
        <v>85727</v>
      </c>
      <c r="AV5" s="11">
        <v>86288</v>
      </c>
      <c r="AW5" s="11">
        <v>88637</v>
      </c>
      <c r="AX5" s="11">
        <v>90695</v>
      </c>
      <c r="AY5" s="11">
        <v>91663</v>
      </c>
      <c r="AZ5" s="11">
        <v>93433</v>
      </c>
      <c r="BA5" s="11">
        <v>94862</v>
      </c>
      <c r="BB5" s="11">
        <v>97962</v>
      </c>
      <c r="BC5" s="11">
        <v>99412</v>
      </c>
      <c r="BD5" s="11">
        <v>103208</v>
      </c>
      <c r="BE5" s="11">
        <v>105169</v>
      </c>
      <c r="BF5" s="11">
        <v>106841</v>
      </c>
      <c r="BG5" s="11">
        <v>108753</v>
      </c>
      <c r="BH5" s="11">
        <v>110079</v>
      </c>
      <c r="BI5" s="11">
        <v>111989</v>
      </c>
      <c r="BJ5" s="11">
        <v>115779</v>
      </c>
      <c r="BK5" s="11">
        <v>118136</v>
      </c>
      <c r="BL5" s="11">
        <v>121739</v>
      </c>
      <c r="BM5" s="11">
        <v>127119</v>
      </c>
      <c r="BN5" s="11">
        <v>129815</v>
      </c>
      <c r="BO5" s="11">
        <v>133283</v>
      </c>
      <c r="BP5" s="11">
        <v>136630</v>
      </c>
      <c r="BQ5" s="11">
        <v>140801</v>
      </c>
      <c r="BR5" s="11">
        <v>144969</v>
      </c>
      <c r="BS5" s="11">
        <v>148623</v>
      </c>
      <c r="BT5" s="11">
        <v>151262</v>
      </c>
      <c r="BU5" s="11">
        <v>155370</v>
      </c>
      <c r="BV5" s="11">
        <v>159376</v>
      </c>
      <c r="BW5" s="11">
        <v>163056</v>
      </c>
      <c r="BX5" s="11">
        <v>166719</v>
      </c>
      <c r="BY5" s="11">
        <v>170068</v>
      </c>
      <c r="BZ5" s="11">
        <v>170954</v>
      </c>
      <c r="CA5" s="11">
        <v>173192</v>
      </c>
      <c r="CB5" s="11">
        <v>175822</v>
      </c>
      <c r="CC5" s="11">
        <v>177280</v>
      </c>
      <c r="CD5" s="11">
        <v>179590</v>
      </c>
      <c r="CE5" s="11">
        <v>181438</v>
      </c>
      <c r="CF5" s="11">
        <v>181889</v>
      </c>
      <c r="CG5" s="11">
        <v>182558</v>
      </c>
      <c r="CH5" s="11">
        <v>184989</v>
      </c>
      <c r="CI5" s="11">
        <v>189580</v>
      </c>
      <c r="CJ5" s="11">
        <v>189802</v>
      </c>
      <c r="CK5" s="11">
        <v>193552</v>
      </c>
      <c r="CL5" s="11">
        <v>196921</v>
      </c>
      <c r="CM5" s="11">
        <v>199796</v>
      </c>
      <c r="CN5" s="11">
        <v>200691</v>
      </c>
      <c r="CO5" s="11">
        <v>203292</v>
      </c>
      <c r="CP5" s="11">
        <v>207015</v>
      </c>
      <c r="CQ5" s="11">
        <v>208657</v>
      </c>
      <c r="CR5" s="11">
        <v>210748</v>
      </c>
      <c r="CS5" s="11">
        <v>214616</v>
      </c>
      <c r="CT5" s="11">
        <v>217824</v>
      </c>
      <c r="CU5" s="11">
        <v>221433</v>
      </c>
      <c r="CV5" s="11">
        <v>226187</v>
      </c>
      <c r="CW5" s="11">
        <v>229912</v>
      </c>
      <c r="CX5" s="11">
        <v>232461</v>
      </c>
      <c r="CY5" s="11">
        <v>232749</v>
      </c>
      <c r="CZ5" s="11">
        <v>235998</v>
      </c>
      <c r="DA5" s="11">
        <v>243388</v>
      </c>
      <c r="DB5" s="11">
        <v>241270</v>
      </c>
      <c r="DC5" s="11">
        <v>245958</v>
      </c>
      <c r="DD5" s="11">
        <v>248081</v>
      </c>
      <c r="DE5" s="11">
        <v>250560</v>
      </c>
      <c r="DF5" s="11">
        <v>253902</v>
      </c>
      <c r="DG5" s="11">
        <v>255903</v>
      </c>
      <c r="DH5" s="11">
        <v>258404</v>
      </c>
      <c r="DI5" s="11">
        <v>261604</v>
      </c>
      <c r="DJ5" s="11">
        <v>267337</v>
      </c>
      <c r="DK5" s="11">
        <v>272305</v>
      </c>
      <c r="DL5" s="11">
        <v>273916</v>
      </c>
      <c r="DM5" s="11">
        <v>276174</v>
      </c>
      <c r="DN5" s="11">
        <v>278357</v>
      </c>
      <c r="DO5" s="11">
        <v>282889</v>
      </c>
      <c r="DP5" s="11">
        <v>286728</v>
      </c>
      <c r="DQ5" s="11">
        <v>288166</v>
      </c>
      <c r="DR5" s="11">
        <v>288352</v>
      </c>
      <c r="DS5" s="11">
        <v>292486</v>
      </c>
      <c r="DT5" s="11">
        <v>295516</v>
      </c>
      <c r="DU5" s="11">
        <v>299230</v>
      </c>
      <c r="DV5" s="11">
        <v>304207</v>
      </c>
      <c r="DW5" s="11">
        <v>307485</v>
      </c>
      <c r="DX5" s="11">
        <v>312948</v>
      </c>
      <c r="DY5" s="11">
        <v>317463</v>
      </c>
      <c r="DZ5" s="11">
        <v>320438</v>
      </c>
      <c r="EA5" s="11">
        <v>322778</v>
      </c>
      <c r="EB5" s="11">
        <v>329732</v>
      </c>
      <c r="EC5" s="11">
        <v>331592</v>
      </c>
      <c r="ED5" s="11">
        <v>338535</v>
      </c>
      <c r="EE5" s="11">
        <v>341254</v>
      </c>
      <c r="EF5" s="11">
        <v>348491</v>
      </c>
      <c r="EG5" s="11">
        <v>352001</v>
      </c>
      <c r="EH5" s="11">
        <v>357003</v>
      </c>
      <c r="EI5" s="11">
        <v>361213</v>
      </c>
      <c r="EJ5" s="11">
        <v>367042</v>
      </c>
      <c r="EK5" s="11">
        <v>370883</v>
      </c>
      <c r="EL5" s="11">
        <v>372900</v>
      </c>
      <c r="EM5" s="11">
        <v>376958</v>
      </c>
      <c r="EN5" s="11">
        <v>386144</v>
      </c>
      <c r="EO5" s="11">
        <v>389291</v>
      </c>
      <c r="EP5" s="11">
        <v>392244</v>
      </c>
      <c r="EQ5" s="11">
        <v>397800</v>
      </c>
      <c r="ER5" s="11">
        <v>400685</v>
      </c>
      <c r="ES5" s="11">
        <v>399994</v>
      </c>
      <c r="ET5" s="11">
        <v>395121</v>
      </c>
      <c r="EU5" s="11">
        <v>386874</v>
      </c>
      <c r="EV5" s="11">
        <v>386553</v>
      </c>
      <c r="EW5" s="11">
        <v>388596</v>
      </c>
      <c r="EX5" s="11">
        <v>386779</v>
      </c>
      <c r="EY5" s="11">
        <v>396176</v>
      </c>
      <c r="EZ5" s="11">
        <v>401223</v>
      </c>
      <c r="FA5" s="11">
        <v>404365</v>
      </c>
      <c r="FB5" s="11">
        <v>406789</v>
      </c>
      <c r="FC5" s="11">
        <v>414806</v>
      </c>
      <c r="FD5" s="11">
        <v>412364</v>
      </c>
      <c r="FE5" s="11">
        <v>416115</v>
      </c>
      <c r="FF5" s="11">
        <v>419305</v>
      </c>
      <c r="FG5" s="11">
        <v>424540</v>
      </c>
      <c r="FH5" s="11">
        <v>424939</v>
      </c>
      <c r="FI5" s="11">
        <v>430964</v>
      </c>
      <c r="FJ5" s="11">
        <v>433272</v>
      </c>
      <c r="FK5" s="11">
        <v>438283</v>
      </c>
      <c r="FL5" s="11">
        <v>442095</v>
      </c>
      <c r="FM5" s="11">
        <v>448800</v>
      </c>
      <c r="FN5" s="11">
        <v>452183</v>
      </c>
      <c r="FO5" s="11">
        <v>457683</v>
      </c>
      <c r="FP5" s="11">
        <v>461549</v>
      </c>
      <c r="FQ5" s="11">
        <v>470624</v>
      </c>
      <c r="FR5" s="11">
        <v>472658</v>
      </c>
      <c r="FS5" s="11">
        <v>474680</v>
      </c>
      <c r="FT5" s="11">
        <v>476591</v>
      </c>
      <c r="FU5" s="11">
        <v>479924</v>
      </c>
      <c r="FV5" s="11">
        <v>485256</v>
      </c>
      <c r="FW5" s="11">
        <v>489683</v>
      </c>
      <c r="FX5" s="11">
        <v>493710</v>
      </c>
      <c r="FY5" s="11">
        <v>500801</v>
      </c>
      <c r="FZ5" s="11">
        <v>507451</v>
      </c>
      <c r="GA5" s="11">
        <v>513814</v>
      </c>
      <c r="GB5" s="11">
        <v>517656</v>
      </c>
      <c r="GC5" s="11">
        <v>521257</v>
      </c>
      <c r="GD5" s="11">
        <v>529755</v>
      </c>
      <c r="GE5" s="11">
        <v>531131</v>
      </c>
      <c r="GF5" s="11">
        <v>535707</v>
      </c>
      <c r="GG5" s="11">
        <v>540205</v>
      </c>
      <c r="GH5" s="11">
        <v>545261</v>
      </c>
      <c r="GI5" s="11">
        <v>549060</v>
      </c>
      <c r="GJ5" s="11">
        <v>556104</v>
      </c>
      <c r="GK5" s="11">
        <v>562999</v>
      </c>
      <c r="GL5" s="11">
        <v>565758</v>
      </c>
      <c r="GM5" s="11">
        <v>555891</v>
      </c>
      <c r="GN5" s="11">
        <v>476160</v>
      </c>
      <c r="GO5" s="11">
        <v>533806</v>
      </c>
      <c r="GP5" s="11">
        <v>537629</v>
      </c>
      <c r="GQ5" s="11">
        <v>537992</v>
      </c>
      <c r="GR5" s="11">
        <v>568521</v>
      </c>
      <c r="GS5" s="11">
        <v>581805</v>
      </c>
      <c r="GT5" s="11">
        <v>597082</v>
      </c>
      <c r="GU5" s="11">
        <v>610346</v>
      </c>
      <c r="GV5" s="11">
        <v>625467</v>
      </c>
      <c r="GW5" s="11">
        <v>636553</v>
      </c>
      <c r="GX5" s="11">
        <v>654062</v>
      </c>
      <c r="GY5" s="11">
        <v>667103</v>
      </c>
      <c r="GZ5" s="11">
        <v>679433</v>
      </c>
      <c r="HA5" s="11">
        <v>685035</v>
      </c>
      <c r="HB5" s="11">
        <v>685749</v>
      </c>
      <c r="HC5" s="11">
        <v>697617</v>
      </c>
      <c r="HD5" s="11">
        <v>704470</v>
      </c>
      <c r="HE5" s="11">
        <v>712652</v>
      </c>
      <c r="HF5" s="12">
        <v>719720.4</v>
      </c>
      <c r="HG5" s="12">
        <v>729288.2</v>
      </c>
      <c r="HH5" s="12">
        <v>737176.1</v>
      </c>
      <c r="HI5" s="12">
        <v>744686.1</v>
      </c>
      <c r="HJ5" s="12">
        <v>752089.5</v>
      </c>
      <c r="HK5" s="12">
        <v>759365.1</v>
      </c>
      <c r="HL5" s="12">
        <v>766253.6</v>
      </c>
      <c r="HM5" s="12">
        <v>773550.1</v>
      </c>
      <c r="HN5" s="12">
        <v>780877.1</v>
      </c>
      <c r="HO5" s="12">
        <v>788391.3</v>
      </c>
      <c r="HP5" s="12">
        <v>796057.8</v>
      </c>
      <c r="HQ5" s="12">
        <v>803837.6</v>
      </c>
      <c r="HR5" s="12">
        <v>811572.8</v>
      </c>
      <c r="HS5" s="12">
        <v>819300.7</v>
      </c>
      <c r="HT5" s="12">
        <v>827143.4</v>
      </c>
      <c r="HU5" s="12">
        <v>834895.3</v>
      </c>
      <c r="HV5" s="12">
        <v>842677.6</v>
      </c>
      <c r="HW5" s="12">
        <v>850447.9</v>
      </c>
      <c r="HX5" s="12">
        <v>858161.3</v>
      </c>
      <c r="HY5" s="12">
        <v>865815.8</v>
      </c>
      <c r="HZ5" s="12">
        <v>873538.4</v>
      </c>
      <c r="IA5" s="12">
        <v>881417.8</v>
      </c>
      <c r="IB5" s="12">
        <v>889457</v>
      </c>
      <c r="IC5" s="12">
        <v>897703</v>
      </c>
      <c r="ID5" s="12">
        <v>906092.9</v>
      </c>
      <c r="IE5" s="12">
        <v>914561.5</v>
      </c>
      <c r="IF5" s="12">
        <v>923109.6</v>
      </c>
      <c r="IG5" s="12">
        <v>931690.8</v>
      </c>
      <c r="IH5" s="12">
        <v>940304.7</v>
      </c>
      <c r="II5" s="12">
        <v>948998.8</v>
      </c>
      <c r="IJ5" s="12">
        <v>957773.3</v>
      </c>
      <c r="IK5" s="12">
        <v>966724.7</v>
      </c>
      <c r="IL5" s="12">
        <v>975662.8</v>
      </c>
      <c r="IM5" s="12">
        <v>984848.1</v>
      </c>
      <c r="IN5" s="12">
        <v>994074.5</v>
      </c>
      <c r="IO5" s="12">
        <v>1003302</v>
      </c>
      <c r="IP5" s="12">
        <v>1012523</v>
      </c>
      <c r="IQ5" s="12">
        <v>1021980</v>
      </c>
      <c r="IR5" s="12">
        <v>1031356</v>
      </c>
      <c r="IS5" s="12">
        <v>1040759</v>
      </c>
      <c r="IT5" s="12">
        <v>1050146</v>
      </c>
      <c r="IU5" s="12">
        <v>1059725</v>
      </c>
      <c r="IV5" s="12">
        <v>1069390</v>
      </c>
      <c r="IW5" s="12">
        <v>1079139</v>
      </c>
      <c r="IX5" s="12">
        <v>1088974</v>
      </c>
      <c r="IY5" s="12">
        <v>1098991</v>
      </c>
      <c r="IZ5" s="12">
        <v>1109100</v>
      </c>
      <c r="JA5" s="12">
        <v>1119304</v>
      </c>
      <c r="JB5" s="12">
        <v>1129602</v>
      </c>
      <c r="JC5" s="12">
        <v>1139995</v>
      </c>
      <c r="JD5" s="12">
        <v>1150484</v>
      </c>
      <c r="JE5" s="12">
        <v>1161070</v>
      </c>
      <c r="JF5" s="12">
        <v>1171756</v>
      </c>
      <c r="JG5" s="12">
        <v>1182649</v>
      </c>
      <c r="JH5" s="12">
        <v>1193646</v>
      </c>
      <c r="JI5" s="12">
        <v>1204747</v>
      </c>
      <c r="JJ5" s="12">
        <v>1215953</v>
      </c>
      <c r="JK5" s="12">
        <v>1227266</v>
      </c>
      <c r="JL5" s="12">
        <v>1238685</v>
      </c>
      <c r="JM5" s="12">
        <v>1250214</v>
      </c>
      <c r="JN5" s="12">
        <v>1261853</v>
      </c>
      <c r="JO5" s="12">
        <v>1273602</v>
      </c>
      <c r="JP5" s="12">
        <v>1285460</v>
      </c>
      <c r="JQ5" s="12">
        <v>1297429</v>
      </c>
      <c r="JR5" s="12">
        <v>1309510</v>
      </c>
      <c r="JS5" s="12">
        <v>1321545</v>
      </c>
      <c r="JT5" s="12">
        <v>1333689</v>
      </c>
      <c r="JU5" s="12">
        <v>1345945</v>
      </c>
      <c r="JV5" s="12">
        <v>1358310</v>
      </c>
      <c r="JW5" s="12">
        <v>1370788</v>
      </c>
      <c r="JX5" s="12">
        <v>1383379</v>
      </c>
      <c r="JY5" s="12">
        <v>1396083</v>
      </c>
      <c r="JZ5" s="12">
        <v>1408904</v>
      </c>
      <c r="KA5" s="12">
        <v>1421824</v>
      </c>
      <c r="KB5" s="12">
        <v>1434861</v>
      </c>
      <c r="KC5" s="12">
        <v>1448015</v>
      </c>
      <c r="KD5" s="12">
        <v>1461286</v>
      </c>
      <c r="KE5" s="12">
        <v>1474676</v>
      </c>
      <c r="KF5" s="12">
        <v>1488185</v>
      </c>
      <c r="KG5" s="12">
        <v>1501815</v>
      </c>
      <c r="KH5" s="12">
        <v>1515566</v>
      </c>
      <c r="KI5" s="12">
        <v>1529439</v>
      </c>
      <c r="KJ5" s="12">
        <v>1543436</v>
      </c>
      <c r="KK5" s="12">
        <v>1557558</v>
      </c>
      <c r="KL5" s="12">
        <v>1571805</v>
      </c>
      <c r="KM5" s="12">
        <v>1586179</v>
      </c>
      <c r="KN5" s="12">
        <v>1600679</v>
      </c>
      <c r="KO5" s="12">
        <v>1615309</v>
      </c>
      <c r="KP5" s="12">
        <v>1630069</v>
      </c>
      <c r="KQ5" s="12">
        <v>1644961</v>
      </c>
      <c r="KR5" s="12">
        <v>1659984</v>
      </c>
      <c r="KS5" s="12">
        <v>1675140</v>
      </c>
      <c r="KT5" s="12">
        <v>1690432</v>
      </c>
      <c r="KU5" s="12">
        <v>1705860</v>
      </c>
      <c r="KV5" s="12">
        <v>1721424</v>
      </c>
      <c r="KW5" s="12">
        <v>1737126</v>
      </c>
      <c r="KX5" s="12">
        <v>1752968</v>
      </c>
      <c r="KY5" s="12">
        <v>1768949</v>
      </c>
      <c r="KZ5" s="12">
        <v>1785073</v>
      </c>
      <c r="LA5" s="12">
        <v>1801338</v>
      </c>
      <c r="LB5" s="12">
        <v>1817747</v>
      </c>
      <c r="LC5" s="12">
        <v>1834300</v>
      </c>
      <c r="LD5" s="12">
        <v>1850998</v>
      </c>
      <c r="LE5" s="12">
        <v>1867839</v>
      </c>
      <c r="LF5" s="12">
        <v>1884828</v>
      </c>
      <c r="LG5" s="12">
        <v>1901508</v>
      </c>
      <c r="LH5" s="12">
        <v>1918327</v>
      </c>
      <c r="LI5" s="12">
        <v>1935206</v>
      </c>
      <c r="LJ5" s="12">
        <v>1952224</v>
      </c>
      <c r="LK5" s="12">
        <v>1969380</v>
      </c>
      <c r="LL5" s="12">
        <v>1986678</v>
      </c>
      <c r="LM5" s="12">
        <v>2003976</v>
      </c>
      <c r="LN5" s="12">
        <v>2021412</v>
      </c>
      <c r="LO5" s="12">
        <v>2038987</v>
      </c>
      <c r="LP5" s="12">
        <v>2056704</v>
      </c>
      <c r="LQ5" s="12">
        <v>2074564</v>
      </c>
      <c r="LR5" s="12">
        <v>2092567</v>
      </c>
      <c r="LS5" s="12">
        <v>2110714</v>
      </c>
      <c r="LT5" s="12">
        <v>2129007</v>
      </c>
      <c r="LU5" s="12">
        <v>2147375</v>
      </c>
      <c r="LV5" s="12">
        <v>2165889</v>
      </c>
      <c r="LW5" s="12">
        <v>2184549</v>
      </c>
      <c r="LX5" s="12">
        <v>2203355</v>
      </c>
      <c r="LY5" s="12">
        <v>2222254</v>
      </c>
      <c r="LZ5" s="12">
        <v>2241301</v>
      </c>
      <c r="MA5" s="12">
        <v>2260493</v>
      </c>
      <c r="MB5" s="12">
        <v>2279839</v>
      </c>
      <c r="MC5" s="12">
        <v>2299340</v>
      </c>
      <c r="MD5" s="12">
        <v>2318992</v>
      </c>
      <c r="ME5" s="12">
        <v>2338801</v>
      </c>
      <c r="MF5" s="12">
        <v>2358764</v>
      </c>
      <c r="MG5" s="12">
        <v>2378962</v>
      </c>
      <c r="MH5" s="12">
        <v>2399320</v>
      </c>
      <c r="MI5" s="12">
        <v>2419841</v>
      </c>
      <c r="MJ5" s="12">
        <v>2440524</v>
      </c>
      <c r="MK5" s="12">
        <v>2461347</v>
      </c>
      <c r="ML5" s="12">
        <v>2482336</v>
      </c>
      <c r="MM5" s="12">
        <v>2503516</v>
      </c>
      <c r="MN5" s="12">
        <v>2524865</v>
      </c>
      <c r="MO5" s="12">
        <v>2546468</v>
      </c>
      <c r="MP5" s="12">
        <v>2568243</v>
      </c>
      <c r="MQ5" s="12">
        <v>2590193</v>
      </c>
      <c r="MR5" s="12">
        <v>2612318</v>
      </c>
      <c r="MS5" s="12">
        <v>2634618</v>
      </c>
      <c r="MT5" s="12">
        <v>2657099</v>
      </c>
      <c r="MU5" t="s">
        <v>1248</v>
      </c>
      <c r="MV5" t="b">
        <v>1</v>
      </c>
      <c r="MW5" t="s">
        <v>1238</v>
      </c>
      <c r="MX5" t="s">
        <v>1238</v>
      </c>
      <c r="MY5">
        <v>2024</v>
      </c>
      <c r="MZ5">
        <v>3</v>
      </c>
      <c r="NA5" t="s">
        <v>1238</v>
      </c>
      <c r="NB5" t="s">
        <v>1257</v>
      </c>
      <c r="NC5" t="s">
        <v>1258</v>
      </c>
      <c r="ND5" t="s">
        <v>1242</v>
      </c>
      <c r="NE5" t="s">
        <v>1259</v>
      </c>
      <c r="NF5" s="1" t="s">
        <v>1244</v>
      </c>
    </row>
    <row r="6" spans="1:370" x14ac:dyDescent="0.25">
      <c r="A6" t="s">
        <v>1234</v>
      </c>
      <c r="B6" t="s">
        <v>1260</v>
      </c>
      <c r="C6" s="1" t="s">
        <v>1236</v>
      </c>
      <c r="D6" t="s">
        <v>1261</v>
      </c>
      <c r="E6" t="s">
        <v>1238</v>
      </c>
      <c r="F6" t="s">
        <v>1239</v>
      </c>
      <c r="G6" s="11">
        <v>14.851150000000001</v>
      </c>
      <c r="H6" s="11">
        <v>15.597429999999999</v>
      </c>
      <c r="I6" s="11">
        <v>16.407070000000001</v>
      </c>
      <c r="J6" s="11">
        <v>16.907609999999998</v>
      </c>
      <c r="K6" s="11">
        <v>16.780860000000001</v>
      </c>
      <c r="L6" s="11">
        <v>18.253409999999999</v>
      </c>
      <c r="M6" s="11">
        <v>20.242899999999999</v>
      </c>
      <c r="N6" s="11">
        <v>21.924240000000001</v>
      </c>
      <c r="O6" s="11">
        <v>23.39659</v>
      </c>
      <c r="P6" s="11">
        <v>24.964189999999999</v>
      </c>
      <c r="Q6" s="11">
        <v>27.02938</v>
      </c>
      <c r="R6" s="11">
        <v>28.37567</v>
      </c>
      <c r="S6" s="11">
        <v>29.357140000000001</v>
      </c>
      <c r="T6" s="11">
        <v>30.793579999999999</v>
      </c>
      <c r="U6" s="11">
        <v>32.301470000000002</v>
      </c>
      <c r="V6" s="11">
        <v>33.18535</v>
      </c>
      <c r="W6" s="11">
        <v>33.540489999999998</v>
      </c>
      <c r="X6" s="11">
        <v>34.543460000000003</v>
      </c>
      <c r="Y6" s="11">
        <v>35.597639999999998</v>
      </c>
      <c r="Z6" s="11">
        <v>36.685519999999997</v>
      </c>
      <c r="AA6" s="11">
        <v>37.643259999999998</v>
      </c>
      <c r="AB6" s="11">
        <v>39.864730000000002</v>
      </c>
      <c r="AC6" s="11">
        <v>42.09901</v>
      </c>
      <c r="AD6" s="11">
        <v>43.30621</v>
      </c>
      <c r="AE6" s="11">
        <v>43.965009999999999</v>
      </c>
      <c r="AF6" s="11">
        <v>46.838419999999999</v>
      </c>
      <c r="AG6" s="11">
        <v>50.12706</v>
      </c>
      <c r="AH6" s="11">
        <v>52.644150000000003</v>
      </c>
      <c r="AI6" s="11">
        <v>54.906700000000001</v>
      </c>
      <c r="AJ6" s="11">
        <v>59.170099999999998</v>
      </c>
      <c r="AK6" s="11">
        <v>63.642139999999998</v>
      </c>
      <c r="AL6" s="11">
        <v>66.771739999999994</v>
      </c>
      <c r="AM6" s="11">
        <v>67.327690000000004</v>
      </c>
      <c r="AN6" s="11">
        <v>69.614490000000004</v>
      </c>
      <c r="AO6" s="11">
        <v>73.352940000000004</v>
      </c>
      <c r="AP6" s="11">
        <v>76.177090000000007</v>
      </c>
      <c r="AQ6" s="11">
        <v>76.586519999999993</v>
      </c>
      <c r="AR6" s="11">
        <v>78.919120000000007</v>
      </c>
      <c r="AS6" s="11">
        <v>82.158659999999998</v>
      </c>
      <c r="AT6" s="11">
        <v>83.439229999999995</v>
      </c>
      <c r="AU6" s="11">
        <v>84.922520000000006</v>
      </c>
      <c r="AV6" s="11">
        <v>88.039339999999996</v>
      </c>
      <c r="AW6" s="11">
        <v>90.437579999999997</v>
      </c>
      <c r="AX6" s="11">
        <v>91.531840000000003</v>
      </c>
      <c r="AY6" s="11">
        <v>92.079539999999994</v>
      </c>
      <c r="AZ6" s="11">
        <v>94.127579999999995</v>
      </c>
      <c r="BA6" s="11">
        <v>96.732339999999994</v>
      </c>
      <c r="BB6" s="11">
        <v>99.446349999999995</v>
      </c>
      <c r="BC6" s="11">
        <v>100.12390000000001</v>
      </c>
      <c r="BD6" s="11">
        <v>104.4909</v>
      </c>
      <c r="BE6" s="11">
        <v>107.6677</v>
      </c>
      <c r="BF6" s="11">
        <v>109.6371</v>
      </c>
      <c r="BG6" s="11">
        <v>110.8912</v>
      </c>
      <c r="BH6" s="11">
        <v>115.3305</v>
      </c>
      <c r="BI6" s="11">
        <v>118.2911</v>
      </c>
      <c r="BJ6" s="11">
        <v>120.3198</v>
      </c>
      <c r="BK6" s="11">
        <v>121.41079999999999</v>
      </c>
      <c r="BL6" s="11">
        <v>125.7916</v>
      </c>
      <c r="BM6" s="11">
        <v>130.0642</v>
      </c>
      <c r="BN6" s="11">
        <v>132.7039</v>
      </c>
      <c r="BO6" s="11">
        <v>134.46860000000001</v>
      </c>
      <c r="BP6" s="11">
        <v>139.05330000000001</v>
      </c>
      <c r="BQ6" s="11">
        <v>144.16399999999999</v>
      </c>
      <c r="BR6" s="11">
        <v>148.042</v>
      </c>
      <c r="BS6" s="11">
        <v>150.62790000000001</v>
      </c>
      <c r="BT6" s="11">
        <v>155.5334</v>
      </c>
      <c r="BU6" s="11">
        <v>160.64189999999999</v>
      </c>
      <c r="BV6" s="11">
        <v>165.39500000000001</v>
      </c>
      <c r="BW6" s="11">
        <v>167.1534</v>
      </c>
      <c r="BX6" s="11">
        <v>174.4332</v>
      </c>
      <c r="BY6" s="11">
        <v>181.6447</v>
      </c>
      <c r="BZ6" s="11">
        <v>185.41390000000001</v>
      </c>
      <c r="CA6" s="11">
        <v>187.09540000000001</v>
      </c>
      <c r="CB6" s="11">
        <v>192.89080000000001</v>
      </c>
      <c r="CC6" s="11">
        <v>198.7286</v>
      </c>
      <c r="CD6" s="11">
        <v>202.2243</v>
      </c>
      <c r="CE6" s="11">
        <v>203.99180000000001</v>
      </c>
      <c r="CF6" s="11">
        <v>209.3937</v>
      </c>
      <c r="CG6" s="11">
        <v>213.14080000000001</v>
      </c>
      <c r="CH6" s="11">
        <v>215.0164</v>
      </c>
      <c r="CI6" s="11">
        <v>213.95429999999999</v>
      </c>
      <c r="CJ6" s="11">
        <v>217.78450000000001</v>
      </c>
      <c r="CK6" s="11">
        <v>221.5908</v>
      </c>
      <c r="CL6" s="11">
        <v>222.90620000000001</v>
      </c>
      <c r="CM6" s="11">
        <v>222.8023</v>
      </c>
      <c r="CN6" s="11">
        <v>227.5204</v>
      </c>
      <c r="CO6" s="11">
        <v>232.0582</v>
      </c>
      <c r="CP6" s="11">
        <v>233.2474</v>
      </c>
      <c r="CQ6" s="11">
        <v>232.66929999999999</v>
      </c>
      <c r="CR6" s="11">
        <v>237.69069999999999</v>
      </c>
      <c r="CS6" s="11">
        <v>240.27940000000001</v>
      </c>
      <c r="CT6" s="11">
        <v>241.90459999999999</v>
      </c>
      <c r="CU6" s="11">
        <v>241.40309999999999</v>
      </c>
      <c r="CV6" s="11">
        <v>247.31559999999999</v>
      </c>
      <c r="CW6" s="11">
        <v>251.52930000000001</v>
      </c>
      <c r="CX6" s="11">
        <v>253.94390000000001</v>
      </c>
      <c r="CY6" s="11">
        <v>253.93029999999999</v>
      </c>
      <c r="CZ6" s="11">
        <v>259.93700000000001</v>
      </c>
      <c r="DA6" s="11">
        <v>264.79160000000002</v>
      </c>
      <c r="DB6" s="11">
        <v>268.61829999999998</v>
      </c>
      <c r="DC6" s="11">
        <v>269.56689999999998</v>
      </c>
      <c r="DD6" s="11">
        <v>278.03019999999998</v>
      </c>
      <c r="DE6" s="11">
        <v>282.88189999999997</v>
      </c>
      <c r="DF6" s="11">
        <v>285.15710000000001</v>
      </c>
      <c r="DG6" s="11">
        <v>284.69069999999999</v>
      </c>
      <c r="DH6" s="11">
        <v>293.50729999999999</v>
      </c>
      <c r="DI6" s="11">
        <v>299.82389999999998</v>
      </c>
      <c r="DJ6" s="11">
        <v>303.68020000000001</v>
      </c>
      <c r="DK6" s="11">
        <v>305.33330000000001</v>
      </c>
      <c r="DL6" s="11">
        <v>310.33330000000001</v>
      </c>
      <c r="DM6" s="11">
        <v>315</v>
      </c>
      <c r="DN6" s="11">
        <v>320.33330000000001</v>
      </c>
      <c r="DO6" s="11">
        <v>324</v>
      </c>
      <c r="DP6" s="11">
        <v>327</v>
      </c>
      <c r="DQ6" s="11">
        <v>330</v>
      </c>
      <c r="DR6" s="11">
        <v>333.66669999999999</v>
      </c>
      <c r="DS6" s="11">
        <v>333.66669999999999</v>
      </c>
      <c r="DT6" s="11">
        <v>339</v>
      </c>
      <c r="DU6" s="11">
        <v>341.33330000000001</v>
      </c>
      <c r="DV6" s="11">
        <v>342.66669999999999</v>
      </c>
      <c r="DW6" s="11">
        <v>343</v>
      </c>
      <c r="DX6" s="11">
        <v>348</v>
      </c>
      <c r="DY6" s="11">
        <v>352.66669999999999</v>
      </c>
      <c r="DZ6" s="11">
        <v>357</v>
      </c>
      <c r="EA6" s="11">
        <v>359</v>
      </c>
      <c r="EB6" s="11">
        <v>363</v>
      </c>
      <c r="EC6" s="11">
        <v>367</v>
      </c>
      <c r="ED6" s="11">
        <v>372.33330000000001</v>
      </c>
      <c r="EE6" s="11">
        <v>375.33330000000001</v>
      </c>
      <c r="EF6" s="11">
        <v>379.66669999999999</v>
      </c>
      <c r="EG6" s="11">
        <v>385.33330000000001</v>
      </c>
      <c r="EH6" s="11">
        <v>389.33330000000001</v>
      </c>
      <c r="EI6" s="11">
        <v>393.66669999999999</v>
      </c>
      <c r="EJ6" s="11">
        <v>397.66669999999999</v>
      </c>
      <c r="EK6" s="11">
        <v>401.33330000000001</v>
      </c>
      <c r="EL6" s="11">
        <v>408</v>
      </c>
      <c r="EM6" s="11">
        <v>417</v>
      </c>
      <c r="EN6" s="11">
        <v>415.33330000000001</v>
      </c>
      <c r="EO6" s="11">
        <v>422</v>
      </c>
      <c r="EP6" s="11">
        <v>425</v>
      </c>
      <c r="EQ6" s="11">
        <v>433.66669999999999</v>
      </c>
      <c r="ER6" s="11">
        <v>433</v>
      </c>
      <c r="ES6" s="11">
        <v>434.66669999999999</v>
      </c>
      <c r="ET6" s="11">
        <v>436.33330000000001</v>
      </c>
      <c r="EU6" s="11">
        <v>421</v>
      </c>
      <c r="EV6" s="11">
        <v>437.66669999999999</v>
      </c>
      <c r="EW6" s="11">
        <v>438</v>
      </c>
      <c r="EX6" s="11">
        <v>439.66669999999999</v>
      </c>
      <c r="EY6" s="11">
        <v>442</v>
      </c>
      <c r="EZ6" s="11">
        <v>442</v>
      </c>
      <c r="FA6" s="11">
        <v>444.66669999999999</v>
      </c>
      <c r="FB6" s="11">
        <v>448</v>
      </c>
      <c r="FC6" s="11">
        <v>454.66669999999999</v>
      </c>
      <c r="FD6" s="11">
        <v>453.33330000000001</v>
      </c>
      <c r="FE6" s="11">
        <v>454.66669999999999</v>
      </c>
      <c r="FF6" s="11">
        <v>456.66669999999999</v>
      </c>
      <c r="FG6" s="11">
        <v>457</v>
      </c>
      <c r="FH6" s="11">
        <v>460.66669999999999</v>
      </c>
      <c r="FI6" s="11">
        <v>463</v>
      </c>
      <c r="FJ6" s="11">
        <v>462</v>
      </c>
      <c r="FK6" s="11">
        <v>459.33330000000001</v>
      </c>
      <c r="FL6" s="11">
        <v>470.33330000000001</v>
      </c>
      <c r="FM6" s="11">
        <v>466</v>
      </c>
      <c r="FN6" s="11">
        <v>466.66669999999999</v>
      </c>
      <c r="FO6" s="11">
        <v>467.33330000000001</v>
      </c>
      <c r="FP6" s="11">
        <v>469.33330000000001</v>
      </c>
      <c r="FQ6" s="11">
        <v>470</v>
      </c>
      <c r="FR6" s="11">
        <v>476</v>
      </c>
      <c r="FS6" s="11">
        <v>478</v>
      </c>
      <c r="FT6" s="11">
        <v>481.33330000000001</v>
      </c>
      <c r="FU6" s="11">
        <v>483.66669999999999</v>
      </c>
      <c r="FV6" s="11">
        <v>485</v>
      </c>
      <c r="FW6" s="11">
        <v>488.33330000000001</v>
      </c>
      <c r="FX6" s="11">
        <v>493.66669999999999</v>
      </c>
      <c r="FY6" s="11">
        <v>495</v>
      </c>
      <c r="FZ6" s="11">
        <v>497</v>
      </c>
      <c r="GA6" s="11">
        <v>499</v>
      </c>
      <c r="GB6" s="11">
        <v>504.33330000000001</v>
      </c>
      <c r="GC6" s="11">
        <v>506.66669999999999</v>
      </c>
      <c r="GD6" s="11">
        <v>510.33330000000001</v>
      </c>
      <c r="GE6" s="11">
        <v>512</v>
      </c>
      <c r="GF6" s="11">
        <v>516.66669999999999</v>
      </c>
      <c r="GG6" s="11">
        <v>522.33330000000001</v>
      </c>
      <c r="GH6" s="11">
        <v>528</v>
      </c>
      <c r="GI6" s="11">
        <v>528.66669999999999</v>
      </c>
      <c r="GJ6" s="11">
        <v>537</v>
      </c>
      <c r="GK6" s="11">
        <v>542.33330000000001</v>
      </c>
      <c r="GL6" s="11">
        <v>542.33330000000001</v>
      </c>
      <c r="GM6" s="11">
        <v>540.33330000000001</v>
      </c>
      <c r="GN6" s="11">
        <v>531</v>
      </c>
      <c r="GO6" s="11">
        <v>550.33330000000001</v>
      </c>
      <c r="GP6" s="11">
        <v>567</v>
      </c>
      <c r="GQ6" s="11">
        <v>563</v>
      </c>
      <c r="GR6" s="11">
        <v>578</v>
      </c>
      <c r="GS6" s="11">
        <v>583.66669999999999</v>
      </c>
      <c r="GT6" s="11">
        <v>592.66669999999999</v>
      </c>
      <c r="GU6" s="11">
        <v>602.33330000000001</v>
      </c>
      <c r="GV6" s="11">
        <v>607.66669999999999</v>
      </c>
      <c r="GW6" s="11">
        <v>618</v>
      </c>
      <c r="GX6" s="11">
        <v>630.33330000000001</v>
      </c>
      <c r="GY6" s="11">
        <v>640.33330000000001</v>
      </c>
      <c r="GZ6" s="11">
        <v>657.33330000000001</v>
      </c>
      <c r="HA6" s="11">
        <v>665.66669999999999</v>
      </c>
      <c r="HB6" s="11">
        <v>666.66669999999999</v>
      </c>
      <c r="HC6" s="11">
        <v>678.33330000000001</v>
      </c>
      <c r="HD6" s="11">
        <v>687.33330000000001</v>
      </c>
      <c r="HE6" s="11">
        <v>694.66669999999999</v>
      </c>
      <c r="HF6" s="12">
        <v>707.74180000000001</v>
      </c>
      <c r="HG6" s="12">
        <v>713.572</v>
      </c>
      <c r="HH6" s="12">
        <v>719.99419999999998</v>
      </c>
      <c r="HI6" s="12">
        <v>726.47490000000005</v>
      </c>
      <c r="HJ6" s="12">
        <v>732.28579999999999</v>
      </c>
      <c r="HK6" s="12">
        <v>737.41219999999998</v>
      </c>
      <c r="HL6" s="12">
        <v>742.42650000000003</v>
      </c>
      <c r="HM6" s="12">
        <v>747.32659999999998</v>
      </c>
      <c r="HN6" s="12">
        <v>752.27700000000004</v>
      </c>
      <c r="HO6" s="12">
        <v>757.24649999999997</v>
      </c>
      <c r="HP6" s="12">
        <v>762.17819999999995</v>
      </c>
      <c r="HQ6" s="12">
        <v>767.15089999999998</v>
      </c>
      <c r="HR6" s="12">
        <v>772.13319999999999</v>
      </c>
      <c r="HS6" s="12">
        <v>777.24940000000004</v>
      </c>
      <c r="HT6" s="12">
        <v>782.47860000000003</v>
      </c>
      <c r="HU6" s="12">
        <v>787.84059999999999</v>
      </c>
      <c r="HV6" s="12">
        <v>793.31730000000005</v>
      </c>
      <c r="HW6" s="12">
        <v>798.79470000000003</v>
      </c>
      <c r="HX6" s="12">
        <v>804.31700000000001</v>
      </c>
      <c r="HY6" s="12">
        <v>809.90279999999996</v>
      </c>
      <c r="HZ6" s="12">
        <v>815.51729999999998</v>
      </c>
      <c r="IA6" s="12">
        <v>821.16290000000004</v>
      </c>
      <c r="IB6" s="12">
        <v>826.81449999999995</v>
      </c>
      <c r="IC6" s="12">
        <v>832.51289999999995</v>
      </c>
      <c r="ID6" s="12">
        <v>838.23540000000003</v>
      </c>
      <c r="IE6" s="12">
        <v>844.01250000000005</v>
      </c>
      <c r="IF6" s="12">
        <v>849.85130000000004</v>
      </c>
      <c r="IG6" s="12">
        <v>855.72889999999995</v>
      </c>
      <c r="IH6" s="12">
        <v>861.64869999999996</v>
      </c>
      <c r="II6" s="12">
        <v>867.60879999999997</v>
      </c>
      <c r="IJ6" s="12">
        <v>873.63239999999996</v>
      </c>
      <c r="IK6" s="12">
        <v>879.74080000000004</v>
      </c>
      <c r="IL6" s="12">
        <v>885.95860000000005</v>
      </c>
      <c r="IM6" s="12">
        <v>892.30970000000002</v>
      </c>
      <c r="IN6" s="12">
        <v>898.79629999999997</v>
      </c>
      <c r="IO6" s="12">
        <v>905.39729999999997</v>
      </c>
      <c r="IP6" s="12">
        <v>912.10519999999997</v>
      </c>
      <c r="IQ6" s="12">
        <v>918.90840000000003</v>
      </c>
      <c r="IR6" s="12">
        <v>925.80899999999997</v>
      </c>
      <c r="IS6" s="12">
        <v>932.80690000000004</v>
      </c>
      <c r="IT6" s="12">
        <v>939.88900000000001</v>
      </c>
      <c r="IU6" s="12">
        <v>947.05740000000003</v>
      </c>
      <c r="IV6" s="12">
        <v>954.28689999999995</v>
      </c>
      <c r="IW6" s="12">
        <v>961.5806</v>
      </c>
      <c r="IX6" s="12">
        <v>968.93949999999995</v>
      </c>
      <c r="IY6" s="12">
        <v>976.3732</v>
      </c>
      <c r="IZ6" s="12">
        <v>983.88549999999998</v>
      </c>
      <c r="JA6" s="12">
        <v>991.47829999999999</v>
      </c>
      <c r="JB6" s="12">
        <v>999.1508</v>
      </c>
      <c r="JC6" s="12">
        <v>1006.885</v>
      </c>
      <c r="JD6" s="12">
        <v>1014.682</v>
      </c>
      <c r="JE6" s="12">
        <v>1022.54</v>
      </c>
      <c r="JF6" s="12">
        <v>1030.461</v>
      </c>
      <c r="JG6" s="12">
        <v>1038.4670000000001</v>
      </c>
      <c r="JH6" s="12">
        <v>1046.559</v>
      </c>
      <c r="JI6" s="12">
        <v>1054.739</v>
      </c>
      <c r="JJ6" s="12">
        <v>1063.008</v>
      </c>
      <c r="JK6" s="12">
        <v>1071.345</v>
      </c>
      <c r="JL6" s="12">
        <v>1079.75</v>
      </c>
      <c r="JM6" s="12">
        <v>1088.2239999999999</v>
      </c>
      <c r="JN6" s="12">
        <v>1096.769</v>
      </c>
      <c r="JO6" s="12">
        <v>1105.383</v>
      </c>
      <c r="JP6" s="12">
        <v>1114.069</v>
      </c>
      <c r="JQ6" s="12">
        <v>1122.826</v>
      </c>
      <c r="JR6" s="12">
        <v>1131.652</v>
      </c>
      <c r="JS6" s="12">
        <v>1140.567</v>
      </c>
      <c r="JT6" s="12">
        <v>1149.568</v>
      </c>
      <c r="JU6" s="12">
        <v>1158.6569999999999</v>
      </c>
      <c r="JV6" s="12">
        <v>1167.835</v>
      </c>
      <c r="JW6" s="12">
        <v>1177.086</v>
      </c>
      <c r="JX6" s="12">
        <v>1186.4100000000001</v>
      </c>
      <c r="JY6" s="12">
        <v>1195.806</v>
      </c>
      <c r="JZ6" s="12">
        <v>1205.277</v>
      </c>
      <c r="KA6" s="12">
        <v>1214.8230000000001</v>
      </c>
      <c r="KB6" s="12">
        <v>1224.442</v>
      </c>
      <c r="KC6" s="12">
        <v>1234.1369999999999</v>
      </c>
      <c r="KD6" s="12">
        <v>1243.9079999999999</v>
      </c>
      <c r="KE6" s="12">
        <v>1253.7550000000001</v>
      </c>
      <c r="KF6" s="12">
        <v>1263.6769999999999</v>
      </c>
      <c r="KG6" s="12">
        <v>1273.6780000000001</v>
      </c>
      <c r="KH6" s="12">
        <v>1283.7550000000001</v>
      </c>
      <c r="KI6" s="12">
        <v>1293.9100000000001</v>
      </c>
      <c r="KJ6" s="12">
        <v>1304.144</v>
      </c>
      <c r="KK6" s="12">
        <v>1314.4549999999999</v>
      </c>
      <c r="KL6" s="12">
        <v>1324.848</v>
      </c>
      <c r="KM6" s="12">
        <v>1335.319</v>
      </c>
      <c r="KN6" s="12">
        <v>1345.873</v>
      </c>
      <c r="KO6" s="12">
        <v>1356.5060000000001</v>
      </c>
      <c r="KP6" s="12">
        <v>1367.223</v>
      </c>
      <c r="KQ6" s="12">
        <v>1378.021</v>
      </c>
      <c r="KR6" s="12">
        <v>1388.903</v>
      </c>
      <c r="KS6" s="12">
        <v>1399.8679999999999</v>
      </c>
      <c r="KT6" s="12">
        <v>1410.9190000000001</v>
      </c>
      <c r="KU6" s="12">
        <v>1422.0540000000001</v>
      </c>
      <c r="KV6" s="12">
        <v>1433.2739999999999</v>
      </c>
      <c r="KW6" s="12">
        <v>1444.5830000000001</v>
      </c>
      <c r="KX6" s="12">
        <v>1455.9770000000001</v>
      </c>
      <c r="KY6" s="12">
        <v>1467.4590000000001</v>
      </c>
      <c r="KZ6" s="12">
        <v>1479.03</v>
      </c>
      <c r="LA6" s="12">
        <v>1490.6880000000001</v>
      </c>
      <c r="LB6" s="12">
        <v>1502.4369999999999</v>
      </c>
      <c r="LC6" s="12">
        <v>1514.2760000000001</v>
      </c>
      <c r="LD6" s="12">
        <v>1526.204</v>
      </c>
      <c r="LE6" s="12">
        <v>1538.223</v>
      </c>
      <c r="LF6" s="12">
        <v>1550.3320000000001</v>
      </c>
      <c r="LG6" s="12">
        <v>1562.5820000000001</v>
      </c>
      <c r="LH6" s="12">
        <v>1574.973</v>
      </c>
      <c r="LI6" s="12">
        <v>1587.5160000000001</v>
      </c>
      <c r="LJ6" s="12">
        <v>1600.21</v>
      </c>
      <c r="LK6" s="12">
        <v>1613.0070000000001</v>
      </c>
      <c r="LL6" s="12">
        <v>1625.9069999999999</v>
      </c>
      <c r="LM6" s="12">
        <v>1638.9169999999999</v>
      </c>
      <c r="LN6" s="12">
        <v>1652.038</v>
      </c>
      <c r="LO6" s="12">
        <v>1665.27</v>
      </c>
      <c r="LP6" s="12">
        <v>1678.614</v>
      </c>
      <c r="LQ6" s="12">
        <v>1692.0540000000001</v>
      </c>
      <c r="LR6" s="12">
        <v>1705.5909999999999</v>
      </c>
      <c r="LS6" s="12">
        <v>1719.2270000000001</v>
      </c>
      <c r="LT6" s="12">
        <v>1732.963</v>
      </c>
      <c r="LU6" s="12">
        <v>1746.806</v>
      </c>
      <c r="LV6" s="12">
        <v>1760.7560000000001</v>
      </c>
      <c r="LW6" s="12">
        <v>1774.817</v>
      </c>
      <c r="LX6" s="12">
        <v>1788.9839999999999</v>
      </c>
      <c r="LY6" s="12">
        <v>1803.2629999999999</v>
      </c>
      <c r="LZ6" s="12">
        <v>1817.6489999999999</v>
      </c>
      <c r="MA6" s="12">
        <v>1832.144</v>
      </c>
      <c r="MB6" s="12">
        <v>1846.752</v>
      </c>
      <c r="MC6" s="12">
        <v>1861.463</v>
      </c>
      <c r="MD6" s="12">
        <v>1876.279</v>
      </c>
      <c r="ME6" s="12">
        <v>1891.204</v>
      </c>
      <c r="MF6" s="12">
        <v>1906.2349999999999</v>
      </c>
      <c r="MG6" s="12">
        <v>1921.366</v>
      </c>
      <c r="MH6" s="12">
        <v>1936.598</v>
      </c>
      <c r="MI6" s="12">
        <v>1951.932</v>
      </c>
      <c r="MJ6" s="12">
        <v>1967.3689999999999</v>
      </c>
      <c r="MK6" s="12">
        <v>1982.92</v>
      </c>
      <c r="ML6" s="12">
        <v>1998.5840000000001</v>
      </c>
      <c r="MM6" s="12">
        <v>2014.367</v>
      </c>
      <c r="MN6" s="12">
        <v>2030.2650000000001</v>
      </c>
      <c r="MO6" s="12">
        <v>2046.27</v>
      </c>
      <c r="MP6" s="12">
        <v>2062.3820000000001</v>
      </c>
      <c r="MQ6" s="12">
        <v>2078.6010000000001</v>
      </c>
      <c r="MR6" s="12">
        <v>2094.9279999999999</v>
      </c>
      <c r="MS6" s="12">
        <v>2111.373</v>
      </c>
      <c r="MT6" s="12">
        <v>2127.9389999999999</v>
      </c>
      <c r="MU6" t="s">
        <v>1248</v>
      </c>
      <c r="MV6" t="b">
        <v>1</v>
      </c>
      <c r="MW6" t="s">
        <v>1238</v>
      </c>
      <c r="MX6" t="s">
        <v>1238</v>
      </c>
      <c r="MY6">
        <v>2024</v>
      </c>
      <c r="MZ6">
        <v>3</v>
      </c>
      <c r="NA6" t="s">
        <v>1238</v>
      </c>
      <c r="NB6" s="1" t="s">
        <v>1262</v>
      </c>
      <c r="NC6" t="s">
        <v>1263</v>
      </c>
      <c r="ND6" t="s">
        <v>1242</v>
      </c>
      <c r="NE6" t="s">
        <v>1264</v>
      </c>
      <c r="NF6" s="1" t="s">
        <v>1244</v>
      </c>
    </row>
    <row r="7" spans="1:370" x14ac:dyDescent="0.25">
      <c r="A7" t="s">
        <v>1234</v>
      </c>
      <c r="B7" t="s">
        <v>1270</v>
      </c>
      <c r="C7" s="1" t="s">
        <v>1236</v>
      </c>
      <c r="D7" t="s">
        <v>1246</v>
      </c>
      <c r="E7" t="s">
        <v>1247</v>
      </c>
      <c r="F7" t="s">
        <v>1239</v>
      </c>
      <c r="G7" s="11">
        <v>9375</v>
      </c>
      <c r="H7" s="11">
        <v>9711</v>
      </c>
      <c r="I7" s="11">
        <v>10012</v>
      </c>
      <c r="J7" s="11">
        <v>10380</v>
      </c>
      <c r="K7" s="11">
        <v>10596</v>
      </c>
      <c r="L7" s="11">
        <v>11121</v>
      </c>
      <c r="M7" s="11">
        <v>12083</v>
      </c>
      <c r="N7" s="11">
        <v>12912</v>
      </c>
      <c r="O7" s="11">
        <v>14391</v>
      </c>
      <c r="P7" s="11">
        <v>14659</v>
      </c>
      <c r="Q7" s="11">
        <v>15563</v>
      </c>
      <c r="R7" s="11">
        <v>15848</v>
      </c>
      <c r="S7" s="11">
        <v>16278</v>
      </c>
      <c r="T7" s="11">
        <v>16723</v>
      </c>
      <c r="U7" s="11">
        <v>17202</v>
      </c>
      <c r="V7" s="11">
        <v>17685</v>
      </c>
      <c r="W7" s="11">
        <v>18192</v>
      </c>
      <c r="X7" s="11">
        <v>18494</v>
      </c>
      <c r="Y7" s="11">
        <v>18884</v>
      </c>
      <c r="Z7" s="11">
        <v>19532</v>
      </c>
      <c r="AA7" s="11">
        <v>20334</v>
      </c>
      <c r="AB7" s="11">
        <v>21257</v>
      </c>
      <c r="AC7" s="11">
        <v>21798</v>
      </c>
      <c r="AD7" s="11">
        <v>22479</v>
      </c>
      <c r="AE7" s="11">
        <v>23365</v>
      </c>
      <c r="AF7" s="11">
        <v>24427</v>
      </c>
      <c r="AG7" s="11">
        <v>25749</v>
      </c>
      <c r="AH7" s="11">
        <v>27095</v>
      </c>
      <c r="AI7" s="11">
        <v>28290</v>
      </c>
      <c r="AJ7" s="11">
        <v>29578</v>
      </c>
      <c r="AK7" s="11">
        <v>30485</v>
      </c>
      <c r="AL7" s="11">
        <v>30980</v>
      </c>
      <c r="AM7" s="11">
        <v>31183</v>
      </c>
      <c r="AN7" s="11">
        <v>31633</v>
      </c>
      <c r="AO7" s="11">
        <v>32287</v>
      </c>
      <c r="AP7" s="11">
        <v>32870</v>
      </c>
      <c r="AQ7" s="11">
        <v>33383</v>
      </c>
      <c r="AR7" s="11">
        <v>33923</v>
      </c>
      <c r="AS7" s="11">
        <v>34218</v>
      </c>
      <c r="AT7" s="11">
        <v>34584</v>
      </c>
      <c r="AU7" s="11">
        <v>35662</v>
      </c>
      <c r="AV7" s="11">
        <v>36167</v>
      </c>
      <c r="AW7" s="11">
        <v>36728</v>
      </c>
      <c r="AX7" s="11">
        <v>37382</v>
      </c>
      <c r="AY7" s="11">
        <v>38028</v>
      </c>
      <c r="AZ7" s="11">
        <v>38664</v>
      </c>
      <c r="BA7" s="11">
        <v>39158</v>
      </c>
      <c r="BB7" s="11">
        <v>40507</v>
      </c>
      <c r="BC7" s="11">
        <v>41815</v>
      </c>
      <c r="BD7" s="11">
        <v>42291</v>
      </c>
      <c r="BE7" s="11">
        <v>42933</v>
      </c>
      <c r="BF7" s="11">
        <v>43938</v>
      </c>
      <c r="BG7" s="11">
        <v>44894</v>
      </c>
      <c r="BH7" s="11">
        <v>45788</v>
      </c>
      <c r="BI7" s="11">
        <v>46565</v>
      </c>
      <c r="BJ7" s="11">
        <v>47221</v>
      </c>
      <c r="BK7" s="11">
        <v>47918</v>
      </c>
      <c r="BL7" s="11">
        <v>49142</v>
      </c>
      <c r="BM7" s="11">
        <v>50573</v>
      </c>
      <c r="BN7" s="11">
        <v>52081</v>
      </c>
      <c r="BO7" s="11">
        <v>53600</v>
      </c>
      <c r="BP7" s="11">
        <v>54866</v>
      </c>
      <c r="BQ7" s="11">
        <v>56587</v>
      </c>
      <c r="BR7" s="11">
        <v>58368</v>
      </c>
      <c r="BS7" s="11">
        <v>59745</v>
      </c>
      <c r="BT7" s="11">
        <v>61400</v>
      </c>
      <c r="BU7" s="11">
        <v>63022</v>
      </c>
      <c r="BV7" s="11">
        <v>65073</v>
      </c>
      <c r="BW7" s="11">
        <v>67024</v>
      </c>
      <c r="BX7" s="11">
        <v>68633</v>
      </c>
      <c r="BY7" s="11">
        <v>69705</v>
      </c>
      <c r="BZ7" s="11">
        <v>70275</v>
      </c>
      <c r="CA7" s="11">
        <v>71362</v>
      </c>
      <c r="CB7" s="11">
        <v>72227</v>
      </c>
      <c r="CC7" s="11">
        <v>73567</v>
      </c>
      <c r="CD7" s="11">
        <v>74440</v>
      </c>
      <c r="CE7" s="11">
        <v>75209</v>
      </c>
      <c r="CF7" s="11">
        <v>75152</v>
      </c>
      <c r="CG7" s="11">
        <v>75133</v>
      </c>
      <c r="CH7" s="11">
        <v>75419</v>
      </c>
      <c r="CI7" s="11">
        <v>75569</v>
      </c>
      <c r="CJ7" s="11">
        <v>76688</v>
      </c>
      <c r="CK7" s="11">
        <v>77806</v>
      </c>
      <c r="CL7" s="11">
        <v>78382</v>
      </c>
      <c r="CM7" s="11">
        <v>78938</v>
      </c>
      <c r="CN7" s="11">
        <v>79168</v>
      </c>
      <c r="CO7" s="11">
        <v>80425</v>
      </c>
      <c r="CP7" s="11">
        <v>81329</v>
      </c>
      <c r="CQ7" s="11">
        <v>82018</v>
      </c>
      <c r="CR7" s="11">
        <v>83079</v>
      </c>
      <c r="CS7" s="11">
        <v>83880</v>
      </c>
      <c r="CT7" s="11">
        <v>85407</v>
      </c>
      <c r="CU7" s="11">
        <v>85835</v>
      </c>
      <c r="CV7" s="11">
        <v>86705</v>
      </c>
      <c r="CW7" s="11">
        <v>88031</v>
      </c>
      <c r="CX7" s="11">
        <v>88882</v>
      </c>
      <c r="CY7" s="11">
        <v>92102</v>
      </c>
      <c r="CZ7" s="11">
        <v>94136</v>
      </c>
      <c r="DA7" s="11">
        <v>95889</v>
      </c>
      <c r="DB7" s="11">
        <v>96781</v>
      </c>
      <c r="DC7" s="11">
        <v>97162</v>
      </c>
      <c r="DD7" s="11">
        <v>98670</v>
      </c>
      <c r="DE7" s="11">
        <v>100519</v>
      </c>
      <c r="DF7" s="11">
        <v>101058</v>
      </c>
      <c r="DG7" s="11">
        <v>103815</v>
      </c>
      <c r="DH7" s="11">
        <v>106514</v>
      </c>
      <c r="DI7" s="11">
        <v>108335</v>
      </c>
      <c r="DJ7" s="11">
        <v>109919</v>
      </c>
      <c r="DK7" s="11">
        <v>110532</v>
      </c>
      <c r="DL7" s="11">
        <v>112629</v>
      </c>
      <c r="DM7" s="11">
        <v>115403</v>
      </c>
      <c r="DN7" s="11">
        <v>117809</v>
      </c>
      <c r="DO7" s="11">
        <v>120543</v>
      </c>
      <c r="DP7" s="11">
        <v>121007</v>
      </c>
      <c r="DQ7" s="11">
        <v>121622</v>
      </c>
      <c r="DR7" s="11">
        <v>122776</v>
      </c>
      <c r="DS7" s="11">
        <v>123527</v>
      </c>
      <c r="DT7" s="11">
        <v>123778</v>
      </c>
      <c r="DU7" s="11">
        <v>125016</v>
      </c>
      <c r="DV7" s="11">
        <v>126386</v>
      </c>
      <c r="DW7" s="11">
        <v>127744</v>
      </c>
      <c r="DX7" s="11">
        <v>129189</v>
      </c>
      <c r="DY7" s="11">
        <v>131275</v>
      </c>
      <c r="DZ7" s="11">
        <v>133492</v>
      </c>
      <c r="EA7" s="11">
        <v>135940</v>
      </c>
      <c r="EB7" s="11">
        <v>136348</v>
      </c>
      <c r="EC7" s="11">
        <v>139004</v>
      </c>
      <c r="ED7" s="11">
        <v>141394</v>
      </c>
      <c r="EE7" s="11">
        <v>144176</v>
      </c>
      <c r="EF7" s="11">
        <v>143428</v>
      </c>
      <c r="EG7" s="11">
        <v>145595</v>
      </c>
      <c r="EH7" s="11">
        <v>145226</v>
      </c>
      <c r="EI7" s="11">
        <v>150695</v>
      </c>
      <c r="EJ7" s="11">
        <v>151290</v>
      </c>
      <c r="EK7" s="11">
        <v>152963</v>
      </c>
      <c r="EL7" s="11">
        <v>155495</v>
      </c>
      <c r="EM7" s="11">
        <v>161456</v>
      </c>
      <c r="EN7" s="11">
        <v>160452</v>
      </c>
      <c r="EO7" s="11">
        <v>164131</v>
      </c>
      <c r="EP7" s="11">
        <v>165275</v>
      </c>
      <c r="EQ7" s="11">
        <v>168351</v>
      </c>
      <c r="ER7" s="11">
        <v>166617</v>
      </c>
      <c r="ES7" s="11">
        <v>166080</v>
      </c>
      <c r="ET7" s="11">
        <v>164352</v>
      </c>
      <c r="EU7" s="11">
        <v>161431</v>
      </c>
      <c r="EV7" s="11">
        <v>164197</v>
      </c>
      <c r="EW7" s="11">
        <v>164164</v>
      </c>
      <c r="EX7" s="11">
        <v>164349</v>
      </c>
      <c r="EY7" s="11">
        <v>164017</v>
      </c>
      <c r="EZ7" s="11">
        <v>163805</v>
      </c>
      <c r="FA7" s="11">
        <v>165789</v>
      </c>
      <c r="FB7" s="11">
        <v>166084</v>
      </c>
      <c r="FC7" s="11">
        <v>170699</v>
      </c>
      <c r="FD7" s="11">
        <v>168973</v>
      </c>
      <c r="FE7" s="11">
        <v>168143</v>
      </c>
      <c r="FF7" s="11">
        <v>168220</v>
      </c>
      <c r="FG7" s="11">
        <v>170232</v>
      </c>
      <c r="FH7" s="11">
        <v>171221</v>
      </c>
      <c r="FI7" s="11">
        <v>171212</v>
      </c>
      <c r="FJ7" s="11">
        <v>172650</v>
      </c>
      <c r="FK7" s="11">
        <v>173499</v>
      </c>
      <c r="FL7" s="11">
        <v>179878</v>
      </c>
      <c r="FM7" s="11">
        <v>180937</v>
      </c>
      <c r="FN7" s="11">
        <v>183254</v>
      </c>
      <c r="FO7" s="11">
        <v>185644</v>
      </c>
      <c r="FP7" s="11">
        <v>185557</v>
      </c>
      <c r="FQ7" s="11">
        <v>185399</v>
      </c>
      <c r="FR7" s="11">
        <v>187477</v>
      </c>
      <c r="FS7" s="11">
        <v>190040</v>
      </c>
      <c r="FT7" s="11">
        <v>190920</v>
      </c>
      <c r="FU7" s="11">
        <v>193493</v>
      </c>
      <c r="FV7" s="11">
        <v>194472</v>
      </c>
      <c r="FW7" s="11">
        <v>196738</v>
      </c>
      <c r="FX7" s="11">
        <v>198487</v>
      </c>
      <c r="FY7" s="11">
        <v>199991</v>
      </c>
      <c r="FZ7" s="11">
        <v>200011</v>
      </c>
      <c r="GA7" s="11">
        <v>203434</v>
      </c>
      <c r="GB7" s="11">
        <v>206362</v>
      </c>
      <c r="GC7" s="11">
        <v>207984</v>
      </c>
      <c r="GD7" s="11">
        <v>209502</v>
      </c>
      <c r="GE7" s="11">
        <v>213466</v>
      </c>
      <c r="GF7" s="11">
        <v>212838</v>
      </c>
      <c r="GG7" s="11">
        <v>216683</v>
      </c>
      <c r="GH7" s="11">
        <v>219523</v>
      </c>
      <c r="GI7" s="11">
        <v>220691</v>
      </c>
      <c r="GJ7" s="11">
        <v>224186</v>
      </c>
      <c r="GK7" s="11">
        <v>223552</v>
      </c>
      <c r="GL7" s="11">
        <v>223933</v>
      </c>
      <c r="GM7" s="11">
        <v>224277</v>
      </c>
      <c r="GN7" s="11">
        <v>217448</v>
      </c>
      <c r="GO7" s="11">
        <v>222275</v>
      </c>
      <c r="GP7" s="11">
        <v>228380</v>
      </c>
      <c r="GQ7" s="11">
        <v>229592</v>
      </c>
      <c r="GR7" s="11">
        <v>237180</v>
      </c>
      <c r="GS7" s="11">
        <v>239455</v>
      </c>
      <c r="GT7" s="11">
        <v>242072</v>
      </c>
      <c r="GU7" s="11">
        <v>247496</v>
      </c>
      <c r="GV7" s="11">
        <v>251376</v>
      </c>
      <c r="GW7" s="11">
        <v>256000</v>
      </c>
      <c r="GX7" s="11">
        <v>263054</v>
      </c>
      <c r="GY7" s="11">
        <v>270338</v>
      </c>
      <c r="GZ7" s="11">
        <v>276258</v>
      </c>
      <c r="HA7" s="11">
        <v>278666</v>
      </c>
      <c r="HB7" s="11">
        <v>280114</v>
      </c>
      <c r="HC7" s="11">
        <v>284929</v>
      </c>
      <c r="HD7" s="11">
        <v>290306</v>
      </c>
      <c r="HE7" s="11">
        <v>291953</v>
      </c>
      <c r="HF7" s="12">
        <v>297079.5</v>
      </c>
      <c r="HG7" s="12">
        <v>299879.5</v>
      </c>
      <c r="HH7" s="12">
        <v>302914.8</v>
      </c>
      <c r="HI7" s="12">
        <v>306091.7</v>
      </c>
      <c r="HJ7" s="12">
        <v>309191.09999999998</v>
      </c>
      <c r="HK7" s="12">
        <v>312082.09999999998</v>
      </c>
      <c r="HL7" s="12">
        <v>314819.09999999998</v>
      </c>
      <c r="HM7" s="12">
        <v>317593.3</v>
      </c>
      <c r="HN7" s="12">
        <v>320414.59999999998</v>
      </c>
      <c r="HO7" s="12">
        <v>323270.90000000002</v>
      </c>
      <c r="HP7" s="12">
        <v>326085.90000000002</v>
      </c>
      <c r="HQ7" s="12">
        <v>328912.8</v>
      </c>
      <c r="HR7" s="12">
        <v>331737.3</v>
      </c>
      <c r="HS7" s="12">
        <v>334619.3</v>
      </c>
      <c r="HT7" s="12">
        <v>337696.3</v>
      </c>
      <c r="HU7" s="12">
        <v>340811.2</v>
      </c>
      <c r="HV7" s="12">
        <v>344069.5</v>
      </c>
      <c r="HW7" s="12">
        <v>347330.4</v>
      </c>
      <c r="HX7" s="12">
        <v>350532.9</v>
      </c>
      <c r="HY7" s="12">
        <v>353758.8</v>
      </c>
      <c r="HZ7" s="12">
        <v>357044.3</v>
      </c>
      <c r="IA7" s="12">
        <v>360356.7</v>
      </c>
      <c r="IB7" s="12">
        <v>363674</v>
      </c>
      <c r="IC7" s="12">
        <v>366988.4</v>
      </c>
      <c r="ID7" s="12">
        <v>370326.3</v>
      </c>
      <c r="IE7" s="12">
        <v>373701.6</v>
      </c>
      <c r="IF7" s="12">
        <v>377117</v>
      </c>
      <c r="IG7" s="12">
        <v>380544.3</v>
      </c>
      <c r="IH7" s="12">
        <v>383983.9</v>
      </c>
      <c r="II7" s="12">
        <v>387454.1</v>
      </c>
      <c r="IJ7" s="12">
        <v>390926.5</v>
      </c>
      <c r="IK7" s="12">
        <v>394449.5</v>
      </c>
      <c r="IL7" s="12">
        <v>397954.1</v>
      </c>
      <c r="IM7" s="12">
        <v>401557.8</v>
      </c>
      <c r="IN7" s="12">
        <v>405174.9</v>
      </c>
      <c r="IO7" s="12">
        <v>408820.5</v>
      </c>
      <c r="IP7" s="12">
        <v>412446.5</v>
      </c>
      <c r="IQ7" s="12">
        <v>416166.1</v>
      </c>
      <c r="IR7" s="12">
        <v>419849.7</v>
      </c>
      <c r="IS7" s="12">
        <v>423521</v>
      </c>
      <c r="IT7" s="12">
        <v>427197.7</v>
      </c>
      <c r="IU7" s="12">
        <v>430943.1</v>
      </c>
      <c r="IV7" s="12">
        <v>434724</v>
      </c>
      <c r="IW7" s="12">
        <v>438541.1</v>
      </c>
      <c r="IX7" s="12">
        <v>442395.6</v>
      </c>
      <c r="IY7" s="12">
        <v>446292.3</v>
      </c>
      <c r="IZ7" s="12">
        <v>450232.3</v>
      </c>
      <c r="JA7" s="12">
        <v>454216.7</v>
      </c>
      <c r="JB7" s="12">
        <v>458245.9</v>
      </c>
      <c r="JC7" s="12">
        <v>462311.3</v>
      </c>
      <c r="JD7" s="12">
        <v>466412.79999999999</v>
      </c>
      <c r="JE7" s="12">
        <v>470551.2</v>
      </c>
      <c r="JF7" s="12">
        <v>474726.40000000002</v>
      </c>
      <c r="JG7" s="12">
        <v>478949.2</v>
      </c>
      <c r="JH7" s="12">
        <v>483219.7</v>
      </c>
      <c r="JI7" s="12">
        <v>487539</v>
      </c>
      <c r="JJ7" s="12">
        <v>491908.2</v>
      </c>
      <c r="JK7" s="12">
        <v>496317.2</v>
      </c>
      <c r="JL7" s="12">
        <v>500766.7</v>
      </c>
      <c r="JM7" s="12">
        <v>505256.6</v>
      </c>
      <c r="JN7" s="12">
        <v>509788.1</v>
      </c>
      <c r="JO7" s="12">
        <v>514361</v>
      </c>
      <c r="JP7" s="12">
        <v>518975.8</v>
      </c>
      <c r="JQ7" s="12">
        <v>523632.5</v>
      </c>
      <c r="JR7" s="12">
        <v>528331.1</v>
      </c>
      <c r="JS7" s="12">
        <v>532984.6</v>
      </c>
      <c r="JT7" s="12">
        <v>537686.30000000005</v>
      </c>
      <c r="JU7" s="12">
        <v>542437.1</v>
      </c>
      <c r="JV7" s="12">
        <v>547237.6</v>
      </c>
      <c r="JW7" s="12">
        <v>552079.69999999995</v>
      </c>
      <c r="JX7" s="12">
        <v>556964.1</v>
      </c>
      <c r="JY7" s="12">
        <v>561890.80000000005</v>
      </c>
      <c r="JZ7" s="12">
        <v>566860.80000000005</v>
      </c>
      <c r="KA7" s="12">
        <v>571873.80000000005</v>
      </c>
      <c r="KB7" s="12">
        <v>576929.9</v>
      </c>
      <c r="KC7" s="12">
        <v>582030.1</v>
      </c>
      <c r="KD7" s="12">
        <v>587174.40000000002</v>
      </c>
      <c r="KE7" s="12">
        <v>592362.6</v>
      </c>
      <c r="KF7" s="12">
        <v>597595.80000000005</v>
      </c>
      <c r="KG7" s="12">
        <v>602874</v>
      </c>
      <c r="KH7" s="12">
        <v>608197.19999999995</v>
      </c>
      <c r="KI7" s="12">
        <v>613566.19999999995</v>
      </c>
      <c r="KJ7" s="12">
        <v>618980.9</v>
      </c>
      <c r="KK7" s="12">
        <v>624441.80000000005</v>
      </c>
      <c r="KL7" s="12">
        <v>629950</v>
      </c>
      <c r="KM7" s="12">
        <v>635504.6</v>
      </c>
      <c r="KN7" s="12">
        <v>641107.30000000005</v>
      </c>
      <c r="KO7" s="12">
        <v>646757.6</v>
      </c>
      <c r="KP7" s="12">
        <v>652456</v>
      </c>
      <c r="KQ7" s="12">
        <v>658203.30000000005</v>
      </c>
      <c r="KR7" s="12">
        <v>663999.80000000005</v>
      </c>
      <c r="KS7" s="12">
        <v>669845.4</v>
      </c>
      <c r="KT7" s="12">
        <v>675741.1</v>
      </c>
      <c r="KU7" s="12">
        <v>681687.3</v>
      </c>
      <c r="KV7" s="12">
        <v>687684.1</v>
      </c>
      <c r="KW7" s="12">
        <v>693732.4</v>
      </c>
      <c r="KX7" s="12">
        <v>699832</v>
      </c>
      <c r="KY7" s="12">
        <v>705983.7</v>
      </c>
      <c r="KZ7" s="12">
        <v>712187.5</v>
      </c>
      <c r="LA7" s="12">
        <v>718444.4</v>
      </c>
      <c r="LB7" s="12">
        <v>724754.4</v>
      </c>
      <c r="LC7" s="12">
        <v>731117.8</v>
      </c>
      <c r="LD7" s="12">
        <v>737535.1</v>
      </c>
      <c r="LE7" s="12">
        <v>744006.1</v>
      </c>
      <c r="LF7" s="12">
        <v>750531.4</v>
      </c>
      <c r="LG7" s="12">
        <v>756853.8</v>
      </c>
      <c r="LH7" s="12">
        <v>763250.7</v>
      </c>
      <c r="LI7" s="12">
        <v>769678.9</v>
      </c>
      <c r="LJ7" s="12">
        <v>776186.4</v>
      </c>
      <c r="LK7" s="12">
        <v>782749.2</v>
      </c>
      <c r="LL7" s="12">
        <v>789367.6</v>
      </c>
      <c r="LM7" s="12">
        <v>795958.4</v>
      </c>
      <c r="LN7" s="12">
        <v>802607.6</v>
      </c>
      <c r="LO7" s="12">
        <v>809315.3</v>
      </c>
      <c r="LP7" s="12">
        <v>816081.2</v>
      </c>
      <c r="LQ7" s="12">
        <v>822900.4</v>
      </c>
      <c r="LR7" s="12">
        <v>829771.6</v>
      </c>
      <c r="LS7" s="12">
        <v>836695.1</v>
      </c>
      <c r="LT7" s="12">
        <v>843671.3</v>
      </c>
      <c r="LU7" s="12">
        <v>850661.4</v>
      </c>
      <c r="LV7" s="12">
        <v>857708.1</v>
      </c>
      <c r="LW7" s="12">
        <v>864811.6</v>
      </c>
      <c r="LX7" s="12">
        <v>871972.5</v>
      </c>
      <c r="LY7" s="12">
        <v>879154.9</v>
      </c>
      <c r="LZ7" s="12">
        <v>886394.2</v>
      </c>
      <c r="MA7" s="12">
        <v>893690.1</v>
      </c>
      <c r="MB7" s="12">
        <v>901043.8</v>
      </c>
      <c r="MC7" s="12">
        <v>908454.40000000002</v>
      </c>
      <c r="MD7" s="12">
        <v>915919.7</v>
      </c>
      <c r="ME7" s="12">
        <v>923441.4</v>
      </c>
      <c r="MF7" s="12">
        <v>931018.8</v>
      </c>
      <c r="MG7" s="12">
        <v>938696.4</v>
      </c>
      <c r="MH7" s="12">
        <v>946428</v>
      </c>
      <c r="MI7" s="12">
        <v>954213.8</v>
      </c>
      <c r="MJ7" s="12">
        <v>962054.5</v>
      </c>
      <c r="MK7" s="12">
        <v>969941.8</v>
      </c>
      <c r="ML7" s="12">
        <v>977889.4</v>
      </c>
      <c r="MM7" s="12">
        <v>985898.9</v>
      </c>
      <c r="MN7" s="12">
        <v>993969.5</v>
      </c>
      <c r="MO7" s="12">
        <v>1002149</v>
      </c>
      <c r="MP7" s="12">
        <v>1010387</v>
      </c>
      <c r="MQ7" s="12">
        <v>1018682</v>
      </c>
      <c r="MR7" s="12">
        <v>1027037</v>
      </c>
      <c r="MS7" s="12">
        <v>1035454</v>
      </c>
      <c r="MT7" s="12">
        <v>1043936</v>
      </c>
      <c r="MU7" t="s">
        <v>1248</v>
      </c>
      <c r="MV7" t="b">
        <v>1</v>
      </c>
      <c r="MW7" t="s">
        <v>1238</v>
      </c>
      <c r="MX7" t="s">
        <v>1238</v>
      </c>
      <c r="MY7">
        <v>2024</v>
      </c>
      <c r="MZ7">
        <v>3</v>
      </c>
      <c r="NA7" t="s">
        <v>1238</v>
      </c>
      <c r="NB7" t="s">
        <v>1271</v>
      </c>
      <c r="NC7" t="s">
        <v>1272</v>
      </c>
      <c r="ND7" t="s">
        <v>1242</v>
      </c>
      <c r="NE7" t="s">
        <v>1273</v>
      </c>
      <c r="NF7" s="1" t="s">
        <v>1244</v>
      </c>
    </row>
    <row r="8" spans="1:370" x14ac:dyDescent="0.25">
      <c r="A8" t="s">
        <v>1234</v>
      </c>
      <c r="B8" t="s">
        <v>1274</v>
      </c>
      <c r="C8" s="1" t="s">
        <v>1236</v>
      </c>
      <c r="D8" t="s">
        <v>1246</v>
      </c>
      <c r="E8" t="s">
        <v>1247</v>
      </c>
      <c r="F8" t="s">
        <v>1239</v>
      </c>
      <c r="G8" s="11">
        <v>12419</v>
      </c>
      <c r="H8" s="11">
        <v>12849</v>
      </c>
      <c r="I8" s="11">
        <v>13247</v>
      </c>
      <c r="J8" s="11">
        <v>13917</v>
      </c>
      <c r="K8" s="11">
        <v>14267</v>
      </c>
      <c r="L8" s="11">
        <v>14694</v>
      </c>
      <c r="M8" s="11">
        <v>15881</v>
      </c>
      <c r="N8" s="11">
        <v>16728</v>
      </c>
      <c r="O8" s="11">
        <v>18231</v>
      </c>
      <c r="P8" s="11">
        <v>18613</v>
      </c>
      <c r="Q8" s="11">
        <v>19564</v>
      </c>
      <c r="R8" s="11">
        <v>20194</v>
      </c>
      <c r="S8" s="11">
        <v>21295</v>
      </c>
      <c r="T8" s="11">
        <v>21568</v>
      </c>
      <c r="U8" s="11">
        <v>22876</v>
      </c>
      <c r="V8" s="11">
        <v>23450</v>
      </c>
      <c r="W8" s="11">
        <v>23884</v>
      </c>
      <c r="X8" s="11">
        <v>24509</v>
      </c>
      <c r="Y8" s="11">
        <v>25439</v>
      </c>
      <c r="Z8" s="11">
        <v>26940</v>
      </c>
      <c r="AA8" s="11">
        <v>27797</v>
      </c>
      <c r="AB8" s="11">
        <v>29144</v>
      </c>
      <c r="AC8" s="11">
        <v>30465</v>
      </c>
      <c r="AD8" s="11">
        <v>31463</v>
      </c>
      <c r="AE8" s="11">
        <v>32879</v>
      </c>
      <c r="AF8" s="11">
        <v>34157</v>
      </c>
      <c r="AG8" s="11">
        <v>36483</v>
      </c>
      <c r="AH8" s="11">
        <v>39802</v>
      </c>
      <c r="AI8" s="11">
        <v>40290</v>
      </c>
      <c r="AJ8" s="11">
        <v>41818</v>
      </c>
      <c r="AK8" s="11">
        <v>43433</v>
      </c>
      <c r="AL8" s="11">
        <v>44864</v>
      </c>
      <c r="AM8" s="11">
        <v>46552</v>
      </c>
      <c r="AN8" s="11">
        <v>47036</v>
      </c>
      <c r="AO8" s="11">
        <v>47924</v>
      </c>
      <c r="AP8" s="11">
        <v>49843</v>
      </c>
      <c r="AQ8" s="11">
        <v>50837</v>
      </c>
      <c r="AR8" s="11">
        <v>52380</v>
      </c>
      <c r="AS8" s="11">
        <v>52615</v>
      </c>
      <c r="AT8" s="11">
        <v>53960</v>
      </c>
      <c r="AU8" s="11">
        <v>54514</v>
      </c>
      <c r="AV8" s="11">
        <v>57136</v>
      </c>
      <c r="AW8" s="11">
        <v>57119</v>
      </c>
      <c r="AX8" s="11">
        <v>58206</v>
      </c>
      <c r="AY8" s="11">
        <v>59961</v>
      </c>
      <c r="AZ8" s="11">
        <v>60260</v>
      </c>
      <c r="BA8" s="11">
        <v>62678</v>
      </c>
      <c r="BB8" s="11">
        <v>64883</v>
      </c>
      <c r="BC8" s="11">
        <v>65471</v>
      </c>
      <c r="BD8" s="11">
        <v>66622</v>
      </c>
      <c r="BE8" s="11">
        <v>67715</v>
      </c>
      <c r="BF8" s="11">
        <v>69185</v>
      </c>
      <c r="BG8" s="11">
        <v>70501</v>
      </c>
      <c r="BH8" s="11">
        <v>73909</v>
      </c>
      <c r="BI8" s="11">
        <v>73297</v>
      </c>
      <c r="BJ8" s="11">
        <v>74329</v>
      </c>
      <c r="BK8" s="11">
        <v>74158</v>
      </c>
      <c r="BL8" s="11">
        <v>76563</v>
      </c>
      <c r="BM8" s="11">
        <v>78295</v>
      </c>
      <c r="BN8" s="11">
        <v>79796</v>
      </c>
      <c r="BO8" s="11">
        <v>82285</v>
      </c>
      <c r="BP8" s="11">
        <v>84810</v>
      </c>
      <c r="BQ8" s="11">
        <v>86563</v>
      </c>
      <c r="BR8" s="11">
        <v>88240</v>
      </c>
      <c r="BS8" s="11">
        <v>90548</v>
      </c>
      <c r="BT8" s="11">
        <v>93363</v>
      </c>
      <c r="BU8" s="11">
        <v>97490</v>
      </c>
      <c r="BV8" s="11">
        <v>98361</v>
      </c>
      <c r="BW8" s="11">
        <v>102928</v>
      </c>
      <c r="BX8" s="11">
        <v>103890</v>
      </c>
      <c r="BY8" s="11">
        <v>107142</v>
      </c>
      <c r="BZ8" s="11">
        <v>110535</v>
      </c>
      <c r="CA8" s="11">
        <v>113229</v>
      </c>
      <c r="CB8" s="11">
        <v>113790</v>
      </c>
      <c r="CC8" s="11">
        <v>118607</v>
      </c>
      <c r="CD8" s="11">
        <v>119800</v>
      </c>
      <c r="CE8" s="11">
        <v>121876</v>
      </c>
      <c r="CF8" s="11">
        <v>123668</v>
      </c>
      <c r="CG8" s="11">
        <v>125292</v>
      </c>
      <c r="CH8" s="11">
        <v>126339</v>
      </c>
      <c r="CI8" s="11">
        <v>127313</v>
      </c>
      <c r="CJ8" s="11">
        <v>131724</v>
      </c>
      <c r="CK8" s="11">
        <v>133457</v>
      </c>
      <c r="CL8" s="11">
        <v>135003</v>
      </c>
      <c r="CM8" s="11">
        <v>134597</v>
      </c>
      <c r="CN8" s="11">
        <v>135173</v>
      </c>
      <c r="CO8" s="11">
        <v>138183</v>
      </c>
      <c r="CP8" s="11">
        <v>138391</v>
      </c>
      <c r="CQ8" s="11">
        <v>141861</v>
      </c>
      <c r="CR8" s="11">
        <v>143287</v>
      </c>
      <c r="CS8" s="11">
        <v>146426</v>
      </c>
      <c r="CT8" s="11">
        <v>147725</v>
      </c>
      <c r="CU8" s="11">
        <v>151630</v>
      </c>
      <c r="CV8" s="11">
        <v>153565</v>
      </c>
      <c r="CW8" s="11">
        <v>156382</v>
      </c>
      <c r="CX8" s="11">
        <v>154146</v>
      </c>
      <c r="CY8" s="11">
        <v>156641</v>
      </c>
      <c r="CZ8" s="11">
        <v>159690</v>
      </c>
      <c r="DA8" s="11">
        <v>162111</v>
      </c>
      <c r="DB8" s="11">
        <v>160529</v>
      </c>
      <c r="DC8" s="11">
        <v>161179</v>
      </c>
      <c r="DD8" s="11">
        <v>163132</v>
      </c>
      <c r="DE8" s="11">
        <v>163306</v>
      </c>
      <c r="DF8" s="11">
        <v>166168</v>
      </c>
      <c r="DG8" s="11">
        <v>165049</v>
      </c>
      <c r="DH8" s="11">
        <v>172636</v>
      </c>
      <c r="DI8" s="11">
        <v>172330</v>
      </c>
      <c r="DJ8" s="11">
        <v>177162</v>
      </c>
      <c r="DK8" s="11">
        <v>178102</v>
      </c>
      <c r="DL8" s="11">
        <v>179721</v>
      </c>
      <c r="DM8" s="11">
        <v>183528</v>
      </c>
      <c r="DN8" s="11">
        <v>186259</v>
      </c>
      <c r="DO8" s="11">
        <v>189667</v>
      </c>
      <c r="DP8" s="11">
        <v>188957</v>
      </c>
      <c r="DQ8" s="11">
        <v>190102</v>
      </c>
      <c r="DR8" s="11">
        <v>191388</v>
      </c>
      <c r="DS8" s="11">
        <v>194378</v>
      </c>
      <c r="DT8" s="11">
        <v>196467</v>
      </c>
      <c r="DU8" s="11">
        <v>196149</v>
      </c>
      <c r="DV8" s="11">
        <v>198304</v>
      </c>
      <c r="DW8" s="11">
        <v>200276</v>
      </c>
      <c r="DX8" s="11">
        <v>201618</v>
      </c>
      <c r="DY8" s="11">
        <v>204034</v>
      </c>
      <c r="DZ8" s="11">
        <v>207685</v>
      </c>
      <c r="EA8" s="11">
        <v>208995</v>
      </c>
      <c r="EB8" s="11">
        <v>212236</v>
      </c>
      <c r="EC8" s="11">
        <v>214798</v>
      </c>
      <c r="ED8" s="11">
        <v>216771</v>
      </c>
      <c r="EE8" s="11">
        <v>218799</v>
      </c>
      <c r="EF8" s="11">
        <v>221465</v>
      </c>
      <c r="EG8" s="11">
        <v>224312</v>
      </c>
      <c r="EH8" s="11">
        <v>226448</v>
      </c>
      <c r="EI8" s="11">
        <v>229729</v>
      </c>
      <c r="EJ8" s="11">
        <v>231892</v>
      </c>
      <c r="EK8" s="11">
        <v>236075</v>
      </c>
      <c r="EL8" s="11">
        <v>237463</v>
      </c>
      <c r="EM8" s="11">
        <v>243111</v>
      </c>
      <c r="EN8" s="11">
        <v>244614</v>
      </c>
      <c r="EO8" s="11">
        <v>248998</v>
      </c>
      <c r="EP8" s="11">
        <v>249640</v>
      </c>
      <c r="EQ8" s="11">
        <v>249920</v>
      </c>
      <c r="ER8" s="11">
        <v>256466</v>
      </c>
      <c r="ES8" s="11">
        <v>255800</v>
      </c>
      <c r="ET8" s="11">
        <v>258834</v>
      </c>
      <c r="EU8" s="11">
        <v>256355</v>
      </c>
      <c r="EV8" s="11">
        <v>263934</v>
      </c>
      <c r="EW8" s="11">
        <v>262968</v>
      </c>
      <c r="EX8" s="11">
        <v>263925</v>
      </c>
      <c r="EY8" s="11">
        <v>264273</v>
      </c>
      <c r="EZ8" s="11">
        <v>267166</v>
      </c>
      <c r="FA8" s="11">
        <v>267993</v>
      </c>
      <c r="FB8" s="11">
        <v>268198</v>
      </c>
      <c r="FC8" s="11">
        <v>265811</v>
      </c>
      <c r="FD8" s="11">
        <v>271167</v>
      </c>
      <c r="FE8" s="11">
        <v>273285</v>
      </c>
      <c r="FF8" s="11">
        <v>273407</v>
      </c>
      <c r="FG8" s="11">
        <v>279309</v>
      </c>
      <c r="FH8" s="11">
        <v>283629</v>
      </c>
      <c r="FI8" s="11">
        <v>282123</v>
      </c>
      <c r="FJ8" s="11">
        <v>283875</v>
      </c>
      <c r="FK8" s="11">
        <v>284075</v>
      </c>
      <c r="FL8" s="11">
        <v>292417</v>
      </c>
      <c r="FM8" s="11">
        <v>298338</v>
      </c>
      <c r="FN8" s="11">
        <v>300976</v>
      </c>
      <c r="FO8" s="11">
        <v>301406</v>
      </c>
      <c r="FP8" s="11">
        <v>304476</v>
      </c>
      <c r="FQ8" s="11">
        <v>303765</v>
      </c>
      <c r="FR8" s="11">
        <v>307306</v>
      </c>
      <c r="FS8" s="11">
        <v>311832</v>
      </c>
      <c r="FT8" s="11">
        <v>319853</v>
      </c>
      <c r="FU8" s="11">
        <v>327096</v>
      </c>
      <c r="FV8" s="11">
        <v>327429</v>
      </c>
      <c r="FW8" s="11">
        <v>326493</v>
      </c>
      <c r="FX8" s="11">
        <v>328471</v>
      </c>
      <c r="FY8" s="11">
        <v>328528</v>
      </c>
      <c r="FZ8" s="11">
        <v>327875</v>
      </c>
      <c r="GA8" s="11">
        <v>328068</v>
      </c>
      <c r="GB8" s="11">
        <v>337489</v>
      </c>
      <c r="GC8" s="11">
        <v>339566</v>
      </c>
      <c r="GD8" s="11">
        <v>341950</v>
      </c>
      <c r="GE8" s="11">
        <v>347760</v>
      </c>
      <c r="GF8" s="11">
        <v>347383</v>
      </c>
      <c r="GG8" s="11">
        <v>350601</v>
      </c>
      <c r="GH8" s="11">
        <v>356695</v>
      </c>
      <c r="GI8" s="11">
        <v>356202</v>
      </c>
      <c r="GJ8" s="11">
        <v>363432</v>
      </c>
      <c r="GK8" s="11">
        <v>365191</v>
      </c>
      <c r="GL8" s="11">
        <v>368137</v>
      </c>
      <c r="GM8" s="11">
        <v>361420</v>
      </c>
      <c r="GN8" s="11">
        <v>356361</v>
      </c>
      <c r="GO8" s="11">
        <v>367470</v>
      </c>
      <c r="GP8" s="11">
        <v>369157</v>
      </c>
      <c r="GQ8" s="11">
        <v>374602</v>
      </c>
      <c r="GR8" s="11">
        <v>378013</v>
      </c>
      <c r="GS8" s="11">
        <v>380321</v>
      </c>
      <c r="GT8" s="11">
        <v>381732</v>
      </c>
      <c r="GU8" s="11">
        <v>386958</v>
      </c>
      <c r="GV8" s="11">
        <v>395902</v>
      </c>
      <c r="GW8" s="11">
        <v>403706</v>
      </c>
      <c r="GX8" s="11">
        <v>422652</v>
      </c>
      <c r="GY8" s="11">
        <v>428670</v>
      </c>
      <c r="GZ8" s="11">
        <v>439405</v>
      </c>
      <c r="HA8" s="11">
        <v>440937</v>
      </c>
      <c r="HB8" s="11">
        <v>446922</v>
      </c>
      <c r="HC8" s="11">
        <v>457594</v>
      </c>
      <c r="HD8" s="11">
        <v>468096</v>
      </c>
      <c r="HE8" s="11">
        <v>470726</v>
      </c>
      <c r="HF8" s="12">
        <v>474739.7</v>
      </c>
      <c r="HG8" s="12">
        <v>479435.3</v>
      </c>
      <c r="HH8" s="12">
        <v>483547.8</v>
      </c>
      <c r="HI8" s="12">
        <v>488582.3</v>
      </c>
      <c r="HJ8" s="12">
        <v>493156</v>
      </c>
      <c r="HK8" s="12">
        <v>497320.3</v>
      </c>
      <c r="HL8" s="12">
        <v>500945.5</v>
      </c>
      <c r="HM8" s="12">
        <v>504721.5</v>
      </c>
      <c r="HN8" s="12">
        <v>508547.8</v>
      </c>
      <c r="HO8" s="12">
        <v>512856.2</v>
      </c>
      <c r="HP8" s="12">
        <v>517527.1</v>
      </c>
      <c r="HQ8" s="12">
        <v>522496.9</v>
      </c>
      <c r="HR8" s="12">
        <v>527516.6</v>
      </c>
      <c r="HS8" s="12">
        <v>532463.6</v>
      </c>
      <c r="HT8" s="12">
        <v>538072.9</v>
      </c>
      <c r="HU8" s="12">
        <v>543473.1</v>
      </c>
      <c r="HV8" s="12">
        <v>548622.9</v>
      </c>
      <c r="HW8" s="12">
        <v>553619.30000000005</v>
      </c>
      <c r="HX8" s="12">
        <v>558644.1</v>
      </c>
      <c r="HY8" s="12">
        <v>563295</v>
      </c>
      <c r="HZ8" s="12">
        <v>567954.80000000005</v>
      </c>
      <c r="IA8" s="12">
        <v>572783.6</v>
      </c>
      <c r="IB8" s="12">
        <v>578043.6</v>
      </c>
      <c r="IC8" s="12">
        <v>582947.4</v>
      </c>
      <c r="ID8" s="12">
        <v>587815.9</v>
      </c>
      <c r="IE8" s="12">
        <v>593031.19999999995</v>
      </c>
      <c r="IF8" s="12">
        <v>598609.5</v>
      </c>
      <c r="IG8" s="12">
        <v>603930.30000000005</v>
      </c>
      <c r="IH8" s="12">
        <v>609143.9</v>
      </c>
      <c r="II8" s="12">
        <v>614402.80000000005</v>
      </c>
      <c r="IJ8" s="12">
        <v>620038.9</v>
      </c>
      <c r="IK8" s="12">
        <v>625365</v>
      </c>
      <c r="IL8" s="12">
        <v>630676.4</v>
      </c>
      <c r="IM8" s="12">
        <v>636184.30000000005</v>
      </c>
      <c r="IN8" s="12">
        <v>642054.1</v>
      </c>
      <c r="IO8" s="12">
        <v>647589</v>
      </c>
      <c r="IP8" s="12">
        <v>653095.6</v>
      </c>
      <c r="IQ8" s="12">
        <v>658789</v>
      </c>
      <c r="IR8" s="12">
        <v>664790.80000000005</v>
      </c>
      <c r="IS8" s="12">
        <v>670372.6</v>
      </c>
      <c r="IT8" s="12">
        <v>675953.8</v>
      </c>
      <c r="IU8" s="12">
        <v>681710.7</v>
      </c>
      <c r="IV8" s="12">
        <v>687885.8</v>
      </c>
      <c r="IW8" s="12">
        <v>693760.9</v>
      </c>
      <c r="IX8" s="12">
        <v>699691.3</v>
      </c>
      <c r="IY8" s="12">
        <v>705706.6</v>
      </c>
      <c r="IZ8" s="12">
        <v>711833.2</v>
      </c>
      <c r="JA8" s="12">
        <v>718013.8</v>
      </c>
      <c r="JB8" s="12">
        <v>724248.6</v>
      </c>
      <c r="JC8" s="12">
        <v>730537.4</v>
      </c>
      <c r="JD8" s="12">
        <v>736881.4</v>
      </c>
      <c r="JE8" s="12">
        <v>743281.4</v>
      </c>
      <c r="JF8" s="12">
        <v>749736.9</v>
      </c>
      <c r="JG8" s="12">
        <v>756249.3</v>
      </c>
      <c r="JH8" s="12">
        <v>762881.9</v>
      </c>
      <c r="JI8" s="12">
        <v>769573.6</v>
      </c>
      <c r="JJ8" s="12">
        <v>776325.6</v>
      </c>
      <c r="JK8" s="12">
        <v>783138.3</v>
      </c>
      <c r="JL8" s="12">
        <v>790011.9</v>
      </c>
      <c r="JM8" s="12">
        <v>796947.1</v>
      </c>
      <c r="JN8" s="12">
        <v>803945.1</v>
      </c>
      <c r="JO8" s="12">
        <v>811006.3</v>
      </c>
      <c r="JP8" s="12">
        <v>818131.2</v>
      </c>
      <c r="JQ8" s="12">
        <v>825319.1</v>
      </c>
      <c r="JR8" s="12">
        <v>832570.3</v>
      </c>
      <c r="JS8" s="12">
        <v>839885.4</v>
      </c>
      <c r="JT8" s="12">
        <v>847163.4</v>
      </c>
      <c r="JU8" s="12">
        <v>854503.6</v>
      </c>
      <c r="JV8" s="12">
        <v>861906.8</v>
      </c>
      <c r="JW8" s="12">
        <v>869373.2</v>
      </c>
      <c r="JX8" s="12">
        <v>876903.4</v>
      </c>
      <c r="JY8" s="12">
        <v>884497.2</v>
      </c>
      <c r="JZ8" s="12">
        <v>892155.4</v>
      </c>
      <c r="KA8" s="12">
        <v>899879.8</v>
      </c>
      <c r="KB8" s="12">
        <v>907668.7</v>
      </c>
      <c r="KC8" s="12">
        <v>915524.1</v>
      </c>
      <c r="KD8" s="12">
        <v>923445.3</v>
      </c>
      <c r="KE8" s="12">
        <v>931434</v>
      </c>
      <c r="KF8" s="12">
        <v>939489</v>
      </c>
      <c r="KG8" s="12">
        <v>947611.8</v>
      </c>
      <c r="KH8" s="12">
        <v>955802.8</v>
      </c>
      <c r="KI8" s="12">
        <v>964061.9</v>
      </c>
      <c r="KJ8" s="12">
        <v>972390.8</v>
      </c>
      <c r="KK8" s="12">
        <v>980788.9</v>
      </c>
      <c r="KL8" s="12">
        <v>989258.3</v>
      </c>
      <c r="KM8" s="12">
        <v>997797.4</v>
      </c>
      <c r="KN8" s="12">
        <v>1006409</v>
      </c>
      <c r="KO8" s="12">
        <v>1015091</v>
      </c>
      <c r="KP8" s="12">
        <v>1023847</v>
      </c>
      <c r="KQ8" s="12">
        <v>1032675</v>
      </c>
      <c r="KR8" s="12">
        <v>1041578</v>
      </c>
      <c r="KS8" s="12">
        <v>1050554</v>
      </c>
      <c r="KT8" s="12">
        <v>1059606</v>
      </c>
      <c r="KU8" s="12">
        <v>1068733</v>
      </c>
      <c r="KV8" s="12">
        <v>1077937</v>
      </c>
      <c r="KW8" s="12">
        <v>1087217</v>
      </c>
      <c r="KX8" s="12">
        <v>1096576</v>
      </c>
      <c r="KY8" s="12">
        <v>1106012</v>
      </c>
      <c r="KZ8" s="12">
        <v>1115526</v>
      </c>
      <c r="LA8" s="12">
        <v>1125120</v>
      </c>
      <c r="LB8" s="12">
        <v>1134792</v>
      </c>
      <c r="LC8" s="12">
        <v>1144546</v>
      </c>
      <c r="LD8" s="12">
        <v>1154419</v>
      </c>
      <c r="LE8" s="12">
        <v>1164374</v>
      </c>
      <c r="LF8" s="12">
        <v>1174410</v>
      </c>
      <c r="LG8" s="12">
        <v>1184529</v>
      </c>
      <c r="LH8" s="12">
        <v>1194443</v>
      </c>
      <c r="LI8" s="12">
        <v>1204435</v>
      </c>
      <c r="LJ8" s="12">
        <v>1214456</v>
      </c>
      <c r="LK8" s="12">
        <v>1224553</v>
      </c>
      <c r="LL8" s="12">
        <v>1234727</v>
      </c>
      <c r="LM8" s="12">
        <v>1244980</v>
      </c>
      <c r="LN8" s="12">
        <v>1255223</v>
      </c>
      <c r="LO8" s="12">
        <v>1265543</v>
      </c>
      <c r="LP8" s="12">
        <v>1275939</v>
      </c>
      <c r="LQ8" s="12">
        <v>1286414</v>
      </c>
      <c r="LR8" s="12">
        <v>1296969</v>
      </c>
      <c r="LS8" s="12">
        <v>1307602</v>
      </c>
      <c r="LT8" s="12">
        <v>1318315</v>
      </c>
      <c r="LU8" s="12">
        <v>1329109</v>
      </c>
      <c r="LV8" s="12">
        <v>1339938</v>
      </c>
      <c r="LW8" s="12">
        <v>1350848</v>
      </c>
      <c r="LX8" s="12">
        <v>1361840</v>
      </c>
      <c r="LY8" s="12">
        <v>1372911</v>
      </c>
      <c r="LZ8" s="12">
        <v>1384028</v>
      </c>
      <c r="MA8" s="12">
        <v>1395227</v>
      </c>
      <c r="MB8" s="12">
        <v>1406507</v>
      </c>
      <c r="MC8" s="12">
        <v>1417870</v>
      </c>
      <c r="MD8" s="12">
        <v>1429318</v>
      </c>
      <c r="ME8" s="12">
        <v>1440850</v>
      </c>
      <c r="MF8" s="12">
        <v>1452467</v>
      </c>
      <c r="MG8" s="12">
        <v>1464169</v>
      </c>
      <c r="MH8" s="12">
        <v>1476005</v>
      </c>
      <c r="MI8" s="12">
        <v>1487929</v>
      </c>
      <c r="MJ8" s="12">
        <v>1499942</v>
      </c>
      <c r="MK8" s="12">
        <v>1512043</v>
      </c>
      <c r="ML8" s="12">
        <v>1524220</v>
      </c>
      <c r="MM8" s="12">
        <v>1536488</v>
      </c>
      <c r="MN8" s="12">
        <v>1548846</v>
      </c>
      <c r="MO8" s="12">
        <v>1561296</v>
      </c>
      <c r="MP8" s="12">
        <v>1573891</v>
      </c>
      <c r="MQ8" s="12">
        <v>1586580</v>
      </c>
      <c r="MR8" s="12">
        <v>1599364</v>
      </c>
      <c r="MS8" s="12">
        <v>1612243</v>
      </c>
      <c r="MT8" s="12">
        <v>1625219</v>
      </c>
      <c r="MU8" t="s">
        <v>1248</v>
      </c>
      <c r="MV8" t="b">
        <v>1</v>
      </c>
      <c r="MW8" t="s">
        <v>1238</v>
      </c>
      <c r="MX8" t="s">
        <v>1238</v>
      </c>
      <c r="MY8">
        <v>2024</v>
      </c>
      <c r="MZ8">
        <v>3</v>
      </c>
      <c r="NA8" t="s">
        <v>1238</v>
      </c>
      <c r="NB8" t="s">
        <v>1275</v>
      </c>
      <c r="NC8" t="s">
        <v>1276</v>
      </c>
      <c r="ND8" t="s">
        <v>1242</v>
      </c>
      <c r="NE8" t="s">
        <v>1277</v>
      </c>
      <c r="NF8" s="1" t="s">
        <v>1244</v>
      </c>
    </row>
    <row r="9" spans="1:370" x14ac:dyDescent="0.25">
      <c r="A9" t="s">
        <v>1234</v>
      </c>
      <c r="B9" t="s">
        <v>1278</v>
      </c>
      <c r="C9" s="1" t="s">
        <v>1236</v>
      </c>
      <c r="D9" t="s">
        <v>1246</v>
      </c>
      <c r="E9" t="s">
        <v>1247</v>
      </c>
      <c r="F9" t="s">
        <v>1239</v>
      </c>
      <c r="G9" s="11">
        <v>137363</v>
      </c>
      <c r="H9" s="11">
        <v>140152</v>
      </c>
      <c r="I9" s="11">
        <v>141286</v>
      </c>
      <c r="J9" s="11">
        <v>141617</v>
      </c>
      <c r="K9" s="11">
        <v>137691</v>
      </c>
      <c r="L9" s="11">
        <v>136111</v>
      </c>
      <c r="M9" s="11">
        <v>141095</v>
      </c>
      <c r="N9" s="11">
        <v>140771</v>
      </c>
      <c r="O9" s="11">
        <v>143397</v>
      </c>
      <c r="P9" s="11">
        <v>138847</v>
      </c>
      <c r="Q9" s="11">
        <v>140319</v>
      </c>
      <c r="R9" s="11">
        <v>137808</v>
      </c>
      <c r="S9" s="11">
        <v>139742</v>
      </c>
      <c r="T9" s="11">
        <v>138168</v>
      </c>
      <c r="U9" s="11">
        <v>142668</v>
      </c>
      <c r="V9" s="11">
        <v>139028</v>
      </c>
      <c r="W9" s="11">
        <v>135347</v>
      </c>
      <c r="X9" s="11">
        <v>134379</v>
      </c>
      <c r="Y9" s="11">
        <v>137012</v>
      </c>
      <c r="Z9" s="11">
        <v>142669</v>
      </c>
      <c r="AA9" s="11">
        <v>142512</v>
      </c>
      <c r="AB9" s="11">
        <v>146514</v>
      </c>
      <c r="AC9" s="11">
        <v>150300</v>
      </c>
      <c r="AD9" s="11">
        <v>150197</v>
      </c>
      <c r="AE9" s="11">
        <v>152401</v>
      </c>
      <c r="AF9" s="11">
        <v>155089</v>
      </c>
      <c r="AG9" s="11">
        <v>155140</v>
      </c>
      <c r="AH9" s="11">
        <v>162173</v>
      </c>
      <c r="AI9" s="11">
        <v>157780</v>
      </c>
      <c r="AJ9" s="11">
        <v>158083</v>
      </c>
      <c r="AK9" s="11">
        <v>160445</v>
      </c>
      <c r="AL9" s="11">
        <v>158931</v>
      </c>
      <c r="AM9" s="11">
        <v>160486</v>
      </c>
      <c r="AN9" s="11">
        <v>158130</v>
      </c>
      <c r="AO9" s="11">
        <v>157598</v>
      </c>
      <c r="AP9" s="11">
        <v>158580</v>
      </c>
      <c r="AQ9" s="11">
        <v>157715</v>
      </c>
      <c r="AR9" s="11">
        <v>160483</v>
      </c>
      <c r="AS9" s="11">
        <v>159367</v>
      </c>
      <c r="AT9" s="11">
        <v>159886</v>
      </c>
      <c r="AU9" s="11">
        <v>158854</v>
      </c>
      <c r="AV9" s="11">
        <v>165111</v>
      </c>
      <c r="AW9" s="11">
        <v>163522</v>
      </c>
      <c r="AX9" s="11">
        <v>164202</v>
      </c>
      <c r="AY9" s="11">
        <v>167088</v>
      </c>
      <c r="AZ9" s="11">
        <v>165111</v>
      </c>
      <c r="BA9" s="11">
        <v>169770</v>
      </c>
      <c r="BB9" s="11">
        <v>173527</v>
      </c>
      <c r="BC9" s="11">
        <v>175208</v>
      </c>
      <c r="BD9" s="11">
        <v>175613</v>
      </c>
      <c r="BE9" s="11">
        <v>175957</v>
      </c>
      <c r="BF9" s="11">
        <v>177164</v>
      </c>
      <c r="BG9" s="11">
        <v>179729</v>
      </c>
      <c r="BH9" s="11">
        <v>186661</v>
      </c>
      <c r="BI9" s="11">
        <v>183119</v>
      </c>
      <c r="BJ9" s="11">
        <v>183388</v>
      </c>
      <c r="BK9" s="11">
        <v>180901</v>
      </c>
      <c r="BL9" s="11">
        <v>185020</v>
      </c>
      <c r="BM9" s="11">
        <v>187551</v>
      </c>
      <c r="BN9" s="11">
        <v>188860</v>
      </c>
      <c r="BO9" s="11">
        <v>191709</v>
      </c>
      <c r="BP9" s="11">
        <v>194935</v>
      </c>
      <c r="BQ9" s="11">
        <v>197179</v>
      </c>
      <c r="BR9" s="11">
        <v>198740</v>
      </c>
      <c r="BS9" s="11">
        <v>201265</v>
      </c>
      <c r="BT9" s="11">
        <v>204179</v>
      </c>
      <c r="BU9" s="11">
        <v>209872</v>
      </c>
      <c r="BV9" s="11">
        <v>207949</v>
      </c>
      <c r="BW9" s="11">
        <v>213872</v>
      </c>
      <c r="BX9" s="11">
        <v>211391</v>
      </c>
      <c r="BY9" s="11">
        <v>213462</v>
      </c>
      <c r="BZ9" s="11">
        <v>216821</v>
      </c>
      <c r="CA9" s="11">
        <v>218128</v>
      </c>
      <c r="CB9" s="11">
        <v>214176</v>
      </c>
      <c r="CC9" s="11">
        <v>220568</v>
      </c>
      <c r="CD9" s="11">
        <v>220151</v>
      </c>
      <c r="CE9" s="11">
        <v>221591</v>
      </c>
      <c r="CF9" s="11">
        <v>223785</v>
      </c>
      <c r="CG9" s="11">
        <v>225633</v>
      </c>
      <c r="CH9" s="11">
        <v>225562</v>
      </c>
      <c r="CI9" s="11">
        <v>224008</v>
      </c>
      <c r="CJ9" s="11">
        <v>230278</v>
      </c>
      <c r="CK9" s="11">
        <v>232470</v>
      </c>
      <c r="CL9" s="11">
        <v>233411</v>
      </c>
      <c r="CM9" s="11">
        <v>232541</v>
      </c>
      <c r="CN9" s="11">
        <v>232173</v>
      </c>
      <c r="CO9" s="11">
        <v>236870</v>
      </c>
      <c r="CP9" s="11">
        <v>235558</v>
      </c>
      <c r="CQ9" s="11">
        <v>239669</v>
      </c>
      <c r="CR9" s="11">
        <v>239943</v>
      </c>
      <c r="CS9" s="11">
        <v>242123</v>
      </c>
      <c r="CT9" s="11">
        <v>243427</v>
      </c>
      <c r="CU9" s="11">
        <v>247598</v>
      </c>
      <c r="CV9" s="11">
        <v>247441</v>
      </c>
      <c r="CW9" s="11">
        <v>250067</v>
      </c>
      <c r="CX9" s="11">
        <v>245800</v>
      </c>
      <c r="CY9" s="11">
        <v>249558</v>
      </c>
      <c r="CZ9" s="11">
        <v>251781</v>
      </c>
      <c r="DA9" s="11">
        <v>254358</v>
      </c>
      <c r="DB9" s="11">
        <v>253468</v>
      </c>
      <c r="DC9" s="11">
        <v>253069</v>
      </c>
      <c r="DD9" s="11">
        <v>254576</v>
      </c>
      <c r="DE9" s="11">
        <v>253636</v>
      </c>
      <c r="DF9" s="11">
        <v>257028</v>
      </c>
      <c r="DG9" s="11">
        <v>254037</v>
      </c>
      <c r="DH9" s="11">
        <v>266557</v>
      </c>
      <c r="DI9" s="11">
        <v>267871</v>
      </c>
      <c r="DJ9" s="11">
        <v>274118</v>
      </c>
      <c r="DK9" s="11">
        <v>274370</v>
      </c>
      <c r="DL9" s="11">
        <v>277466</v>
      </c>
      <c r="DM9" s="11">
        <v>283106</v>
      </c>
      <c r="DN9" s="11">
        <v>287523</v>
      </c>
      <c r="DO9" s="11">
        <v>289476</v>
      </c>
      <c r="DP9" s="11">
        <v>288052</v>
      </c>
      <c r="DQ9" s="11">
        <v>289545</v>
      </c>
      <c r="DR9" s="11">
        <v>295002</v>
      </c>
      <c r="DS9" s="11">
        <v>295976</v>
      </c>
      <c r="DT9" s="11">
        <v>298538</v>
      </c>
      <c r="DU9" s="11">
        <v>297567</v>
      </c>
      <c r="DV9" s="11">
        <v>298904</v>
      </c>
      <c r="DW9" s="11">
        <v>301081</v>
      </c>
      <c r="DX9" s="11">
        <v>302934</v>
      </c>
      <c r="DY9" s="11">
        <v>304444</v>
      </c>
      <c r="DZ9" s="11">
        <v>308695</v>
      </c>
      <c r="EA9" s="11">
        <v>309585</v>
      </c>
      <c r="EB9" s="11">
        <v>312396</v>
      </c>
      <c r="EC9" s="11">
        <v>314574</v>
      </c>
      <c r="ED9" s="11">
        <v>315137</v>
      </c>
      <c r="EE9" s="11">
        <v>317057</v>
      </c>
      <c r="EF9" s="11">
        <v>320657</v>
      </c>
      <c r="EG9" s="11">
        <v>322465</v>
      </c>
      <c r="EH9" s="11">
        <v>322562</v>
      </c>
      <c r="EI9" s="11">
        <v>325138</v>
      </c>
      <c r="EJ9" s="11">
        <v>323889</v>
      </c>
      <c r="EK9" s="11">
        <v>327580</v>
      </c>
      <c r="EL9" s="11">
        <v>328682</v>
      </c>
      <c r="EM9" s="11">
        <v>339067</v>
      </c>
      <c r="EN9" s="11">
        <v>336009</v>
      </c>
      <c r="EO9" s="11">
        <v>340647</v>
      </c>
      <c r="EP9" s="11">
        <v>340314</v>
      </c>
      <c r="EQ9" s="11">
        <v>335815</v>
      </c>
      <c r="ER9" s="11">
        <v>339732</v>
      </c>
      <c r="ES9" s="11">
        <v>333684</v>
      </c>
      <c r="ET9" s="11">
        <v>340023</v>
      </c>
      <c r="EU9" s="11">
        <v>335761</v>
      </c>
      <c r="EV9" s="11">
        <v>344826</v>
      </c>
      <c r="EW9" s="11">
        <v>343613</v>
      </c>
      <c r="EX9" s="11">
        <v>346368</v>
      </c>
      <c r="EY9" s="11">
        <v>346769</v>
      </c>
      <c r="EZ9" s="11">
        <v>347421</v>
      </c>
      <c r="FA9" s="11">
        <v>346091</v>
      </c>
      <c r="FB9" s="11">
        <v>343460</v>
      </c>
      <c r="FC9" s="11">
        <v>334416</v>
      </c>
      <c r="FD9" s="11">
        <v>339976</v>
      </c>
      <c r="FE9" s="11">
        <v>339972</v>
      </c>
      <c r="FF9" s="11">
        <v>337625</v>
      </c>
      <c r="FG9" s="11">
        <v>344680</v>
      </c>
      <c r="FH9" s="11">
        <v>348062</v>
      </c>
      <c r="FI9" s="11">
        <v>346678</v>
      </c>
      <c r="FJ9" s="11">
        <v>345765</v>
      </c>
      <c r="FK9" s="11">
        <v>342890</v>
      </c>
      <c r="FL9" s="11">
        <v>350923</v>
      </c>
      <c r="FM9" s="11">
        <v>357263</v>
      </c>
      <c r="FN9" s="11">
        <v>360126</v>
      </c>
      <c r="FO9" s="11">
        <v>359009</v>
      </c>
      <c r="FP9" s="11">
        <v>359599</v>
      </c>
      <c r="FQ9" s="11">
        <v>359708</v>
      </c>
      <c r="FR9" s="11">
        <v>364730</v>
      </c>
      <c r="FS9" s="11">
        <v>372232</v>
      </c>
      <c r="FT9" s="11">
        <v>381179</v>
      </c>
      <c r="FU9" s="11">
        <v>388638</v>
      </c>
      <c r="FV9" s="11">
        <v>388470</v>
      </c>
      <c r="FW9" s="11">
        <v>386874</v>
      </c>
      <c r="FX9" s="11">
        <v>387633</v>
      </c>
      <c r="FY9" s="11">
        <v>384657</v>
      </c>
      <c r="FZ9" s="11">
        <v>381981</v>
      </c>
      <c r="GA9" s="11">
        <v>382290</v>
      </c>
      <c r="GB9" s="11">
        <v>390332</v>
      </c>
      <c r="GC9" s="11">
        <v>390954</v>
      </c>
      <c r="GD9" s="11">
        <v>391273</v>
      </c>
      <c r="GE9" s="11">
        <v>395975</v>
      </c>
      <c r="GF9" s="11">
        <v>394175</v>
      </c>
      <c r="GG9" s="11">
        <v>395431</v>
      </c>
      <c r="GH9" s="11">
        <v>400106</v>
      </c>
      <c r="GI9" s="11">
        <v>399632</v>
      </c>
      <c r="GJ9" s="11">
        <v>405211</v>
      </c>
      <c r="GK9" s="11">
        <v>405428</v>
      </c>
      <c r="GL9" s="11">
        <v>407970</v>
      </c>
      <c r="GM9" s="11">
        <v>402584</v>
      </c>
      <c r="GN9" s="11">
        <v>394596</v>
      </c>
      <c r="GO9" s="11">
        <v>406593</v>
      </c>
      <c r="GP9" s="11">
        <v>408367</v>
      </c>
      <c r="GQ9" s="11">
        <v>411074</v>
      </c>
      <c r="GR9" s="11">
        <v>413832</v>
      </c>
      <c r="GS9" s="11">
        <v>410138</v>
      </c>
      <c r="GT9" s="11">
        <v>402842</v>
      </c>
      <c r="GU9" s="11">
        <v>401738</v>
      </c>
      <c r="GV9" s="11">
        <v>398386</v>
      </c>
      <c r="GW9" s="11">
        <v>400405</v>
      </c>
      <c r="GX9" s="11">
        <v>408689</v>
      </c>
      <c r="GY9" s="11">
        <v>405797</v>
      </c>
      <c r="GZ9" s="11">
        <v>411416</v>
      </c>
      <c r="HA9" s="11">
        <v>411131</v>
      </c>
      <c r="HB9" s="11">
        <v>415199</v>
      </c>
      <c r="HC9" s="11">
        <v>420949</v>
      </c>
      <c r="HD9" s="11">
        <v>427972</v>
      </c>
      <c r="HE9" s="11">
        <v>428682</v>
      </c>
      <c r="HF9" s="12">
        <v>429072.6</v>
      </c>
      <c r="HG9" s="12">
        <v>430093.5</v>
      </c>
      <c r="HH9" s="12">
        <v>430521.2</v>
      </c>
      <c r="HI9" s="12">
        <v>431966.6</v>
      </c>
      <c r="HJ9" s="12">
        <v>433332.4</v>
      </c>
      <c r="HK9" s="12">
        <v>434597.8</v>
      </c>
      <c r="HL9" s="12">
        <v>435366.6</v>
      </c>
      <c r="HM9" s="12">
        <v>436359.5</v>
      </c>
      <c r="HN9" s="12">
        <v>437485.8</v>
      </c>
      <c r="HO9" s="12">
        <v>438997.5</v>
      </c>
      <c r="HP9" s="12">
        <v>440704.6</v>
      </c>
      <c r="HQ9" s="12">
        <v>442549.5</v>
      </c>
      <c r="HR9" s="12">
        <v>444403.5</v>
      </c>
      <c r="HS9" s="12">
        <v>446163.3</v>
      </c>
      <c r="HT9" s="12">
        <v>448443.5</v>
      </c>
      <c r="HU9" s="12">
        <v>450558</v>
      </c>
      <c r="HV9" s="12">
        <v>452476.2</v>
      </c>
      <c r="HW9" s="12">
        <v>454236.6</v>
      </c>
      <c r="HX9" s="12">
        <v>456035.3</v>
      </c>
      <c r="HY9" s="12">
        <v>457545.7</v>
      </c>
      <c r="HZ9" s="12">
        <v>459037.2</v>
      </c>
      <c r="IA9" s="12">
        <v>460655.7</v>
      </c>
      <c r="IB9" s="12">
        <v>462591.9</v>
      </c>
      <c r="IC9" s="12">
        <v>464214.6</v>
      </c>
      <c r="ID9" s="12">
        <v>465782</v>
      </c>
      <c r="IE9" s="12">
        <v>467595.8</v>
      </c>
      <c r="IF9" s="12">
        <v>469665.1</v>
      </c>
      <c r="IG9" s="12">
        <v>471501.8</v>
      </c>
      <c r="IH9" s="12">
        <v>473225.7</v>
      </c>
      <c r="II9" s="12">
        <v>474955.9</v>
      </c>
      <c r="IJ9" s="12">
        <v>476947.4</v>
      </c>
      <c r="IK9" s="12">
        <v>478670.9</v>
      </c>
      <c r="IL9" s="12">
        <v>480354.4</v>
      </c>
      <c r="IM9" s="12">
        <v>482158.4</v>
      </c>
      <c r="IN9" s="12">
        <v>484205.8</v>
      </c>
      <c r="IO9" s="12">
        <v>485970.2</v>
      </c>
      <c r="IP9" s="12">
        <v>487684</v>
      </c>
      <c r="IQ9" s="12">
        <v>489508</v>
      </c>
      <c r="IR9" s="12">
        <v>491529.8</v>
      </c>
      <c r="IS9" s="12">
        <v>493211.2</v>
      </c>
      <c r="IT9" s="12">
        <v>494863</v>
      </c>
      <c r="IU9" s="12">
        <v>496615.1</v>
      </c>
      <c r="IV9" s="12">
        <v>498640.6</v>
      </c>
      <c r="IW9" s="12">
        <v>500417.9</v>
      </c>
      <c r="IX9" s="12">
        <v>502204.9</v>
      </c>
      <c r="IY9" s="12">
        <v>504022.8</v>
      </c>
      <c r="IZ9" s="12">
        <v>505889.5</v>
      </c>
      <c r="JA9" s="12">
        <v>507763.6</v>
      </c>
      <c r="JB9" s="12">
        <v>509645.3</v>
      </c>
      <c r="JC9" s="12">
        <v>511534</v>
      </c>
      <c r="JD9" s="12">
        <v>513429.6</v>
      </c>
      <c r="JE9" s="12">
        <v>515333.3</v>
      </c>
      <c r="JF9" s="12">
        <v>517243.5</v>
      </c>
      <c r="JG9" s="12">
        <v>519161.9</v>
      </c>
      <c r="JH9" s="12">
        <v>521130.5</v>
      </c>
      <c r="JI9" s="12">
        <v>523107.3</v>
      </c>
      <c r="JJ9" s="12">
        <v>525092.6</v>
      </c>
      <c r="JK9" s="12">
        <v>527086.5</v>
      </c>
      <c r="JL9" s="12">
        <v>529088.80000000005</v>
      </c>
      <c r="JM9" s="12">
        <v>531099.4</v>
      </c>
      <c r="JN9" s="12">
        <v>533118.80000000005</v>
      </c>
      <c r="JO9" s="12">
        <v>535147.4</v>
      </c>
      <c r="JP9" s="12">
        <v>537184.6</v>
      </c>
      <c r="JQ9" s="12">
        <v>539229.80000000005</v>
      </c>
      <c r="JR9" s="12">
        <v>541282.6</v>
      </c>
      <c r="JS9" s="12">
        <v>543343.80000000005</v>
      </c>
      <c r="JT9" s="12">
        <v>545347.30000000005</v>
      </c>
      <c r="JU9" s="12">
        <v>547357.80000000005</v>
      </c>
      <c r="JV9" s="12">
        <v>549374.9</v>
      </c>
      <c r="JW9" s="12">
        <v>551399.1</v>
      </c>
      <c r="JX9" s="12">
        <v>553430.30000000005</v>
      </c>
      <c r="JY9" s="12">
        <v>555468.1</v>
      </c>
      <c r="JZ9" s="12">
        <v>557511.9</v>
      </c>
      <c r="KA9" s="12">
        <v>559563.80000000005</v>
      </c>
      <c r="KB9" s="12">
        <v>561621.30000000005</v>
      </c>
      <c r="KC9" s="12">
        <v>563686.30000000005</v>
      </c>
      <c r="KD9" s="12">
        <v>565756.9</v>
      </c>
      <c r="KE9" s="12">
        <v>567835</v>
      </c>
      <c r="KF9" s="12">
        <v>569918.9</v>
      </c>
      <c r="KG9" s="12">
        <v>572009.1</v>
      </c>
      <c r="KH9" s="12">
        <v>574106.1</v>
      </c>
      <c r="KI9" s="12">
        <v>576208.9</v>
      </c>
      <c r="KJ9" s="12">
        <v>578318.6</v>
      </c>
      <c r="KK9" s="12">
        <v>580434</v>
      </c>
      <c r="KL9" s="12">
        <v>582556.9</v>
      </c>
      <c r="KM9" s="12">
        <v>584685.1</v>
      </c>
      <c r="KN9" s="12">
        <v>586820.5</v>
      </c>
      <c r="KO9" s="12">
        <v>588961.9</v>
      </c>
      <c r="KP9" s="12">
        <v>591110</v>
      </c>
      <c r="KQ9" s="12">
        <v>593264.19999999995</v>
      </c>
      <c r="KR9" s="12">
        <v>595425.30000000005</v>
      </c>
      <c r="KS9" s="12">
        <v>597592.80000000005</v>
      </c>
      <c r="KT9" s="12">
        <v>599766.4</v>
      </c>
      <c r="KU9" s="12">
        <v>601947.19999999995</v>
      </c>
      <c r="KV9" s="12">
        <v>604134.30000000005</v>
      </c>
      <c r="KW9" s="12">
        <v>606327.9</v>
      </c>
      <c r="KX9" s="12">
        <v>608528.4</v>
      </c>
      <c r="KY9" s="12">
        <v>610735.6</v>
      </c>
      <c r="KZ9" s="12">
        <v>612948.5</v>
      </c>
      <c r="LA9" s="12">
        <v>615168.9</v>
      </c>
      <c r="LB9" s="12">
        <v>617394.9</v>
      </c>
      <c r="LC9" s="12">
        <v>619628.19999999995</v>
      </c>
      <c r="LD9" s="12">
        <v>621888.4</v>
      </c>
      <c r="LE9" s="12">
        <v>624155.1</v>
      </c>
      <c r="LF9" s="12">
        <v>626427.6</v>
      </c>
      <c r="LG9" s="12">
        <v>628706.1</v>
      </c>
      <c r="LH9" s="12">
        <v>630839.19999999995</v>
      </c>
      <c r="LI9" s="12">
        <v>632976.30000000005</v>
      </c>
      <c r="LJ9" s="12">
        <v>635092.1</v>
      </c>
      <c r="LK9" s="12">
        <v>637211.1</v>
      </c>
      <c r="LL9" s="12">
        <v>639334.40000000002</v>
      </c>
      <c r="LM9" s="12">
        <v>641461.4</v>
      </c>
      <c r="LN9" s="12">
        <v>643546.4</v>
      </c>
      <c r="LO9" s="12">
        <v>645634.9</v>
      </c>
      <c r="LP9" s="12">
        <v>647725.4</v>
      </c>
      <c r="LQ9" s="12">
        <v>649819.4</v>
      </c>
      <c r="LR9" s="12">
        <v>651917.1</v>
      </c>
      <c r="LS9" s="12">
        <v>654017.30000000005</v>
      </c>
      <c r="LT9" s="12">
        <v>656121.1</v>
      </c>
      <c r="LU9" s="12">
        <v>658228</v>
      </c>
      <c r="LV9" s="12">
        <v>660315.4</v>
      </c>
      <c r="LW9" s="12">
        <v>662405.80000000005</v>
      </c>
      <c r="LX9" s="12">
        <v>664499.30000000005</v>
      </c>
      <c r="LY9" s="12">
        <v>666594.69999999995</v>
      </c>
      <c r="LZ9" s="12">
        <v>668675.4</v>
      </c>
      <c r="MA9" s="12">
        <v>670758.6</v>
      </c>
      <c r="MB9" s="12">
        <v>672843.6</v>
      </c>
      <c r="MC9" s="12">
        <v>674931.4</v>
      </c>
      <c r="MD9" s="12">
        <v>677022.3</v>
      </c>
      <c r="ME9" s="12">
        <v>679115.7</v>
      </c>
      <c r="MF9" s="12">
        <v>681211.6</v>
      </c>
      <c r="MG9" s="12">
        <v>683309.9</v>
      </c>
      <c r="MH9" s="12">
        <v>685433.5</v>
      </c>
      <c r="MI9" s="12">
        <v>687560.3</v>
      </c>
      <c r="MJ9" s="12">
        <v>689689.5</v>
      </c>
      <c r="MK9" s="12">
        <v>691822.3</v>
      </c>
      <c r="ML9" s="12">
        <v>693950.8</v>
      </c>
      <c r="MM9" s="12">
        <v>696083.2</v>
      </c>
      <c r="MN9" s="12">
        <v>698218</v>
      </c>
      <c r="MO9" s="12">
        <v>700355.7</v>
      </c>
      <c r="MP9" s="12">
        <v>702520.6</v>
      </c>
      <c r="MQ9" s="12">
        <v>704688.5</v>
      </c>
      <c r="MR9" s="12">
        <v>706859.9</v>
      </c>
      <c r="MS9" s="12">
        <v>709034.4</v>
      </c>
      <c r="MT9" s="12">
        <v>711213</v>
      </c>
      <c r="MU9" t="s">
        <v>1248</v>
      </c>
      <c r="MV9" t="b">
        <v>1</v>
      </c>
      <c r="MW9" s="1" t="s">
        <v>1279</v>
      </c>
      <c r="MX9" t="s">
        <v>1238</v>
      </c>
      <c r="MY9">
        <v>2024</v>
      </c>
      <c r="MZ9">
        <v>3</v>
      </c>
      <c r="NA9" t="s">
        <v>1238</v>
      </c>
      <c r="NB9" t="s">
        <v>1280</v>
      </c>
      <c r="NC9" s="1" t="s">
        <v>1281</v>
      </c>
      <c r="ND9" t="s">
        <v>1242</v>
      </c>
      <c r="NE9" t="s">
        <v>1282</v>
      </c>
      <c r="NF9" s="1" t="s">
        <v>1244</v>
      </c>
    </row>
    <row r="10" spans="1:370" x14ac:dyDescent="0.25">
      <c r="A10" t="s">
        <v>1234</v>
      </c>
      <c r="B10" t="s">
        <v>1283</v>
      </c>
      <c r="C10" s="1" t="s">
        <v>1236</v>
      </c>
      <c r="D10" t="s">
        <v>1237</v>
      </c>
      <c r="E10" t="s">
        <v>1238</v>
      </c>
      <c r="F10" t="s">
        <v>1239</v>
      </c>
      <c r="G10" s="11">
        <v>9.2064909999999998</v>
      </c>
      <c r="H10" s="11">
        <v>9.3221720000000001</v>
      </c>
      <c r="I10" s="11">
        <v>9.536778</v>
      </c>
      <c r="J10" s="11">
        <v>9.9904860000000006</v>
      </c>
      <c r="K10" s="11">
        <v>10.52744</v>
      </c>
      <c r="L10" s="11">
        <v>10.95538</v>
      </c>
      <c r="M10" s="11">
        <v>11.447800000000001</v>
      </c>
      <c r="N10" s="11">
        <v>12.08724</v>
      </c>
      <c r="O10" s="11">
        <v>12.905250000000001</v>
      </c>
      <c r="P10" s="11">
        <v>13.60613</v>
      </c>
      <c r="Q10" s="11">
        <v>14.14667</v>
      </c>
      <c r="R10" s="11">
        <v>14.88836</v>
      </c>
      <c r="S10" s="11">
        <v>15.45439</v>
      </c>
      <c r="T10" s="11">
        <v>15.83728</v>
      </c>
      <c r="U10" s="11">
        <v>16.26755</v>
      </c>
      <c r="V10" s="11">
        <v>17.121690000000001</v>
      </c>
      <c r="W10" s="11">
        <v>17.93</v>
      </c>
      <c r="X10" s="11">
        <v>18.505330000000001</v>
      </c>
      <c r="Y10" s="11">
        <v>18.839230000000001</v>
      </c>
      <c r="Z10" s="11">
        <v>19.160209999999999</v>
      </c>
      <c r="AA10" s="11">
        <v>19.773599999999998</v>
      </c>
      <c r="AB10" s="11">
        <v>20.218610000000002</v>
      </c>
      <c r="AC10" s="11">
        <v>20.593019999999999</v>
      </c>
      <c r="AD10" s="11">
        <v>21.29984</v>
      </c>
      <c r="AE10" s="11">
        <v>21.879709999999999</v>
      </c>
      <c r="AF10" s="11">
        <v>22.38936</v>
      </c>
      <c r="AG10" s="11">
        <v>23.94933</v>
      </c>
      <c r="AH10" s="11">
        <v>24.961680000000001</v>
      </c>
      <c r="AI10" s="11">
        <v>25.905280000000001</v>
      </c>
      <c r="AJ10" s="11">
        <v>26.888159999999999</v>
      </c>
      <c r="AK10" s="11">
        <v>27.460470000000001</v>
      </c>
      <c r="AL10" s="11">
        <v>28.66206</v>
      </c>
      <c r="AM10" s="11">
        <v>29.374320000000001</v>
      </c>
      <c r="AN10" s="11">
        <v>30.196069999999999</v>
      </c>
      <c r="AO10" s="11">
        <v>30.904209999999999</v>
      </c>
      <c r="AP10" s="11">
        <v>31.90259</v>
      </c>
      <c r="AQ10" s="11">
        <v>32.61365</v>
      </c>
      <c r="AR10" s="11">
        <v>33.174280000000003</v>
      </c>
      <c r="AS10" s="11">
        <v>33.551250000000003</v>
      </c>
      <c r="AT10" s="11">
        <v>34.331569999999999</v>
      </c>
      <c r="AU10" s="11">
        <v>34.779679999999999</v>
      </c>
      <c r="AV10" s="11">
        <v>35.153910000000003</v>
      </c>
      <c r="AW10" s="11">
        <v>35.481830000000002</v>
      </c>
      <c r="AX10" s="11">
        <v>36.030259999999998</v>
      </c>
      <c r="AY10" s="11">
        <v>36.491570000000003</v>
      </c>
      <c r="AZ10" s="11">
        <v>37.046770000000002</v>
      </c>
      <c r="BA10" s="11">
        <v>37.471260000000001</v>
      </c>
      <c r="BB10" s="11">
        <v>37.954630000000002</v>
      </c>
      <c r="BC10" s="11">
        <v>37.86</v>
      </c>
      <c r="BD10" s="11">
        <v>38.504060000000003</v>
      </c>
      <c r="BE10" s="11">
        <v>39.084150000000001</v>
      </c>
      <c r="BF10" s="11">
        <v>39.675939999999997</v>
      </c>
      <c r="BG10" s="11">
        <v>39.730350000000001</v>
      </c>
      <c r="BH10" s="11">
        <v>40.117289999999997</v>
      </c>
      <c r="BI10" s="11">
        <v>40.552900000000001</v>
      </c>
      <c r="BJ10" s="11">
        <v>41.085500000000003</v>
      </c>
      <c r="BK10" s="11">
        <v>41.470970000000001</v>
      </c>
      <c r="BL10" s="11">
        <v>41.902000000000001</v>
      </c>
      <c r="BM10" s="11">
        <v>42.296129999999998</v>
      </c>
      <c r="BN10" s="11">
        <v>42.821930000000002</v>
      </c>
      <c r="BO10" s="11">
        <v>43.419350000000001</v>
      </c>
      <c r="BP10" s="11">
        <v>44.057639999999999</v>
      </c>
      <c r="BQ10" s="11">
        <v>44.47437</v>
      </c>
      <c r="BR10" s="11">
        <v>44.994630000000001</v>
      </c>
      <c r="BS10" s="11">
        <v>45.505809999999997</v>
      </c>
      <c r="BT10" s="11">
        <v>46.23854</v>
      </c>
      <c r="BU10" s="11">
        <v>47.012500000000003</v>
      </c>
      <c r="BV10" s="11">
        <v>47.891399999999997</v>
      </c>
      <c r="BW10" s="11">
        <v>48.684229999999999</v>
      </c>
      <c r="BX10" s="11">
        <v>49.740929999999999</v>
      </c>
      <c r="BY10" s="11">
        <v>50.820700000000002</v>
      </c>
      <c r="BZ10" s="11">
        <v>51.63449</v>
      </c>
      <c r="CA10" s="11">
        <v>52.673259999999999</v>
      </c>
      <c r="CB10" s="11">
        <v>53.885460000000002</v>
      </c>
      <c r="CC10" s="11">
        <v>54.572029999999998</v>
      </c>
      <c r="CD10" s="11">
        <v>55.194969999999998</v>
      </c>
      <c r="CE10" s="11">
        <v>55.830660000000002</v>
      </c>
      <c r="CF10" s="11">
        <v>56.101179999999999</v>
      </c>
      <c r="CG10" s="11">
        <v>56.413730000000001</v>
      </c>
      <c r="CH10" s="11">
        <v>56.871429999999997</v>
      </c>
      <c r="CI10" s="11">
        <v>57.520229999999998</v>
      </c>
      <c r="CJ10" s="11">
        <v>57.92465</v>
      </c>
      <c r="CK10" s="11">
        <v>58.235169999999997</v>
      </c>
      <c r="CL10" s="11">
        <v>58.644260000000003</v>
      </c>
      <c r="CM10" s="11">
        <v>58.658009999999997</v>
      </c>
      <c r="CN10" s="11">
        <v>58.931699999999999</v>
      </c>
      <c r="CO10" s="11">
        <v>59.150840000000002</v>
      </c>
      <c r="CP10" s="11">
        <v>59.541040000000002</v>
      </c>
      <c r="CQ10" s="11">
        <v>59.871699999999997</v>
      </c>
      <c r="CR10" s="11">
        <v>60.466740000000001</v>
      </c>
      <c r="CS10" s="11">
        <v>61.436</v>
      </c>
      <c r="CT10" s="11">
        <v>61.456009999999999</v>
      </c>
      <c r="CU10" s="11">
        <v>62.042369999999998</v>
      </c>
      <c r="CV10" s="11">
        <v>62.74926</v>
      </c>
      <c r="CW10" s="11">
        <v>63.249040000000001</v>
      </c>
      <c r="CX10" s="11">
        <v>63.442030000000003</v>
      </c>
      <c r="CY10" s="11">
        <v>63.580829999999999</v>
      </c>
      <c r="CZ10" s="11">
        <v>64.262900000000002</v>
      </c>
      <c r="DA10" s="11">
        <v>64.613010000000003</v>
      </c>
      <c r="DB10" s="11">
        <v>64.192869999999999</v>
      </c>
      <c r="DC10" s="11">
        <v>64.509810000000002</v>
      </c>
      <c r="DD10" s="11">
        <v>64.882829999999998</v>
      </c>
      <c r="DE10" s="11">
        <v>65.287790000000001</v>
      </c>
      <c r="DF10" s="11">
        <v>65.436549999999997</v>
      </c>
      <c r="DG10" s="11">
        <v>65.678430000000006</v>
      </c>
      <c r="DH10" s="11">
        <v>65.559520000000006</v>
      </c>
      <c r="DI10" s="11">
        <v>65.181330000000003</v>
      </c>
      <c r="DJ10" s="11">
        <v>65.406419999999997</v>
      </c>
      <c r="DK10" s="11">
        <v>65.636089999999996</v>
      </c>
      <c r="DL10" s="11">
        <v>65.484520000000003</v>
      </c>
      <c r="DM10" s="11">
        <v>65.551580000000001</v>
      </c>
      <c r="DN10" s="11">
        <v>65.450339999999997</v>
      </c>
      <c r="DO10" s="11">
        <v>66.186490000000006</v>
      </c>
      <c r="DP10" s="11">
        <v>66.201899999999995</v>
      </c>
      <c r="DQ10" s="11">
        <v>66.264560000000003</v>
      </c>
      <c r="DR10" s="11">
        <v>65.423580000000001</v>
      </c>
      <c r="DS10" s="11">
        <v>66.208780000000004</v>
      </c>
      <c r="DT10" s="11">
        <v>66.32405</v>
      </c>
      <c r="DU10" s="11">
        <v>66.400880000000001</v>
      </c>
      <c r="DV10" s="11">
        <v>66.814509999999999</v>
      </c>
      <c r="DW10" s="11">
        <v>66.957589999999996</v>
      </c>
      <c r="DX10" s="11">
        <v>66.95881</v>
      </c>
      <c r="DY10" s="11">
        <v>67.432900000000004</v>
      </c>
      <c r="DZ10" s="11">
        <v>67.700289999999995</v>
      </c>
      <c r="EA10" s="11">
        <v>67.947680000000005</v>
      </c>
      <c r="EB10" s="11">
        <v>68.298940000000002</v>
      </c>
      <c r="EC10" s="11">
        <v>68.639510000000001</v>
      </c>
      <c r="ED10" s="11">
        <v>69.152760000000001</v>
      </c>
      <c r="EE10" s="11">
        <v>69.367230000000006</v>
      </c>
      <c r="EF10" s="11">
        <v>69.342179999999999</v>
      </c>
      <c r="EG10" s="11">
        <v>69.850290000000001</v>
      </c>
      <c r="EH10" s="11">
        <v>70.488200000000006</v>
      </c>
      <c r="EI10" s="11">
        <v>70.940950000000001</v>
      </c>
      <c r="EJ10" s="11">
        <v>71.759450000000001</v>
      </c>
      <c r="EK10" s="11">
        <v>72.252660000000006</v>
      </c>
      <c r="EL10" s="11">
        <v>72.382469999999998</v>
      </c>
      <c r="EM10" s="11">
        <v>71.805189999999996</v>
      </c>
      <c r="EN10" s="11">
        <v>72.88503</v>
      </c>
      <c r="EO10" s="11">
        <v>73.206900000000005</v>
      </c>
      <c r="EP10" s="11">
        <v>73.403729999999996</v>
      </c>
      <c r="EQ10" s="11">
        <v>74.486329999999995</v>
      </c>
      <c r="ER10" s="11">
        <v>75.595219999999998</v>
      </c>
      <c r="ES10" s="11">
        <v>76.739900000000006</v>
      </c>
      <c r="ET10" s="11">
        <v>76.126390000000001</v>
      </c>
      <c r="EU10" s="11">
        <v>76.341520000000003</v>
      </c>
      <c r="EV10" s="11">
        <v>76.476780000000005</v>
      </c>
      <c r="EW10" s="11">
        <v>76.458629999999999</v>
      </c>
      <c r="EX10" s="11">
        <v>76.089389999999995</v>
      </c>
      <c r="EY10" s="11">
        <v>76.08305</v>
      </c>
      <c r="EZ10" s="11">
        <v>76.802760000000006</v>
      </c>
      <c r="FA10" s="11">
        <v>77.31653</v>
      </c>
      <c r="FB10" s="11">
        <v>77.98997</v>
      </c>
      <c r="FC10" s="11">
        <v>79.4221</v>
      </c>
      <c r="FD10" s="11">
        <v>79.756460000000004</v>
      </c>
      <c r="FE10" s="11">
        <v>80.362750000000005</v>
      </c>
      <c r="FF10" s="11">
        <v>80.965869999999995</v>
      </c>
      <c r="FG10" s="11">
        <v>81.013279999999995</v>
      </c>
      <c r="FH10" s="11">
        <v>81.476389999999995</v>
      </c>
      <c r="FI10" s="11">
        <v>81.39188</v>
      </c>
      <c r="FJ10" s="11">
        <v>81.973290000000006</v>
      </c>
      <c r="FK10" s="11">
        <v>82.801770000000005</v>
      </c>
      <c r="FL10" s="11">
        <v>83.297870000000003</v>
      </c>
      <c r="FM10" s="11">
        <v>83.487459999999999</v>
      </c>
      <c r="FN10" s="11">
        <v>83.510570000000001</v>
      </c>
      <c r="FO10" s="11">
        <v>83.915139999999994</v>
      </c>
      <c r="FP10" s="11">
        <v>84.584509999999995</v>
      </c>
      <c r="FQ10" s="11">
        <v>84.351870000000005</v>
      </c>
      <c r="FR10" s="11">
        <v>84.100880000000004</v>
      </c>
      <c r="FS10" s="11">
        <v>83.648219999999995</v>
      </c>
      <c r="FT10" s="11">
        <v>83.837639999999993</v>
      </c>
      <c r="FU10" s="11">
        <v>84.055049999999994</v>
      </c>
      <c r="FV10" s="11">
        <v>84.16037</v>
      </c>
      <c r="FW10" s="11">
        <v>84.271649999999994</v>
      </c>
      <c r="FX10" s="11">
        <v>84.642039999999994</v>
      </c>
      <c r="FY10" s="11">
        <v>85.312160000000006</v>
      </c>
      <c r="FZ10" s="11">
        <v>85.729079999999996</v>
      </c>
      <c r="GA10" s="11">
        <v>85.749889999999994</v>
      </c>
      <c r="GB10" s="11">
        <v>86.408259999999999</v>
      </c>
      <c r="GC10" s="11">
        <v>86.781720000000007</v>
      </c>
      <c r="GD10" s="11">
        <v>87.314229999999995</v>
      </c>
      <c r="GE10" s="11">
        <v>87.805499999999995</v>
      </c>
      <c r="GF10" s="11">
        <v>88.070499999999996</v>
      </c>
      <c r="GG10" s="11">
        <v>88.574029999999993</v>
      </c>
      <c r="GH10" s="11">
        <v>89.073130000000006</v>
      </c>
      <c r="GI10" s="11">
        <v>89.182159999999996</v>
      </c>
      <c r="GJ10" s="11">
        <v>89.604060000000004</v>
      </c>
      <c r="GK10" s="11">
        <v>89.94605</v>
      </c>
      <c r="GL10" s="11">
        <v>90.039550000000006</v>
      </c>
      <c r="GM10" s="11">
        <v>89.551130000000001</v>
      </c>
      <c r="GN10" s="11">
        <v>89.435910000000007</v>
      </c>
      <c r="GO10" s="11">
        <v>89.978999999999999</v>
      </c>
      <c r="GP10" s="11">
        <v>90.053640000000001</v>
      </c>
      <c r="GQ10" s="11">
        <v>90.55059</v>
      </c>
      <c r="GR10" s="11">
        <v>91.062539999999998</v>
      </c>
      <c r="GS10" s="11">
        <v>92.470209999999994</v>
      </c>
      <c r="GT10" s="11">
        <v>94.510490000000004</v>
      </c>
      <c r="GU10" s="11">
        <v>96.103399999999993</v>
      </c>
      <c r="GV10" s="11">
        <v>99.406379999999999</v>
      </c>
      <c r="GW10" s="11">
        <v>100.8755</v>
      </c>
      <c r="GX10" s="11">
        <v>103.52200000000001</v>
      </c>
      <c r="GY10" s="11">
        <v>105.8083</v>
      </c>
      <c r="GZ10" s="11">
        <v>106.80110000000001</v>
      </c>
      <c r="HA10" s="11">
        <v>107.2646</v>
      </c>
      <c r="HB10" s="11">
        <v>107.5997</v>
      </c>
      <c r="HC10" s="11">
        <v>108.70010000000001</v>
      </c>
      <c r="HD10" s="11">
        <v>109.34010000000001</v>
      </c>
      <c r="HE10" s="11">
        <v>109.72150000000001</v>
      </c>
      <c r="HF10" s="12">
        <v>110.5993</v>
      </c>
      <c r="HG10" s="12">
        <v>111.4288</v>
      </c>
      <c r="HH10" s="12">
        <v>112.2645</v>
      </c>
      <c r="HI10" s="12">
        <v>113.05029999999999</v>
      </c>
      <c r="HJ10" s="12">
        <v>113.7569</v>
      </c>
      <c r="HK10" s="12">
        <v>114.3826</v>
      </c>
      <c r="HL10" s="12">
        <v>115.0117</v>
      </c>
      <c r="HM10" s="12">
        <v>115.6155</v>
      </c>
      <c r="HN10" s="12">
        <v>116.1936</v>
      </c>
      <c r="HO10" s="12">
        <v>116.7745</v>
      </c>
      <c r="HP10" s="12">
        <v>117.3818</v>
      </c>
      <c r="HQ10" s="12">
        <v>118.01560000000001</v>
      </c>
      <c r="HR10" s="12">
        <v>118.6529</v>
      </c>
      <c r="HS10" s="12">
        <v>119.2936</v>
      </c>
      <c r="HT10" s="12">
        <v>119.9378</v>
      </c>
      <c r="HU10" s="12">
        <v>120.5735</v>
      </c>
      <c r="HV10" s="12">
        <v>121.20050000000001</v>
      </c>
      <c r="HW10" s="12">
        <v>121.83069999999999</v>
      </c>
      <c r="HX10" s="12">
        <v>122.452</v>
      </c>
      <c r="HY10" s="12">
        <v>123.0643</v>
      </c>
      <c r="HZ10" s="12">
        <v>123.67959999999999</v>
      </c>
      <c r="IA10" s="12">
        <v>124.2933</v>
      </c>
      <c r="IB10" s="12">
        <v>124.9101</v>
      </c>
      <c r="IC10" s="12">
        <v>125.5299</v>
      </c>
      <c r="ID10" s="12">
        <v>126.1527</v>
      </c>
      <c r="IE10" s="12">
        <v>126.7787</v>
      </c>
      <c r="IF10" s="12">
        <v>127.40779999999999</v>
      </c>
      <c r="IG10" s="12">
        <v>128.04</v>
      </c>
      <c r="IH10" s="12">
        <v>128.67529999999999</v>
      </c>
      <c r="II10" s="12">
        <v>129.31379999999999</v>
      </c>
      <c r="IJ10" s="12">
        <v>129.9555</v>
      </c>
      <c r="IK10" s="12">
        <v>130.6003</v>
      </c>
      <c r="IL10" s="12">
        <v>131.2483</v>
      </c>
      <c r="IM10" s="12">
        <v>131.89959999999999</v>
      </c>
      <c r="IN10" s="12">
        <v>132.55410000000001</v>
      </c>
      <c r="IO10" s="12">
        <v>133.21180000000001</v>
      </c>
      <c r="IP10" s="12">
        <v>133.87280000000001</v>
      </c>
      <c r="IQ10" s="12">
        <v>134.53710000000001</v>
      </c>
      <c r="IR10" s="12">
        <v>135.2047</v>
      </c>
      <c r="IS10" s="12">
        <v>135.87549999999999</v>
      </c>
      <c r="IT10" s="12">
        <v>136.5498</v>
      </c>
      <c r="IU10" s="12">
        <v>137.22730000000001</v>
      </c>
      <c r="IV10" s="12">
        <v>137.90819999999999</v>
      </c>
      <c r="IW10" s="12">
        <v>138.5925</v>
      </c>
      <c r="IX10" s="12">
        <v>139.28020000000001</v>
      </c>
      <c r="IY10" s="12">
        <v>139.97130000000001</v>
      </c>
      <c r="IZ10" s="12">
        <v>140.66589999999999</v>
      </c>
      <c r="JA10" s="12">
        <v>141.3639</v>
      </c>
      <c r="JB10" s="12">
        <v>142.06530000000001</v>
      </c>
      <c r="JC10" s="12">
        <v>142.77019999999999</v>
      </c>
      <c r="JD10" s="12">
        <v>143.4787</v>
      </c>
      <c r="JE10" s="12">
        <v>144.19059999999999</v>
      </c>
      <c r="JF10" s="12">
        <v>144.90610000000001</v>
      </c>
      <c r="JG10" s="12">
        <v>145.6251</v>
      </c>
      <c r="JH10" s="12">
        <v>146.3477</v>
      </c>
      <c r="JI10" s="12">
        <v>147.07390000000001</v>
      </c>
      <c r="JJ10" s="12">
        <v>147.80369999999999</v>
      </c>
      <c r="JK10" s="12">
        <v>148.53710000000001</v>
      </c>
      <c r="JL10" s="12">
        <v>149.2741</v>
      </c>
      <c r="JM10" s="12">
        <v>150.01480000000001</v>
      </c>
      <c r="JN10" s="12">
        <v>150.75919999999999</v>
      </c>
      <c r="JO10" s="12">
        <v>151.50720000000001</v>
      </c>
      <c r="JP10" s="12">
        <v>152.25899999999999</v>
      </c>
      <c r="JQ10" s="12">
        <v>153.0145</v>
      </c>
      <c r="JR10" s="12">
        <v>153.77379999999999</v>
      </c>
      <c r="JS10" s="12">
        <v>154.5368</v>
      </c>
      <c r="JT10" s="12">
        <v>155.30359999999999</v>
      </c>
      <c r="JU10" s="12">
        <v>156.07419999999999</v>
      </c>
      <c r="JV10" s="12">
        <v>156.84870000000001</v>
      </c>
      <c r="JW10" s="12">
        <v>157.62700000000001</v>
      </c>
      <c r="JX10" s="12">
        <v>158.4091</v>
      </c>
      <c r="JY10" s="12">
        <v>159.1951</v>
      </c>
      <c r="JZ10" s="12">
        <v>159.98509999999999</v>
      </c>
      <c r="KA10" s="12">
        <v>160.77889999999999</v>
      </c>
      <c r="KB10" s="12">
        <v>161.57669999999999</v>
      </c>
      <c r="KC10" s="12">
        <v>162.3784</v>
      </c>
      <c r="KD10" s="12">
        <v>163.1842</v>
      </c>
      <c r="KE10" s="12">
        <v>163.9939</v>
      </c>
      <c r="KF10" s="12">
        <v>164.80760000000001</v>
      </c>
      <c r="KG10" s="12">
        <v>165.62540000000001</v>
      </c>
      <c r="KH10" s="12">
        <v>166.44720000000001</v>
      </c>
      <c r="KI10" s="12">
        <v>167.2731</v>
      </c>
      <c r="KJ10" s="12">
        <v>168.10310000000001</v>
      </c>
      <c r="KK10" s="12">
        <v>168.93729999999999</v>
      </c>
      <c r="KL10" s="12">
        <v>169.77549999999999</v>
      </c>
      <c r="KM10" s="12">
        <v>170.61799999999999</v>
      </c>
      <c r="KN10" s="12">
        <v>171.46459999999999</v>
      </c>
      <c r="KO10" s="12">
        <v>172.31540000000001</v>
      </c>
      <c r="KP10" s="12">
        <v>173.1704</v>
      </c>
      <c r="KQ10" s="12">
        <v>174.02969999999999</v>
      </c>
      <c r="KR10" s="12">
        <v>174.89320000000001</v>
      </c>
      <c r="KS10" s="12">
        <v>175.761</v>
      </c>
      <c r="KT10" s="12">
        <v>176.63319999999999</v>
      </c>
      <c r="KU10" s="12">
        <v>177.50960000000001</v>
      </c>
      <c r="KV10" s="12">
        <v>178.3904</v>
      </c>
      <c r="KW10" s="12">
        <v>179.2756</v>
      </c>
      <c r="KX10" s="12">
        <v>180.1652</v>
      </c>
      <c r="KY10" s="12">
        <v>181.0591</v>
      </c>
      <c r="KZ10" s="12">
        <v>181.95760000000001</v>
      </c>
      <c r="LA10" s="12">
        <v>182.8604</v>
      </c>
      <c r="LB10" s="12">
        <v>183.76779999999999</v>
      </c>
      <c r="LC10" s="12">
        <v>184.67959999999999</v>
      </c>
      <c r="LD10" s="12">
        <v>185.596</v>
      </c>
      <c r="LE10" s="12">
        <v>186.51689999999999</v>
      </c>
      <c r="LF10" s="12">
        <v>187.44239999999999</v>
      </c>
      <c r="LG10" s="12">
        <v>188.3725</v>
      </c>
      <c r="LH10" s="12">
        <v>189.30719999999999</v>
      </c>
      <c r="LI10" s="12">
        <v>190.2466</v>
      </c>
      <c r="LJ10" s="12">
        <v>191.19059999999999</v>
      </c>
      <c r="LK10" s="12">
        <v>192.13929999999999</v>
      </c>
      <c r="LL10" s="12">
        <v>193.09270000000001</v>
      </c>
      <c r="LM10" s="12">
        <v>194.05080000000001</v>
      </c>
      <c r="LN10" s="12">
        <v>195.0137</v>
      </c>
      <c r="LO10" s="12">
        <v>195.9813</v>
      </c>
      <c r="LP10" s="12">
        <v>196.9538</v>
      </c>
      <c r="LQ10" s="12">
        <v>197.93109999999999</v>
      </c>
      <c r="LR10" s="12">
        <v>198.91319999999999</v>
      </c>
      <c r="LS10" s="12">
        <v>199.90020000000001</v>
      </c>
      <c r="LT10" s="12">
        <v>200.8921</v>
      </c>
      <c r="LU10" s="12">
        <v>201.88890000000001</v>
      </c>
      <c r="LV10" s="12">
        <v>202.89070000000001</v>
      </c>
      <c r="LW10" s="12">
        <v>203.89750000000001</v>
      </c>
      <c r="LX10" s="12">
        <v>204.9092</v>
      </c>
      <c r="LY10" s="12">
        <v>205.92599999999999</v>
      </c>
      <c r="LZ10" s="12">
        <v>206.9478</v>
      </c>
      <c r="MA10" s="12">
        <v>207.97460000000001</v>
      </c>
      <c r="MB10" s="12">
        <v>209.00659999999999</v>
      </c>
      <c r="MC10" s="12">
        <v>210.0437</v>
      </c>
      <c r="MD10" s="12">
        <v>211.08590000000001</v>
      </c>
      <c r="ME10" s="12">
        <v>212.13329999999999</v>
      </c>
      <c r="MF10" s="12">
        <v>213.1859</v>
      </c>
      <c r="MG10" s="12">
        <v>214.24379999999999</v>
      </c>
      <c r="MH10" s="12">
        <v>215.30690000000001</v>
      </c>
      <c r="MI10" s="12">
        <v>216.37520000000001</v>
      </c>
      <c r="MJ10" s="12">
        <v>217.44890000000001</v>
      </c>
      <c r="MK10" s="12">
        <v>218.52780000000001</v>
      </c>
      <c r="ML10" s="12">
        <v>219.6122</v>
      </c>
      <c r="MM10" s="12">
        <v>220.70189999999999</v>
      </c>
      <c r="MN10" s="12">
        <v>221.797</v>
      </c>
      <c r="MO10" s="12">
        <v>222.89760000000001</v>
      </c>
      <c r="MP10" s="12">
        <v>224.00360000000001</v>
      </c>
      <c r="MQ10" s="12">
        <v>225.11510000000001</v>
      </c>
      <c r="MR10" s="12">
        <v>226.2321</v>
      </c>
      <c r="MS10" s="12">
        <v>227.35470000000001</v>
      </c>
      <c r="MT10" s="12">
        <v>228.4828</v>
      </c>
      <c r="MU10" t="s">
        <v>1248</v>
      </c>
      <c r="MV10" t="b">
        <v>1</v>
      </c>
      <c r="MW10" t="s">
        <v>1238</v>
      </c>
      <c r="MX10">
        <v>2022</v>
      </c>
      <c r="MY10">
        <v>2024</v>
      </c>
      <c r="MZ10">
        <v>3</v>
      </c>
      <c r="NA10" t="s">
        <v>1238</v>
      </c>
      <c r="NB10" s="1" t="s">
        <v>1284</v>
      </c>
      <c r="NC10" t="s">
        <v>1238</v>
      </c>
      <c r="ND10" t="s">
        <v>1242</v>
      </c>
      <c r="NE10" t="s">
        <v>1285</v>
      </c>
      <c r="NF10" s="1" t="s">
        <v>1244</v>
      </c>
    </row>
  </sheetData>
  <pageMargins left="0.7" right="0.7" top="0.75" bottom="0.75" header="0.3" footer="0.3"/>
  <customProperties>
    <customPr name="Commands" r:id="rId1"/>
    <customPr name="PostPullCommands" r:id="rId2"/>
    <customPr name="Worksheet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F3A6-2844-43EB-BB7B-76345B932D82}">
  <sheetPr>
    <tabColor rgb="FFC00000"/>
  </sheetPr>
  <dimension ref="A1"/>
  <sheetViews>
    <sheetView workbookViewId="0">
      <selection activeCell="K29" sqref="K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10</vt:i4>
      </vt:variant>
      <vt:variant>
        <vt:lpstr>Charts</vt:lpstr>
      </vt:variant>
      <vt:variant>
        <vt:i4>12</vt:i4>
      </vt:variant>
      <vt:variant>
        <vt:lpstr>Named Ranges</vt:lpstr>
      </vt:variant>
      <vt:variant>
        <vt:i4>2</vt:i4>
      </vt:variant>
    </vt:vector>
  </HeadingPairs>
  <TitlesOfParts>
    <vt:vector size="24" baseType="lpstr">
      <vt:lpstr>CHARTS&gt;&gt;</vt:lpstr>
      <vt:lpstr>DATA&gt;&gt;</vt:lpstr>
      <vt:lpstr>Chart Data</vt:lpstr>
      <vt:lpstr>DMP - NICs Reaction</vt:lpstr>
      <vt:lpstr>HAVERM</vt:lpstr>
      <vt:lpstr>HAVERQ</vt:lpstr>
      <vt:lpstr>DataA</vt:lpstr>
      <vt:lpstr>DataQ</vt:lpstr>
      <vt:lpstr>GMWQ</vt:lpstr>
      <vt:lpstr>NOT USED&gt;&gt;</vt:lpstr>
      <vt:lpstr>Chart - Lab mkt strength</vt:lpstr>
      <vt:lpstr>Chart - UPILO 1 &amp; 3mth</vt:lpstr>
      <vt:lpstr>Chart - WFJ change</vt:lpstr>
      <vt:lpstr>Chart - DMP NICs</vt:lpstr>
      <vt:lpstr>Chart - UPILO 1mth range &amp; 3m</vt:lpstr>
      <vt:lpstr>Chart - Emp pub vs priv</vt:lpstr>
      <vt:lpstr>Chart - pub sector emp (level)</vt:lpstr>
      <vt:lpstr>Chart - pub sector emp (share)</vt:lpstr>
      <vt:lpstr>Chart - WFJ change (short)</vt:lpstr>
      <vt:lpstr>Chart - Lab cont to PEDY!</vt:lpstr>
      <vt:lpstr>Chart - Lab cont to PEDY</vt:lpstr>
      <vt:lpstr>Chart - WC &amp; COGTP</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2025-01-02T08:44:20Z</dcterms:created>
  <dcterms:modified xsi:type="dcterms:W3CDTF">2025-01-20T10:12:37Z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2025-01-02T08:44:55Z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039b5b5a-9900-4aaa-aa3d-dde2ef8ca14b</vt:lpwstr>
  </property>
  <property fmtid="{D5CDD505-2E9C-101B-9397-08002B2CF9AE}" pid="8" name="MSIP_Label_3b83b38b-8e91-4f17-8371-95d3d41e26c0_ContentBits">
    <vt:lpwstr>0</vt:lpwstr>
  </property>
</Properties>
</file>