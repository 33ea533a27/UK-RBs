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1E75998B-54B8-490F-825E-2B1DAFEF4A7D}" xr6:coauthVersionLast="47" xr6:coauthVersionMax="47" xr10:uidLastSave="{00000000-0000-0000-0000-000000000000}"/>
  <bookViews>
    <workbookView xWindow="-120" yWindow="-120" windowWidth="29040" windowHeight="15840" firstSheet="1" activeTab="6" xr2:uid="{01EB5883-3C54-4EA7-BAD2-585E4111CB63}"/>
  </bookViews>
  <sheets>
    <sheet name="CHARTS&gt;&gt;" sheetId="26" r:id="rId1"/>
    <sheet name="Chart - UPILO 1 &amp; 3mth" sheetId="3" r:id="rId2"/>
    <sheet name="Chart - Emp measures" sheetId="38" r:id="rId3"/>
    <sheet name="Chart - Emp vintages" sheetId="43" r:id="rId4"/>
    <sheet name="Chart - Migration" sheetId="35" r:id="rId5"/>
    <sheet name="DATA&gt;&gt;" sheetId="25" r:id="rId6"/>
    <sheet name="Chart Data" sheetId="2" r:id="rId7"/>
    <sheet name="HAVERM" sheetId="1" r:id="rId8"/>
    <sheet name="HAVERQ" sheetId="5" r:id="rId9"/>
    <sheet name="DataA" sheetId="21" r:id="rId10"/>
    <sheet name="DataQ" sheetId="17" r:id="rId11"/>
    <sheet name="GMWQ" sheetId="14" r:id="rId12"/>
    <sheet name="LTIM ye Jun24 - Table 1" sheetId="32" r:id="rId13"/>
    <sheet name="LTIM ye Dec23 - Table 1" sheetId="33" r:id="rId14"/>
    <sheet name="Pproj - Jan24" sheetId="34" r:id="rId15"/>
    <sheet name="LFS response rates" sheetId="45" r:id="rId16"/>
    <sheet name="LFS interviews" sheetId="46" r:id="rId17"/>
    <sheet name="NOT USED&gt;&gt;" sheetId="27" r:id="rId18"/>
    <sheet name="Chart - UPILO 1mth range &amp; 3m" sheetId="4" r:id="rId19"/>
  </sheets>
  <externalReferences>
    <externalReference r:id="rId20"/>
  </externalReferences>
  <definedNames>
    <definedName name="_DLX1.INC">HAVERM!$A$1:$G$6</definedName>
    <definedName name="_DLX2.INC">HAVERQ!$A$2:$BN$7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2" l="1"/>
  <c r="C109" i="2"/>
  <c r="B110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T5" i="2" l="1"/>
  <c r="T6" i="2"/>
  <c r="T7" i="2"/>
  <c r="T8" i="2"/>
  <c r="T9" i="2"/>
  <c r="V9" i="2" s="1"/>
  <c r="T10" i="2"/>
  <c r="V10" i="2" s="1"/>
  <c r="T11" i="2"/>
  <c r="T12" i="2"/>
  <c r="V12" i="2" s="1"/>
  <c r="T13" i="2"/>
  <c r="T14" i="2"/>
  <c r="T15" i="2"/>
  <c r="T16" i="2"/>
  <c r="T17" i="2"/>
  <c r="V17" i="2" s="1"/>
  <c r="T18" i="2"/>
  <c r="V18" i="2" s="1"/>
  <c r="T19" i="2"/>
  <c r="T20" i="2"/>
  <c r="V20" i="2" s="1"/>
  <c r="T21" i="2"/>
  <c r="T22" i="2"/>
  <c r="T23" i="2"/>
  <c r="T24" i="2"/>
  <c r="T25" i="2"/>
  <c r="T26" i="2"/>
  <c r="T4" i="2"/>
  <c r="V4" i="2" s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4" i="2"/>
  <c r="T29" i="2"/>
  <c r="S29" i="2"/>
  <c r="R29" i="2"/>
  <c r="V19" i="2" l="1"/>
  <c r="V11" i="2"/>
  <c r="V16" i="2"/>
  <c r="V8" i="2"/>
  <c r="V15" i="2"/>
  <c r="V7" i="2"/>
  <c r="V14" i="2"/>
  <c r="V6" i="2"/>
  <c r="V21" i="2"/>
  <c r="V13" i="2"/>
  <c r="V5" i="2"/>
  <c r="Q215" i="17" a="1"/>
  <c r="Q215" i="17" s="1"/>
  <c r="Q211" i="17" a="1"/>
  <c r="Q211" i="17" s="1"/>
  <c r="Q207" i="17" a="1"/>
  <c r="Q207" i="17" s="1"/>
  <c r="Q203" i="17" a="1"/>
  <c r="Q203" i="17" s="1"/>
  <c r="Q199" i="17" a="1"/>
  <c r="Q199" i="17" s="1"/>
  <c r="Q195" i="17" a="1"/>
  <c r="Q195" i="17" s="1"/>
  <c r="Q191" i="17" a="1"/>
  <c r="Q191" i="17" s="1"/>
  <c r="Q188" i="17" a="1"/>
  <c r="Q188" i="17" s="1"/>
  <c r="Q186" i="17" a="1"/>
  <c r="Q186" i="17" s="1"/>
  <c r="Q184" i="17" a="1"/>
  <c r="Q184" i="17" s="1"/>
  <c r="Q182" i="17" a="1"/>
  <c r="Q182" i="17" s="1"/>
  <c r="Q180" i="17" a="1"/>
  <c r="Q180" i="17" s="1"/>
  <c r="Q178" i="17" a="1"/>
  <c r="Q178" i="17" s="1"/>
  <c r="Q176" i="17" a="1"/>
  <c r="Q176" i="17" s="1"/>
  <c r="Q174" i="17" a="1"/>
  <c r="Q174" i="17" s="1"/>
  <c r="Q173" i="17" a="1"/>
  <c r="Q173" i="17" s="1"/>
  <c r="Q172" i="17" a="1"/>
  <c r="Q172" i="17" s="1"/>
  <c r="Q171" i="17" a="1"/>
  <c r="Q171" i="17" s="1"/>
  <c r="Q170" i="17" a="1"/>
  <c r="Q170" i="17" s="1"/>
  <c r="Q169" i="17" a="1"/>
  <c r="Q169" i="17" s="1"/>
  <c r="Q168" i="17" a="1"/>
  <c r="Q168" i="17" s="1"/>
  <c r="Q167" i="17" a="1"/>
  <c r="Q167" i="17" s="1"/>
  <c r="Q166" i="17" a="1"/>
  <c r="Q166" i="17" s="1"/>
  <c r="Q165" i="17" a="1"/>
  <c r="Q165" i="17" s="1"/>
  <c r="Q164" i="17" a="1"/>
  <c r="Q164" i="17" s="1"/>
  <c r="Q163" i="17" a="1"/>
  <c r="Q163" i="17" s="1"/>
  <c r="Q162" i="17" a="1"/>
  <c r="Q162" i="17" s="1"/>
  <c r="Q161" i="17" a="1"/>
  <c r="Q161" i="17" s="1"/>
  <c r="Q160" i="17" a="1"/>
  <c r="Q160" i="17" s="1"/>
  <c r="Q159" i="17" a="1"/>
  <c r="Q159" i="17" s="1"/>
  <c r="Q158" i="17" a="1"/>
  <c r="Q158" i="17" s="1"/>
  <c r="Q157" i="17" a="1"/>
  <c r="Q157" i="17" s="1"/>
  <c r="Q156" i="17" a="1"/>
  <c r="Q156" i="17" s="1"/>
  <c r="Q155" i="17" a="1"/>
  <c r="Q155" i="17" s="1"/>
  <c r="Q154" i="17" a="1"/>
  <c r="Q154" i="17" s="1"/>
  <c r="Q153" i="17" a="1"/>
  <c r="Q153" i="17" s="1"/>
  <c r="Q152" i="17" a="1"/>
  <c r="Q152" i="17" s="1"/>
  <c r="Q151" i="17" a="1"/>
  <c r="Q151" i="17" s="1"/>
  <c r="Q150" i="17" a="1"/>
  <c r="Q150" i="17" s="1"/>
  <c r="Q149" i="17" a="1"/>
  <c r="Q149" i="17" s="1"/>
  <c r="Q148" i="17" a="1"/>
  <c r="Q148" i="17" s="1"/>
  <c r="Q147" i="17" a="1"/>
  <c r="Q147" i="17" s="1"/>
  <c r="Q146" i="17" a="1"/>
  <c r="Q146" i="17" s="1"/>
  <c r="Q145" i="17" a="1"/>
  <c r="Q145" i="17" s="1"/>
  <c r="Q144" i="17" a="1"/>
  <c r="Q144" i="17" s="1"/>
  <c r="Q143" i="17" a="1"/>
  <c r="Q143" i="17" s="1"/>
  <c r="Q142" i="17" a="1"/>
  <c r="Q142" i="17" s="1"/>
  <c r="Q141" i="17" a="1"/>
  <c r="Q141" i="17" s="1"/>
  <c r="Q140" i="17" a="1"/>
  <c r="Q140" i="17" s="1"/>
  <c r="Q139" i="17" a="1"/>
  <c r="Q139" i="17" s="1"/>
  <c r="Q138" i="17" a="1"/>
  <c r="Q138" i="17" s="1"/>
  <c r="Q137" i="17" a="1"/>
  <c r="Q137" i="17" s="1"/>
  <c r="Q136" i="17" a="1"/>
  <c r="Q136" i="17" s="1"/>
  <c r="Q135" i="17" a="1"/>
  <c r="Q135" i="17" s="1"/>
  <c r="Q134" i="17" a="1"/>
  <c r="Q134" i="17" s="1"/>
  <c r="Q133" i="17" a="1"/>
  <c r="Q133" i="17" s="1"/>
  <c r="Q132" i="17" a="1"/>
  <c r="Q132" i="17" s="1"/>
  <c r="Q131" i="17" a="1"/>
  <c r="Q131" i="17" s="1"/>
  <c r="Q130" i="17" a="1"/>
  <c r="Q130" i="17" s="1"/>
  <c r="Q129" i="17" a="1"/>
  <c r="Q129" i="17" s="1"/>
  <c r="Q128" i="17" a="1"/>
  <c r="Q128" i="17" s="1"/>
  <c r="Q127" i="17" a="1"/>
  <c r="Q127" i="17" s="1"/>
  <c r="Q126" i="17" a="1"/>
  <c r="Q126" i="17" s="1"/>
  <c r="Q125" i="17" a="1"/>
  <c r="Q125" i="17" s="1"/>
  <c r="Q124" i="17" a="1"/>
  <c r="Q124" i="17" s="1"/>
  <c r="Q123" i="17" a="1"/>
  <c r="Q123" i="17" s="1"/>
  <c r="Q122" i="17" a="1"/>
  <c r="Q122" i="17" s="1"/>
  <c r="Q121" i="17" a="1"/>
  <c r="Q121" i="17" s="1"/>
  <c r="Q120" i="17" a="1"/>
  <c r="Q120" i="17" s="1"/>
  <c r="Q119" i="17" a="1"/>
  <c r="Q119" i="17" s="1"/>
  <c r="Q118" i="17" a="1"/>
  <c r="Q118" i="17" s="1"/>
  <c r="Q117" i="17" a="1"/>
  <c r="Q117" i="17" s="1"/>
  <c r="Q116" i="17" a="1"/>
  <c r="Q116" i="17" s="1"/>
  <c r="Q115" i="17" a="1"/>
  <c r="Q115" i="17" s="1"/>
  <c r="Q114" i="17" a="1"/>
  <c r="Q114" i="17" s="1"/>
  <c r="Q113" i="17" a="1"/>
  <c r="Q113" i="17" s="1"/>
  <c r="Q112" i="17" a="1"/>
  <c r="Q112" i="17" s="1"/>
  <c r="Q111" i="17" a="1"/>
  <c r="Q111" i="17" s="1"/>
  <c r="Q110" i="17" a="1"/>
  <c r="Q110" i="17" s="1"/>
  <c r="Q109" i="17" a="1"/>
  <c r="Q109" i="17" s="1"/>
  <c r="Q108" i="17" a="1"/>
  <c r="Q108" i="17" s="1"/>
  <c r="Q107" i="17" a="1"/>
  <c r="Q107" i="17" s="1"/>
  <c r="Q106" i="17" a="1"/>
  <c r="Q106" i="17" s="1"/>
  <c r="Q105" i="17" a="1"/>
  <c r="Q105" i="17" s="1"/>
  <c r="Q104" i="17" a="1"/>
  <c r="Q104" i="17" s="1"/>
  <c r="Q103" i="17" a="1"/>
  <c r="Q103" i="17" s="1"/>
  <c r="Q102" i="17" a="1"/>
  <c r="Q102" i="17" s="1"/>
  <c r="Q101" i="17" a="1"/>
  <c r="Q101" i="17" s="1"/>
  <c r="Q100" i="17" a="1"/>
  <c r="Q100" i="17" s="1"/>
  <c r="Q99" i="17" a="1"/>
  <c r="Q99" i="17" s="1"/>
  <c r="Q98" i="17" a="1"/>
  <c r="Q98" i="17" s="1"/>
  <c r="Q97" i="17" a="1"/>
  <c r="Q97" i="17" s="1"/>
  <c r="Q96" i="17" a="1"/>
  <c r="Q96" i="17" s="1"/>
  <c r="Q95" i="17" a="1"/>
  <c r="Q95" i="17" s="1"/>
  <c r="Q94" i="17" a="1"/>
  <c r="Q94" i="17" s="1"/>
  <c r="Q93" i="17" a="1"/>
  <c r="Q93" i="17" s="1"/>
  <c r="Q92" i="17" a="1"/>
  <c r="Q92" i="17" s="1"/>
  <c r="Q91" i="17" a="1"/>
  <c r="Q91" i="17" s="1"/>
  <c r="Q90" i="17" a="1"/>
  <c r="Q90" i="17" s="1"/>
  <c r="Q89" i="17" a="1"/>
  <c r="Q89" i="17" s="1"/>
  <c r="Q88" i="17" a="1"/>
  <c r="Q88" i="17" s="1"/>
  <c r="Q87" i="17" a="1"/>
  <c r="Q87" i="17" s="1"/>
  <c r="Q86" i="17" a="1"/>
  <c r="Q86" i="17" s="1"/>
  <c r="Q85" i="17" a="1"/>
  <c r="Q85" i="17" s="1"/>
  <c r="Q84" i="17" a="1"/>
  <c r="Q84" i="17" s="1"/>
  <c r="Q83" i="17" a="1"/>
  <c r="Q83" i="17" s="1"/>
  <c r="Q82" i="17" a="1"/>
  <c r="Q82" i="17" s="1"/>
  <c r="Q81" i="17" a="1"/>
  <c r="Q81" i="17" s="1"/>
  <c r="Q80" i="17" a="1"/>
  <c r="Q80" i="17" s="1"/>
  <c r="Q79" i="17" a="1"/>
  <c r="Q79" i="17" s="1"/>
  <c r="Q78" i="17" a="1"/>
  <c r="Q78" i="17" s="1"/>
  <c r="P78" i="17" a="1"/>
  <c r="P78" i="17" s="1"/>
  <c r="Q77" i="17" a="1"/>
  <c r="Q77" i="17" s="1"/>
  <c r="Q76" i="17" a="1"/>
  <c r="Q76" i="17" s="1"/>
  <c r="Q75" i="17" a="1"/>
  <c r="Q75" i="17" s="1"/>
  <c r="Q74" i="17" a="1"/>
  <c r="Q74" i="17" s="1"/>
  <c r="Q73" i="17" a="1"/>
  <c r="Q73" i="17" s="1"/>
  <c r="Q72" i="17" a="1"/>
  <c r="Q72" i="17" s="1"/>
  <c r="Q71" i="17" a="1"/>
  <c r="Q71" i="17" s="1"/>
  <c r="Q70" i="17" a="1"/>
  <c r="Q70" i="17" s="1"/>
  <c r="Q69" i="17" a="1"/>
  <c r="Q69" i="17" s="1"/>
  <c r="Q68" i="17" a="1"/>
  <c r="Q68" i="17" s="1"/>
  <c r="Q67" i="17" a="1"/>
  <c r="Q67" i="17" s="1"/>
  <c r="Q66" i="17" a="1"/>
  <c r="Q66" i="17" s="1"/>
  <c r="Q65" i="17" a="1"/>
  <c r="Q65" i="17" s="1"/>
  <c r="Q64" i="17" a="1"/>
  <c r="Q64" i="17" s="1"/>
  <c r="Q63" i="17" a="1"/>
  <c r="Q63" i="17" s="1"/>
  <c r="Q62" i="17" a="1"/>
  <c r="Q62" i="17" s="1"/>
  <c r="P62" i="17" a="1"/>
  <c r="P62" i="17" s="1"/>
  <c r="Q61" i="17" a="1"/>
  <c r="Q61" i="17" s="1"/>
  <c r="Q60" i="17" a="1"/>
  <c r="Q60" i="17" s="1"/>
  <c r="Q59" i="17" a="1"/>
  <c r="Q59" i="17" s="1"/>
  <c r="Q58" i="17" a="1"/>
  <c r="Q58" i="17" s="1"/>
  <c r="Q57" i="17" a="1"/>
  <c r="Q57" i="17" s="1"/>
  <c r="Q56" i="17" a="1"/>
  <c r="Q56" i="17" s="1"/>
  <c r="Q55" i="17" a="1"/>
  <c r="Q55" i="17" s="1"/>
  <c r="Q54" i="17" a="1"/>
  <c r="Q54" i="17" s="1"/>
  <c r="Q53" i="17" a="1"/>
  <c r="Q53" i="17" s="1"/>
  <c r="Q52" i="17" a="1"/>
  <c r="Q52" i="17" s="1"/>
  <c r="Q51" i="17" a="1"/>
  <c r="Q51" i="17" s="1"/>
  <c r="Q50" i="17" a="1"/>
  <c r="Q50" i="17" s="1"/>
  <c r="Q49" i="17" a="1"/>
  <c r="Q49" i="17" s="1"/>
  <c r="Q48" i="17" a="1"/>
  <c r="Q48" i="17" s="1"/>
  <c r="Q47" i="17" a="1"/>
  <c r="Q47" i="17" s="1"/>
  <c r="Q46" i="17" a="1"/>
  <c r="Q46" i="17" s="1"/>
  <c r="P46" i="17" a="1"/>
  <c r="P46" i="17" s="1"/>
  <c r="Q45" i="17" a="1"/>
  <c r="Q45" i="17" s="1"/>
  <c r="Q44" i="17" a="1"/>
  <c r="Q44" i="17" s="1"/>
  <c r="Q43" i="17" a="1"/>
  <c r="Q43" i="17" s="1"/>
  <c r="Q42" i="17" a="1"/>
  <c r="Q42" i="17" s="1"/>
  <c r="Q41" i="17" a="1"/>
  <c r="Q41" i="17" s="1"/>
  <c r="Q40" i="17" a="1"/>
  <c r="Q40" i="17" s="1"/>
  <c r="Q39" i="17" a="1"/>
  <c r="Q39" i="17" s="1"/>
  <c r="Q38" i="17" a="1"/>
  <c r="Q38" i="17" s="1"/>
  <c r="Q37" i="17" a="1"/>
  <c r="Q37" i="17" s="1"/>
  <c r="Q36" i="17" a="1"/>
  <c r="Q36" i="17" s="1"/>
  <c r="Q35" i="17" a="1"/>
  <c r="Q35" i="17" s="1"/>
  <c r="Q34" i="17" a="1"/>
  <c r="Q34" i="17" s="1"/>
  <c r="Q33" i="17" a="1"/>
  <c r="Q33" i="17" s="1"/>
  <c r="Q32" i="17" a="1"/>
  <c r="Q32" i="17" s="1"/>
  <c r="Q31" i="17" a="1"/>
  <c r="Q31" i="17" s="1"/>
  <c r="Q30" i="17" a="1"/>
  <c r="Q30" i="17" s="1"/>
  <c r="Q29" i="17" a="1"/>
  <c r="Q29" i="17" s="1"/>
  <c r="Q28" i="17" a="1"/>
  <c r="Q28" i="17" s="1"/>
  <c r="Q27" i="17" a="1"/>
  <c r="Q27" i="17" s="1"/>
  <c r="Q26" i="17" a="1"/>
  <c r="Q26" i="17" s="1"/>
  <c r="Q25" i="17" a="1"/>
  <c r="Q25" i="17" s="1"/>
  <c r="Q24" i="17" a="1"/>
  <c r="Q24" i="17" s="1"/>
  <c r="Q23" i="17" a="1"/>
  <c r="Q23" i="17" s="1"/>
  <c r="Q22" i="17" a="1"/>
  <c r="Q22" i="17" s="1"/>
  <c r="P22" i="17" a="1"/>
  <c r="P22" i="17" s="1"/>
  <c r="Q21" i="17" a="1"/>
  <c r="Q21" i="17" s="1"/>
  <c r="Q20" i="17" a="1"/>
  <c r="Q20" i="17" s="1"/>
  <c r="Q19" i="17" a="1"/>
  <c r="Q19" i="17" s="1"/>
  <c r="Q18" i="17" a="1"/>
  <c r="Q18" i="17" s="1"/>
  <c r="P18" i="17" a="1"/>
  <c r="P18" i="17" s="1"/>
  <c r="Q17" i="17" a="1"/>
  <c r="Q17" i="17" s="1"/>
  <c r="Q16" i="17" a="1"/>
  <c r="Q16" i="17" s="1"/>
  <c r="Q15" i="17" a="1"/>
  <c r="Q15" i="17" s="1"/>
  <c r="Q14" i="17" a="1"/>
  <c r="Q14" i="17" s="1"/>
  <c r="P14" i="17" a="1"/>
  <c r="P14" i="17" s="1"/>
  <c r="Q13" i="17" a="1"/>
  <c r="Q13" i="17" s="1"/>
  <c r="Q12" i="17" a="1"/>
  <c r="Q12" i="17" s="1"/>
  <c r="Q11" i="17" a="1"/>
  <c r="Q11" i="17" s="1"/>
  <c r="Q10" i="17" a="1"/>
  <c r="Q10" i="17" s="1"/>
  <c r="P10" i="17" a="1"/>
  <c r="P10" i="17" s="1"/>
  <c r="Q9" i="17" a="1"/>
  <c r="Q9" i="17" s="1"/>
  <c r="Q8" i="17" a="1"/>
  <c r="Q8" i="17" s="1"/>
  <c r="Q7" i="17" a="1"/>
  <c r="Q7" i="17" s="1"/>
  <c r="Q6" i="17" a="1"/>
  <c r="Q6" i="17" s="1"/>
  <c r="P6" i="17" a="1"/>
  <c r="P6" i="17" s="1"/>
  <c r="Q187" i="17" a="1"/>
  <c r="Q187" i="17" s="1"/>
  <c r="P204" i="17" a="1"/>
  <c r="P204" i="17" s="1"/>
  <c r="O129" i="17" a="1"/>
  <c r="O129" i="17" s="1"/>
  <c r="O33" i="17" a="1"/>
  <c r="O33" i="17" s="1"/>
  <c r="O25" i="17" a="1"/>
  <c r="O25" i="17" s="1"/>
  <c r="O18" i="17" a="1"/>
  <c r="O18" i="17" s="1"/>
  <c r="O14" i="17" a="1"/>
  <c r="O14" i="17" s="1"/>
  <c r="O10" i="17" a="1"/>
  <c r="O10" i="17" s="1"/>
  <c r="O6" i="17" a="1"/>
  <c r="O6" i="17" s="1"/>
  <c r="O1" i="17"/>
  <c r="O351" i="17" s="1" a="1"/>
  <c r="O351" i="17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AB52" i="2"/>
  <c r="AB48" i="2"/>
  <c r="AB44" i="2"/>
  <c r="AB40" i="2"/>
  <c r="Z52" i="2"/>
  <c r="Z51" i="2"/>
  <c r="Z5" i="2"/>
  <c r="AA5" i="2"/>
  <c r="Z6" i="2"/>
  <c r="AA6" i="2"/>
  <c r="Z7" i="2"/>
  <c r="AA7" i="2"/>
  <c r="Z8" i="2"/>
  <c r="AA8" i="2"/>
  <c r="Z9" i="2"/>
  <c r="AA9" i="2"/>
  <c r="Z10" i="2"/>
  <c r="AA10" i="2"/>
  <c r="Z11" i="2"/>
  <c r="AA11" i="2"/>
  <c r="Z12" i="2"/>
  <c r="AA12" i="2"/>
  <c r="Z13" i="2"/>
  <c r="AA13" i="2"/>
  <c r="Z14" i="2"/>
  <c r="AA14" i="2"/>
  <c r="Z15" i="2"/>
  <c r="AA15" i="2"/>
  <c r="Z16" i="2"/>
  <c r="AA16" i="2"/>
  <c r="Z17" i="2"/>
  <c r="AA17" i="2"/>
  <c r="Z18" i="2"/>
  <c r="AA18" i="2"/>
  <c r="Z19" i="2"/>
  <c r="AA19" i="2"/>
  <c r="Z20" i="2"/>
  <c r="AA20" i="2"/>
  <c r="Z21" i="2"/>
  <c r="AA21" i="2"/>
  <c r="Z22" i="2"/>
  <c r="AA22" i="2"/>
  <c r="Z23" i="2"/>
  <c r="AA23" i="2"/>
  <c r="Z24" i="2"/>
  <c r="AA24" i="2"/>
  <c r="Z25" i="2"/>
  <c r="AA25" i="2"/>
  <c r="Z26" i="2"/>
  <c r="AA26" i="2"/>
  <c r="Z27" i="2"/>
  <c r="AA27" i="2"/>
  <c r="Z28" i="2"/>
  <c r="AA28" i="2"/>
  <c r="Z29" i="2"/>
  <c r="AA29" i="2"/>
  <c r="Z30" i="2"/>
  <c r="AA30" i="2"/>
  <c r="Z31" i="2"/>
  <c r="AA31" i="2"/>
  <c r="Z32" i="2"/>
  <c r="AA32" i="2"/>
  <c r="Z33" i="2"/>
  <c r="AA33" i="2"/>
  <c r="Z34" i="2"/>
  <c r="AA34" i="2"/>
  <c r="Z35" i="2"/>
  <c r="AA35" i="2"/>
  <c r="Z36" i="2"/>
  <c r="AA36" i="2"/>
  <c r="Z37" i="2"/>
  <c r="AA37" i="2"/>
  <c r="Z38" i="2"/>
  <c r="AA38" i="2"/>
  <c r="Z39" i="2"/>
  <c r="AA39" i="2"/>
  <c r="Z40" i="2"/>
  <c r="AA40" i="2"/>
  <c r="Z41" i="2"/>
  <c r="AA41" i="2"/>
  <c r="Z42" i="2"/>
  <c r="AA42" i="2"/>
  <c r="Z43" i="2"/>
  <c r="AA43" i="2"/>
  <c r="Z44" i="2"/>
  <c r="AA44" i="2"/>
  <c r="Z45" i="2"/>
  <c r="AA45" i="2"/>
  <c r="Z46" i="2"/>
  <c r="AA46" i="2"/>
  <c r="Z47" i="2"/>
  <c r="AA47" i="2"/>
  <c r="Z48" i="2"/>
  <c r="AA48" i="2"/>
  <c r="Z49" i="2"/>
  <c r="AA49" i="2"/>
  <c r="Z50" i="2"/>
  <c r="AA50" i="2"/>
  <c r="AA4" i="2"/>
  <c r="Z4" i="2"/>
  <c r="P7" i="17" l="1" a="1"/>
  <c r="P7" i="17" s="1"/>
  <c r="P15" i="17" a="1"/>
  <c r="P15" i="17" s="1"/>
  <c r="P23" i="17" a="1"/>
  <c r="P23" i="17" s="1"/>
  <c r="P31" i="17" a="1"/>
  <c r="P31" i="17" s="1"/>
  <c r="P52" i="17" a="1"/>
  <c r="P52" i="17" s="1"/>
  <c r="P68" i="17" a="1"/>
  <c r="P68" i="17" s="1"/>
  <c r="P84" i="17" a="1"/>
  <c r="P84" i="17" s="1"/>
  <c r="P196" i="17" a="1"/>
  <c r="P196" i="17" s="1"/>
  <c r="P11" i="17" a="1"/>
  <c r="P11" i="17" s="1"/>
  <c r="P19" i="17" a="1"/>
  <c r="P19" i="17" s="1"/>
  <c r="P27" i="17" a="1"/>
  <c r="P27" i="17" s="1"/>
  <c r="P36" i="17" a="1"/>
  <c r="P36" i="17" s="1"/>
  <c r="P42" i="17" a="1"/>
  <c r="P42" i="17" s="1"/>
  <c r="P58" i="17" a="1"/>
  <c r="P58" i="17" s="1"/>
  <c r="P74" i="17" a="1"/>
  <c r="P74" i="17" s="1"/>
  <c r="P200" i="17" a="1"/>
  <c r="P200" i="17" s="1"/>
  <c r="P8" i="17" a="1"/>
  <c r="P8" i="17" s="1"/>
  <c r="P16" i="17" a="1"/>
  <c r="P16" i="17" s="1"/>
  <c r="P24" i="17" a="1"/>
  <c r="P24" i="17" s="1"/>
  <c r="P32" i="17" a="1"/>
  <c r="P32" i="17" s="1"/>
  <c r="P64" i="17" a="1"/>
  <c r="P64" i="17" s="1"/>
  <c r="P80" i="17" a="1"/>
  <c r="P80" i="17" s="1"/>
  <c r="P12" i="17" a="1"/>
  <c r="P12" i="17" s="1"/>
  <c r="P20" i="17" a="1"/>
  <c r="P20" i="17" s="1"/>
  <c r="P28" i="17" a="1"/>
  <c r="P28" i="17" s="1"/>
  <c r="P48" i="17" a="1"/>
  <c r="P48" i="17" s="1"/>
  <c r="P38" i="17" a="1"/>
  <c r="P38" i="17" s="1"/>
  <c r="P54" i="17" a="1"/>
  <c r="P54" i="17" s="1"/>
  <c r="P70" i="17" a="1"/>
  <c r="P70" i="17" s="1"/>
  <c r="P86" i="17" a="1"/>
  <c r="P86" i="17" s="1"/>
  <c r="P358" i="17" a="1"/>
  <c r="P358" i="17" s="1"/>
  <c r="P356" i="17" a="1"/>
  <c r="P356" i="17" s="1"/>
  <c r="P357" i="17" a="1"/>
  <c r="P357" i="17" s="1"/>
  <c r="P162" i="17" a="1"/>
  <c r="P162" i="17" s="1"/>
  <c r="P158" i="17" a="1"/>
  <c r="P158" i="17" s="1"/>
  <c r="P154" i="17" a="1"/>
  <c r="P154" i="17" s="1"/>
  <c r="P150" i="17" a="1"/>
  <c r="P150" i="17" s="1"/>
  <c r="P146" i="17" a="1"/>
  <c r="P146" i="17" s="1"/>
  <c r="P142" i="17" a="1"/>
  <c r="P142" i="17" s="1"/>
  <c r="P138" i="17" a="1"/>
  <c r="P138" i="17" s="1"/>
  <c r="P134" i="17" a="1"/>
  <c r="P134" i="17" s="1"/>
  <c r="P130" i="17" a="1"/>
  <c r="P130" i="17" s="1"/>
  <c r="P126" i="17" a="1"/>
  <c r="P126" i="17" s="1"/>
  <c r="P122" i="17" a="1"/>
  <c r="P122" i="17" s="1"/>
  <c r="P118" i="17" a="1"/>
  <c r="P118" i="17" s="1"/>
  <c r="P114" i="17" a="1"/>
  <c r="P114" i="17" s="1"/>
  <c r="P110" i="17" a="1"/>
  <c r="P110" i="17" s="1"/>
  <c r="P106" i="17" a="1"/>
  <c r="P106" i="17" s="1"/>
  <c r="P102" i="17" a="1"/>
  <c r="P102" i="17" s="1"/>
  <c r="P94" i="17" a="1"/>
  <c r="P94" i="17" s="1"/>
  <c r="P90" i="17" a="1"/>
  <c r="P90" i="17" s="1"/>
  <c r="P355" i="17" a="1"/>
  <c r="P355" i="17" s="1"/>
  <c r="P351" i="17" a="1"/>
  <c r="P351" i="17" s="1"/>
  <c r="P347" i="17" a="1"/>
  <c r="P347" i="17" s="1"/>
  <c r="P343" i="17" a="1"/>
  <c r="P343" i="17" s="1"/>
  <c r="P339" i="17" a="1"/>
  <c r="P339" i="17" s="1"/>
  <c r="P335" i="17" a="1"/>
  <c r="P335" i="17" s="1"/>
  <c r="P331" i="17" a="1"/>
  <c r="P331" i="17" s="1"/>
  <c r="P327" i="17" a="1"/>
  <c r="P327" i="17" s="1"/>
  <c r="P323" i="17" a="1"/>
  <c r="P323" i="17" s="1"/>
  <c r="P319" i="17" a="1"/>
  <c r="P319" i="17" s="1"/>
  <c r="P315" i="17" a="1"/>
  <c r="P315" i="17" s="1"/>
  <c r="P311" i="17" a="1"/>
  <c r="P311" i="17" s="1"/>
  <c r="P307" i="17" a="1"/>
  <c r="P307" i="17" s="1"/>
  <c r="P303" i="17" a="1"/>
  <c r="P303" i="17" s="1"/>
  <c r="P299" i="17" a="1"/>
  <c r="P299" i="17" s="1"/>
  <c r="P295" i="17" a="1"/>
  <c r="P295" i="17" s="1"/>
  <c r="P291" i="17" a="1"/>
  <c r="P291" i="17" s="1"/>
  <c r="P287" i="17" a="1"/>
  <c r="P287" i="17" s="1"/>
  <c r="P283" i="17" a="1"/>
  <c r="P283" i="17" s="1"/>
  <c r="P279" i="17" a="1"/>
  <c r="P279" i="17" s="1"/>
  <c r="P275" i="17" a="1"/>
  <c r="P275" i="17" s="1"/>
  <c r="P271" i="17" a="1"/>
  <c r="P271" i="17" s="1"/>
  <c r="P267" i="17" a="1"/>
  <c r="P267" i="17" s="1"/>
  <c r="P263" i="17" a="1"/>
  <c r="P263" i="17" s="1"/>
  <c r="P259" i="17" a="1"/>
  <c r="P259" i="17" s="1"/>
  <c r="P255" i="17" a="1"/>
  <c r="P255" i="17" s="1"/>
  <c r="P251" i="17" a="1"/>
  <c r="P251" i="17" s="1"/>
  <c r="P247" i="17" a="1"/>
  <c r="P247" i="17" s="1"/>
  <c r="P243" i="17" a="1"/>
  <c r="P243" i="17" s="1"/>
  <c r="P239" i="17" a="1"/>
  <c r="P239" i="17" s="1"/>
  <c r="P235" i="17" a="1"/>
  <c r="P235" i="17" s="1"/>
  <c r="P231" i="17" a="1"/>
  <c r="P231" i="17" s="1"/>
  <c r="P227" i="17" a="1"/>
  <c r="P227" i="17" s="1"/>
  <c r="P223" i="17" a="1"/>
  <c r="P223" i="17" s="1"/>
  <c r="P219" i="17" a="1"/>
  <c r="P219" i="17" s="1"/>
  <c r="P215" i="17" a="1"/>
  <c r="P215" i="17" s="1"/>
  <c r="P211" i="17" a="1"/>
  <c r="P211" i="17" s="1"/>
  <c r="P207" i="17" a="1"/>
  <c r="P207" i="17" s="1"/>
  <c r="P203" i="17" a="1"/>
  <c r="P203" i="17" s="1"/>
  <c r="P199" i="17" a="1"/>
  <c r="P199" i="17" s="1"/>
  <c r="P195" i="17" a="1"/>
  <c r="P195" i="17" s="1"/>
  <c r="P191" i="17" a="1"/>
  <c r="P191" i="17" s="1"/>
  <c r="P188" i="17" a="1"/>
  <c r="P188" i="17" s="1"/>
  <c r="P186" i="17" a="1"/>
  <c r="P186" i="17" s="1"/>
  <c r="P184" i="17" a="1"/>
  <c r="P184" i="17" s="1"/>
  <c r="P182" i="17" a="1"/>
  <c r="P182" i="17" s="1"/>
  <c r="P180" i="17" a="1"/>
  <c r="P180" i="17" s="1"/>
  <c r="P178" i="17" a="1"/>
  <c r="P178" i="17" s="1"/>
  <c r="P176" i="17" a="1"/>
  <c r="P176" i="17" s="1"/>
  <c r="P174" i="17" a="1"/>
  <c r="P174" i="17" s="1"/>
  <c r="P172" i="17" a="1"/>
  <c r="P172" i="17" s="1"/>
  <c r="P170" i="17" a="1"/>
  <c r="P170" i="17" s="1"/>
  <c r="P168" i="17" a="1"/>
  <c r="P168" i="17" s="1"/>
  <c r="P166" i="17" a="1"/>
  <c r="P166" i="17" s="1"/>
  <c r="P164" i="17" a="1"/>
  <c r="P164" i="17" s="1"/>
  <c r="P160" i="17" a="1"/>
  <c r="P160" i="17" s="1"/>
  <c r="P156" i="17" a="1"/>
  <c r="P156" i="17" s="1"/>
  <c r="P152" i="17" a="1"/>
  <c r="P152" i="17" s="1"/>
  <c r="P148" i="17" a="1"/>
  <c r="P148" i="17" s="1"/>
  <c r="P144" i="17" a="1"/>
  <c r="P144" i="17" s="1"/>
  <c r="P140" i="17" a="1"/>
  <c r="P140" i="17" s="1"/>
  <c r="P136" i="17" a="1"/>
  <c r="P136" i="17" s="1"/>
  <c r="P132" i="17" a="1"/>
  <c r="P132" i="17" s="1"/>
  <c r="P128" i="17" a="1"/>
  <c r="P128" i="17" s="1"/>
  <c r="P124" i="17" a="1"/>
  <c r="P124" i="17" s="1"/>
  <c r="P120" i="17" a="1"/>
  <c r="P120" i="17" s="1"/>
  <c r="P116" i="17" a="1"/>
  <c r="P116" i="17" s="1"/>
  <c r="P112" i="17" a="1"/>
  <c r="P112" i="17" s="1"/>
  <c r="P108" i="17" a="1"/>
  <c r="P108" i="17" s="1"/>
  <c r="P104" i="17" a="1"/>
  <c r="P104" i="17" s="1"/>
  <c r="P100" i="17" a="1"/>
  <c r="P100" i="17" s="1"/>
  <c r="P98" i="17" a="1"/>
  <c r="P98" i="17" s="1"/>
  <c r="P96" i="17" a="1"/>
  <c r="P96" i="17" s="1"/>
  <c r="P92" i="17" a="1"/>
  <c r="P92" i="17" s="1"/>
  <c r="P88" i="17" a="1"/>
  <c r="P88" i="17" s="1"/>
  <c r="P354" i="17" a="1"/>
  <c r="P354" i="17" s="1"/>
  <c r="P350" i="17" a="1"/>
  <c r="P350" i="17" s="1"/>
  <c r="P346" i="17" a="1"/>
  <c r="P346" i="17" s="1"/>
  <c r="P342" i="17" a="1"/>
  <c r="P342" i="17" s="1"/>
  <c r="P338" i="17" a="1"/>
  <c r="P338" i="17" s="1"/>
  <c r="P334" i="17" a="1"/>
  <c r="P334" i="17" s="1"/>
  <c r="P330" i="17" a="1"/>
  <c r="P330" i="17" s="1"/>
  <c r="P326" i="17" a="1"/>
  <c r="P326" i="17" s="1"/>
  <c r="P322" i="17" a="1"/>
  <c r="P322" i="17" s="1"/>
  <c r="P318" i="17" a="1"/>
  <c r="P318" i="17" s="1"/>
  <c r="P314" i="17" a="1"/>
  <c r="P314" i="17" s="1"/>
  <c r="P310" i="17" a="1"/>
  <c r="P310" i="17" s="1"/>
  <c r="P306" i="17" a="1"/>
  <c r="P306" i="17" s="1"/>
  <c r="P302" i="17" a="1"/>
  <c r="P302" i="17" s="1"/>
  <c r="P298" i="17" a="1"/>
  <c r="P298" i="17" s="1"/>
  <c r="P294" i="17" a="1"/>
  <c r="P294" i="17" s="1"/>
  <c r="P290" i="17" a="1"/>
  <c r="P290" i="17" s="1"/>
  <c r="P286" i="17" a="1"/>
  <c r="P286" i="17" s="1"/>
  <c r="P282" i="17" a="1"/>
  <c r="P282" i="17" s="1"/>
  <c r="P278" i="17" a="1"/>
  <c r="P278" i="17" s="1"/>
  <c r="P274" i="17" a="1"/>
  <c r="P274" i="17" s="1"/>
  <c r="P270" i="17" a="1"/>
  <c r="P270" i="17" s="1"/>
  <c r="P266" i="17" a="1"/>
  <c r="P266" i="17" s="1"/>
  <c r="P262" i="17" a="1"/>
  <c r="P262" i="17" s="1"/>
  <c r="P258" i="17" a="1"/>
  <c r="P258" i="17" s="1"/>
  <c r="P254" i="17" a="1"/>
  <c r="P254" i="17" s="1"/>
  <c r="P250" i="17" a="1"/>
  <c r="P250" i="17" s="1"/>
  <c r="P246" i="17" a="1"/>
  <c r="P246" i="17" s="1"/>
  <c r="P242" i="17" a="1"/>
  <c r="P242" i="17" s="1"/>
  <c r="P238" i="17" a="1"/>
  <c r="P238" i="17" s="1"/>
  <c r="P234" i="17" a="1"/>
  <c r="P234" i="17" s="1"/>
  <c r="P230" i="17" a="1"/>
  <c r="P230" i="17" s="1"/>
  <c r="P226" i="17" a="1"/>
  <c r="P226" i="17" s="1"/>
  <c r="P222" i="17" a="1"/>
  <c r="P222" i="17" s="1"/>
  <c r="P218" i="17" a="1"/>
  <c r="P218" i="17" s="1"/>
  <c r="P214" i="17" a="1"/>
  <c r="P214" i="17" s="1"/>
  <c r="P210" i="17" a="1"/>
  <c r="P210" i="17" s="1"/>
  <c r="P206" i="17" a="1"/>
  <c r="P206" i="17" s="1"/>
  <c r="P202" i="17" a="1"/>
  <c r="P202" i="17" s="1"/>
  <c r="P198" i="17" a="1"/>
  <c r="P198" i="17" s="1"/>
  <c r="P194" i="17" a="1"/>
  <c r="P194" i="17" s="1"/>
  <c r="P190" i="17" a="1"/>
  <c r="P190" i="17" s="1"/>
  <c r="P177" i="17" a="1"/>
  <c r="P177" i="17" s="1"/>
  <c r="P171" i="17" a="1"/>
  <c r="P171" i="17" s="1"/>
  <c r="P167" i="17" a="1"/>
  <c r="P167" i="17" s="1"/>
  <c r="P163" i="17" a="1"/>
  <c r="P163" i="17" s="1"/>
  <c r="P159" i="17" a="1"/>
  <c r="P159" i="17" s="1"/>
  <c r="P155" i="17" a="1"/>
  <c r="P155" i="17" s="1"/>
  <c r="P151" i="17" a="1"/>
  <c r="P151" i="17" s="1"/>
  <c r="P147" i="17" a="1"/>
  <c r="P147" i="17" s="1"/>
  <c r="P143" i="17" a="1"/>
  <c r="P143" i="17" s="1"/>
  <c r="P139" i="17" a="1"/>
  <c r="P139" i="17" s="1"/>
  <c r="P135" i="17" a="1"/>
  <c r="P135" i="17" s="1"/>
  <c r="P131" i="17" a="1"/>
  <c r="P131" i="17" s="1"/>
  <c r="P127" i="17" a="1"/>
  <c r="P127" i="17" s="1"/>
  <c r="P123" i="17" a="1"/>
  <c r="P123" i="17" s="1"/>
  <c r="P119" i="17" a="1"/>
  <c r="P119" i="17" s="1"/>
  <c r="P115" i="17" a="1"/>
  <c r="P115" i="17" s="1"/>
  <c r="P111" i="17" a="1"/>
  <c r="P111" i="17" s="1"/>
  <c r="P107" i="17" a="1"/>
  <c r="P107" i="17" s="1"/>
  <c r="P103" i="17" a="1"/>
  <c r="P103" i="17" s="1"/>
  <c r="P99" i="17" a="1"/>
  <c r="P99" i="17" s="1"/>
  <c r="P95" i="17" a="1"/>
  <c r="P95" i="17" s="1"/>
  <c r="P91" i="17" a="1"/>
  <c r="P91" i="17" s="1"/>
  <c r="P87" i="17" a="1"/>
  <c r="P87" i="17" s="1"/>
  <c r="P83" i="17" a="1"/>
  <c r="P83" i="17" s="1"/>
  <c r="P79" i="17" a="1"/>
  <c r="P79" i="17" s="1"/>
  <c r="P75" i="17" a="1"/>
  <c r="P75" i="17" s="1"/>
  <c r="P71" i="17" a="1"/>
  <c r="P71" i="17" s="1"/>
  <c r="P67" i="17" a="1"/>
  <c r="P67" i="17" s="1"/>
  <c r="P63" i="17" a="1"/>
  <c r="P63" i="17" s="1"/>
  <c r="P59" i="17" a="1"/>
  <c r="P59" i="17" s="1"/>
  <c r="P55" i="17" a="1"/>
  <c r="P55" i="17" s="1"/>
  <c r="P51" i="17" a="1"/>
  <c r="P51" i="17" s="1"/>
  <c r="P47" i="17" a="1"/>
  <c r="P47" i="17" s="1"/>
  <c r="P43" i="17" a="1"/>
  <c r="P43" i="17" s="1"/>
  <c r="P41" i="17" a="1"/>
  <c r="P41" i="17" s="1"/>
  <c r="P37" i="17" a="1"/>
  <c r="P37" i="17" s="1"/>
  <c r="P33" i="17" a="1"/>
  <c r="P33" i="17" s="1"/>
  <c r="P353" i="17" a="1"/>
  <c r="P353" i="17" s="1"/>
  <c r="P349" i="17" a="1"/>
  <c r="P349" i="17" s="1"/>
  <c r="P345" i="17" a="1"/>
  <c r="P345" i="17" s="1"/>
  <c r="P341" i="17" a="1"/>
  <c r="P341" i="17" s="1"/>
  <c r="P337" i="17" a="1"/>
  <c r="P337" i="17" s="1"/>
  <c r="P333" i="17" a="1"/>
  <c r="P333" i="17" s="1"/>
  <c r="P329" i="17" a="1"/>
  <c r="P329" i="17" s="1"/>
  <c r="P325" i="17" a="1"/>
  <c r="P325" i="17" s="1"/>
  <c r="P321" i="17" a="1"/>
  <c r="P321" i="17" s="1"/>
  <c r="P317" i="17" a="1"/>
  <c r="P317" i="17" s="1"/>
  <c r="P313" i="17" a="1"/>
  <c r="P313" i="17" s="1"/>
  <c r="P309" i="17" a="1"/>
  <c r="P309" i="17" s="1"/>
  <c r="P305" i="17" a="1"/>
  <c r="P305" i="17" s="1"/>
  <c r="P301" i="17" a="1"/>
  <c r="P301" i="17" s="1"/>
  <c r="P297" i="17" a="1"/>
  <c r="P297" i="17" s="1"/>
  <c r="P293" i="17" a="1"/>
  <c r="P293" i="17" s="1"/>
  <c r="P289" i="17" a="1"/>
  <c r="P289" i="17" s="1"/>
  <c r="P285" i="17" a="1"/>
  <c r="P285" i="17" s="1"/>
  <c r="P281" i="17" a="1"/>
  <c r="P281" i="17" s="1"/>
  <c r="P277" i="17" a="1"/>
  <c r="P277" i="17" s="1"/>
  <c r="P273" i="17" a="1"/>
  <c r="P273" i="17" s="1"/>
  <c r="P269" i="17" a="1"/>
  <c r="P269" i="17" s="1"/>
  <c r="P265" i="17" a="1"/>
  <c r="P265" i="17" s="1"/>
  <c r="P261" i="17" a="1"/>
  <c r="P261" i="17" s="1"/>
  <c r="P257" i="17" a="1"/>
  <c r="P257" i="17" s="1"/>
  <c r="P253" i="17" a="1"/>
  <c r="P253" i="17" s="1"/>
  <c r="P249" i="17" a="1"/>
  <c r="P249" i="17" s="1"/>
  <c r="P245" i="17" a="1"/>
  <c r="P245" i="17" s="1"/>
  <c r="P241" i="17" a="1"/>
  <c r="P241" i="17" s="1"/>
  <c r="P237" i="17" a="1"/>
  <c r="P237" i="17" s="1"/>
  <c r="P233" i="17" a="1"/>
  <c r="P233" i="17" s="1"/>
  <c r="P229" i="17" a="1"/>
  <c r="P229" i="17" s="1"/>
  <c r="P225" i="17" a="1"/>
  <c r="P225" i="17" s="1"/>
  <c r="P221" i="17" a="1"/>
  <c r="P221" i="17" s="1"/>
  <c r="P217" i="17" a="1"/>
  <c r="P217" i="17" s="1"/>
  <c r="P213" i="17" a="1"/>
  <c r="P213" i="17" s="1"/>
  <c r="P209" i="17" a="1"/>
  <c r="P209" i="17" s="1"/>
  <c r="P205" i="17" a="1"/>
  <c r="P205" i="17" s="1"/>
  <c r="P201" i="17" a="1"/>
  <c r="P201" i="17" s="1"/>
  <c r="P197" i="17" a="1"/>
  <c r="P197" i="17" s="1"/>
  <c r="P193" i="17" a="1"/>
  <c r="P193" i="17" s="1"/>
  <c r="P189" i="17" a="1"/>
  <c r="P189" i="17" s="1"/>
  <c r="P187" i="17" a="1"/>
  <c r="P187" i="17" s="1"/>
  <c r="P185" i="17" a="1"/>
  <c r="P185" i="17" s="1"/>
  <c r="P183" i="17" a="1"/>
  <c r="P183" i="17" s="1"/>
  <c r="P181" i="17" a="1"/>
  <c r="P181" i="17" s="1"/>
  <c r="P179" i="17" a="1"/>
  <c r="P179" i="17" s="1"/>
  <c r="P175" i="17" a="1"/>
  <c r="P175" i="17" s="1"/>
  <c r="P173" i="17" a="1"/>
  <c r="P173" i="17" s="1"/>
  <c r="P169" i="17" a="1"/>
  <c r="P169" i="17" s="1"/>
  <c r="P165" i="17" a="1"/>
  <c r="P165" i="17" s="1"/>
  <c r="P161" i="17" a="1"/>
  <c r="P161" i="17" s="1"/>
  <c r="P157" i="17" a="1"/>
  <c r="P157" i="17" s="1"/>
  <c r="P153" i="17" a="1"/>
  <c r="P153" i="17" s="1"/>
  <c r="P149" i="17" a="1"/>
  <c r="P149" i="17" s="1"/>
  <c r="P145" i="17" a="1"/>
  <c r="P145" i="17" s="1"/>
  <c r="P141" i="17" a="1"/>
  <c r="P141" i="17" s="1"/>
  <c r="P137" i="17" a="1"/>
  <c r="P137" i="17" s="1"/>
  <c r="P133" i="17" a="1"/>
  <c r="P133" i="17" s="1"/>
  <c r="P129" i="17" a="1"/>
  <c r="P129" i="17" s="1"/>
  <c r="P125" i="17" a="1"/>
  <c r="P125" i="17" s="1"/>
  <c r="P121" i="17" a="1"/>
  <c r="P121" i="17" s="1"/>
  <c r="P117" i="17" a="1"/>
  <c r="P117" i="17" s="1"/>
  <c r="P113" i="17" a="1"/>
  <c r="P113" i="17" s="1"/>
  <c r="P109" i="17" a="1"/>
  <c r="P109" i="17" s="1"/>
  <c r="P105" i="17" a="1"/>
  <c r="P105" i="17" s="1"/>
  <c r="P101" i="17" a="1"/>
  <c r="P101" i="17" s="1"/>
  <c r="P97" i="17" a="1"/>
  <c r="P97" i="17" s="1"/>
  <c r="P93" i="17" a="1"/>
  <c r="P93" i="17" s="1"/>
  <c r="P89" i="17" a="1"/>
  <c r="P89" i="17" s="1"/>
  <c r="P85" i="17" a="1"/>
  <c r="P85" i="17" s="1"/>
  <c r="P81" i="17" a="1"/>
  <c r="P81" i="17" s="1"/>
  <c r="P77" i="17" a="1"/>
  <c r="P77" i="17" s="1"/>
  <c r="P73" i="17" a="1"/>
  <c r="P73" i="17" s="1"/>
  <c r="P69" i="17" a="1"/>
  <c r="P69" i="17" s="1"/>
  <c r="P65" i="17" a="1"/>
  <c r="P65" i="17" s="1"/>
  <c r="P61" i="17" a="1"/>
  <c r="P61" i="17" s="1"/>
  <c r="P57" i="17" a="1"/>
  <c r="P57" i="17" s="1"/>
  <c r="P53" i="17" a="1"/>
  <c r="P53" i="17" s="1"/>
  <c r="P49" i="17" a="1"/>
  <c r="P49" i="17" s="1"/>
  <c r="P45" i="17" a="1"/>
  <c r="P45" i="17" s="1"/>
  <c r="P39" i="17" a="1"/>
  <c r="P39" i="17" s="1"/>
  <c r="P35" i="17" a="1"/>
  <c r="P35" i="17" s="1"/>
  <c r="P352" i="17" a="1"/>
  <c r="P352" i="17" s="1"/>
  <c r="P348" i="17" a="1"/>
  <c r="P348" i="17" s="1"/>
  <c r="P344" i="17" a="1"/>
  <c r="P344" i="17" s="1"/>
  <c r="P340" i="17" a="1"/>
  <c r="P340" i="17" s="1"/>
  <c r="P336" i="17" a="1"/>
  <c r="P336" i="17" s="1"/>
  <c r="P332" i="17" a="1"/>
  <c r="P332" i="17" s="1"/>
  <c r="P328" i="17" a="1"/>
  <c r="P328" i="17" s="1"/>
  <c r="P324" i="17" a="1"/>
  <c r="P324" i="17" s="1"/>
  <c r="P320" i="17" a="1"/>
  <c r="P320" i="17" s="1"/>
  <c r="P316" i="17" a="1"/>
  <c r="P316" i="17" s="1"/>
  <c r="P312" i="17" a="1"/>
  <c r="P312" i="17" s="1"/>
  <c r="P308" i="17" a="1"/>
  <c r="P308" i="17" s="1"/>
  <c r="P304" i="17" a="1"/>
  <c r="P304" i="17" s="1"/>
  <c r="P300" i="17" a="1"/>
  <c r="P300" i="17" s="1"/>
  <c r="P296" i="17" a="1"/>
  <c r="P296" i="17" s="1"/>
  <c r="P292" i="17" a="1"/>
  <c r="P292" i="17" s="1"/>
  <c r="P288" i="17" a="1"/>
  <c r="P288" i="17" s="1"/>
  <c r="P284" i="17" a="1"/>
  <c r="P284" i="17" s="1"/>
  <c r="P280" i="17" a="1"/>
  <c r="P280" i="17" s="1"/>
  <c r="P276" i="17" a="1"/>
  <c r="P276" i="17" s="1"/>
  <c r="P272" i="17" a="1"/>
  <c r="P272" i="17" s="1"/>
  <c r="P268" i="17" a="1"/>
  <c r="P268" i="17" s="1"/>
  <c r="P264" i="17" a="1"/>
  <c r="P264" i="17" s="1"/>
  <c r="P260" i="17" a="1"/>
  <c r="P260" i="17" s="1"/>
  <c r="P256" i="17" a="1"/>
  <c r="P256" i="17" s="1"/>
  <c r="P252" i="17" a="1"/>
  <c r="P252" i="17" s="1"/>
  <c r="P248" i="17" a="1"/>
  <c r="P248" i="17" s="1"/>
  <c r="P244" i="17" a="1"/>
  <c r="P244" i="17" s="1"/>
  <c r="P240" i="17" a="1"/>
  <c r="P240" i="17" s="1"/>
  <c r="P236" i="17" a="1"/>
  <c r="P236" i="17" s="1"/>
  <c r="P232" i="17" a="1"/>
  <c r="P232" i="17" s="1"/>
  <c r="P228" i="17" a="1"/>
  <c r="P228" i="17" s="1"/>
  <c r="P224" i="17" a="1"/>
  <c r="P224" i="17" s="1"/>
  <c r="P220" i="17" a="1"/>
  <c r="P220" i="17" s="1"/>
  <c r="P216" i="17" a="1"/>
  <c r="P216" i="17" s="1"/>
  <c r="P212" i="17" a="1"/>
  <c r="P212" i="17" s="1"/>
  <c r="P208" i="17" a="1"/>
  <c r="P208" i="17" s="1"/>
  <c r="P13" i="17" a="1"/>
  <c r="P13" i="17" s="1"/>
  <c r="P21" i="17" a="1"/>
  <c r="P21" i="17" s="1"/>
  <c r="P29" i="17" a="1"/>
  <c r="P29" i="17" s="1"/>
  <c r="P44" i="17" a="1"/>
  <c r="P44" i="17" s="1"/>
  <c r="P60" i="17" a="1"/>
  <c r="P60" i="17" s="1"/>
  <c r="P76" i="17" a="1"/>
  <c r="P76" i="17" s="1"/>
  <c r="P9" i="17" a="1"/>
  <c r="P9" i="17" s="1"/>
  <c r="P17" i="17" a="1"/>
  <c r="P17" i="17" s="1"/>
  <c r="P25" i="17" a="1"/>
  <c r="P25" i="17" s="1"/>
  <c r="P34" i="17" a="1"/>
  <c r="P34" i="17" s="1"/>
  <c r="P50" i="17" a="1"/>
  <c r="P50" i="17" s="1"/>
  <c r="P66" i="17" a="1"/>
  <c r="P66" i="17" s="1"/>
  <c r="P82" i="17" a="1"/>
  <c r="P82" i="17" s="1"/>
  <c r="P192" i="17" a="1"/>
  <c r="P192" i="17" s="1"/>
  <c r="P26" i="17" a="1"/>
  <c r="P26" i="17" s="1"/>
  <c r="P30" i="17" a="1"/>
  <c r="P30" i="17" s="1"/>
  <c r="P40" i="17" a="1"/>
  <c r="P40" i="17" s="1"/>
  <c r="P56" i="17" a="1"/>
  <c r="P56" i="17" s="1"/>
  <c r="P72" i="17" a="1"/>
  <c r="P72" i="17" s="1"/>
  <c r="Q192" i="17" a="1"/>
  <c r="Q192" i="17" s="1"/>
  <c r="Q196" i="17" a="1"/>
  <c r="Q196" i="17" s="1"/>
  <c r="Q200" i="17" a="1"/>
  <c r="Q200" i="17" s="1"/>
  <c r="Q204" i="17" a="1"/>
  <c r="Q204" i="17" s="1"/>
  <c r="Q208" i="17" a="1"/>
  <c r="Q208" i="17" s="1"/>
  <c r="Q212" i="17" a="1"/>
  <c r="Q212" i="17" s="1"/>
  <c r="Q216" i="17" a="1"/>
  <c r="Q216" i="17" s="1"/>
  <c r="Q220" i="17" a="1"/>
  <c r="Q220" i="17" s="1"/>
  <c r="Q224" i="17" a="1"/>
  <c r="Q224" i="17" s="1"/>
  <c r="Q228" i="17" a="1"/>
  <c r="Q228" i="17" s="1"/>
  <c r="Q232" i="17" a="1"/>
  <c r="Q232" i="17" s="1"/>
  <c r="Q236" i="17" a="1"/>
  <c r="Q236" i="17" s="1"/>
  <c r="Q240" i="17" a="1"/>
  <c r="Q240" i="17" s="1"/>
  <c r="Q244" i="17" a="1"/>
  <c r="Q244" i="17" s="1"/>
  <c r="Q248" i="17" a="1"/>
  <c r="Q248" i="17" s="1"/>
  <c r="Q252" i="17" a="1"/>
  <c r="Q252" i="17" s="1"/>
  <c r="Q256" i="17" a="1"/>
  <c r="Q256" i="17" s="1"/>
  <c r="Q260" i="17" a="1"/>
  <c r="Q260" i="17" s="1"/>
  <c r="Q264" i="17" a="1"/>
  <c r="Q264" i="17" s="1"/>
  <c r="Q268" i="17" a="1"/>
  <c r="Q268" i="17" s="1"/>
  <c r="Q272" i="17" a="1"/>
  <c r="Q272" i="17" s="1"/>
  <c r="Q276" i="17" a="1"/>
  <c r="Q276" i="17" s="1"/>
  <c r="Q280" i="17" a="1"/>
  <c r="Q280" i="17" s="1"/>
  <c r="Q284" i="17" a="1"/>
  <c r="Q284" i="17" s="1"/>
  <c r="Q288" i="17" a="1"/>
  <c r="Q288" i="17" s="1"/>
  <c r="Q292" i="17" a="1"/>
  <c r="Q292" i="17" s="1"/>
  <c r="Q296" i="17" a="1"/>
  <c r="Q296" i="17" s="1"/>
  <c r="Q300" i="17" a="1"/>
  <c r="Q300" i="17" s="1"/>
  <c r="Q304" i="17" a="1"/>
  <c r="Q304" i="17" s="1"/>
  <c r="Q308" i="17" a="1"/>
  <c r="Q308" i="17" s="1"/>
  <c r="Q312" i="17" a="1"/>
  <c r="Q312" i="17" s="1"/>
  <c r="Q316" i="17" a="1"/>
  <c r="Q316" i="17" s="1"/>
  <c r="Q320" i="17" a="1"/>
  <c r="Q320" i="17" s="1"/>
  <c r="Q324" i="17" a="1"/>
  <c r="Q324" i="17" s="1"/>
  <c r="Q328" i="17" a="1"/>
  <c r="Q328" i="17" s="1"/>
  <c r="Q332" i="17" a="1"/>
  <c r="Q332" i="17" s="1"/>
  <c r="Q336" i="17" a="1"/>
  <c r="Q336" i="17" s="1"/>
  <c r="Q340" i="17" a="1"/>
  <c r="Q340" i="17" s="1"/>
  <c r="Q344" i="17" a="1"/>
  <c r="Q344" i="17" s="1"/>
  <c r="Q348" i="17" a="1"/>
  <c r="Q348" i="17" s="1"/>
  <c r="Q352" i="17" a="1"/>
  <c r="Q352" i="17" s="1"/>
  <c r="Q189" i="17" a="1"/>
  <c r="Q189" i="17" s="1"/>
  <c r="Q193" i="17" a="1"/>
  <c r="Q193" i="17" s="1"/>
  <c r="Q197" i="17" a="1"/>
  <c r="Q197" i="17" s="1"/>
  <c r="Q201" i="17" a="1"/>
  <c r="Q201" i="17" s="1"/>
  <c r="Q205" i="17" a="1"/>
  <c r="Q205" i="17" s="1"/>
  <c r="Q209" i="17" a="1"/>
  <c r="Q209" i="17" s="1"/>
  <c r="Q213" i="17" a="1"/>
  <c r="Q213" i="17" s="1"/>
  <c r="Q217" i="17" a="1"/>
  <c r="Q217" i="17" s="1"/>
  <c r="Q221" i="17" a="1"/>
  <c r="Q221" i="17" s="1"/>
  <c r="Q225" i="17" a="1"/>
  <c r="Q225" i="17" s="1"/>
  <c r="Q229" i="17" a="1"/>
  <c r="Q229" i="17" s="1"/>
  <c r="Q233" i="17" a="1"/>
  <c r="Q233" i="17" s="1"/>
  <c r="Q237" i="17" a="1"/>
  <c r="Q237" i="17" s="1"/>
  <c r="Q241" i="17" a="1"/>
  <c r="Q241" i="17" s="1"/>
  <c r="Q245" i="17" a="1"/>
  <c r="Q245" i="17" s="1"/>
  <c r="Q249" i="17" a="1"/>
  <c r="Q249" i="17" s="1"/>
  <c r="Q253" i="17" a="1"/>
  <c r="Q253" i="17" s="1"/>
  <c r="Q257" i="17" a="1"/>
  <c r="Q257" i="17" s="1"/>
  <c r="Q261" i="17" a="1"/>
  <c r="Q261" i="17" s="1"/>
  <c r="Q265" i="17" a="1"/>
  <c r="Q265" i="17" s="1"/>
  <c r="Q269" i="17" a="1"/>
  <c r="Q269" i="17" s="1"/>
  <c r="Q273" i="17" a="1"/>
  <c r="Q273" i="17" s="1"/>
  <c r="Q277" i="17" a="1"/>
  <c r="Q277" i="17" s="1"/>
  <c r="Q281" i="17" a="1"/>
  <c r="Q281" i="17" s="1"/>
  <c r="Q285" i="17" a="1"/>
  <c r="Q285" i="17" s="1"/>
  <c r="Q289" i="17" a="1"/>
  <c r="Q289" i="17" s="1"/>
  <c r="Q293" i="17" a="1"/>
  <c r="Q293" i="17" s="1"/>
  <c r="Q297" i="17" a="1"/>
  <c r="Q297" i="17" s="1"/>
  <c r="Q301" i="17" a="1"/>
  <c r="Q301" i="17" s="1"/>
  <c r="Q305" i="17" a="1"/>
  <c r="Q305" i="17" s="1"/>
  <c r="Q309" i="17" a="1"/>
  <c r="Q309" i="17" s="1"/>
  <c r="Q313" i="17" a="1"/>
  <c r="Q313" i="17" s="1"/>
  <c r="Q317" i="17" a="1"/>
  <c r="Q317" i="17" s="1"/>
  <c r="Q321" i="17" a="1"/>
  <c r="Q321" i="17" s="1"/>
  <c r="Q325" i="17" a="1"/>
  <c r="Q325" i="17" s="1"/>
  <c r="Q329" i="17" a="1"/>
  <c r="Q329" i="17" s="1"/>
  <c r="Q333" i="17" a="1"/>
  <c r="Q333" i="17" s="1"/>
  <c r="Q337" i="17" a="1"/>
  <c r="Q337" i="17" s="1"/>
  <c r="Q341" i="17" a="1"/>
  <c r="Q341" i="17" s="1"/>
  <c r="Q345" i="17" a="1"/>
  <c r="Q345" i="17" s="1"/>
  <c r="Q349" i="17" a="1"/>
  <c r="Q349" i="17" s="1"/>
  <c r="Q353" i="17" a="1"/>
  <c r="Q353" i="17" s="1"/>
  <c r="Q175" i="17" a="1"/>
  <c r="Q175" i="17" s="1"/>
  <c r="Q177" i="17" a="1"/>
  <c r="Q177" i="17" s="1"/>
  <c r="Q179" i="17" a="1"/>
  <c r="Q179" i="17" s="1"/>
  <c r="Q181" i="17" a="1"/>
  <c r="Q181" i="17" s="1"/>
  <c r="Q183" i="17" a="1"/>
  <c r="Q183" i="17" s="1"/>
  <c r="Q185" i="17" a="1"/>
  <c r="Q185" i="17" s="1"/>
  <c r="Q358" i="17" a="1"/>
  <c r="Q358" i="17" s="1"/>
  <c r="Q356" i="17" a="1"/>
  <c r="Q356" i="17" s="1"/>
  <c r="Q357" i="17" a="1"/>
  <c r="Q357" i="17" s="1"/>
  <c r="Q355" i="17" a="1"/>
  <c r="Q355" i="17" s="1"/>
  <c r="Q190" i="17" a="1"/>
  <c r="Q190" i="17" s="1"/>
  <c r="Q194" i="17" a="1"/>
  <c r="Q194" i="17" s="1"/>
  <c r="Q198" i="17" a="1"/>
  <c r="Q198" i="17" s="1"/>
  <c r="Q202" i="17" a="1"/>
  <c r="Q202" i="17" s="1"/>
  <c r="Q206" i="17" a="1"/>
  <c r="Q206" i="17" s="1"/>
  <c r="Q210" i="17" a="1"/>
  <c r="Q210" i="17" s="1"/>
  <c r="Q214" i="17" a="1"/>
  <c r="Q214" i="17" s="1"/>
  <c r="Q218" i="17" a="1"/>
  <c r="Q218" i="17" s="1"/>
  <c r="Q222" i="17" a="1"/>
  <c r="Q222" i="17" s="1"/>
  <c r="Q226" i="17" a="1"/>
  <c r="Q226" i="17" s="1"/>
  <c r="Q230" i="17" a="1"/>
  <c r="Q230" i="17" s="1"/>
  <c r="Q234" i="17" a="1"/>
  <c r="Q234" i="17" s="1"/>
  <c r="Q238" i="17" a="1"/>
  <c r="Q238" i="17" s="1"/>
  <c r="Q242" i="17" a="1"/>
  <c r="Q242" i="17" s="1"/>
  <c r="Q246" i="17" a="1"/>
  <c r="Q246" i="17" s="1"/>
  <c r="Q250" i="17" a="1"/>
  <c r="Q250" i="17" s="1"/>
  <c r="Q254" i="17" a="1"/>
  <c r="Q254" i="17" s="1"/>
  <c r="Q258" i="17" a="1"/>
  <c r="Q258" i="17" s="1"/>
  <c r="Q262" i="17" a="1"/>
  <c r="Q262" i="17" s="1"/>
  <c r="Q266" i="17" a="1"/>
  <c r="Q266" i="17" s="1"/>
  <c r="Q270" i="17" a="1"/>
  <c r="Q270" i="17" s="1"/>
  <c r="Q274" i="17" a="1"/>
  <c r="Q274" i="17" s="1"/>
  <c r="Q278" i="17" a="1"/>
  <c r="Q278" i="17" s="1"/>
  <c r="Q282" i="17" a="1"/>
  <c r="Q282" i="17" s="1"/>
  <c r="Q286" i="17" a="1"/>
  <c r="Q286" i="17" s="1"/>
  <c r="Q290" i="17" a="1"/>
  <c r="Q290" i="17" s="1"/>
  <c r="Q294" i="17" a="1"/>
  <c r="Q294" i="17" s="1"/>
  <c r="Q298" i="17" a="1"/>
  <c r="Q298" i="17" s="1"/>
  <c r="Q302" i="17" a="1"/>
  <c r="Q302" i="17" s="1"/>
  <c r="Q306" i="17" a="1"/>
  <c r="Q306" i="17" s="1"/>
  <c r="Q310" i="17" a="1"/>
  <c r="Q310" i="17" s="1"/>
  <c r="Q314" i="17" a="1"/>
  <c r="Q314" i="17" s="1"/>
  <c r="Q318" i="17" a="1"/>
  <c r="Q318" i="17" s="1"/>
  <c r="Q322" i="17" a="1"/>
  <c r="Q322" i="17" s="1"/>
  <c r="Q326" i="17" a="1"/>
  <c r="Q326" i="17" s="1"/>
  <c r="Q330" i="17" a="1"/>
  <c r="Q330" i="17" s="1"/>
  <c r="Q334" i="17" a="1"/>
  <c r="Q334" i="17" s="1"/>
  <c r="Q338" i="17" a="1"/>
  <c r="Q338" i="17" s="1"/>
  <c r="Q342" i="17" a="1"/>
  <c r="Q342" i="17" s="1"/>
  <c r="Q346" i="17" a="1"/>
  <c r="Q346" i="17" s="1"/>
  <c r="Q350" i="17" a="1"/>
  <c r="Q350" i="17" s="1"/>
  <c r="Q354" i="17" a="1"/>
  <c r="Q354" i="17" s="1"/>
  <c r="Q219" i="17" a="1"/>
  <c r="Q219" i="17" s="1"/>
  <c r="Q223" i="17" a="1"/>
  <c r="Q223" i="17" s="1"/>
  <c r="Q227" i="17" a="1"/>
  <c r="Q227" i="17" s="1"/>
  <c r="Q231" i="17" a="1"/>
  <c r="Q231" i="17" s="1"/>
  <c r="Q235" i="17" a="1"/>
  <c r="Q235" i="17" s="1"/>
  <c r="Q239" i="17" a="1"/>
  <c r="Q239" i="17" s="1"/>
  <c r="Q243" i="17" a="1"/>
  <c r="Q243" i="17" s="1"/>
  <c r="Q247" i="17" a="1"/>
  <c r="Q247" i="17" s="1"/>
  <c r="Q251" i="17" a="1"/>
  <c r="Q251" i="17" s="1"/>
  <c r="Q255" i="17" a="1"/>
  <c r="Q255" i="17" s="1"/>
  <c r="Q259" i="17" a="1"/>
  <c r="Q259" i="17" s="1"/>
  <c r="Q263" i="17" a="1"/>
  <c r="Q263" i="17" s="1"/>
  <c r="Q267" i="17" a="1"/>
  <c r="Q267" i="17" s="1"/>
  <c r="Q271" i="17" a="1"/>
  <c r="Q271" i="17" s="1"/>
  <c r="Q275" i="17" a="1"/>
  <c r="Q275" i="17" s="1"/>
  <c r="Q279" i="17" a="1"/>
  <c r="Q279" i="17" s="1"/>
  <c r="Q283" i="17" a="1"/>
  <c r="Q283" i="17" s="1"/>
  <c r="Q287" i="17" a="1"/>
  <c r="Q287" i="17" s="1"/>
  <c r="Q291" i="17" a="1"/>
  <c r="Q291" i="17" s="1"/>
  <c r="Q295" i="17" a="1"/>
  <c r="Q295" i="17" s="1"/>
  <c r="Q299" i="17" a="1"/>
  <c r="Q299" i="17" s="1"/>
  <c r="Q303" i="17" a="1"/>
  <c r="Q303" i="17" s="1"/>
  <c r="Q307" i="17" a="1"/>
  <c r="Q307" i="17" s="1"/>
  <c r="Q311" i="17" a="1"/>
  <c r="Q311" i="17" s="1"/>
  <c r="Q315" i="17" a="1"/>
  <c r="Q315" i="17" s="1"/>
  <c r="Q319" i="17" a="1"/>
  <c r="Q319" i="17" s="1"/>
  <c r="Q323" i="17" a="1"/>
  <c r="Q323" i="17" s="1"/>
  <c r="Q327" i="17" a="1"/>
  <c r="Q327" i="17" s="1"/>
  <c r="Q331" i="17" a="1"/>
  <c r="Q331" i="17" s="1"/>
  <c r="Q335" i="17" a="1"/>
  <c r="Q335" i="17" s="1"/>
  <c r="Q339" i="17" a="1"/>
  <c r="Q339" i="17" s="1"/>
  <c r="Q343" i="17" a="1"/>
  <c r="Q343" i="17" s="1"/>
  <c r="Q347" i="17" a="1"/>
  <c r="Q347" i="17" s="1"/>
  <c r="Q351" i="17" a="1"/>
  <c r="Q351" i="17" s="1"/>
  <c r="O177" i="17" a="1"/>
  <c r="O177" i="17" s="1"/>
  <c r="O217" i="17" a="1"/>
  <c r="O217" i="17" s="1"/>
  <c r="O257" i="17" a="1"/>
  <c r="O257" i="17" s="1"/>
  <c r="O305" i="17" a="1"/>
  <c r="O305" i="17" s="1"/>
  <c r="O345" i="17" a="1"/>
  <c r="O345" i="17" s="1"/>
  <c r="O50" i="17" a="1"/>
  <c r="O50" i="17" s="1"/>
  <c r="O58" i="17" a="1"/>
  <c r="O58" i="17" s="1"/>
  <c r="O66" i="17" a="1"/>
  <c r="O66" i="17" s="1"/>
  <c r="O74" i="17" a="1"/>
  <c r="O74" i="17" s="1"/>
  <c r="O82" i="17" a="1"/>
  <c r="O82" i="17" s="1"/>
  <c r="O90" i="17" a="1"/>
  <c r="O90" i="17" s="1"/>
  <c r="O98" i="17" a="1"/>
  <c r="O98" i="17" s="1"/>
  <c r="O106" i="17" a="1"/>
  <c r="O106" i="17" s="1"/>
  <c r="O114" i="17" a="1"/>
  <c r="O114" i="17" s="1"/>
  <c r="O122" i="17" a="1"/>
  <c r="O122" i="17" s="1"/>
  <c r="O130" i="17" a="1"/>
  <c r="O130" i="17" s="1"/>
  <c r="O138" i="17" a="1"/>
  <c r="O138" i="17" s="1"/>
  <c r="O146" i="17" a="1"/>
  <c r="O146" i="17" s="1"/>
  <c r="O154" i="17" a="1"/>
  <c r="O154" i="17" s="1"/>
  <c r="O162" i="17" a="1"/>
  <c r="O162" i="17" s="1"/>
  <c r="O170" i="17" a="1"/>
  <c r="O170" i="17" s="1"/>
  <c r="O178" i="17" a="1"/>
  <c r="O178" i="17" s="1"/>
  <c r="O186" i="17" a="1"/>
  <c r="O186" i="17" s="1"/>
  <c r="O194" i="17" a="1"/>
  <c r="O194" i="17" s="1"/>
  <c r="O202" i="17" a="1"/>
  <c r="O202" i="17" s="1"/>
  <c r="O210" i="17" a="1"/>
  <c r="O210" i="17" s="1"/>
  <c r="O218" i="17" a="1"/>
  <c r="O218" i="17" s="1"/>
  <c r="O226" i="17" a="1"/>
  <c r="O226" i="17" s="1"/>
  <c r="O234" i="17" a="1"/>
  <c r="O234" i="17" s="1"/>
  <c r="O242" i="17" a="1"/>
  <c r="O242" i="17" s="1"/>
  <c r="O250" i="17" a="1"/>
  <c r="O250" i="17" s="1"/>
  <c r="O258" i="17" a="1"/>
  <c r="O258" i="17" s="1"/>
  <c r="O266" i="17" a="1"/>
  <c r="O266" i="17" s="1"/>
  <c r="O274" i="17" a="1"/>
  <c r="O274" i="17" s="1"/>
  <c r="O282" i="17" a="1"/>
  <c r="O282" i="17" s="1"/>
  <c r="O290" i="17" a="1"/>
  <c r="O290" i="17" s="1"/>
  <c r="O298" i="17" a="1"/>
  <c r="O298" i="17" s="1"/>
  <c r="O306" i="17" a="1"/>
  <c r="O306" i="17" s="1"/>
  <c r="O314" i="17" a="1"/>
  <c r="O314" i="17" s="1"/>
  <c r="O322" i="17" a="1"/>
  <c r="O322" i="17" s="1"/>
  <c r="O330" i="17" a="1"/>
  <c r="O330" i="17" s="1"/>
  <c r="O338" i="17" a="1"/>
  <c r="O338" i="17" s="1"/>
  <c r="O346" i="17" a="1"/>
  <c r="O346" i="17" s="1"/>
  <c r="O49" i="17" a="1"/>
  <c r="O49" i="17" s="1"/>
  <c r="O89" i="17" a="1"/>
  <c r="O89" i="17" s="1"/>
  <c r="O137" i="17" a="1"/>
  <c r="O137" i="17" s="1"/>
  <c r="O185" i="17" a="1"/>
  <c r="O185" i="17" s="1"/>
  <c r="O225" i="17" a="1"/>
  <c r="O225" i="17" s="1"/>
  <c r="O265" i="17" a="1"/>
  <c r="O265" i="17" s="1"/>
  <c r="O297" i="17" a="1"/>
  <c r="O297" i="17" s="1"/>
  <c r="O337" i="17" a="1"/>
  <c r="O337" i="17" s="1"/>
  <c r="O42" i="17" a="1"/>
  <c r="O42" i="17" s="1"/>
  <c r="O7" i="17" a="1"/>
  <c r="O7" i="17" s="1"/>
  <c r="O11" i="17" a="1"/>
  <c r="O11" i="17" s="1"/>
  <c r="O15" i="17" a="1"/>
  <c r="O15" i="17" s="1"/>
  <c r="O19" i="17" a="1"/>
  <c r="O19" i="17" s="1"/>
  <c r="O27" i="17" a="1"/>
  <c r="O27" i="17" s="1"/>
  <c r="O35" i="17" a="1"/>
  <c r="O35" i="17" s="1"/>
  <c r="O43" i="17" a="1"/>
  <c r="O43" i="17" s="1"/>
  <c r="O51" i="17" a="1"/>
  <c r="O51" i="17" s="1"/>
  <c r="O59" i="17" a="1"/>
  <c r="O59" i="17" s="1"/>
  <c r="O67" i="17" a="1"/>
  <c r="O67" i="17" s="1"/>
  <c r="O75" i="17" a="1"/>
  <c r="O75" i="17" s="1"/>
  <c r="O83" i="17" a="1"/>
  <c r="O83" i="17" s="1"/>
  <c r="O91" i="17" a="1"/>
  <c r="O91" i="17" s="1"/>
  <c r="O99" i="17" a="1"/>
  <c r="O99" i="17" s="1"/>
  <c r="O107" i="17" a="1"/>
  <c r="O107" i="17" s="1"/>
  <c r="O115" i="17" a="1"/>
  <c r="O115" i="17" s="1"/>
  <c r="O123" i="17" a="1"/>
  <c r="O123" i="17" s="1"/>
  <c r="O131" i="17" a="1"/>
  <c r="O131" i="17" s="1"/>
  <c r="O139" i="17" a="1"/>
  <c r="O139" i="17" s="1"/>
  <c r="O147" i="17" a="1"/>
  <c r="O147" i="17" s="1"/>
  <c r="O155" i="17" a="1"/>
  <c r="O155" i="17" s="1"/>
  <c r="O163" i="17" a="1"/>
  <c r="O163" i="17" s="1"/>
  <c r="O171" i="17" a="1"/>
  <c r="O171" i="17" s="1"/>
  <c r="O179" i="17" a="1"/>
  <c r="O179" i="17" s="1"/>
  <c r="O187" i="17" a="1"/>
  <c r="O187" i="17" s="1"/>
  <c r="O195" i="17" a="1"/>
  <c r="O195" i="17" s="1"/>
  <c r="O203" i="17" a="1"/>
  <c r="O203" i="17" s="1"/>
  <c r="O211" i="17" a="1"/>
  <c r="O211" i="17" s="1"/>
  <c r="O219" i="17" a="1"/>
  <c r="O219" i="17" s="1"/>
  <c r="O227" i="17" a="1"/>
  <c r="O227" i="17" s="1"/>
  <c r="O235" i="17" a="1"/>
  <c r="O235" i="17" s="1"/>
  <c r="O243" i="17" a="1"/>
  <c r="O243" i="17" s="1"/>
  <c r="O251" i="17" a="1"/>
  <c r="O251" i="17" s="1"/>
  <c r="O259" i="17" a="1"/>
  <c r="O259" i="17" s="1"/>
  <c r="O267" i="17" a="1"/>
  <c r="O267" i="17" s="1"/>
  <c r="O275" i="17" a="1"/>
  <c r="O275" i="17" s="1"/>
  <c r="O283" i="17" a="1"/>
  <c r="O283" i="17" s="1"/>
  <c r="O291" i="17" a="1"/>
  <c r="O291" i="17" s="1"/>
  <c r="O299" i="17" a="1"/>
  <c r="O299" i="17" s="1"/>
  <c r="O307" i="17" a="1"/>
  <c r="O307" i="17" s="1"/>
  <c r="O315" i="17" a="1"/>
  <c r="O315" i="17" s="1"/>
  <c r="O323" i="17" a="1"/>
  <c r="O323" i="17" s="1"/>
  <c r="O331" i="17" a="1"/>
  <c r="O331" i="17" s="1"/>
  <c r="O339" i="17" a="1"/>
  <c r="O339" i="17" s="1"/>
  <c r="O347" i="17" a="1"/>
  <c r="O347" i="17" s="1"/>
  <c r="O73" i="17" a="1"/>
  <c r="O73" i="17" s="1"/>
  <c r="O113" i="17" a="1"/>
  <c r="O113" i="17" s="1"/>
  <c r="O153" i="17" a="1"/>
  <c r="O153" i="17" s="1"/>
  <c r="O201" i="17" a="1"/>
  <c r="O201" i="17" s="1"/>
  <c r="O241" i="17" a="1"/>
  <c r="O241" i="17" s="1"/>
  <c r="O281" i="17" a="1"/>
  <c r="O281" i="17" s="1"/>
  <c r="O329" i="17" a="1"/>
  <c r="O329" i="17" s="1"/>
  <c r="O20" i="17" a="1"/>
  <c r="O20" i="17" s="1"/>
  <c r="O44" i="17" a="1"/>
  <c r="O44" i="17" s="1"/>
  <c r="O52" i="17" a="1"/>
  <c r="O52" i="17" s="1"/>
  <c r="O60" i="17" a="1"/>
  <c r="O60" i="17" s="1"/>
  <c r="O68" i="17" a="1"/>
  <c r="O68" i="17" s="1"/>
  <c r="O76" i="17" a="1"/>
  <c r="O76" i="17" s="1"/>
  <c r="O84" i="17" a="1"/>
  <c r="O84" i="17" s="1"/>
  <c r="O92" i="17" a="1"/>
  <c r="O92" i="17" s="1"/>
  <c r="O100" i="17" a="1"/>
  <c r="O100" i="17" s="1"/>
  <c r="O108" i="17" a="1"/>
  <c r="O108" i="17" s="1"/>
  <c r="O116" i="17" a="1"/>
  <c r="O116" i="17" s="1"/>
  <c r="O124" i="17" a="1"/>
  <c r="O124" i="17" s="1"/>
  <c r="O132" i="17" a="1"/>
  <c r="O132" i="17" s="1"/>
  <c r="O140" i="17" a="1"/>
  <c r="O140" i="17" s="1"/>
  <c r="O148" i="17" a="1"/>
  <c r="O148" i="17" s="1"/>
  <c r="O156" i="17" a="1"/>
  <c r="O156" i="17" s="1"/>
  <c r="O164" i="17" a="1"/>
  <c r="O164" i="17" s="1"/>
  <c r="O172" i="17" a="1"/>
  <c r="O172" i="17" s="1"/>
  <c r="O180" i="17" a="1"/>
  <c r="O180" i="17" s="1"/>
  <c r="O188" i="17" a="1"/>
  <c r="O188" i="17" s="1"/>
  <c r="O196" i="17" a="1"/>
  <c r="O196" i="17" s="1"/>
  <c r="O204" i="17" a="1"/>
  <c r="O204" i="17" s="1"/>
  <c r="O212" i="17" a="1"/>
  <c r="O212" i="17" s="1"/>
  <c r="O220" i="17" a="1"/>
  <c r="O220" i="17" s="1"/>
  <c r="O228" i="17" a="1"/>
  <c r="O228" i="17" s="1"/>
  <c r="O236" i="17" a="1"/>
  <c r="O236" i="17" s="1"/>
  <c r="O244" i="17" a="1"/>
  <c r="O244" i="17" s="1"/>
  <c r="O252" i="17" a="1"/>
  <c r="O252" i="17" s="1"/>
  <c r="O260" i="17" a="1"/>
  <c r="O260" i="17" s="1"/>
  <c r="O268" i="17" a="1"/>
  <c r="O268" i="17" s="1"/>
  <c r="O276" i="17" a="1"/>
  <c r="O276" i="17" s="1"/>
  <c r="O284" i="17" a="1"/>
  <c r="O284" i="17" s="1"/>
  <c r="O292" i="17" a="1"/>
  <c r="O292" i="17" s="1"/>
  <c r="O300" i="17" a="1"/>
  <c r="O300" i="17" s="1"/>
  <c r="O308" i="17" a="1"/>
  <c r="O308" i="17" s="1"/>
  <c r="O316" i="17" a="1"/>
  <c r="O316" i="17" s="1"/>
  <c r="O324" i="17" a="1"/>
  <c r="O324" i="17" s="1"/>
  <c r="O332" i="17" a="1"/>
  <c r="O332" i="17" s="1"/>
  <c r="O340" i="17" a="1"/>
  <c r="O340" i="17" s="1"/>
  <c r="O348" i="17" a="1"/>
  <c r="O348" i="17" s="1"/>
  <c r="O65" i="17" a="1"/>
  <c r="O65" i="17" s="1"/>
  <c r="O105" i="17" a="1"/>
  <c r="O105" i="17" s="1"/>
  <c r="O161" i="17" a="1"/>
  <c r="O161" i="17" s="1"/>
  <c r="O193" i="17" a="1"/>
  <c r="O193" i="17" s="1"/>
  <c r="O233" i="17" a="1"/>
  <c r="O233" i="17" s="1"/>
  <c r="O273" i="17" a="1"/>
  <c r="O273" i="17" s="1"/>
  <c r="O313" i="17" a="1"/>
  <c r="O313" i="17" s="1"/>
  <c r="O26" i="17" a="1"/>
  <c r="O26" i="17" s="1"/>
  <c r="O36" i="17" a="1"/>
  <c r="O36" i="17" s="1"/>
  <c r="O12" i="17" a="1"/>
  <c r="O12" i="17" s="1"/>
  <c r="O16" i="17" a="1"/>
  <c r="O16" i="17" s="1"/>
  <c r="O21" i="17" a="1"/>
  <c r="O21" i="17" s="1"/>
  <c r="O29" i="17" a="1"/>
  <c r="O29" i="17" s="1"/>
  <c r="O37" i="17" a="1"/>
  <c r="O37" i="17" s="1"/>
  <c r="O45" i="17" a="1"/>
  <c r="O45" i="17" s="1"/>
  <c r="O53" i="17" a="1"/>
  <c r="O53" i="17" s="1"/>
  <c r="O61" i="17" a="1"/>
  <c r="O61" i="17" s="1"/>
  <c r="O69" i="17" a="1"/>
  <c r="O69" i="17" s="1"/>
  <c r="O77" i="17" a="1"/>
  <c r="O77" i="17" s="1"/>
  <c r="O85" i="17" a="1"/>
  <c r="O85" i="17" s="1"/>
  <c r="O93" i="17" a="1"/>
  <c r="O93" i="17" s="1"/>
  <c r="O101" i="17" a="1"/>
  <c r="O101" i="17" s="1"/>
  <c r="O109" i="17" a="1"/>
  <c r="O109" i="17" s="1"/>
  <c r="O117" i="17" a="1"/>
  <c r="O117" i="17" s="1"/>
  <c r="O125" i="17" a="1"/>
  <c r="O125" i="17" s="1"/>
  <c r="O133" i="17" a="1"/>
  <c r="O133" i="17" s="1"/>
  <c r="O141" i="17" a="1"/>
  <c r="O141" i="17" s="1"/>
  <c r="O149" i="17" a="1"/>
  <c r="O149" i="17" s="1"/>
  <c r="O157" i="17" a="1"/>
  <c r="O157" i="17" s="1"/>
  <c r="O165" i="17" a="1"/>
  <c r="O165" i="17" s="1"/>
  <c r="O173" i="17" a="1"/>
  <c r="O173" i="17" s="1"/>
  <c r="O181" i="17" a="1"/>
  <c r="O181" i="17" s="1"/>
  <c r="O189" i="17" a="1"/>
  <c r="O189" i="17" s="1"/>
  <c r="O197" i="17" a="1"/>
  <c r="O197" i="17" s="1"/>
  <c r="O205" i="17" a="1"/>
  <c r="O205" i="17" s="1"/>
  <c r="O213" i="17" a="1"/>
  <c r="O213" i="17" s="1"/>
  <c r="O221" i="17" a="1"/>
  <c r="O221" i="17" s="1"/>
  <c r="O229" i="17" a="1"/>
  <c r="O229" i="17" s="1"/>
  <c r="O237" i="17" a="1"/>
  <c r="O237" i="17" s="1"/>
  <c r="O245" i="17" a="1"/>
  <c r="O245" i="17" s="1"/>
  <c r="O253" i="17" a="1"/>
  <c r="O253" i="17" s="1"/>
  <c r="O261" i="17" a="1"/>
  <c r="O261" i="17" s="1"/>
  <c r="O269" i="17" a="1"/>
  <c r="O269" i="17" s="1"/>
  <c r="O277" i="17" a="1"/>
  <c r="O277" i="17" s="1"/>
  <c r="O285" i="17" a="1"/>
  <c r="O285" i="17" s="1"/>
  <c r="O293" i="17" a="1"/>
  <c r="O293" i="17" s="1"/>
  <c r="O301" i="17" a="1"/>
  <c r="O301" i="17" s="1"/>
  <c r="O309" i="17" a="1"/>
  <c r="O309" i="17" s="1"/>
  <c r="O317" i="17" a="1"/>
  <c r="O317" i="17" s="1"/>
  <c r="O325" i="17" a="1"/>
  <c r="O325" i="17" s="1"/>
  <c r="O333" i="17" a="1"/>
  <c r="O333" i="17" s="1"/>
  <c r="O341" i="17" a="1"/>
  <c r="O341" i="17" s="1"/>
  <c r="O349" i="17" a="1"/>
  <c r="O349" i="17" s="1"/>
  <c r="O41" i="17" a="1"/>
  <c r="O41" i="17" s="1"/>
  <c r="O81" i="17" a="1"/>
  <c r="O81" i="17" s="1"/>
  <c r="O121" i="17" a="1"/>
  <c r="O121" i="17" s="1"/>
  <c r="O169" i="17" a="1"/>
  <c r="O169" i="17" s="1"/>
  <c r="O209" i="17" a="1"/>
  <c r="O209" i="17" s="1"/>
  <c r="O249" i="17" a="1"/>
  <c r="O249" i="17" s="1"/>
  <c r="O289" i="17" a="1"/>
  <c r="O289" i="17" s="1"/>
  <c r="O321" i="17" a="1"/>
  <c r="O321" i="17" s="1"/>
  <c r="O34" i="17" a="1"/>
  <c r="O34" i="17" s="1"/>
  <c r="O28" i="17" a="1"/>
  <c r="O28" i="17" s="1"/>
  <c r="O8" i="17" a="1"/>
  <c r="O8" i="17" s="1"/>
  <c r="O22" i="17" a="1"/>
  <c r="O22" i="17" s="1"/>
  <c r="O30" i="17" a="1"/>
  <c r="O30" i="17" s="1"/>
  <c r="O38" i="17" a="1"/>
  <c r="O38" i="17" s="1"/>
  <c r="O46" i="17" a="1"/>
  <c r="O46" i="17" s="1"/>
  <c r="O54" i="17" a="1"/>
  <c r="O54" i="17" s="1"/>
  <c r="O62" i="17" a="1"/>
  <c r="O62" i="17" s="1"/>
  <c r="O70" i="17" a="1"/>
  <c r="O70" i="17" s="1"/>
  <c r="O78" i="17" a="1"/>
  <c r="O78" i="17" s="1"/>
  <c r="O86" i="17" a="1"/>
  <c r="O86" i="17" s="1"/>
  <c r="O94" i="17" a="1"/>
  <c r="O94" i="17" s="1"/>
  <c r="O102" i="17" a="1"/>
  <c r="O102" i="17" s="1"/>
  <c r="O110" i="17" a="1"/>
  <c r="O110" i="17" s="1"/>
  <c r="O118" i="17" a="1"/>
  <c r="O118" i="17" s="1"/>
  <c r="O126" i="17" a="1"/>
  <c r="O126" i="17" s="1"/>
  <c r="O134" i="17" a="1"/>
  <c r="O134" i="17" s="1"/>
  <c r="O142" i="17" a="1"/>
  <c r="O142" i="17" s="1"/>
  <c r="O150" i="17" a="1"/>
  <c r="O150" i="17" s="1"/>
  <c r="O158" i="17" a="1"/>
  <c r="O158" i="17" s="1"/>
  <c r="O166" i="17" a="1"/>
  <c r="O166" i="17" s="1"/>
  <c r="O174" i="17" a="1"/>
  <c r="O174" i="17" s="1"/>
  <c r="O182" i="17" a="1"/>
  <c r="O182" i="17" s="1"/>
  <c r="O190" i="17" a="1"/>
  <c r="O190" i="17" s="1"/>
  <c r="O198" i="17" a="1"/>
  <c r="O198" i="17" s="1"/>
  <c r="O206" i="17" a="1"/>
  <c r="O206" i="17" s="1"/>
  <c r="O214" i="17" a="1"/>
  <c r="O214" i="17" s="1"/>
  <c r="O222" i="17" a="1"/>
  <c r="O222" i="17" s="1"/>
  <c r="O230" i="17" a="1"/>
  <c r="O230" i="17" s="1"/>
  <c r="O238" i="17" a="1"/>
  <c r="O238" i="17" s="1"/>
  <c r="O246" i="17" a="1"/>
  <c r="O246" i="17" s="1"/>
  <c r="O254" i="17" a="1"/>
  <c r="O254" i="17" s="1"/>
  <c r="O262" i="17" a="1"/>
  <c r="O262" i="17" s="1"/>
  <c r="O270" i="17" a="1"/>
  <c r="O270" i="17" s="1"/>
  <c r="O278" i="17" a="1"/>
  <c r="O278" i="17" s="1"/>
  <c r="O286" i="17" a="1"/>
  <c r="O286" i="17" s="1"/>
  <c r="O294" i="17" a="1"/>
  <c r="O294" i="17" s="1"/>
  <c r="O302" i="17" a="1"/>
  <c r="O302" i="17" s="1"/>
  <c r="O310" i="17" a="1"/>
  <c r="O310" i="17" s="1"/>
  <c r="O318" i="17" a="1"/>
  <c r="O318" i="17" s="1"/>
  <c r="O326" i="17" a="1"/>
  <c r="O326" i="17" s="1"/>
  <c r="O334" i="17" a="1"/>
  <c r="O334" i="17" s="1"/>
  <c r="O342" i="17" a="1"/>
  <c r="O342" i="17" s="1"/>
  <c r="O350" i="17" a="1"/>
  <c r="O350" i="17" s="1"/>
  <c r="O57" i="17" a="1"/>
  <c r="O57" i="17" s="1"/>
  <c r="O97" i="17" a="1"/>
  <c r="O97" i="17" s="1"/>
  <c r="O145" i="17" a="1"/>
  <c r="O145" i="17" s="1"/>
  <c r="O9" i="17" a="1"/>
  <c r="O9" i="17" s="1"/>
  <c r="O13" i="17" a="1"/>
  <c r="O13" i="17" s="1"/>
  <c r="O17" i="17" a="1"/>
  <c r="O17" i="17" s="1"/>
  <c r="O23" i="17" a="1"/>
  <c r="O23" i="17" s="1"/>
  <c r="O31" i="17" a="1"/>
  <c r="O31" i="17" s="1"/>
  <c r="O39" i="17" a="1"/>
  <c r="O39" i="17" s="1"/>
  <c r="O47" i="17" a="1"/>
  <c r="O47" i="17" s="1"/>
  <c r="O55" i="17" a="1"/>
  <c r="O55" i="17" s="1"/>
  <c r="O63" i="17" a="1"/>
  <c r="O63" i="17" s="1"/>
  <c r="O71" i="17" a="1"/>
  <c r="O71" i="17" s="1"/>
  <c r="O79" i="17" a="1"/>
  <c r="O79" i="17" s="1"/>
  <c r="O87" i="17" a="1"/>
  <c r="O87" i="17" s="1"/>
  <c r="O95" i="17" a="1"/>
  <c r="O95" i="17" s="1"/>
  <c r="O103" i="17" a="1"/>
  <c r="O103" i="17" s="1"/>
  <c r="O111" i="17" a="1"/>
  <c r="O111" i="17" s="1"/>
  <c r="O119" i="17" a="1"/>
  <c r="O119" i="17" s="1"/>
  <c r="O127" i="17" a="1"/>
  <c r="O127" i="17" s="1"/>
  <c r="O135" i="17" a="1"/>
  <c r="O135" i="17" s="1"/>
  <c r="O143" i="17" a="1"/>
  <c r="O143" i="17" s="1"/>
  <c r="O151" i="17" a="1"/>
  <c r="O151" i="17" s="1"/>
  <c r="O159" i="17" a="1"/>
  <c r="O159" i="17" s="1"/>
  <c r="O167" i="17" a="1"/>
  <c r="O167" i="17" s="1"/>
  <c r="O175" i="17" a="1"/>
  <c r="O175" i="17" s="1"/>
  <c r="O183" i="17" a="1"/>
  <c r="O183" i="17" s="1"/>
  <c r="O191" i="17" a="1"/>
  <c r="O191" i="17" s="1"/>
  <c r="O199" i="17" a="1"/>
  <c r="O199" i="17" s="1"/>
  <c r="O207" i="17" a="1"/>
  <c r="O207" i="17" s="1"/>
  <c r="O215" i="17" a="1"/>
  <c r="O215" i="17" s="1"/>
  <c r="O223" i="17" a="1"/>
  <c r="O223" i="17" s="1"/>
  <c r="O231" i="17" a="1"/>
  <c r="O231" i="17" s="1"/>
  <c r="O239" i="17" a="1"/>
  <c r="O239" i="17" s="1"/>
  <c r="O247" i="17" a="1"/>
  <c r="O247" i="17" s="1"/>
  <c r="O255" i="17" a="1"/>
  <c r="O255" i="17" s="1"/>
  <c r="O263" i="17" a="1"/>
  <c r="O263" i="17" s="1"/>
  <c r="O271" i="17" a="1"/>
  <c r="O271" i="17" s="1"/>
  <c r="O279" i="17" a="1"/>
  <c r="O279" i="17" s="1"/>
  <c r="O287" i="17" a="1"/>
  <c r="O287" i="17" s="1"/>
  <c r="O295" i="17" a="1"/>
  <c r="O295" i="17" s="1"/>
  <c r="O303" i="17" a="1"/>
  <c r="O303" i="17" s="1"/>
  <c r="O311" i="17" a="1"/>
  <c r="O311" i="17" s="1"/>
  <c r="O319" i="17" a="1"/>
  <c r="O319" i="17" s="1"/>
  <c r="O327" i="17" a="1"/>
  <c r="O327" i="17" s="1"/>
  <c r="O335" i="17" a="1"/>
  <c r="O335" i="17" s="1"/>
  <c r="O343" i="17" a="1"/>
  <c r="O343" i="17" s="1"/>
  <c r="O358" i="17" a="1"/>
  <c r="O358" i="17" s="1"/>
  <c r="O354" i="17" a="1"/>
  <c r="O354" i="17" s="1"/>
  <c r="O357" i="17" a="1"/>
  <c r="O357" i="17" s="1"/>
  <c r="O353" i="17" a="1"/>
  <c r="O353" i="17" s="1"/>
  <c r="O356" i="17" a="1"/>
  <c r="O356" i="17" s="1"/>
  <c r="O352" i="17" a="1"/>
  <c r="O352" i="17" s="1"/>
  <c r="O24" i="17" a="1"/>
  <c r="O24" i="17" s="1"/>
  <c r="O32" i="17" a="1"/>
  <c r="O32" i="17" s="1"/>
  <c r="O40" i="17" a="1"/>
  <c r="O40" i="17" s="1"/>
  <c r="O48" i="17" a="1"/>
  <c r="O48" i="17" s="1"/>
  <c r="O56" i="17" a="1"/>
  <c r="O56" i="17" s="1"/>
  <c r="O64" i="17" a="1"/>
  <c r="O64" i="17" s="1"/>
  <c r="O72" i="17" a="1"/>
  <c r="O72" i="17" s="1"/>
  <c r="O80" i="17" a="1"/>
  <c r="O80" i="17" s="1"/>
  <c r="O88" i="17" a="1"/>
  <c r="O88" i="17" s="1"/>
  <c r="O96" i="17" a="1"/>
  <c r="O96" i="17" s="1"/>
  <c r="O104" i="17" a="1"/>
  <c r="O104" i="17" s="1"/>
  <c r="O112" i="17" a="1"/>
  <c r="O112" i="17" s="1"/>
  <c r="O120" i="17" a="1"/>
  <c r="O120" i="17" s="1"/>
  <c r="O128" i="17" a="1"/>
  <c r="O128" i="17" s="1"/>
  <c r="O136" i="17" a="1"/>
  <c r="O136" i="17" s="1"/>
  <c r="O144" i="17" a="1"/>
  <c r="O144" i="17" s="1"/>
  <c r="O152" i="17" a="1"/>
  <c r="O152" i="17" s="1"/>
  <c r="O160" i="17" a="1"/>
  <c r="O160" i="17" s="1"/>
  <c r="O168" i="17" a="1"/>
  <c r="O168" i="17" s="1"/>
  <c r="O176" i="17" a="1"/>
  <c r="O176" i="17" s="1"/>
  <c r="O184" i="17" a="1"/>
  <c r="O184" i="17" s="1"/>
  <c r="O192" i="17" a="1"/>
  <c r="O192" i="17" s="1"/>
  <c r="O200" i="17" a="1"/>
  <c r="O200" i="17" s="1"/>
  <c r="O208" i="17" a="1"/>
  <c r="O208" i="17" s="1"/>
  <c r="O216" i="17" a="1"/>
  <c r="O216" i="17" s="1"/>
  <c r="O224" i="17" a="1"/>
  <c r="O224" i="17" s="1"/>
  <c r="O232" i="17" a="1"/>
  <c r="O232" i="17" s="1"/>
  <c r="O240" i="17" a="1"/>
  <c r="O240" i="17" s="1"/>
  <c r="O248" i="17" a="1"/>
  <c r="O248" i="17" s="1"/>
  <c r="O256" i="17" a="1"/>
  <c r="O256" i="17" s="1"/>
  <c r="O264" i="17" a="1"/>
  <c r="O264" i="17" s="1"/>
  <c r="O272" i="17" a="1"/>
  <c r="O272" i="17" s="1"/>
  <c r="O280" i="17" a="1"/>
  <c r="O280" i="17" s="1"/>
  <c r="O288" i="17" a="1"/>
  <c r="O288" i="17" s="1"/>
  <c r="O296" i="17" a="1"/>
  <c r="O296" i="17" s="1"/>
  <c r="O304" i="17" a="1"/>
  <c r="O304" i="17" s="1"/>
  <c r="O312" i="17" a="1"/>
  <c r="O312" i="17" s="1"/>
  <c r="O320" i="17" a="1"/>
  <c r="O320" i="17" s="1"/>
  <c r="O328" i="17" a="1"/>
  <c r="O328" i="17" s="1"/>
  <c r="O336" i="17" a="1"/>
  <c r="O336" i="17" s="1"/>
  <c r="O344" i="17" a="1"/>
  <c r="O344" i="17" s="1"/>
  <c r="O355" i="17" a="1"/>
  <c r="O355" i="17" s="1"/>
  <c r="AD50" i="2"/>
  <c r="AE52" i="2"/>
  <c r="AE40" i="2"/>
  <c r="AE44" i="2"/>
  <c r="AE48" i="2"/>
  <c r="AD44" i="2"/>
  <c r="AD48" i="2"/>
  <c r="AF52" i="2" l="1"/>
  <c r="V1" i="5"/>
  <c r="AN1" i="5"/>
  <c r="AT1" i="5" l="1"/>
  <c r="AU1" i="5" l="1"/>
  <c r="J5" i="21" l="1"/>
  <c r="J4" i="21"/>
  <c r="J3" i="21"/>
  <c r="J2" i="21"/>
  <c r="I5" i="21"/>
  <c r="H5" i="21"/>
  <c r="G5" i="21"/>
  <c r="F5" i="21"/>
  <c r="E5" i="21"/>
  <c r="D5" i="21"/>
  <c r="C5" i="21"/>
  <c r="I4" i="21"/>
  <c r="H4" i="21"/>
  <c r="G4" i="21"/>
  <c r="F4" i="21"/>
  <c r="E4" i="21"/>
  <c r="D4" i="21"/>
  <c r="C4" i="21"/>
  <c r="I3" i="21"/>
  <c r="H3" i="21"/>
  <c r="G3" i="21"/>
  <c r="F3" i="21"/>
  <c r="E3" i="21"/>
  <c r="D3" i="21"/>
  <c r="C3" i="21"/>
  <c r="I2" i="21"/>
  <c r="H2" i="21"/>
  <c r="G2" i="21"/>
  <c r="F2" i="21"/>
  <c r="E2" i="21"/>
  <c r="D2" i="21"/>
  <c r="C2" i="21"/>
  <c r="B2" i="21"/>
  <c r="B3" i="21"/>
  <c r="B4" i="21"/>
  <c r="B5" i="21"/>
  <c r="B1" i="21"/>
  <c r="N96" i="17" l="1" a="1"/>
  <c r="N96" i="17" s="1"/>
  <c r="N93" i="17" a="1"/>
  <c r="N93" i="17" s="1"/>
  <c r="M90" i="17" a="1"/>
  <c r="M90" i="17" s="1"/>
  <c r="N80" i="17" a="1"/>
  <c r="N80" i="17" s="1"/>
  <c r="N77" i="17" a="1"/>
  <c r="N77" i="17" s="1"/>
  <c r="M74" i="17" a="1"/>
  <c r="M74" i="17" s="1"/>
  <c r="N64" i="17" a="1"/>
  <c r="N64" i="17" s="1"/>
  <c r="N61" i="17" a="1"/>
  <c r="N61" i="17" s="1"/>
  <c r="M58" i="17" a="1"/>
  <c r="M58" i="17" s="1"/>
  <c r="K45" i="17" a="1"/>
  <c r="K45" i="17" s="1"/>
  <c r="N37" i="17" a="1"/>
  <c r="N37" i="17" s="1"/>
  <c r="M30" i="17" a="1"/>
  <c r="M30" i="17" s="1"/>
  <c r="N13" i="17" a="1"/>
  <c r="N13" i="17" s="1"/>
  <c r="N9" i="17" a="1"/>
  <c r="N9" i="17" s="1"/>
  <c r="M7" i="17" a="1"/>
  <c r="M7" i="17" s="1"/>
  <c r="N6" i="17" a="1"/>
  <c r="N6" i="17" s="1"/>
  <c r="J6" i="21" s="1"/>
  <c r="M6" i="17" a="1"/>
  <c r="M6" i="17" s="1"/>
  <c r="I6" i="21" s="1"/>
  <c r="N1" i="17"/>
  <c r="N90" i="17" s="1" a="1"/>
  <c r="N90" i="17" s="1"/>
  <c r="M1" i="17"/>
  <c r="L1" i="17"/>
  <c r="K1" i="17"/>
  <c r="G1" i="21" s="1"/>
  <c r="F6" i="17" a="1"/>
  <c r="F6" i="17" s="1"/>
  <c r="B6" i="21" s="1"/>
  <c r="G236" i="17" a="1"/>
  <c r="G236" i="17" s="1"/>
  <c r="G220" i="17" a="1"/>
  <c r="G220" i="17" s="1"/>
  <c r="G204" i="17" a="1"/>
  <c r="G204" i="17" s="1"/>
  <c r="G188" i="17" a="1"/>
  <c r="G188" i="17" s="1"/>
  <c r="G172" i="17" a="1"/>
  <c r="G172" i="17" s="1"/>
  <c r="G162" i="17" a="1"/>
  <c r="G162" i="17" s="1"/>
  <c r="G154" i="17" a="1"/>
  <c r="G154" i="17" s="1"/>
  <c r="G146" i="17" a="1"/>
  <c r="G146" i="17" s="1"/>
  <c r="G138" i="17" a="1"/>
  <c r="G138" i="17" s="1"/>
  <c r="G130" i="17" a="1"/>
  <c r="G130" i="17" s="1"/>
  <c r="G124" i="17" a="1"/>
  <c r="G124" i="17" s="1"/>
  <c r="G119" i="17" a="1"/>
  <c r="G119" i="17" s="1"/>
  <c r="I115" i="17" a="1"/>
  <c r="I115" i="17" s="1"/>
  <c r="I112" i="17" a="1"/>
  <c r="I112" i="17" s="1"/>
  <c r="I110" i="17" a="1"/>
  <c r="I110" i="17" s="1"/>
  <c r="I108" i="17" a="1"/>
  <c r="I108" i="17" s="1"/>
  <c r="I106" i="17" a="1"/>
  <c r="I106" i="17" s="1"/>
  <c r="I104" i="17" a="1"/>
  <c r="I104" i="17" s="1"/>
  <c r="I102" i="17" a="1"/>
  <c r="I102" i="17" s="1"/>
  <c r="I100" i="17" a="1"/>
  <c r="I100" i="17" s="1"/>
  <c r="I98" i="17" a="1"/>
  <c r="I98" i="17" s="1"/>
  <c r="I96" i="17" a="1"/>
  <c r="I96" i="17" s="1"/>
  <c r="I94" i="17" a="1"/>
  <c r="I94" i="17" s="1"/>
  <c r="I92" i="17" a="1"/>
  <c r="I92" i="17" s="1"/>
  <c r="I90" i="17" a="1"/>
  <c r="I90" i="17" s="1"/>
  <c r="I88" i="17" a="1"/>
  <c r="I88" i="17" s="1"/>
  <c r="I86" i="17" a="1"/>
  <c r="I86" i="17" s="1"/>
  <c r="I84" i="17" a="1"/>
  <c r="I84" i="17" s="1"/>
  <c r="I82" i="17" a="1"/>
  <c r="I82" i="17" s="1"/>
  <c r="I80" i="17" a="1"/>
  <c r="I80" i="17" s="1"/>
  <c r="I78" i="17" a="1"/>
  <c r="I78" i="17" s="1"/>
  <c r="I76" i="17" a="1"/>
  <c r="I76" i="17" s="1"/>
  <c r="I74" i="17" a="1"/>
  <c r="I74" i="17" s="1"/>
  <c r="I72" i="17" a="1"/>
  <c r="I72" i="17" s="1"/>
  <c r="I70" i="17" a="1"/>
  <c r="I70" i="17" s="1"/>
  <c r="I68" i="17" a="1"/>
  <c r="I68" i="17" s="1"/>
  <c r="I66" i="17" a="1"/>
  <c r="I66" i="17" s="1"/>
  <c r="I64" i="17" a="1"/>
  <c r="I64" i="17" s="1"/>
  <c r="I62" i="17" a="1"/>
  <c r="I62" i="17" s="1"/>
  <c r="I60" i="17" a="1"/>
  <c r="I60" i="17" s="1"/>
  <c r="I58" i="17" a="1"/>
  <c r="I58" i="17" s="1"/>
  <c r="I56" i="17" a="1"/>
  <c r="I56" i="17" s="1"/>
  <c r="I54" i="17" a="1"/>
  <c r="I54" i="17" s="1"/>
  <c r="I52" i="17" a="1"/>
  <c r="I52" i="17" s="1"/>
  <c r="I50" i="17" a="1"/>
  <c r="I50" i="17" s="1"/>
  <c r="I48" i="17" a="1"/>
  <c r="I48" i="17" s="1"/>
  <c r="I46" i="17" a="1"/>
  <c r="I46" i="17" s="1"/>
  <c r="I44" i="17" a="1"/>
  <c r="I44" i="17" s="1"/>
  <c r="I42" i="17" a="1"/>
  <c r="I42" i="17" s="1"/>
  <c r="I40" i="17" a="1"/>
  <c r="I40" i="17" s="1"/>
  <c r="I38" i="17" a="1"/>
  <c r="I38" i="17" s="1"/>
  <c r="I36" i="17" a="1"/>
  <c r="I36" i="17" s="1"/>
  <c r="I34" i="17" a="1"/>
  <c r="I34" i="17" s="1"/>
  <c r="I32" i="17" a="1"/>
  <c r="I32" i="17" s="1"/>
  <c r="I30" i="17" a="1"/>
  <c r="I30" i="17" s="1"/>
  <c r="I28" i="17" a="1"/>
  <c r="I28" i="17" s="1"/>
  <c r="I26" i="17" a="1"/>
  <c r="I26" i="17" s="1"/>
  <c r="I24" i="17" a="1"/>
  <c r="I24" i="17" s="1"/>
  <c r="I22" i="17" a="1"/>
  <c r="I22" i="17" s="1"/>
  <c r="I20" i="17" a="1"/>
  <c r="I20" i="17" s="1"/>
  <c r="I18" i="17" a="1"/>
  <c r="I18" i="17" s="1"/>
  <c r="I16" i="17" a="1"/>
  <c r="I16" i="17" s="1"/>
  <c r="I14" i="17" a="1"/>
  <c r="I14" i="17" s="1"/>
  <c r="I12" i="17" a="1"/>
  <c r="I12" i="17" s="1"/>
  <c r="I10" i="17" a="1"/>
  <c r="I10" i="17" s="1"/>
  <c r="H10" i="17" a="1"/>
  <c r="H10" i="17" s="1"/>
  <c r="H9" i="17" a="1"/>
  <c r="H9" i="17" s="1"/>
  <c r="I8" i="17" a="1"/>
  <c r="I8" i="17" s="1"/>
  <c r="H8" i="17" a="1"/>
  <c r="H8" i="17" s="1"/>
  <c r="H7" i="17" a="1"/>
  <c r="H7" i="17" s="1"/>
  <c r="G7" i="17" a="1"/>
  <c r="G7" i="17" s="1"/>
  <c r="F7" i="17" a="1"/>
  <c r="F7" i="17" s="1"/>
  <c r="D15" i="17"/>
  <c r="D19" i="17" s="1"/>
  <c r="D23" i="17" s="1"/>
  <c r="D27" i="17" s="1"/>
  <c r="D31" i="17" s="1"/>
  <c r="D35" i="17" s="1"/>
  <c r="D39" i="17" s="1"/>
  <c r="D43" i="17" s="1"/>
  <c r="D47" i="17" s="1"/>
  <c r="D51" i="17" s="1"/>
  <c r="D55" i="17" s="1"/>
  <c r="D59" i="17" s="1"/>
  <c r="D63" i="17" s="1"/>
  <c r="D67" i="17" s="1"/>
  <c r="D71" i="17" s="1"/>
  <c r="D75" i="17" s="1"/>
  <c r="D79" i="17" s="1"/>
  <c r="D83" i="17" s="1"/>
  <c r="D87" i="17" s="1"/>
  <c r="D91" i="17" s="1"/>
  <c r="D95" i="17" s="1"/>
  <c r="D99" i="17" s="1"/>
  <c r="D103" i="17" s="1"/>
  <c r="D107" i="17" s="1"/>
  <c r="D111" i="17" s="1"/>
  <c r="D115" i="17" s="1"/>
  <c r="D119" i="17" s="1"/>
  <c r="D123" i="17" s="1"/>
  <c r="D127" i="17" s="1"/>
  <c r="D131" i="17" s="1"/>
  <c r="D135" i="17" s="1"/>
  <c r="D139" i="17" s="1"/>
  <c r="D143" i="17" s="1"/>
  <c r="D147" i="17" s="1"/>
  <c r="D151" i="17" s="1"/>
  <c r="D155" i="17" s="1"/>
  <c r="D159" i="17" s="1"/>
  <c r="D163" i="17" s="1"/>
  <c r="D167" i="17" s="1"/>
  <c r="D171" i="17" s="1"/>
  <c r="D175" i="17" s="1"/>
  <c r="D179" i="17" s="1"/>
  <c r="D183" i="17" s="1"/>
  <c r="D187" i="17" s="1"/>
  <c r="D191" i="17" s="1"/>
  <c r="D195" i="17" s="1"/>
  <c r="D199" i="17" s="1"/>
  <c r="D203" i="17" s="1"/>
  <c r="D207" i="17" s="1"/>
  <c r="D211" i="17" s="1"/>
  <c r="D215" i="17" s="1"/>
  <c r="D219" i="17" s="1"/>
  <c r="D223" i="17" s="1"/>
  <c r="D227" i="17" s="1"/>
  <c r="D231" i="17" s="1"/>
  <c r="D235" i="17" s="1"/>
  <c r="D239" i="17" s="1"/>
  <c r="D243" i="17" s="1"/>
  <c r="D247" i="17" s="1"/>
  <c r="D251" i="17" s="1"/>
  <c r="D255" i="17" s="1"/>
  <c r="D259" i="17" s="1"/>
  <c r="D263" i="17" s="1"/>
  <c r="D267" i="17" s="1"/>
  <c r="D271" i="17" s="1"/>
  <c r="D275" i="17" s="1"/>
  <c r="D279" i="17" s="1"/>
  <c r="D283" i="17" s="1"/>
  <c r="D287" i="17" s="1"/>
  <c r="D291" i="17" s="1"/>
  <c r="D295" i="17" s="1"/>
  <c r="D299" i="17" s="1"/>
  <c r="D303" i="17" s="1"/>
  <c r="D307" i="17" s="1"/>
  <c r="D311" i="17" s="1"/>
  <c r="D315" i="17" s="1"/>
  <c r="D319" i="17" s="1"/>
  <c r="D323" i="17" s="1"/>
  <c r="D327" i="17" s="1"/>
  <c r="D331" i="17" s="1"/>
  <c r="D335" i="17" s="1"/>
  <c r="D339" i="17" s="1"/>
  <c r="D343" i="17" s="1"/>
  <c r="D347" i="17" s="1"/>
  <c r="D351" i="17" s="1"/>
  <c r="D355" i="17" s="1"/>
  <c r="D359" i="17" s="1"/>
  <c r="C15" i="17"/>
  <c r="C19" i="17" s="1"/>
  <c r="C23" i="17" s="1"/>
  <c r="C27" i="17" s="1"/>
  <c r="C31" i="17" s="1"/>
  <c r="C35" i="17" s="1"/>
  <c r="C39" i="17" s="1"/>
  <c r="C43" i="17" s="1"/>
  <c r="C47" i="17" s="1"/>
  <c r="C51" i="17" s="1"/>
  <c r="C55" i="17" s="1"/>
  <c r="C59" i="17" s="1"/>
  <c r="C63" i="17" s="1"/>
  <c r="C67" i="17" s="1"/>
  <c r="C71" i="17" s="1"/>
  <c r="C75" i="17" s="1"/>
  <c r="C79" i="17" s="1"/>
  <c r="C83" i="17" s="1"/>
  <c r="C87" i="17" s="1"/>
  <c r="C91" i="17" s="1"/>
  <c r="C95" i="17" s="1"/>
  <c r="C99" i="17" s="1"/>
  <c r="C103" i="17" s="1"/>
  <c r="C107" i="17" s="1"/>
  <c r="C111" i="17" s="1"/>
  <c r="C115" i="17" s="1"/>
  <c r="C119" i="17" s="1"/>
  <c r="C123" i="17" s="1"/>
  <c r="C127" i="17" s="1"/>
  <c r="C131" i="17" s="1"/>
  <c r="C135" i="17" s="1"/>
  <c r="C139" i="17" s="1"/>
  <c r="C143" i="17" s="1"/>
  <c r="C147" i="17" s="1"/>
  <c r="C151" i="17" s="1"/>
  <c r="C155" i="17" s="1"/>
  <c r="C159" i="17" s="1"/>
  <c r="C163" i="17" s="1"/>
  <c r="C167" i="17" s="1"/>
  <c r="C171" i="17" s="1"/>
  <c r="C175" i="17" s="1"/>
  <c r="C179" i="17" s="1"/>
  <c r="C183" i="17" s="1"/>
  <c r="C187" i="17" s="1"/>
  <c r="C191" i="17" s="1"/>
  <c r="C195" i="17" s="1"/>
  <c r="C199" i="17" s="1"/>
  <c r="C203" i="17" s="1"/>
  <c r="C207" i="17" s="1"/>
  <c r="C211" i="17" s="1"/>
  <c r="C215" i="17" s="1"/>
  <c r="C219" i="17" s="1"/>
  <c r="C223" i="17" s="1"/>
  <c r="C227" i="17" s="1"/>
  <c r="C231" i="17" s="1"/>
  <c r="C235" i="17" s="1"/>
  <c r="C239" i="17" s="1"/>
  <c r="C243" i="17" s="1"/>
  <c r="C247" i="17" s="1"/>
  <c r="C251" i="17" s="1"/>
  <c r="C255" i="17" s="1"/>
  <c r="C259" i="17" s="1"/>
  <c r="C263" i="17" s="1"/>
  <c r="C267" i="17" s="1"/>
  <c r="C271" i="17" s="1"/>
  <c r="C275" i="17" s="1"/>
  <c r="C279" i="17" s="1"/>
  <c r="C283" i="17" s="1"/>
  <c r="C287" i="17" s="1"/>
  <c r="C291" i="17" s="1"/>
  <c r="C295" i="17" s="1"/>
  <c r="C299" i="17" s="1"/>
  <c r="C303" i="17" s="1"/>
  <c r="C307" i="17" s="1"/>
  <c r="C311" i="17" s="1"/>
  <c r="C315" i="17" s="1"/>
  <c r="C319" i="17" s="1"/>
  <c r="C323" i="17" s="1"/>
  <c r="C327" i="17" s="1"/>
  <c r="C331" i="17" s="1"/>
  <c r="C335" i="17" s="1"/>
  <c r="C339" i="17" s="1"/>
  <c r="C343" i="17" s="1"/>
  <c r="C347" i="17" s="1"/>
  <c r="C351" i="17" s="1"/>
  <c r="C355" i="17" s="1"/>
  <c r="C359" i="17" s="1"/>
  <c r="C14" i="17"/>
  <c r="C18" i="17" s="1"/>
  <c r="C22" i="17" s="1"/>
  <c r="C26" i="17" s="1"/>
  <c r="C30" i="17" s="1"/>
  <c r="C34" i="17" s="1"/>
  <c r="C38" i="17" s="1"/>
  <c r="C42" i="17" s="1"/>
  <c r="C46" i="17" s="1"/>
  <c r="C50" i="17" s="1"/>
  <c r="C54" i="17" s="1"/>
  <c r="C58" i="17" s="1"/>
  <c r="C62" i="17" s="1"/>
  <c r="C66" i="17" s="1"/>
  <c r="C70" i="17" s="1"/>
  <c r="C74" i="17" s="1"/>
  <c r="C78" i="17" s="1"/>
  <c r="C82" i="17" s="1"/>
  <c r="C86" i="17" s="1"/>
  <c r="C90" i="17" s="1"/>
  <c r="C94" i="17" s="1"/>
  <c r="C98" i="17" s="1"/>
  <c r="C102" i="17" s="1"/>
  <c r="C106" i="17" s="1"/>
  <c r="C110" i="17" s="1"/>
  <c r="C114" i="17" s="1"/>
  <c r="C118" i="17" s="1"/>
  <c r="C122" i="17" s="1"/>
  <c r="C126" i="17" s="1"/>
  <c r="C130" i="17" s="1"/>
  <c r="C134" i="17" s="1"/>
  <c r="C138" i="17" s="1"/>
  <c r="C142" i="17" s="1"/>
  <c r="C146" i="17" s="1"/>
  <c r="C150" i="17" s="1"/>
  <c r="C154" i="17" s="1"/>
  <c r="C158" i="17" s="1"/>
  <c r="C162" i="17" s="1"/>
  <c r="C166" i="17" s="1"/>
  <c r="C170" i="17" s="1"/>
  <c r="C174" i="17" s="1"/>
  <c r="C178" i="17" s="1"/>
  <c r="C182" i="17" s="1"/>
  <c r="C186" i="17" s="1"/>
  <c r="C190" i="17" s="1"/>
  <c r="C194" i="17" s="1"/>
  <c r="C198" i="17" s="1"/>
  <c r="C202" i="17" s="1"/>
  <c r="C206" i="17" s="1"/>
  <c r="C210" i="17" s="1"/>
  <c r="C214" i="17" s="1"/>
  <c r="C218" i="17" s="1"/>
  <c r="C222" i="17" s="1"/>
  <c r="C226" i="17" s="1"/>
  <c r="C230" i="17" s="1"/>
  <c r="C234" i="17" s="1"/>
  <c r="C238" i="17" s="1"/>
  <c r="C242" i="17" s="1"/>
  <c r="C246" i="17" s="1"/>
  <c r="C250" i="17" s="1"/>
  <c r="C254" i="17" s="1"/>
  <c r="C258" i="17" s="1"/>
  <c r="C262" i="17" s="1"/>
  <c r="C266" i="17" s="1"/>
  <c r="C270" i="17" s="1"/>
  <c r="C274" i="17" s="1"/>
  <c r="C278" i="17" s="1"/>
  <c r="C282" i="17" s="1"/>
  <c r="C286" i="17" s="1"/>
  <c r="C290" i="17" s="1"/>
  <c r="C294" i="17" s="1"/>
  <c r="C298" i="17" s="1"/>
  <c r="C302" i="17" s="1"/>
  <c r="C306" i="17" s="1"/>
  <c r="C310" i="17" s="1"/>
  <c r="C314" i="17" s="1"/>
  <c r="C318" i="17" s="1"/>
  <c r="C322" i="17" s="1"/>
  <c r="C326" i="17" s="1"/>
  <c r="C330" i="17" s="1"/>
  <c r="C334" i="17" s="1"/>
  <c r="C338" i="17" s="1"/>
  <c r="C342" i="17" s="1"/>
  <c r="C346" i="17" s="1"/>
  <c r="C350" i="17" s="1"/>
  <c r="C354" i="17" s="1"/>
  <c r="C358" i="17" s="1"/>
  <c r="B14" i="17"/>
  <c r="B18" i="17" s="1"/>
  <c r="B22" i="17" s="1"/>
  <c r="B26" i="17" s="1"/>
  <c r="B30" i="17" s="1"/>
  <c r="B34" i="17" s="1"/>
  <c r="B38" i="17" s="1"/>
  <c r="B42" i="17" s="1"/>
  <c r="B46" i="17" s="1"/>
  <c r="B50" i="17" s="1"/>
  <c r="B54" i="17" s="1"/>
  <c r="B58" i="17" s="1"/>
  <c r="B62" i="17" s="1"/>
  <c r="B66" i="17" s="1"/>
  <c r="B70" i="17" s="1"/>
  <c r="B74" i="17" s="1"/>
  <c r="B78" i="17" s="1"/>
  <c r="B82" i="17" s="1"/>
  <c r="B86" i="17" s="1"/>
  <c r="B90" i="17" s="1"/>
  <c r="B94" i="17" s="1"/>
  <c r="B98" i="17" s="1"/>
  <c r="B102" i="17" s="1"/>
  <c r="B106" i="17" s="1"/>
  <c r="B110" i="17" s="1"/>
  <c r="B114" i="17" s="1"/>
  <c r="B118" i="17" s="1"/>
  <c r="B122" i="17" s="1"/>
  <c r="B126" i="17" s="1"/>
  <c r="B130" i="17" s="1"/>
  <c r="B134" i="17" s="1"/>
  <c r="B138" i="17" s="1"/>
  <c r="B142" i="17" s="1"/>
  <c r="B146" i="17" s="1"/>
  <c r="B150" i="17" s="1"/>
  <c r="B154" i="17" s="1"/>
  <c r="B158" i="17" s="1"/>
  <c r="B162" i="17" s="1"/>
  <c r="B166" i="17" s="1"/>
  <c r="B170" i="17" s="1"/>
  <c r="B174" i="17" s="1"/>
  <c r="B178" i="17" s="1"/>
  <c r="B182" i="17" s="1"/>
  <c r="B186" i="17" s="1"/>
  <c r="B190" i="17" s="1"/>
  <c r="B194" i="17" s="1"/>
  <c r="B198" i="17" s="1"/>
  <c r="B202" i="17" s="1"/>
  <c r="B206" i="17" s="1"/>
  <c r="B210" i="17" s="1"/>
  <c r="B214" i="17" s="1"/>
  <c r="B218" i="17" s="1"/>
  <c r="B222" i="17" s="1"/>
  <c r="B226" i="17" s="1"/>
  <c r="B230" i="17" s="1"/>
  <c r="B234" i="17" s="1"/>
  <c r="B238" i="17" s="1"/>
  <c r="B242" i="17" s="1"/>
  <c r="B246" i="17" s="1"/>
  <c r="B250" i="17" s="1"/>
  <c r="B254" i="17" s="1"/>
  <c r="B258" i="17" s="1"/>
  <c r="B262" i="17" s="1"/>
  <c r="B266" i="17" s="1"/>
  <c r="B270" i="17" s="1"/>
  <c r="B274" i="17" s="1"/>
  <c r="B278" i="17" s="1"/>
  <c r="B282" i="17" s="1"/>
  <c r="B286" i="17" s="1"/>
  <c r="B290" i="17" s="1"/>
  <c r="B294" i="17" s="1"/>
  <c r="B298" i="17" s="1"/>
  <c r="B302" i="17" s="1"/>
  <c r="B306" i="17" s="1"/>
  <c r="B310" i="17" s="1"/>
  <c r="B314" i="17" s="1"/>
  <c r="B318" i="17" s="1"/>
  <c r="B322" i="17" s="1"/>
  <c r="B326" i="17" s="1"/>
  <c r="B330" i="17" s="1"/>
  <c r="B334" i="17" s="1"/>
  <c r="B338" i="17" s="1"/>
  <c r="B342" i="17" s="1"/>
  <c r="B346" i="17" s="1"/>
  <c r="B350" i="17" s="1"/>
  <c r="B354" i="17" s="1"/>
  <c r="B358" i="17" s="1"/>
  <c r="C13" i="17"/>
  <c r="C17" i="17" s="1"/>
  <c r="C21" i="17" s="1"/>
  <c r="C25" i="17" s="1"/>
  <c r="C29" i="17" s="1"/>
  <c r="C33" i="17" s="1"/>
  <c r="C37" i="17" s="1"/>
  <c r="C41" i="17" s="1"/>
  <c r="C45" i="17" s="1"/>
  <c r="C49" i="17" s="1"/>
  <c r="C53" i="17" s="1"/>
  <c r="C57" i="17" s="1"/>
  <c r="C61" i="17" s="1"/>
  <c r="C65" i="17" s="1"/>
  <c r="C69" i="17" s="1"/>
  <c r="C73" i="17" s="1"/>
  <c r="C77" i="17" s="1"/>
  <c r="C81" i="17" s="1"/>
  <c r="C85" i="17" s="1"/>
  <c r="C89" i="17" s="1"/>
  <c r="C93" i="17" s="1"/>
  <c r="C97" i="17" s="1"/>
  <c r="C101" i="17" s="1"/>
  <c r="C105" i="17" s="1"/>
  <c r="C109" i="17" s="1"/>
  <c r="C113" i="17" s="1"/>
  <c r="C117" i="17" s="1"/>
  <c r="C121" i="17" s="1"/>
  <c r="C125" i="17" s="1"/>
  <c r="C129" i="17" s="1"/>
  <c r="C133" i="17" s="1"/>
  <c r="C137" i="17" s="1"/>
  <c r="C141" i="17" s="1"/>
  <c r="C145" i="17" s="1"/>
  <c r="C149" i="17" s="1"/>
  <c r="C153" i="17" s="1"/>
  <c r="C157" i="17" s="1"/>
  <c r="C161" i="17" s="1"/>
  <c r="C165" i="17" s="1"/>
  <c r="C169" i="17" s="1"/>
  <c r="C173" i="17" s="1"/>
  <c r="C177" i="17" s="1"/>
  <c r="C181" i="17" s="1"/>
  <c r="C185" i="17" s="1"/>
  <c r="C189" i="17" s="1"/>
  <c r="C193" i="17" s="1"/>
  <c r="C197" i="17" s="1"/>
  <c r="C201" i="17" s="1"/>
  <c r="C205" i="17" s="1"/>
  <c r="C209" i="17" s="1"/>
  <c r="C213" i="17" s="1"/>
  <c r="C217" i="17" s="1"/>
  <c r="C221" i="17" s="1"/>
  <c r="C225" i="17" s="1"/>
  <c r="C229" i="17" s="1"/>
  <c r="C233" i="17" s="1"/>
  <c r="C237" i="17" s="1"/>
  <c r="C241" i="17" s="1"/>
  <c r="C245" i="17" s="1"/>
  <c r="C249" i="17" s="1"/>
  <c r="C253" i="17" s="1"/>
  <c r="C257" i="17" s="1"/>
  <c r="C261" i="17" s="1"/>
  <c r="C265" i="17" s="1"/>
  <c r="C269" i="17" s="1"/>
  <c r="C273" i="17" s="1"/>
  <c r="C277" i="17" s="1"/>
  <c r="C281" i="17" s="1"/>
  <c r="C285" i="17" s="1"/>
  <c r="C289" i="17" s="1"/>
  <c r="C293" i="17" s="1"/>
  <c r="C297" i="17" s="1"/>
  <c r="C301" i="17" s="1"/>
  <c r="C305" i="17" s="1"/>
  <c r="C309" i="17" s="1"/>
  <c r="C313" i="17" s="1"/>
  <c r="C317" i="17" s="1"/>
  <c r="C321" i="17" s="1"/>
  <c r="C325" i="17" s="1"/>
  <c r="C329" i="17" s="1"/>
  <c r="C333" i="17" s="1"/>
  <c r="C337" i="17" s="1"/>
  <c r="C341" i="17" s="1"/>
  <c r="C345" i="17" s="1"/>
  <c r="C349" i="17" s="1"/>
  <c r="C353" i="17" s="1"/>
  <c r="C357" i="17" s="1"/>
  <c r="B13" i="17"/>
  <c r="B17" i="17" s="1"/>
  <c r="B21" i="17" s="1"/>
  <c r="B25" i="17" s="1"/>
  <c r="B29" i="17" s="1"/>
  <c r="B33" i="17" s="1"/>
  <c r="B37" i="17" s="1"/>
  <c r="B41" i="17" s="1"/>
  <c r="B45" i="17" s="1"/>
  <c r="B49" i="17" s="1"/>
  <c r="B53" i="17" s="1"/>
  <c r="B57" i="17" s="1"/>
  <c r="B61" i="17" s="1"/>
  <c r="B65" i="17" s="1"/>
  <c r="B69" i="17" s="1"/>
  <c r="B73" i="17" s="1"/>
  <c r="B77" i="17" s="1"/>
  <c r="B81" i="17" s="1"/>
  <c r="B85" i="17" s="1"/>
  <c r="B89" i="17" s="1"/>
  <c r="B93" i="17" s="1"/>
  <c r="B97" i="17" s="1"/>
  <c r="B101" i="17" s="1"/>
  <c r="B105" i="17" s="1"/>
  <c r="B109" i="17" s="1"/>
  <c r="B113" i="17" s="1"/>
  <c r="B117" i="17" s="1"/>
  <c r="B121" i="17" s="1"/>
  <c r="B125" i="17" s="1"/>
  <c r="B129" i="17" s="1"/>
  <c r="B133" i="17" s="1"/>
  <c r="B137" i="17" s="1"/>
  <c r="B141" i="17" s="1"/>
  <c r="B145" i="17" s="1"/>
  <c r="B149" i="17" s="1"/>
  <c r="B153" i="17" s="1"/>
  <c r="B157" i="17" s="1"/>
  <c r="B161" i="17" s="1"/>
  <c r="B165" i="17" s="1"/>
  <c r="B169" i="17" s="1"/>
  <c r="B173" i="17" s="1"/>
  <c r="B177" i="17" s="1"/>
  <c r="B181" i="17" s="1"/>
  <c r="B185" i="17" s="1"/>
  <c r="B189" i="17" s="1"/>
  <c r="B193" i="17" s="1"/>
  <c r="B197" i="17" s="1"/>
  <c r="B201" i="17" s="1"/>
  <c r="B205" i="17" s="1"/>
  <c r="B209" i="17" s="1"/>
  <c r="B213" i="17" s="1"/>
  <c r="B217" i="17" s="1"/>
  <c r="B221" i="17" s="1"/>
  <c r="B225" i="17" s="1"/>
  <c r="B229" i="17" s="1"/>
  <c r="B233" i="17" s="1"/>
  <c r="B237" i="17" s="1"/>
  <c r="B241" i="17" s="1"/>
  <c r="B245" i="17" s="1"/>
  <c r="B249" i="17" s="1"/>
  <c r="B253" i="17" s="1"/>
  <c r="B257" i="17" s="1"/>
  <c r="B261" i="17" s="1"/>
  <c r="B265" i="17" s="1"/>
  <c r="B269" i="17" s="1"/>
  <c r="B273" i="17" s="1"/>
  <c r="B277" i="17" s="1"/>
  <c r="B281" i="17" s="1"/>
  <c r="B285" i="17" s="1"/>
  <c r="B289" i="17" s="1"/>
  <c r="B293" i="17" s="1"/>
  <c r="B297" i="17" s="1"/>
  <c r="B301" i="17" s="1"/>
  <c r="B305" i="17" s="1"/>
  <c r="B309" i="17" s="1"/>
  <c r="B313" i="17" s="1"/>
  <c r="B317" i="17" s="1"/>
  <c r="B321" i="17" s="1"/>
  <c r="B325" i="17" s="1"/>
  <c r="B329" i="17" s="1"/>
  <c r="B333" i="17" s="1"/>
  <c r="B337" i="17" s="1"/>
  <c r="B341" i="17" s="1"/>
  <c r="B345" i="17" s="1"/>
  <c r="B349" i="17" s="1"/>
  <c r="B353" i="17" s="1"/>
  <c r="B357" i="17" s="1"/>
  <c r="C12" i="17"/>
  <c r="C16" i="17" s="1"/>
  <c r="C20" i="17" s="1"/>
  <c r="C24" i="17" s="1"/>
  <c r="C28" i="17" s="1"/>
  <c r="C32" i="17" s="1"/>
  <c r="C36" i="17" s="1"/>
  <c r="C40" i="17" s="1"/>
  <c r="C44" i="17" s="1"/>
  <c r="C48" i="17" s="1"/>
  <c r="C52" i="17" s="1"/>
  <c r="C56" i="17" s="1"/>
  <c r="C60" i="17" s="1"/>
  <c r="C64" i="17" s="1"/>
  <c r="C68" i="17" s="1"/>
  <c r="C72" i="17" s="1"/>
  <c r="C76" i="17" s="1"/>
  <c r="C80" i="17" s="1"/>
  <c r="C84" i="17" s="1"/>
  <c r="C88" i="17" s="1"/>
  <c r="C92" i="17" s="1"/>
  <c r="C96" i="17" s="1"/>
  <c r="C100" i="17" s="1"/>
  <c r="C104" i="17" s="1"/>
  <c r="C108" i="17" s="1"/>
  <c r="C112" i="17" s="1"/>
  <c r="C116" i="17" s="1"/>
  <c r="C120" i="17" s="1"/>
  <c r="C124" i="17" s="1"/>
  <c r="C128" i="17" s="1"/>
  <c r="C132" i="17" s="1"/>
  <c r="C136" i="17" s="1"/>
  <c r="C140" i="17" s="1"/>
  <c r="C144" i="17" s="1"/>
  <c r="C148" i="17" s="1"/>
  <c r="C152" i="17" s="1"/>
  <c r="C156" i="17" s="1"/>
  <c r="C160" i="17" s="1"/>
  <c r="C164" i="17" s="1"/>
  <c r="C168" i="17" s="1"/>
  <c r="C172" i="17" s="1"/>
  <c r="C176" i="17" s="1"/>
  <c r="C180" i="17" s="1"/>
  <c r="C184" i="17" s="1"/>
  <c r="C188" i="17" s="1"/>
  <c r="C192" i="17" s="1"/>
  <c r="C196" i="17" s="1"/>
  <c r="C200" i="17" s="1"/>
  <c r="C204" i="17" s="1"/>
  <c r="C208" i="17" s="1"/>
  <c r="C212" i="17" s="1"/>
  <c r="C216" i="17" s="1"/>
  <c r="C220" i="17" s="1"/>
  <c r="C224" i="17" s="1"/>
  <c r="C228" i="17" s="1"/>
  <c r="C232" i="17" s="1"/>
  <c r="C236" i="17" s="1"/>
  <c r="C240" i="17" s="1"/>
  <c r="C244" i="17" s="1"/>
  <c r="C248" i="17" s="1"/>
  <c r="C252" i="17" s="1"/>
  <c r="C256" i="17" s="1"/>
  <c r="C260" i="17" s="1"/>
  <c r="C264" i="17" s="1"/>
  <c r="C268" i="17" s="1"/>
  <c r="C272" i="17" s="1"/>
  <c r="C276" i="17" s="1"/>
  <c r="C280" i="17" s="1"/>
  <c r="C284" i="17" s="1"/>
  <c r="C288" i="17" s="1"/>
  <c r="C292" i="17" s="1"/>
  <c r="C296" i="17" s="1"/>
  <c r="C300" i="17" s="1"/>
  <c r="C304" i="17" s="1"/>
  <c r="C308" i="17" s="1"/>
  <c r="C312" i="17" s="1"/>
  <c r="C316" i="17" s="1"/>
  <c r="C320" i="17" s="1"/>
  <c r="C324" i="17" s="1"/>
  <c r="C328" i="17" s="1"/>
  <c r="C332" i="17" s="1"/>
  <c r="C336" i="17" s="1"/>
  <c r="C340" i="17" s="1"/>
  <c r="C344" i="17" s="1"/>
  <c r="C348" i="17" s="1"/>
  <c r="C352" i="17" s="1"/>
  <c r="C356" i="17" s="1"/>
  <c r="B12" i="17"/>
  <c r="B16" i="17" s="1"/>
  <c r="B20" i="17" s="1"/>
  <c r="B24" i="17" s="1"/>
  <c r="B28" i="17" s="1"/>
  <c r="B32" i="17" s="1"/>
  <c r="B36" i="17" s="1"/>
  <c r="B40" i="17" s="1"/>
  <c r="B44" i="17" s="1"/>
  <c r="B48" i="17" s="1"/>
  <c r="B52" i="17" s="1"/>
  <c r="B56" i="17" s="1"/>
  <c r="B60" i="17" s="1"/>
  <c r="B64" i="17" s="1"/>
  <c r="B68" i="17" s="1"/>
  <c r="B72" i="17" s="1"/>
  <c r="B76" i="17" s="1"/>
  <c r="B80" i="17" s="1"/>
  <c r="B84" i="17" s="1"/>
  <c r="B88" i="17" s="1"/>
  <c r="B92" i="17" s="1"/>
  <c r="B96" i="17" s="1"/>
  <c r="B100" i="17" s="1"/>
  <c r="B104" i="17" s="1"/>
  <c r="B108" i="17" s="1"/>
  <c r="B112" i="17" s="1"/>
  <c r="B116" i="17" s="1"/>
  <c r="B120" i="17" s="1"/>
  <c r="B124" i="17" s="1"/>
  <c r="B128" i="17" s="1"/>
  <c r="B132" i="17" s="1"/>
  <c r="B136" i="17" s="1"/>
  <c r="B140" i="17" s="1"/>
  <c r="B144" i="17" s="1"/>
  <c r="B148" i="17" s="1"/>
  <c r="B152" i="17" s="1"/>
  <c r="B156" i="17" s="1"/>
  <c r="B160" i="17" s="1"/>
  <c r="B164" i="17" s="1"/>
  <c r="B168" i="17" s="1"/>
  <c r="B172" i="17" s="1"/>
  <c r="B176" i="17" s="1"/>
  <c r="B180" i="17" s="1"/>
  <c r="B184" i="17" s="1"/>
  <c r="B188" i="17" s="1"/>
  <c r="B192" i="17" s="1"/>
  <c r="B196" i="17" s="1"/>
  <c r="B200" i="17" s="1"/>
  <c r="B204" i="17" s="1"/>
  <c r="B208" i="17" s="1"/>
  <c r="B212" i="17" s="1"/>
  <c r="B216" i="17" s="1"/>
  <c r="B220" i="17" s="1"/>
  <c r="B224" i="17" s="1"/>
  <c r="B228" i="17" s="1"/>
  <c r="B232" i="17" s="1"/>
  <c r="B236" i="17" s="1"/>
  <c r="B240" i="17" s="1"/>
  <c r="B244" i="17" s="1"/>
  <c r="B248" i="17" s="1"/>
  <c r="B252" i="17" s="1"/>
  <c r="B256" i="17" s="1"/>
  <c r="B260" i="17" s="1"/>
  <c r="B264" i="17" s="1"/>
  <c r="B268" i="17" s="1"/>
  <c r="B272" i="17" s="1"/>
  <c r="B276" i="17" s="1"/>
  <c r="B280" i="17" s="1"/>
  <c r="B284" i="17" s="1"/>
  <c r="B288" i="17" s="1"/>
  <c r="B292" i="17" s="1"/>
  <c r="B296" i="17" s="1"/>
  <c r="B300" i="17" s="1"/>
  <c r="B304" i="17" s="1"/>
  <c r="B308" i="17" s="1"/>
  <c r="B312" i="17" s="1"/>
  <c r="B316" i="17" s="1"/>
  <c r="B320" i="17" s="1"/>
  <c r="B324" i="17" s="1"/>
  <c r="B328" i="17" s="1"/>
  <c r="B332" i="17" s="1"/>
  <c r="B336" i="17" s="1"/>
  <c r="B340" i="17" s="1"/>
  <c r="B344" i="17" s="1"/>
  <c r="B348" i="17" s="1"/>
  <c r="B352" i="17" s="1"/>
  <c r="B356" i="17" s="1"/>
  <c r="B11" i="17"/>
  <c r="B15" i="17" s="1"/>
  <c r="B19" i="17" s="1"/>
  <c r="B23" i="17" s="1"/>
  <c r="B27" i="17" s="1"/>
  <c r="B31" i="17" s="1"/>
  <c r="B35" i="17" s="1"/>
  <c r="B39" i="17" s="1"/>
  <c r="B43" i="17" s="1"/>
  <c r="B47" i="17" s="1"/>
  <c r="B51" i="17" s="1"/>
  <c r="B55" i="17" s="1"/>
  <c r="B59" i="17" s="1"/>
  <c r="B63" i="17" s="1"/>
  <c r="B67" i="17" s="1"/>
  <c r="B71" i="17" s="1"/>
  <c r="B75" i="17" s="1"/>
  <c r="B79" i="17" s="1"/>
  <c r="B83" i="17" s="1"/>
  <c r="B87" i="17" s="1"/>
  <c r="B91" i="17" s="1"/>
  <c r="B95" i="17" s="1"/>
  <c r="B99" i="17" s="1"/>
  <c r="B103" i="17" s="1"/>
  <c r="B107" i="17" s="1"/>
  <c r="B111" i="17" s="1"/>
  <c r="B115" i="17" s="1"/>
  <c r="B119" i="17" s="1"/>
  <c r="B123" i="17" s="1"/>
  <c r="B127" i="17" s="1"/>
  <c r="B131" i="17" s="1"/>
  <c r="B135" i="17" s="1"/>
  <c r="B139" i="17" s="1"/>
  <c r="B143" i="17" s="1"/>
  <c r="B147" i="17" s="1"/>
  <c r="B151" i="17" s="1"/>
  <c r="B155" i="17" s="1"/>
  <c r="B159" i="17" s="1"/>
  <c r="B163" i="17" s="1"/>
  <c r="B167" i="17" s="1"/>
  <c r="B171" i="17" s="1"/>
  <c r="B175" i="17" s="1"/>
  <c r="B179" i="17" s="1"/>
  <c r="B183" i="17" s="1"/>
  <c r="B187" i="17" s="1"/>
  <c r="B191" i="17" s="1"/>
  <c r="B195" i="17" s="1"/>
  <c r="B199" i="17" s="1"/>
  <c r="B203" i="17" s="1"/>
  <c r="B207" i="17" s="1"/>
  <c r="B211" i="17" s="1"/>
  <c r="B215" i="17" s="1"/>
  <c r="B219" i="17" s="1"/>
  <c r="B223" i="17" s="1"/>
  <c r="B227" i="17" s="1"/>
  <c r="B231" i="17" s="1"/>
  <c r="B235" i="17" s="1"/>
  <c r="B239" i="17" s="1"/>
  <c r="B243" i="17" s="1"/>
  <c r="B247" i="17" s="1"/>
  <c r="B251" i="17" s="1"/>
  <c r="B255" i="17" s="1"/>
  <c r="B259" i="17" s="1"/>
  <c r="B263" i="17" s="1"/>
  <c r="B267" i="17" s="1"/>
  <c r="B271" i="17" s="1"/>
  <c r="B275" i="17" s="1"/>
  <c r="B279" i="17" s="1"/>
  <c r="B283" i="17" s="1"/>
  <c r="B287" i="17" s="1"/>
  <c r="B291" i="17" s="1"/>
  <c r="B295" i="17" s="1"/>
  <c r="B299" i="17" s="1"/>
  <c r="B303" i="17" s="1"/>
  <c r="B307" i="17" s="1"/>
  <c r="B311" i="17" s="1"/>
  <c r="B315" i="17" s="1"/>
  <c r="B319" i="17" s="1"/>
  <c r="B323" i="17" s="1"/>
  <c r="B327" i="17" s="1"/>
  <c r="B331" i="17" s="1"/>
  <c r="B335" i="17" s="1"/>
  <c r="B339" i="17" s="1"/>
  <c r="B343" i="17" s="1"/>
  <c r="B347" i="17" s="1"/>
  <c r="B351" i="17" s="1"/>
  <c r="B355" i="17" s="1"/>
  <c r="E8" i="17"/>
  <c r="E9" i="17" s="1"/>
  <c r="F9" i="17" s="1" a="1"/>
  <c r="F9" i="17" s="1"/>
  <c r="J1" i="17"/>
  <c r="I1" i="17"/>
  <c r="I121" i="17" s="1" a="1"/>
  <c r="I121" i="17" s="1"/>
  <c r="H1" i="17"/>
  <c r="H111" i="17" s="1" a="1"/>
  <c r="H111" i="17" s="1"/>
  <c r="G1" i="17"/>
  <c r="D7" i="21" l="1"/>
  <c r="C1" i="21"/>
  <c r="G358" i="17" a="1"/>
  <c r="G358" i="17" s="1"/>
  <c r="G356" i="17" a="1"/>
  <c r="G356" i="17" s="1"/>
  <c r="G354" i="17" a="1"/>
  <c r="G354" i="17" s="1"/>
  <c r="G352" i="17" a="1"/>
  <c r="G352" i="17" s="1"/>
  <c r="G350" i="17" a="1"/>
  <c r="G350" i="17" s="1"/>
  <c r="G348" i="17" a="1"/>
  <c r="G348" i="17" s="1"/>
  <c r="G346" i="17" a="1"/>
  <c r="G346" i="17" s="1"/>
  <c r="G344" i="17" a="1"/>
  <c r="G344" i="17" s="1"/>
  <c r="G342" i="17" a="1"/>
  <c r="G342" i="17" s="1"/>
  <c r="G340" i="17" a="1"/>
  <c r="G340" i="17" s="1"/>
  <c r="G338" i="17" a="1"/>
  <c r="G338" i="17" s="1"/>
  <c r="G336" i="17" a="1"/>
  <c r="G336" i="17" s="1"/>
  <c r="G334" i="17" a="1"/>
  <c r="G334" i="17" s="1"/>
  <c r="G332" i="17" a="1"/>
  <c r="G332" i="17" s="1"/>
  <c r="G330" i="17" a="1"/>
  <c r="G330" i="17" s="1"/>
  <c r="G328" i="17" a="1"/>
  <c r="G328" i="17" s="1"/>
  <c r="G326" i="17" a="1"/>
  <c r="G326" i="17" s="1"/>
  <c r="G324" i="17" a="1"/>
  <c r="G324" i="17" s="1"/>
  <c r="G322" i="17" a="1"/>
  <c r="G322" i="17" s="1"/>
  <c r="G320" i="17" a="1"/>
  <c r="G320" i="17" s="1"/>
  <c r="G318" i="17" a="1"/>
  <c r="G318" i="17" s="1"/>
  <c r="G316" i="17" a="1"/>
  <c r="G316" i="17" s="1"/>
  <c r="G314" i="17" a="1"/>
  <c r="G314" i="17" s="1"/>
  <c r="G312" i="17" a="1"/>
  <c r="G312" i="17" s="1"/>
  <c r="G310" i="17" a="1"/>
  <c r="G310" i="17" s="1"/>
  <c r="G308" i="17" a="1"/>
  <c r="G308" i="17" s="1"/>
  <c r="G306" i="17" a="1"/>
  <c r="G306" i="17" s="1"/>
  <c r="G304" i="17" a="1"/>
  <c r="G304" i="17" s="1"/>
  <c r="G302" i="17" a="1"/>
  <c r="G302" i="17" s="1"/>
  <c r="G300" i="17" a="1"/>
  <c r="G300" i="17" s="1"/>
  <c r="G298" i="17" a="1"/>
  <c r="G298" i="17" s="1"/>
  <c r="G296" i="17" a="1"/>
  <c r="G296" i="17" s="1"/>
  <c r="G294" i="17" a="1"/>
  <c r="G294" i="17" s="1"/>
  <c r="G292" i="17" a="1"/>
  <c r="G292" i="17" s="1"/>
  <c r="G290" i="17" a="1"/>
  <c r="G290" i="17" s="1"/>
  <c r="G288" i="17" a="1"/>
  <c r="G288" i="17" s="1"/>
  <c r="G286" i="17" a="1"/>
  <c r="G286" i="17" s="1"/>
  <c r="G284" i="17" a="1"/>
  <c r="G284" i="17" s="1"/>
  <c r="G282" i="17" a="1"/>
  <c r="G282" i="17" s="1"/>
  <c r="G280" i="17" a="1"/>
  <c r="G280" i="17" s="1"/>
  <c r="G278" i="17" a="1"/>
  <c r="G278" i="17" s="1"/>
  <c r="G276" i="17" a="1"/>
  <c r="G276" i="17" s="1"/>
  <c r="G274" i="17" a="1"/>
  <c r="G274" i="17" s="1"/>
  <c r="G272" i="17" a="1"/>
  <c r="G272" i="17" s="1"/>
  <c r="G270" i="17" a="1"/>
  <c r="G270" i="17" s="1"/>
  <c r="G6" i="17" a="1"/>
  <c r="G6" i="17" s="1"/>
  <c r="C6" i="21" s="1"/>
  <c r="G357" i="17" a="1"/>
  <c r="G357" i="17" s="1"/>
  <c r="G355" i="17" a="1"/>
  <c r="G355" i="17" s="1"/>
  <c r="G353" i="17" a="1"/>
  <c r="G353" i="17" s="1"/>
  <c r="G351" i="17" a="1"/>
  <c r="G351" i="17" s="1"/>
  <c r="G349" i="17" a="1"/>
  <c r="G349" i="17" s="1"/>
  <c r="G347" i="17" a="1"/>
  <c r="G347" i="17" s="1"/>
  <c r="G345" i="17" a="1"/>
  <c r="G345" i="17" s="1"/>
  <c r="G343" i="17" a="1"/>
  <c r="G343" i="17" s="1"/>
  <c r="G341" i="17" a="1"/>
  <c r="G341" i="17" s="1"/>
  <c r="G339" i="17" a="1"/>
  <c r="G339" i="17" s="1"/>
  <c r="C90" i="21" s="1"/>
  <c r="G337" i="17" a="1"/>
  <c r="G337" i="17" s="1"/>
  <c r="G335" i="17" a="1"/>
  <c r="G335" i="17" s="1"/>
  <c r="G333" i="17" a="1"/>
  <c r="G333" i="17" s="1"/>
  <c r="G331" i="17" a="1"/>
  <c r="G331" i="17" s="1"/>
  <c r="G329" i="17" a="1"/>
  <c r="G329" i="17" s="1"/>
  <c r="G327" i="17" a="1"/>
  <c r="G327" i="17" s="1"/>
  <c r="G325" i="17" a="1"/>
  <c r="G325" i="17" s="1"/>
  <c r="G323" i="17" a="1"/>
  <c r="G323" i="17" s="1"/>
  <c r="C86" i="21" s="1"/>
  <c r="G321" i="17" a="1"/>
  <c r="G321" i="17" s="1"/>
  <c r="G319" i="17" a="1"/>
  <c r="G319" i="17" s="1"/>
  <c r="G317" i="17" a="1"/>
  <c r="G317" i="17" s="1"/>
  <c r="G315" i="17" a="1"/>
  <c r="G315" i="17" s="1"/>
  <c r="G313" i="17" a="1"/>
  <c r="G313" i="17" s="1"/>
  <c r="G311" i="17" a="1"/>
  <c r="G311" i="17" s="1"/>
  <c r="G309" i="17" a="1"/>
  <c r="G309" i="17" s="1"/>
  <c r="G307" i="17" a="1"/>
  <c r="G307" i="17" s="1"/>
  <c r="C82" i="21" s="1"/>
  <c r="G305" i="17" a="1"/>
  <c r="G305" i="17" s="1"/>
  <c r="G303" i="17" a="1"/>
  <c r="G303" i="17" s="1"/>
  <c r="G301" i="17" a="1"/>
  <c r="G301" i="17" s="1"/>
  <c r="G299" i="17" a="1"/>
  <c r="G299" i="17" s="1"/>
  <c r="G297" i="17" a="1"/>
  <c r="G297" i="17" s="1"/>
  <c r="G295" i="17" a="1"/>
  <c r="G295" i="17" s="1"/>
  <c r="G293" i="17" a="1"/>
  <c r="G293" i="17" s="1"/>
  <c r="G291" i="17" a="1"/>
  <c r="G291" i="17" s="1"/>
  <c r="C78" i="21" s="1"/>
  <c r="G289" i="17" a="1"/>
  <c r="G289" i="17" s="1"/>
  <c r="G287" i="17" a="1"/>
  <c r="G287" i="17" s="1"/>
  <c r="C77" i="21" s="1"/>
  <c r="G285" i="17" a="1"/>
  <c r="G285" i="17" s="1"/>
  <c r="G283" i="17" a="1"/>
  <c r="G283" i="17" s="1"/>
  <c r="G281" i="17" a="1"/>
  <c r="G281" i="17" s="1"/>
  <c r="G279" i="17" a="1"/>
  <c r="G279" i="17" s="1"/>
  <c r="G277" i="17" a="1"/>
  <c r="G277" i="17" s="1"/>
  <c r="G275" i="17" a="1"/>
  <c r="G275" i="17" s="1"/>
  <c r="C74" i="21" s="1"/>
  <c r="G273" i="17" a="1"/>
  <c r="G273" i="17" s="1"/>
  <c r="G271" i="17" a="1"/>
  <c r="G271" i="17" s="1"/>
  <c r="C73" i="21" s="1"/>
  <c r="G269" i="17" a="1"/>
  <c r="G269" i="17" s="1"/>
  <c r="G265" i="17" a="1"/>
  <c r="G265" i="17" s="1"/>
  <c r="G261" i="17" a="1"/>
  <c r="G261" i="17" s="1"/>
  <c r="G257" i="17" a="1"/>
  <c r="G257" i="17" s="1"/>
  <c r="G254" i="17" a="1"/>
  <c r="G254" i="17" s="1"/>
  <c r="G268" i="17" a="1"/>
  <c r="G268" i="17" s="1"/>
  <c r="G264" i="17" a="1"/>
  <c r="G264" i="17" s="1"/>
  <c r="G260" i="17" a="1"/>
  <c r="G260" i="17" s="1"/>
  <c r="G256" i="17" a="1"/>
  <c r="G256" i="17" s="1"/>
  <c r="G253" i="17" a="1"/>
  <c r="G253" i="17" s="1"/>
  <c r="G251" i="17" a="1"/>
  <c r="G251" i="17" s="1"/>
  <c r="G249" i="17" a="1"/>
  <c r="G249" i="17" s="1"/>
  <c r="G247" i="17" a="1"/>
  <c r="G247" i="17" s="1"/>
  <c r="G245" i="17" a="1"/>
  <c r="G245" i="17" s="1"/>
  <c r="G243" i="17" a="1"/>
  <c r="G243" i="17" s="1"/>
  <c r="G241" i="17" a="1"/>
  <c r="G241" i="17" s="1"/>
  <c r="G239" i="17" a="1"/>
  <c r="G239" i="17" s="1"/>
  <c r="G237" i="17" a="1"/>
  <c r="G237" i="17" s="1"/>
  <c r="G235" i="17" a="1"/>
  <c r="G235" i="17" s="1"/>
  <c r="G233" i="17" a="1"/>
  <c r="G233" i="17" s="1"/>
  <c r="G231" i="17" a="1"/>
  <c r="G231" i="17" s="1"/>
  <c r="G229" i="17" a="1"/>
  <c r="G229" i="17" s="1"/>
  <c r="G227" i="17" a="1"/>
  <c r="G227" i="17" s="1"/>
  <c r="G225" i="17" a="1"/>
  <c r="G225" i="17" s="1"/>
  <c r="G223" i="17" a="1"/>
  <c r="G223" i="17" s="1"/>
  <c r="G221" i="17" a="1"/>
  <c r="G221" i="17" s="1"/>
  <c r="G219" i="17" a="1"/>
  <c r="G219" i="17" s="1"/>
  <c r="G217" i="17" a="1"/>
  <c r="G217" i="17" s="1"/>
  <c r="G215" i="17" a="1"/>
  <c r="G215" i="17" s="1"/>
  <c r="G213" i="17" a="1"/>
  <c r="G213" i="17" s="1"/>
  <c r="G211" i="17" a="1"/>
  <c r="G211" i="17" s="1"/>
  <c r="G209" i="17" a="1"/>
  <c r="G209" i="17" s="1"/>
  <c r="G207" i="17" a="1"/>
  <c r="G207" i="17" s="1"/>
  <c r="G205" i="17" a="1"/>
  <c r="G205" i="17" s="1"/>
  <c r="G203" i="17" a="1"/>
  <c r="G203" i="17" s="1"/>
  <c r="G201" i="17" a="1"/>
  <c r="G201" i="17" s="1"/>
  <c r="G199" i="17" a="1"/>
  <c r="G199" i="17" s="1"/>
  <c r="G197" i="17" a="1"/>
  <c r="G197" i="17" s="1"/>
  <c r="G195" i="17" a="1"/>
  <c r="G195" i="17" s="1"/>
  <c r="G193" i="17" a="1"/>
  <c r="G193" i="17" s="1"/>
  <c r="G191" i="17" a="1"/>
  <c r="G191" i="17" s="1"/>
  <c r="G189" i="17" a="1"/>
  <c r="G189" i="17" s="1"/>
  <c r="G187" i="17" a="1"/>
  <c r="G187" i="17" s="1"/>
  <c r="G185" i="17" a="1"/>
  <c r="G185" i="17" s="1"/>
  <c r="G183" i="17" a="1"/>
  <c r="G183" i="17" s="1"/>
  <c r="G181" i="17" a="1"/>
  <c r="G181" i="17" s="1"/>
  <c r="G179" i="17" a="1"/>
  <c r="G179" i="17" s="1"/>
  <c r="G177" i="17" a="1"/>
  <c r="G177" i="17" s="1"/>
  <c r="G175" i="17" a="1"/>
  <c r="G175" i="17" s="1"/>
  <c r="G173" i="17" a="1"/>
  <c r="G173" i="17" s="1"/>
  <c r="G171" i="17" a="1"/>
  <c r="G171" i="17" s="1"/>
  <c r="G169" i="17" a="1"/>
  <c r="G169" i="17" s="1"/>
  <c r="G267" i="17" a="1"/>
  <c r="G267" i="17" s="1"/>
  <c r="G263" i="17" a="1"/>
  <c r="G263" i="17" s="1"/>
  <c r="G259" i="17" a="1"/>
  <c r="G259" i="17" s="1"/>
  <c r="G255" i="17" a="1"/>
  <c r="G255" i="17" s="1"/>
  <c r="G266" i="17" a="1"/>
  <c r="G266" i="17" s="1"/>
  <c r="G262" i="17" a="1"/>
  <c r="G262" i="17" s="1"/>
  <c r="G258" i="17" a="1"/>
  <c r="G258" i="17" s="1"/>
  <c r="G252" i="17" a="1"/>
  <c r="G252" i="17" s="1"/>
  <c r="F1" i="21"/>
  <c r="J6" i="17" a="1"/>
  <c r="J6" i="17" s="1"/>
  <c r="F6" i="21" s="1"/>
  <c r="J358" i="17" a="1"/>
  <c r="J358" i="17" s="1"/>
  <c r="J356" i="17" a="1"/>
  <c r="J356" i="17" s="1"/>
  <c r="J354" i="17" a="1"/>
  <c r="J354" i="17" s="1"/>
  <c r="J352" i="17" a="1"/>
  <c r="J352" i="17" s="1"/>
  <c r="J350" i="17" a="1"/>
  <c r="J350" i="17" s="1"/>
  <c r="J348" i="17" a="1"/>
  <c r="J348" i="17" s="1"/>
  <c r="J346" i="17" a="1"/>
  <c r="J346" i="17" s="1"/>
  <c r="J344" i="17" a="1"/>
  <c r="J344" i="17" s="1"/>
  <c r="J342" i="17" a="1"/>
  <c r="J342" i="17" s="1"/>
  <c r="J340" i="17" a="1"/>
  <c r="J340" i="17" s="1"/>
  <c r="J338" i="17" a="1"/>
  <c r="J338" i="17" s="1"/>
  <c r="J336" i="17" a="1"/>
  <c r="J336" i="17" s="1"/>
  <c r="J334" i="17" a="1"/>
  <c r="J334" i="17" s="1"/>
  <c r="J332" i="17" a="1"/>
  <c r="J332" i="17" s="1"/>
  <c r="J330" i="17" a="1"/>
  <c r="J330" i="17" s="1"/>
  <c r="J328" i="17" a="1"/>
  <c r="J328" i="17" s="1"/>
  <c r="J326" i="17" a="1"/>
  <c r="J326" i="17" s="1"/>
  <c r="J324" i="17" a="1"/>
  <c r="J324" i="17" s="1"/>
  <c r="J322" i="17" a="1"/>
  <c r="J322" i="17" s="1"/>
  <c r="J320" i="17" a="1"/>
  <c r="J320" i="17" s="1"/>
  <c r="J318" i="17" a="1"/>
  <c r="J318" i="17" s="1"/>
  <c r="J316" i="17" a="1"/>
  <c r="J316" i="17" s="1"/>
  <c r="J314" i="17" a="1"/>
  <c r="J314" i="17" s="1"/>
  <c r="J312" i="17" a="1"/>
  <c r="J312" i="17" s="1"/>
  <c r="J310" i="17" a="1"/>
  <c r="J310" i="17" s="1"/>
  <c r="J308" i="17" a="1"/>
  <c r="J308" i="17" s="1"/>
  <c r="J306" i="17" a="1"/>
  <c r="J306" i="17" s="1"/>
  <c r="J304" i="17" a="1"/>
  <c r="J304" i="17" s="1"/>
  <c r="J302" i="17" a="1"/>
  <c r="J302" i="17" s="1"/>
  <c r="J300" i="17" a="1"/>
  <c r="J300" i="17" s="1"/>
  <c r="J298" i="17" a="1"/>
  <c r="J298" i="17" s="1"/>
  <c r="J296" i="17" a="1"/>
  <c r="J296" i="17" s="1"/>
  <c r="J294" i="17" a="1"/>
  <c r="J294" i="17" s="1"/>
  <c r="J292" i="17" a="1"/>
  <c r="J292" i="17" s="1"/>
  <c r="J290" i="17" a="1"/>
  <c r="J290" i="17" s="1"/>
  <c r="J288" i="17" a="1"/>
  <c r="J288" i="17" s="1"/>
  <c r="J286" i="17" a="1"/>
  <c r="J286" i="17" s="1"/>
  <c r="J284" i="17" a="1"/>
  <c r="J284" i="17" s="1"/>
  <c r="J282" i="17" a="1"/>
  <c r="J282" i="17" s="1"/>
  <c r="J280" i="17" a="1"/>
  <c r="J280" i="17" s="1"/>
  <c r="J278" i="17" a="1"/>
  <c r="J278" i="17" s="1"/>
  <c r="J276" i="17" a="1"/>
  <c r="J276" i="17" s="1"/>
  <c r="J274" i="17" a="1"/>
  <c r="J274" i="17" s="1"/>
  <c r="J272" i="17" a="1"/>
  <c r="J272" i="17" s="1"/>
  <c r="J270" i="17" a="1"/>
  <c r="J270" i="17" s="1"/>
  <c r="J268" i="17" a="1"/>
  <c r="J268" i="17" s="1"/>
  <c r="J266" i="17" a="1"/>
  <c r="J266" i="17" s="1"/>
  <c r="J264" i="17" a="1"/>
  <c r="J264" i="17" s="1"/>
  <c r="J262" i="17" a="1"/>
  <c r="J262" i="17" s="1"/>
  <c r="J260" i="17" a="1"/>
  <c r="J260" i="17" s="1"/>
  <c r="J258" i="17" a="1"/>
  <c r="J258" i="17" s="1"/>
  <c r="J256" i="17" a="1"/>
  <c r="J256" i="17" s="1"/>
  <c r="J254" i="17" a="1"/>
  <c r="J254" i="17" s="1"/>
  <c r="J355" i="17" a="1"/>
  <c r="J355" i="17" s="1"/>
  <c r="J251" i="17" a="1"/>
  <c r="J251" i="17" s="1"/>
  <c r="J249" i="17" a="1"/>
  <c r="J249" i="17" s="1"/>
  <c r="J247" i="17" a="1"/>
  <c r="J247" i="17" s="1"/>
  <c r="J245" i="17" a="1"/>
  <c r="J245" i="17" s="1"/>
  <c r="J243" i="17" a="1"/>
  <c r="J243" i="17" s="1"/>
  <c r="J241" i="17" a="1"/>
  <c r="J241" i="17" s="1"/>
  <c r="J239" i="17" a="1"/>
  <c r="J239" i="17" s="1"/>
  <c r="J237" i="17" a="1"/>
  <c r="J237" i="17" s="1"/>
  <c r="J235" i="17" a="1"/>
  <c r="J235" i="17" s="1"/>
  <c r="J233" i="17" a="1"/>
  <c r="J233" i="17" s="1"/>
  <c r="J231" i="17" a="1"/>
  <c r="J231" i="17" s="1"/>
  <c r="J229" i="17" a="1"/>
  <c r="J229" i="17" s="1"/>
  <c r="J227" i="17" a="1"/>
  <c r="J227" i="17" s="1"/>
  <c r="J225" i="17" a="1"/>
  <c r="J225" i="17" s="1"/>
  <c r="J223" i="17" a="1"/>
  <c r="J223" i="17" s="1"/>
  <c r="J221" i="17" a="1"/>
  <c r="J221" i="17" s="1"/>
  <c r="J219" i="17" a="1"/>
  <c r="J219" i="17" s="1"/>
  <c r="J217" i="17" a="1"/>
  <c r="J217" i="17" s="1"/>
  <c r="J215" i="17" a="1"/>
  <c r="J215" i="17" s="1"/>
  <c r="J213" i="17" a="1"/>
  <c r="J213" i="17" s="1"/>
  <c r="J211" i="17" a="1"/>
  <c r="J211" i="17" s="1"/>
  <c r="J209" i="17" a="1"/>
  <c r="J209" i="17" s="1"/>
  <c r="J207" i="17" a="1"/>
  <c r="J207" i="17" s="1"/>
  <c r="J205" i="17" a="1"/>
  <c r="J205" i="17" s="1"/>
  <c r="J203" i="17" a="1"/>
  <c r="J203" i="17" s="1"/>
  <c r="J201" i="17" a="1"/>
  <c r="J201" i="17" s="1"/>
  <c r="J199" i="17" a="1"/>
  <c r="J199" i="17" s="1"/>
  <c r="J197" i="17" a="1"/>
  <c r="J197" i="17" s="1"/>
  <c r="J195" i="17" a="1"/>
  <c r="J195" i="17" s="1"/>
  <c r="J193" i="17" a="1"/>
  <c r="J193" i="17" s="1"/>
  <c r="J191" i="17" a="1"/>
  <c r="J191" i="17" s="1"/>
  <c r="J189" i="17" a="1"/>
  <c r="J189" i="17" s="1"/>
  <c r="J187" i="17" a="1"/>
  <c r="J187" i="17" s="1"/>
  <c r="J185" i="17" a="1"/>
  <c r="J185" i="17" s="1"/>
  <c r="J183" i="17" a="1"/>
  <c r="J183" i="17" s="1"/>
  <c r="J181" i="17" a="1"/>
  <c r="J181" i="17" s="1"/>
  <c r="J179" i="17" a="1"/>
  <c r="J179" i="17" s="1"/>
  <c r="J177" i="17" a="1"/>
  <c r="J177" i="17" s="1"/>
  <c r="J175" i="17" a="1"/>
  <c r="J175" i="17" s="1"/>
  <c r="J173" i="17" a="1"/>
  <c r="J173" i="17" s="1"/>
  <c r="J171" i="17" a="1"/>
  <c r="J171" i="17" s="1"/>
  <c r="J169" i="17" a="1"/>
  <c r="J169" i="17" s="1"/>
  <c r="J167" i="17" a="1"/>
  <c r="J167" i="17" s="1"/>
  <c r="J165" i="17" a="1"/>
  <c r="J165" i="17" s="1"/>
  <c r="J163" i="17" a="1"/>
  <c r="J163" i="17" s="1"/>
  <c r="J161" i="17" a="1"/>
  <c r="J161" i="17" s="1"/>
  <c r="J159" i="17" a="1"/>
  <c r="J159" i="17" s="1"/>
  <c r="J157" i="17" a="1"/>
  <c r="J157" i="17" s="1"/>
  <c r="J155" i="17" a="1"/>
  <c r="J155" i="17" s="1"/>
  <c r="J153" i="17" a="1"/>
  <c r="J153" i="17" s="1"/>
  <c r="J151" i="17" a="1"/>
  <c r="J151" i="17" s="1"/>
  <c r="J149" i="17" a="1"/>
  <c r="J149" i="17" s="1"/>
  <c r="J147" i="17" a="1"/>
  <c r="J147" i="17" s="1"/>
  <c r="J145" i="17" a="1"/>
  <c r="J145" i="17" s="1"/>
  <c r="J143" i="17" a="1"/>
  <c r="J143" i="17" s="1"/>
  <c r="J141" i="17" a="1"/>
  <c r="J141" i="17" s="1"/>
  <c r="J139" i="17" a="1"/>
  <c r="J139" i="17" s="1"/>
  <c r="J137" i="17" a="1"/>
  <c r="J137" i="17" s="1"/>
  <c r="J135" i="17" a="1"/>
  <c r="J135" i="17" s="1"/>
  <c r="J133" i="17" a="1"/>
  <c r="J133" i="17" s="1"/>
  <c r="J131" i="17" a="1"/>
  <c r="J131" i="17" s="1"/>
  <c r="J129" i="17" a="1"/>
  <c r="J129" i="17" s="1"/>
  <c r="J127" i="17" a="1"/>
  <c r="J127" i="17" s="1"/>
  <c r="F37" i="21" s="1"/>
  <c r="J125" i="17" a="1"/>
  <c r="J125" i="17" s="1"/>
  <c r="J123" i="17" a="1"/>
  <c r="J123" i="17" s="1"/>
  <c r="J121" i="17" a="1"/>
  <c r="J121" i="17" s="1"/>
  <c r="J119" i="17" a="1"/>
  <c r="J119" i="17" s="1"/>
  <c r="J353" i="17" a="1"/>
  <c r="J353" i="17" s="1"/>
  <c r="J339" i="17" a="1"/>
  <c r="J339" i="17" s="1"/>
  <c r="J331" i="17" a="1"/>
  <c r="J331" i="17" s="1"/>
  <c r="J323" i="17" a="1"/>
  <c r="J323" i="17" s="1"/>
  <c r="F86" i="21" s="1"/>
  <c r="J315" i="17" a="1"/>
  <c r="J315" i="17" s="1"/>
  <c r="J307" i="17" a="1"/>
  <c r="J307" i="17" s="1"/>
  <c r="J299" i="17" a="1"/>
  <c r="J299" i="17" s="1"/>
  <c r="J291" i="17" a="1"/>
  <c r="J291" i="17" s="1"/>
  <c r="J283" i="17" a="1"/>
  <c r="J283" i="17" s="1"/>
  <c r="J275" i="17" a="1"/>
  <c r="J275" i="17" s="1"/>
  <c r="J253" i="17" a="1"/>
  <c r="J253" i="17" s="1"/>
  <c r="J351" i="17" a="1"/>
  <c r="J351" i="17" s="1"/>
  <c r="F93" i="21" s="1"/>
  <c r="J349" i="17" a="1"/>
  <c r="J349" i="17" s="1"/>
  <c r="J337" i="17" a="1"/>
  <c r="J337" i="17" s="1"/>
  <c r="J329" i="17" a="1"/>
  <c r="J329" i="17" s="1"/>
  <c r="J321" i="17" a="1"/>
  <c r="J321" i="17" s="1"/>
  <c r="J313" i="17" a="1"/>
  <c r="J313" i="17" s="1"/>
  <c r="J305" i="17" a="1"/>
  <c r="J305" i="17" s="1"/>
  <c r="J297" i="17" a="1"/>
  <c r="J297" i="17" s="1"/>
  <c r="J289" i="17" a="1"/>
  <c r="J289" i="17" s="1"/>
  <c r="J281" i="17" a="1"/>
  <c r="J281" i="17" s="1"/>
  <c r="J273" i="17" a="1"/>
  <c r="J273" i="17" s="1"/>
  <c r="J267" i="17" a="1"/>
  <c r="J267" i="17" s="1"/>
  <c r="J263" i="17" a="1"/>
  <c r="J263" i="17" s="1"/>
  <c r="J259" i="17" a="1"/>
  <c r="J259" i="17" s="1"/>
  <c r="J347" i="17" a="1"/>
  <c r="J347" i="17" s="1"/>
  <c r="J255" i="17" a="1"/>
  <c r="J255" i="17" s="1"/>
  <c r="J252" i="17" a="1"/>
  <c r="J252" i="17" s="1"/>
  <c r="J250" i="17" a="1"/>
  <c r="J250" i="17" s="1"/>
  <c r="J248" i="17" a="1"/>
  <c r="J248" i="17" s="1"/>
  <c r="J246" i="17" a="1"/>
  <c r="J246" i="17" s="1"/>
  <c r="J244" i="17" a="1"/>
  <c r="J244" i="17" s="1"/>
  <c r="J242" i="17" a="1"/>
  <c r="J242" i="17" s="1"/>
  <c r="J240" i="17" a="1"/>
  <c r="J240" i="17" s="1"/>
  <c r="J238" i="17" a="1"/>
  <c r="J238" i="17" s="1"/>
  <c r="J236" i="17" a="1"/>
  <c r="J236" i="17" s="1"/>
  <c r="J234" i="17" a="1"/>
  <c r="J234" i="17" s="1"/>
  <c r="J232" i="17" a="1"/>
  <c r="J232" i="17" s="1"/>
  <c r="J230" i="17" a="1"/>
  <c r="J230" i="17" s="1"/>
  <c r="J228" i="17" a="1"/>
  <c r="J228" i="17" s="1"/>
  <c r="J226" i="17" a="1"/>
  <c r="J226" i="17" s="1"/>
  <c r="J224" i="17" a="1"/>
  <c r="J224" i="17" s="1"/>
  <c r="J222" i="17" a="1"/>
  <c r="J222" i="17" s="1"/>
  <c r="J220" i="17" a="1"/>
  <c r="J220" i="17" s="1"/>
  <c r="J218" i="17" a="1"/>
  <c r="J218" i="17" s="1"/>
  <c r="J216" i="17" a="1"/>
  <c r="J216" i="17" s="1"/>
  <c r="J214" i="17" a="1"/>
  <c r="J214" i="17" s="1"/>
  <c r="J212" i="17" a="1"/>
  <c r="J212" i="17" s="1"/>
  <c r="J210" i="17" a="1"/>
  <c r="J210" i="17" s="1"/>
  <c r="J208" i="17" a="1"/>
  <c r="J208" i="17" s="1"/>
  <c r="J206" i="17" a="1"/>
  <c r="J206" i="17" s="1"/>
  <c r="J204" i="17" a="1"/>
  <c r="J204" i="17" s="1"/>
  <c r="J202" i="17" a="1"/>
  <c r="J202" i="17" s="1"/>
  <c r="J200" i="17" a="1"/>
  <c r="J200" i="17" s="1"/>
  <c r="J198" i="17" a="1"/>
  <c r="J198" i="17" s="1"/>
  <c r="J196" i="17" a="1"/>
  <c r="J196" i="17" s="1"/>
  <c r="J194" i="17" a="1"/>
  <c r="J194" i="17" s="1"/>
  <c r="J192" i="17" a="1"/>
  <c r="J192" i="17" s="1"/>
  <c r="J190" i="17" a="1"/>
  <c r="J190" i="17" s="1"/>
  <c r="J188" i="17" a="1"/>
  <c r="J188" i="17" s="1"/>
  <c r="J186" i="17" a="1"/>
  <c r="J186" i="17" s="1"/>
  <c r="J184" i="17" a="1"/>
  <c r="J184" i="17" s="1"/>
  <c r="J182" i="17" a="1"/>
  <c r="J182" i="17" s="1"/>
  <c r="J180" i="17" a="1"/>
  <c r="J180" i="17" s="1"/>
  <c r="J178" i="17" a="1"/>
  <c r="J178" i="17" s="1"/>
  <c r="J176" i="17" a="1"/>
  <c r="J176" i="17" s="1"/>
  <c r="J174" i="17" a="1"/>
  <c r="J174" i="17" s="1"/>
  <c r="J172" i="17" a="1"/>
  <c r="J172" i="17" s="1"/>
  <c r="J170" i="17" a="1"/>
  <c r="J170" i="17" s="1"/>
  <c r="J168" i="17" a="1"/>
  <c r="J168" i="17" s="1"/>
  <c r="J166" i="17" a="1"/>
  <c r="J166" i="17" s="1"/>
  <c r="J164" i="17" a="1"/>
  <c r="J164" i="17" s="1"/>
  <c r="J162" i="17" a="1"/>
  <c r="J162" i="17" s="1"/>
  <c r="J160" i="17" a="1"/>
  <c r="J160" i="17" s="1"/>
  <c r="J158" i="17" a="1"/>
  <c r="J158" i="17" s="1"/>
  <c r="J156" i="17" a="1"/>
  <c r="J156" i="17" s="1"/>
  <c r="J154" i="17" a="1"/>
  <c r="J154" i="17" s="1"/>
  <c r="J152" i="17" a="1"/>
  <c r="J152" i="17" s="1"/>
  <c r="J150" i="17" a="1"/>
  <c r="J150" i="17" s="1"/>
  <c r="J148" i="17" a="1"/>
  <c r="J148" i="17" s="1"/>
  <c r="J146" i="17" a="1"/>
  <c r="J146" i="17" s="1"/>
  <c r="J144" i="17" a="1"/>
  <c r="J144" i="17" s="1"/>
  <c r="J142" i="17" a="1"/>
  <c r="J142" i="17" s="1"/>
  <c r="J140" i="17" a="1"/>
  <c r="J140" i="17" s="1"/>
  <c r="J138" i="17" a="1"/>
  <c r="J138" i="17" s="1"/>
  <c r="J136" i="17" a="1"/>
  <c r="J136" i="17" s="1"/>
  <c r="J134" i="17" a="1"/>
  <c r="J134" i="17" s="1"/>
  <c r="J132" i="17" a="1"/>
  <c r="J132" i="17" s="1"/>
  <c r="J130" i="17" a="1"/>
  <c r="J130" i="17" s="1"/>
  <c r="J128" i="17" a="1"/>
  <c r="J128" i="17" s="1"/>
  <c r="J126" i="17" a="1"/>
  <c r="J126" i="17" s="1"/>
  <c r="J124" i="17" a="1"/>
  <c r="J124" i="17" s="1"/>
  <c r="J122" i="17" a="1"/>
  <c r="J122" i="17" s="1"/>
  <c r="J120" i="17" a="1"/>
  <c r="J120" i="17" s="1"/>
  <c r="J118" i="17" a="1"/>
  <c r="J118" i="17" s="1"/>
  <c r="J116" i="17" a="1"/>
  <c r="J116" i="17" s="1"/>
  <c r="J114" i="17" a="1"/>
  <c r="J114" i="17" s="1"/>
  <c r="J345" i="17" a="1"/>
  <c r="J345" i="17" s="1"/>
  <c r="J335" i="17" a="1"/>
  <c r="J335" i="17" s="1"/>
  <c r="F89" i="21" s="1"/>
  <c r="J327" i="17" a="1"/>
  <c r="J327" i="17" s="1"/>
  <c r="F87" i="21" s="1"/>
  <c r="J319" i="17" a="1"/>
  <c r="J319" i="17" s="1"/>
  <c r="F85" i="21" s="1"/>
  <c r="J311" i="17" a="1"/>
  <c r="J311" i="17" s="1"/>
  <c r="F83" i="21" s="1"/>
  <c r="J303" i="17" a="1"/>
  <c r="J303" i="17" s="1"/>
  <c r="F81" i="21" s="1"/>
  <c r="J295" i="17" a="1"/>
  <c r="J295" i="17" s="1"/>
  <c r="J287" i="17" a="1"/>
  <c r="J287" i="17" s="1"/>
  <c r="J279" i="17" a="1"/>
  <c r="J279" i="17" s="1"/>
  <c r="J271" i="17" a="1"/>
  <c r="J271" i="17" s="1"/>
  <c r="F73" i="21" s="1"/>
  <c r="J343" i="17" a="1"/>
  <c r="J343" i="17" s="1"/>
  <c r="F91" i="21" s="1"/>
  <c r="J357" i="17" a="1"/>
  <c r="J357" i="17" s="1"/>
  <c r="J341" i="17" a="1"/>
  <c r="J341" i="17" s="1"/>
  <c r="J333" i="17" a="1"/>
  <c r="J333" i="17" s="1"/>
  <c r="J325" i="17" a="1"/>
  <c r="J325" i="17" s="1"/>
  <c r="J317" i="17" a="1"/>
  <c r="J317" i="17" s="1"/>
  <c r="J309" i="17" a="1"/>
  <c r="J309" i="17" s="1"/>
  <c r="J301" i="17" a="1"/>
  <c r="J301" i="17" s="1"/>
  <c r="J293" i="17" a="1"/>
  <c r="J293" i="17" s="1"/>
  <c r="J285" i="17" a="1"/>
  <c r="J285" i="17" s="1"/>
  <c r="J277" i="17" a="1"/>
  <c r="J277" i="17" s="1"/>
  <c r="J269" i="17" a="1"/>
  <c r="J269" i="17" s="1"/>
  <c r="J265" i="17" a="1"/>
  <c r="J265" i="17" s="1"/>
  <c r="J261" i="17" a="1"/>
  <c r="J261" i="17" s="1"/>
  <c r="J257" i="17" a="1"/>
  <c r="J257" i="17" s="1"/>
  <c r="G8" i="17" a="1"/>
  <c r="G8" i="17" s="1"/>
  <c r="G10" i="17" a="1"/>
  <c r="G10" i="17" s="1"/>
  <c r="G12" i="17" a="1"/>
  <c r="G12" i="17" s="1"/>
  <c r="G14" i="17" a="1"/>
  <c r="G14" i="17" s="1"/>
  <c r="G16" i="17" a="1"/>
  <c r="G16" i="17" s="1"/>
  <c r="G18" i="17" a="1"/>
  <c r="G18" i="17" s="1"/>
  <c r="G20" i="17" a="1"/>
  <c r="G20" i="17" s="1"/>
  <c r="G22" i="17" a="1"/>
  <c r="G22" i="17" s="1"/>
  <c r="G24" i="17" a="1"/>
  <c r="G24" i="17" s="1"/>
  <c r="G26" i="17" a="1"/>
  <c r="G26" i="17" s="1"/>
  <c r="G28" i="17" a="1"/>
  <c r="G28" i="17" s="1"/>
  <c r="G30" i="17" a="1"/>
  <c r="G30" i="17" s="1"/>
  <c r="G32" i="17" a="1"/>
  <c r="G32" i="17" s="1"/>
  <c r="G34" i="17" a="1"/>
  <c r="G34" i="17" s="1"/>
  <c r="G36" i="17" a="1"/>
  <c r="G36" i="17" s="1"/>
  <c r="G38" i="17" a="1"/>
  <c r="G38" i="17" s="1"/>
  <c r="G40" i="17" a="1"/>
  <c r="G40" i="17" s="1"/>
  <c r="G42" i="17" a="1"/>
  <c r="G42" i="17" s="1"/>
  <c r="G44" i="17" a="1"/>
  <c r="G44" i="17" s="1"/>
  <c r="G46" i="17" a="1"/>
  <c r="G46" i="17" s="1"/>
  <c r="G48" i="17" a="1"/>
  <c r="G48" i="17" s="1"/>
  <c r="G50" i="17" a="1"/>
  <c r="G50" i="17" s="1"/>
  <c r="G52" i="17" a="1"/>
  <c r="G52" i="17" s="1"/>
  <c r="G54" i="17" a="1"/>
  <c r="G54" i="17" s="1"/>
  <c r="G56" i="17" a="1"/>
  <c r="G56" i="17" s="1"/>
  <c r="G58" i="17" a="1"/>
  <c r="G58" i="17" s="1"/>
  <c r="G60" i="17" a="1"/>
  <c r="G60" i="17" s="1"/>
  <c r="G62" i="17" a="1"/>
  <c r="G62" i="17" s="1"/>
  <c r="G64" i="17" a="1"/>
  <c r="G64" i="17" s="1"/>
  <c r="G66" i="17" a="1"/>
  <c r="G66" i="17" s="1"/>
  <c r="G68" i="17" a="1"/>
  <c r="G68" i="17" s="1"/>
  <c r="G70" i="17" a="1"/>
  <c r="G70" i="17" s="1"/>
  <c r="G72" i="17" a="1"/>
  <c r="G72" i="17" s="1"/>
  <c r="G74" i="17" a="1"/>
  <c r="G74" i="17" s="1"/>
  <c r="G76" i="17" a="1"/>
  <c r="G76" i="17" s="1"/>
  <c r="G78" i="17" a="1"/>
  <c r="G78" i="17" s="1"/>
  <c r="G80" i="17" a="1"/>
  <c r="G80" i="17" s="1"/>
  <c r="G82" i="17" a="1"/>
  <c r="G82" i="17" s="1"/>
  <c r="G84" i="17" a="1"/>
  <c r="G84" i="17" s="1"/>
  <c r="G86" i="17" a="1"/>
  <c r="G86" i="17" s="1"/>
  <c r="G88" i="17" a="1"/>
  <c r="G88" i="17" s="1"/>
  <c r="G90" i="17" a="1"/>
  <c r="G90" i="17" s="1"/>
  <c r="G92" i="17" a="1"/>
  <c r="G92" i="17" s="1"/>
  <c r="G94" i="17" a="1"/>
  <c r="G94" i="17" s="1"/>
  <c r="G96" i="17" a="1"/>
  <c r="G96" i="17" s="1"/>
  <c r="G98" i="17" a="1"/>
  <c r="G98" i="17" s="1"/>
  <c r="G100" i="17" a="1"/>
  <c r="G100" i="17" s="1"/>
  <c r="G102" i="17" a="1"/>
  <c r="G102" i="17" s="1"/>
  <c r="G104" i="17" a="1"/>
  <c r="G104" i="17" s="1"/>
  <c r="G106" i="17" a="1"/>
  <c r="G106" i="17" s="1"/>
  <c r="G108" i="17" a="1"/>
  <c r="G108" i="17" s="1"/>
  <c r="G110" i="17" a="1"/>
  <c r="G110" i="17" s="1"/>
  <c r="G112" i="17" a="1"/>
  <c r="G112" i="17" s="1"/>
  <c r="I114" i="17" a="1"/>
  <c r="I114" i="17" s="1"/>
  <c r="J117" i="17" a="1"/>
  <c r="J117" i="17" s="1"/>
  <c r="G123" i="17" a="1"/>
  <c r="G123" i="17" s="1"/>
  <c r="G128" i="17" a="1"/>
  <c r="G128" i="17" s="1"/>
  <c r="G136" i="17" a="1"/>
  <c r="G136" i="17" s="1"/>
  <c r="G144" i="17" a="1"/>
  <c r="G144" i="17" s="1"/>
  <c r="G152" i="17" a="1"/>
  <c r="G152" i="17" s="1"/>
  <c r="G160" i="17" a="1"/>
  <c r="G160" i="17" s="1"/>
  <c r="G168" i="17" a="1"/>
  <c r="G168" i="17" s="1"/>
  <c r="G184" i="17" a="1"/>
  <c r="G184" i="17" s="1"/>
  <c r="G200" i="17" a="1"/>
  <c r="G200" i="17" s="1"/>
  <c r="G216" i="17" a="1"/>
  <c r="G216" i="17" s="1"/>
  <c r="G232" i="17" a="1"/>
  <c r="G232" i="17" s="1"/>
  <c r="G248" i="17" a="1"/>
  <c r="G248" i="17" s="1"/>
  <c r="H12" i="17" a="1"/>
  <c r="H12" i="17" s="1"/>
  <c r="H14" i="17" a="1"/>
  <c r="H14" i="17" s="1"/>
  <c r="H16" i="17" a="1"/>
  <c r="H16" i="17" s="1"/>
  <c r="H18" i="17" a="1"/>
  <c r="H18" i="17" s="1"/>
  <c r="H20" i="17" a="1"/>
  <c r="H20" i="17" s="1"/>
  <c r="H22" i="17" a="1"/>
  <c r="H22" i="17" s="1"/>
  <c r="H24" i="17" a="1"/>
  <c r="H24" i="17" s="1"/>
  <c r="H26" i="17" a="1"/>
  <c r="H26" i="17" s="1"/>
  <c r="H28" i="17" a="1"/>
  <c r="H28" i="17" s="1"/>
  <c r="H30" i="17" a="1"/>
  <c r="H30" i="17" s="1"/>
  <c r="H32" i="17" a="1"/>
  <c r="H32" i="17" s="1"/>
  <c r="H34" i="17" a="1"/>
  <c r="H34" i="17" s="1"/>
  <c r="H36" i="17" a="1"/>
  <c r="H36" i="17" s="1"/>
  <c r="H38" i="17" a="1"/>
  <c r="H38" i="17" s="1"/>
  <c r="H40" i="17" a="1"/>
  <c r="H40" i="17" s="1"/>
  <c r="H42" i="17" a="1"/>
  <c r="H42" i="17" s="1"/>
  <c r="H44" i="17" a="1"/>
  <c r="H44" i="17" s="1"/>
  <c r="H46" i="17" a="1"/>
  <c r="H46" i="17" s="1"/>
  <c r="H48" i="17" a="1"/>
  <c r="H48" i="17" s="1"/>
  <c r="H50" i="17" a="1"/>
  <c r="H50" i="17" s="1"/>
  <c r="H52" i="17" a="1"/>
  <c r="H52" i="17" s="1"/>
  <c r="H54" i="17" a="1"/>
  <c r="H54" i="17" s="1"/>
  <c r="H56" i="17" a="1"/>
  <c r="H56" i="17" s="1"/>
  <c r="H58" i="17" a="1"/>
  <c r="H58" i="17" s="1"/>
  <c r="H60" i="17" a="1"/>
  <c r="H60" i="17" s="1"/>
  <c r="H62" i="17" a="1"/>
  <c r="H62" i="17" s="1"/>
  <c r="H64" i="17" a="1"/>
  <c r="H64" i="17" s="1"/>
  <c r="H66" i="17" a="1"/>
  <c r="H66" i="17" s="1"/>
  <c r="H68" i="17" a="1"/>
  <c r="H68" i="17" s="1"/>
  <c r="H70" i="17" a="1"/>
  <c r="H70" i="17" s="1"/>
  <c r="H72" i="17" a="1"/>
  <c r="H72" i="17" s="1"/>
  <c r="H74" i="17" a="1"/>
  <c r="H74" i="17" s="1"/>
  <c r="H76" i="17" a="1"/>
  <c r="H76" i="17" s="1"/>
  <c r="H78" i="17" a="1"/>
  <c r="H78" i="17" s="1"/>
  <c r="H80" i="17" a="1"/>
  <c r="H80" i="17" s="1"/>
  <c r="H82" i="17" a="1"/>
  <c r="H82" i="17" s="1"/>
  <c r="H84" i="17" a="1"/>
  <c r="H84" i="17" s="1"/>
  <c r="H86" i="17" a="1"/>
  <c r="H86" i="17" s="1"/>
  <c r="H88" i="17" a="1"/>
  <c r="H88" i="17" s="1"/>
  <c r="H90" i="17" a="1"/>
  <c r="H90" i="17" s="1"/>
  <c r="H92" i="17" a="1"/>
  <c r="H92" i="17" s="1"/>
  <c r="H94" i="17" a="1"/>
  <c r="H94" i="17" s="1"/>
  <c r="H96" i="17" a="1"/>
  <c r="H96" i="17" s="1"/>
  <c r="H98" i="17" a="1"/>
  <c r="H98" i="17" s="1"/>
  <c r="H100" i="17" a="1"/>
  <c r="H100" i="17" s="1"/>
  <c r="H102" i="17" a="1"/>
  <c r="H102" i="17" s="1"/>
  <c r="H104" i="17" a="1"/>
  <c r="H104" i="17" s="1"/>
  <c r="H106" i="17" a="1"/>
  <c r="H106" i="17" s="1"/>
  <c r="H108" i="17" a="1"/>
  <c r="H108" i="17" s="1"/>
  <c r="H110" i="17" a="1"/>
  <c r="H110" i="17" s="1"/>
  <c r="H112" i="17" a="1"/>
  <c r="H112" i="17" s="1"/>
  <c r="G115" i="17" a="1"/>
  <c r="G115" i="17" s="1"/>
  <c r="G118" i="17" a="1"/>
  <c r="G118" i="17" s="1"/>
  <c r="I123" i="17" a="1"/>
  <c r="I123" i="17" s="1"/>
  <c r="G129" i="17" a="1"/>
  <c r="G129" i="17" s="1"/>
  <c r="G137" i="17" a="1"/>
  <c r="G137" i="17" s="1"/>
  <c r="G145" i="17" a="1"/>
  <c r="G145" i="17" s="1"/>
  <c r="G153" i="17" a="1"/>
  <c r="G153" i="17" s="1"/>
  <c r="G161" i="17" a="1"/>
  <c r="G161" i="17" s="1"/>
  <c r="G170" i="17" a="1"/>
  <c r="G170" i="17" s="1"/>
  <c r="G186" i="17" a="1"/>
  <c r="G186" i="17" s="1"/>
  <c r="G202" i="17" a="1"/>
  <c r="G202" i="17" s="1"/>
  <c r="G218" i="17" a="1"/>
  <c r="G218" i="17" s="1"/>
  <c r="G234" i="17" a="1"/>
  <c r="G234" i="17" s="1"/>
  <c r="G250" i="17" a="1"/>
  <c r="G250" i="17" s="1"/>
  <c r="J8" i="17" a="1"/>
  <c r="J8" i="17" s="1"/>
  <c r="J10" i="17" a="1"/>
  <c r="J10" i="17" s="1"/>
  <c r="J12" i="17" a="1"/>
  <c r="J12" i="17" s="1"/>
  <c r="J14" i="17" a="1"/>
  <c r="J14" i="17" s="1"/>
  <c r="J16" i="17" a="1"/>
  <c r="J16" i="17" s="1"/>
  <c r="J18" i="17" a="1"/>
  <c r="J18" i="17" s="1"/>
  <c r="J20" i="17" a="1"/>
  <c r="J20" i="17" s="1"/>
  <c r="J22" i="17" a="1"/>
  <c r="J22" i="17" s="1"/>
  <c r="J24" i="17" a="1"/>
  <c r="J24" i="17" s="1"/>
  <c r="J26" i="17" a="1"/>
  <c r="J26" i="17" s="1"/>
  <c r="J28" i="17" a="1"/>
  <c r="J28" i="17" s="1"/>
  <c r="J30" i="17" a="1"/>
  <c r="J30" i="17" s="1"/>
  <c r="J32" i="17" a="1"/>
  <c r="J32" i="17" s="1"/>
  <c r="J34" i="17" a="1"/>
  <c r="J34" i="17" s="1"/>
  <c r="J36" i="17" a="1"/>
  <c r="J36" i="17" s="1"/>
  <c r="J38" i="17" a="1"/>
  <c r="J38" i="17" s="1"/>
  <c r="J40" i="17" a="1"/>
  <c r="J40" i="17" s="1"/>
  <c r="J42" i="17" a="1"/>
  <c r="J42" i="17" s="1"/>
  <c r="J44" i="17" a="1"/>
  <c r="J44" i="17" s="1"/>
  <c r="J46" i="17" a="1"/>
  <c r="J46" i="17" s="1"/>
  <c r="J48" i="17" a="1"/>
  <c r="J48" i="17" s="1"/>
  <c r="J50" i="17" a="1"/>
  <c r="J50" i="17" s="1"/>
  <c r="J52" i="17" a="1"/>
  <c r="J52" i="17" s="1"/>
  <c r="J54" i="17" a="1"/>
  <c r="J54" i="17" s="1"/>
  <c r="J56" i="17" a="1"/>
  <c r="J56" i="17" s="1"/>
  <c r="J58" i="17" a="1"/>
  <c r="J58" i="17" s="1"/>
  <c r="J60" i="17" a="1"/>
  <c r="J60" i="17" s="1"/>
  <c r="J62" i="17" a="1"/>
  <c r="J62" i="17" s="1"/>
  <c r="J64" i="17" a="1"/>
  <c r="J64" i="17" s="1"/>
  <c r="J66" i="17" a="1"/>
  <c r="J66" i="17" s="1"/>
  <c r="J68" i="17" a="1"/>
  <c r="J68" i="17" s="1"/>
  <c r="J70" i="17" a="1"/>
  <c r="J70" i="17" s="1"/>
  <c r="J72" i="17" a="1"/>
  <c r="J72" i="17" s="1"/>
  <c r="J74" i="17" a="1"/>
  <c r="J74" i="17" s="1"/>
  <c r="J76" i="17" a="1"/>
  <c r="J76" i="17" s="1"/>
  <c r="J78" i="17" a="1"/>
  <c r="J78" i="17" s="1"/>
  <c r="J80" i="17" a="1"/>
  <c r="J80" i="17" s="1"/>
  <c r="J82" i="17" a="1"/>
  <c r="J82" i="17" s="1"/>
  <c r="J84" i="17" a="1"/>
  <c r="J84" i="17" s="1"/>
  <c r="J86" i="17" a="1"/>
  <c r="J86" i="17" s="1"/>
  <c r="J88" i="17" a="1"/>
  <c r="J88" i="17" s="1"/>
  <c r="J90" i="17" a="1"/>
  <c r="J90" i="17" s="1"/>
  <c r="J92" i="17" a="1"/>
  <c r="J92" i="17" s="1"/>
  <c r="J94" i="17" a="1"/>
  <c r="J94" i="17" s="1"/>
  <c r="J96" i="17" a="1"/>
  <c r="J96" i="17" s="1"/>
  <c r="J98" i="17" a="1"/>
  <c r="J98" i="17" s="1"/>
  <c r="J100" i="17" a="1"/>
  <c r="J100" i="17" s="1"/>
  <c r="J102" i="17" a="1"/>
  <c r="J102" i="17" s="1"/>
  <c r="J104" i="17" a="1"/>
  <c r="J104" i="17" s="1"/>
  <c r="J106" i="17" a="1"/>
  <c r="J106" i="17" s="1"/>
  <c r="J108" i="17" a="1"/>
  <c r="J108" i="17" s="1"/>
  <c r="J110" i="17" a="1"/>
  <c r="J110" i="17" s="1"/>
  <c r="J112" i="17" a="1"/>
  <c r="J112" i="17" s="1"/>
  <c r="J115" i="17" a="1"/>
  <c r="J115" i="17" s="1"/>
  <c r="F34" i="21" s="1"/>
  <c r="I119" i="17" a="1"/>
  <c r="I119" i="17" s="1"/>
  <c r="G125" i="17" a="1"/>
  <c r="G125" i="17" s="1"/>
  <c r="G131" i="17" a="1"/>
  <c r="G131" i="17" s="1"/>
  <c r="G139" i="17" a="1"/>
  <c r="G139" i="17" s="1"/>
  <c r="G147" i="17" a="1"/>
  <c r="G147" i="17" s="1"/>
  <c r="G155" i="17" a="1"/>
  <c r="G155" i="17" s="1"/>
  <c r="G163" i="17" a="1"/>
  <c r="G163" i="17" s="1"/>
  <c r="G174" i="17" a="1"/>
  <c r="G174" i="17" s="1"/>
  <c r="G190" i="17" a="1"/>
  <c r="G190" i="17" s="1"/>
  <c r="G206" i="17" a="1"/>
  <c r="G206" i="17" s="1"/>
  <c r="G222" i="17" a="1"/>
  <c r="G222" i="17" s="1"/>
  <c r="G238" i="17" a="1"/>
  <c r="G238" i="17" s="1"/>
  <c r="G9" i="17" a="1"/>
  <c r="G9" i="17" s="1"/>
  <c r="G11" i="17" a="1"/>
  <c r="G11" i="17" s="1"/>
  <c r="G13" i="17" a="1"/>
  <c r="G13" i="17" s="1"/>
  <c r="G15" i="17" a="1"/>
  <c r="G15" i="17" s="1"/>
  <c r="G17" i="17" a="1"/>
  <c r="G17" i="17" s="1"/>
  <c r="G19" i="17" a="1"/>
  <c r="G19" i="17" s="1"/>
  <c r="G21" i="17" a="1"/>
  <c r="G21" i="17" s="1"/>
  <c r="G23" i="17" a="1"/>
  <c r="G23" i="17" s="1"/>
  <c r="G25" i="17" a="1"/>
  <c r="G25" i="17" s="1"/>
  <c r="G27" i="17" a="1"/>
  <c r="G27" i="17" s="1"/>
  <c r="G29" i="17" a="1"/>
  <c r="G29" i="17" s="1"/>
  <c r="G31" i="17" a="1"/>
  <c r="G31" i="17" s="1"/>
  <c r="G33" i="17" a="1"/>
  <c r="G33" i="17" s="1"/>
  <c r="G35" i="17" a="1"/>
  <c r="G35" i="17" s="1"/>
  <c r="G37" i="17" a="1"/>
  <c r="G37" i="17" s="1"/>
  <c r="G39" i="17" a="1"/>
  <c r="G39" i="17" s="1"/>
  <c r="G41" i="17" a="1"/>
  <c r="G41" i="17" s="1"/>
  <c r="G43" i="17" a="1"/>
  <c r="G43" i="17" s="1"/>
  <c r="G45" i="17" a="1"/>
  <c r="G45" i="17" s="1"/>
  <c r="G47" i="17" a="1"/>
  <c r="G47" i="17" s="1"/>
  <c r="G49" i="17" a="1"/>
  <c r="G49" i="17" s="1"/>
  <c r="G51" i="17" a="1"/>
  <c r="G51" i="17" s="1"/>
  <c r="G53" i="17" a="1"/>
  <c r="G53" i="17" s="1"/>
  <c r="G55" i="17" a="1"/>
  <c r="G55" i="17" s="1"/>
  <c r="G57" i="17" a="1"/>
  <c r="G57" i="17" s="1"/>
  <c r="G59" i="17" a="1"/>
  <c r="G59" i="17" s="1"/>
  <c r="G61" i="17" a="1"/>
  <c r="G61" i="17" s="1"/>
  <c r="G63" i="17" a="1"/>
  <c r="G63" i="17" s="1"/>
  <c r="G65" i="17" a="1"/>
  <c r="G65" i="17" s="1"/>
  <c r="G67" i="17" a="1"/>
  <c r="G67" i="17" s="1"/>
  <c r="G69" i="17" a="1"/>
  <c r="G69" i="17" s="1"/>
  <c r="G71" i="17" a="1"/>
  <c r="G71" i="17" s="1"/>
  <c r="G73" i="17" a="1"/>
  <c r="G73" i="17" s="1"/>
  <c r="G75" i="17" a="1"/>
  <c r="G75" i="17" s="1"/>
  <c r="G77" i="17" a="1"/>
  <c r="G77" i="17" s="1"/>
  <c r="G79" i="17" a="1"/>
  <c r="G79" i="17" s="1"/>
  <c r="G81" i="17" a="1"/>
  <c r="G81" i="17" s="1"/>
  <c r="G83" i="17" a="1"/>
  <c r="G83" i="17" s="1"/>
  <c r="G85" i="17" a="1"/>
  <c r="G85" i="17" s="1"/>
  <c r="G87" i="17" a="1"/>
  <c r="G87" i="17" s="1"/>
  <c r="G89" i="17" a="1"/>
  <c r="G89" i="17" s="1"/>
  <c r="G91" i="17" a="1"/>
  <c r="G91" i="17" s="1"/>
  <c r="G93" i="17" a="1"/>
  <c r="G93" i="17" s="1"/>
  <c r="G95" i="17" a="1"/>
  <c r="G95" i="17" s="1"/>
  <c r="G97" i="17" a="1"/>
  <c r="G97" i="17" s="1"/>
  <c r="G99" i="17" a="1"/>
  <c r="G99" i="17" s="1"/>
  <c r="G101" i="17" a="1"/>
  <c r="G101" i="17" s="1"/>
  <c r="G103" i="17" a="1"/>
  <c r="G103" i="17" s="1"/>
  <c r="G105" i="17" a="1"/>
  <c r="G105" i="17" s="1"/>
  <c r="G107" i="17" a="1"/>
  <c r="G107" i="17" s="1"/>
  <c r="G109" i="17" a="1"/>
  <c r="G109" i="17" s="1"/>
  <c r="G111" i="17" a="1"/>
  <c r="G111" i="17" s="1"/>
  <c r="G113" i="17" a="1"/>
  <c r="G113" i="17" s="1"/>
  <c r="G116" i="17" a="1"/>
  <c r="G116" i="17" s="1"/>
  <c r="G120" i="17" a="1"/>
  <c r="G120" i="17" s="1"/>
  <c r="I125" i="17" a="1"/>
  <c r="I125" i="17" s="1"/>
  <c r="G132" i="17" a="1"/>
  <c r="G132" i="17" s="1"/>
  <c r="G140" i="17" a="1"/>
  <c r="G140" i="17" s="1"/>
  <c r="G148" i="17" a="1"/>
  <c r="G148" i="17" s="1"/>
  <c r="G156" i="17" a="1"/>
  <c r="G156" i="17" s="1"/>
  <c r="G164" i="17" a="1"/>
  <c r="G164" i="17" s="1"/>
  <c r="G176" i="17" a="1"/>
  <c r="G176" i="17" s="1"/>
  <c r="G192" i="17" a="1"/>
  <c r="G192" i="17" s="1"/>
  <c r="G208" i="17" a="1"/>
  <c r="G208" i="17" s="1"/>
  <c r="G224" i="17" a="1"/>
  <c r="G224" i="17" s="1"/>
  <c r="G240" i="17" a="1"/>
  <c r="G240" i="17" s="1"/>
  <c r="H11" i="17" a="1"/>
  <c r="H11" i="17" s="1"/>
  <c r="H13" i="17" a="1"/>
  <c r="H13" i="17" s="1"/>
  <c r="H15" i="17" a="1"/>
  <c r="H15" i="17" s="1"/>
  <c r="D9" i="21" s="1"/>
  <c r="H17" i="17" a="1"/>
  <c r="H17" i="17" s="1"/>
  <c r="H19" i="17" a="1"/>
  <c r="H19" i="17" s="1"/>
  <c r="H21" i="17" a="1"/>
  <c r="H21" i="17" s="1"/>
  <c r="H23" i="17" a="1"/>
  <c r="H23" i="17" s="1"/>
  <c r="H25" i="17" a="1"/>
  <c r="H25" i="17" s="1"/>
  <c r="H27" i="17" a="1"/>
  <c r="H27" i="17" s="1"/>
  <c r="H29" i="17" a="1"/>
  <c r="H29" i="17" s="1"/>
  <c r="H31" i="17" a="1"/>
  <c r="H31" i="17" s="1"/>
  <c r="D13" i="21" s="1"/>
  <c r="H33" i="17" a="1"/>
  <c r="H33" i="17" s="1"/>
  <c r="H35" i="17" a="1"/>
  <c r="H35" i="17" s="1"/>
  <c r="H37" i="17" a="1"/>
  <c r="H37" i="17" s="1"/>
  <c r="H39" i="17" a="1"/>
  <c r="H39" i="17" s="1"/>
  <c r="H41" i="17" a="1"/>
  <c r="H41" i="17" s="1"/>
  <c r="H43" i="17" a="1"/>
  <c r="H43" i="17" s="1"/>
  <c r="H45" i="17" a="1"/>
  <c r="H45" i="17" s="1"/>
  <c r="H47" i="17" a="1"/>
  <c r="H47" i="17" s="1"/>
  <c r="D17" i="21" s="1"/>
  <c r="H49" i="17" a="1"/>
  <c r="H49" i="17" s="1"/>
  <c r="H51" i="17" a="1"/>
  <c r="H51" i="17" s="1"/>
  <c r="H53" i="17" a="1"/>
  <c r="H53" i="17" s="1"/>
  <c r="H55" i="17" a="1"/>
  <c r="H55" i="17" s="1"/>
  <c r="H57" i="17" a="1"/>
  <c r="H57" i="17" s="1"/>
  <c r="H59" i="17" a="1"/>
  <c r="H59" i="17" s="1"/>
  <c r="H61" i="17" a="1"/>
  <c r="H61" i="17" s="1"/>
  <c r="H63" i="17" a="1"/>
  <c r="H63" i="17" s="1"/>
  <c r="D21" i="21" s="1"/>
  <c r="H65" i="17" a="1"/>
  <c r="H65" i="17" s="1"/>
  <c r="H67" i="17" a="1"/>
  <c r="H67" i="17" s="1"/>
  <c r="H69" i="17" a="1"/>
  <c r="H69" i="17" s="1"/>
  <c r="H71" i="17" a="1"/>
  <c r="H71" i="17" s="1"/>
  <c r="H73" i="17" a="1"/>
  <c r="H73" i="17" s="1"/>
  <c r="H75" i="17" a="1"/>
  <c r="H75" i="17" s="1"/>
  <c r="H77" i="17" a="1"/>
  <c r="H77" i="17" s="1"/>
  <c r="H79" i="17" a="1"/>
  <c r="H79" i="17" s="1"/>
  <c r="D25" i="21" s="1"/>
  <c r="H81" i="17" a="1"/>
  <c r="H81" i="17" s="1"/>
  <c r="H83" i="17" a="1"/>
  <c r="H83" i="17" s="1"/>
  <c r="H85" i="17" a="1"/>
  <c r="H85" i="17" s="1"/>
  <c r="H87" i="17" a="1"/>
  <c r="H87" i="17" s="1"/>
  <c r="H89" i="17" a="1"/>
  <c r="H89" i="17" s="1"/>
  <c r="H91" i="17" a="1"/>
  <c r="H91" i="17" s="1"/>
  <c r="H93" i="17" a="1"/>
  <c r="H93" i="17" s="1"/>
  <c r="H95" i="17" a="1"/>
  <c r="H95" i="17" s="1"/>
  <c r="D29" i="21" s="1"/>
  <c r="H97" i="17" a="1"/>
  <c r="H97" i="17" s="1"/>
  <c r="H99" i="17" a="1"/>
  <c r="H99" i="17" s="1"/>
  <c r="H101" i="17" a="1"/>
  <c r="H101" i="17" s="1"/>
  <c r="H103" i="17" a="1"/>
  <c r="H103" i="17" s="1"/>
  <c r="H105" i="17" a="1"/>
  <c r="H105" i="17" s="1"/>
  <c r="H107" i="17" a="1"/>
  <c r="H107" i="17" s="1"/>
  <c r="H109" i="17" a="1"/>
  <c r="H109" i="17" s="1"/>
  <c r="I113" i="17" a="1"/>
  <c r="I113" i="17" s="1"/>
  <c r="I116" i="17" a="1"/>
  <c r="I116" i="17" s="1"/>
  <c r="G121" i="17" a="1"/>
  <c r="G121" i="17" s="1"/>
  <c r="G126" i="17" a="1"/>
  <c r="G126" i="17" s="1"/>
  <c r="G133" i="17" a="1"/>
  <c r="G133" i="17" s="1"/>
  <c r="G141" i="17" a="1"/>
  <c r="G141" i="17" s="1"/>
  <c r="G149" i="17" a="1"/>
  <c r="G149" i="17" s="1"/>
  <c r="G157" i="17" a="1"/>
  <c r="G157" i="17" s="1"/>
  <c r="G165" i="17" a="1"/>
  <c r="G165" i="17" s="1"/>
  <c r="G178" i="17" a="1"/>
  <c r="G178" i="17" s="1"/>
  <c r="G194" i="17" a="1"/>
  <c r="G194" i="17" s="1"/>
  <c r="G210" i="17" a="1"/>
  <c r="G210" i="17" s="1"/>
  <c r="G226" i="17" a="1"/>
  <c r="G226" i="17" s="1"/>
  <c r="G242" i="17" a="1"/>
  <c r="G242" i="17" s="1"/>
  <c r="I7" i="17" a="1"/>
  <c r="I7" i="17" s="1"/>
  <c r="I9" i="17" a="1"/>
  <c r="I9" i="17" s="1"/>
  <c r="I11" i="17" a="1"/>
  <c r="I11" i="17" s="1"/>
  <c r="E8" i="21" s="1"/>
  <c r="I13" i="17" a="1"/>
  <c r="I13" i="17" s="1"/>
  <c r="I15" i="17" a="1"/>
  <c r="I15" i="17" s="1"/>
  <c r="I17" i="17" a="1"/>
  <c r="I17" i="17" s="1"/>
  <c r="I19" i="17" a="1"/>
  <c r="I19" i="17" s="1"/>
  <c r="E10" i="21" s="1"/>
  <c r="I21" i="17" a="1"/>
  <c r="I21" i="17" s="1"/>
  <c r="I23" i="17" a="1"/>
  <c r="I23" i="17" s="1"/>
  <c r="I25" i="17" a="1"/>
  <c r="I25" i="17" s="1"/>
  <c r="I27" i="17" a="1"/>
  <c r="I27" i="17" s="1"/>
  <c r="E12" i="21" s="1"/>
  <c r="I29" i="17" a="1"/>
  <c r="I29" i="17" s="1"/>
  <c r="I31" i="17" a="1"/>
  <c r="I31" i="17" s="1"/>
  <c r="I33" i="17" a="1"/>
  <c r="I33" i="17" s="1"/>
  <c r="I35" i="17" a="1"/>
  <c r="I35" i="17" s="1"/>
  <c r="E14" i="21" s="1"/>
  <c r="I37" i="17" a="1"/>
  <c r="I37" i="17" s="1"/>
  <c r="I39" i="17" a="1"/>
  <c r="I39" i="17" s="1"/>
  <c r="I41" i="17" a="1"/>
  <c r="I41" i="17" s="1"/>
  <c r="I43" i="17" a="1"/>
  <c r="I43" i="17" s="1"/>
  <c r="E16" i="21" s="1"/>
  <c r="I45" i="17" a="1"/>
  <c r="I45" i="17" s="1"/>
  <c r="I47" i="17" a="1"/>
  <c r="I47" i="17" s="1"/>
  <c r="I49" i="17" a="1"/>
  <c r="I49" i="17" s="1"/>
  <c r="I51" i="17" a="1"/>
  <c r="I51" i="17" s="1"/>
  <c r="E18" i="21" s="1"/>
  <c r="I53" i="17" a="1"/>
  <c r="I53" i="17" s="1"/>
  <c r="I55" i="17" a="1"/>
  <c r="I55" i="17" s="1"/>
  <c r="I57" i="17" a="1"/>
  <c r="I57" i="17" s="1"/>
  <c r="I59" i="17" a="1"/>
  <c r="I59" i="17" s="1"/>
  <c r="E20" i="21" s="1"/>
  <c r="I61" i="17" a="1"/>
  <c r="I61" i="17" s="1"/>
  <c r="I63" i="17" a="1"/>
  <c r="I63" i="17" s="1"/>
  <c r="I65" i="17" a="1"/>
  <c r="I65" i="17" s="1"/>
  <c r="I67" i="17" a="1"/>
  <c r="I67" i="17" s="1"/>
  <c r="E22" i="21" s="1"/>
  <c r="I69" i="17" a="1"/>
  <c r="I69" i="17" s="1"/>
  <c r="I71" i="17" a="1"/>
  <c r="I71" i="17" s="1"/>
  <c r="I73" i="17" a="1"/>
  <c r="I73" i="17" s="1"/>
  <c r="I75" i="17" a="1"/>
  <c r="I75" i="17" s="1"/>
  <c r="E24" i="21" s="1"/>
  <c r="I77" i="17" a="1"/>
  <c r="I77" i="17" s="1"/>
  <c r="I79" i="17" a="1"/>
  <c r="I79" i="17" s="1"/>
  <c r="I81" i="17" a="1"/>
  <c r="I81" i="17" s="1"/>
  <c r="I83" i="17" a="1"/>
  <c r="I83" i="17" s="1"/>
  <c r="E26" i="21" s="1"/>
  <c r="I85" i="17" a="1"/>
  <c r="I85" i="17" s="1"/>
  <c r="I87" i="17" a="1"/>
  <c r="I87" i="17" s="1"/>
  <c r="I89" i="17" a="1"/>
  <c r="I89" i="17" s="1"/>
  <c r="I91" i="17" a="1"/>
  <c r="I91" i="17" s="1"/>
  <c r="E28" i="21" s="1"/>
  <c r="I93" i="17" a="1"/>
  <c r="I93" i="17" s="1"/>
  <c r="I95" i="17" a="1"/>
  <c r="I95" i="17" s="1"/>
  <c r="I97" i="17" a="1"/>
  <c r="I97" i="17" s="1"/>
  <c r="I99" i="17" a="1"/>
  <c r="I99" i="17" s="1"/>
  <c r="E30" i="21" s="1"/>
  <c r="I101" i="17" a="1"/>
  <c r="I101" i="17" s="1"/>
  <c r="I103" i="17" a="1"/>
  <c r="I103" i="17" s="1"/>
  <c r="I105" i="17" a="1"/>
  <c r="I105" i="17" s="1"/>
  <c r="I107" i="17" a="1"/>
  <c r="I107" i="17" s="1"/>
  <c r="E32" i="21" s="1"/>
  <c r="I109" i="17" a="1"/>
  <c r="I109" i="17" s="1"/>
  <c r="I111" i="17" a="1"/>
  <c r="I111" i="17" s="1"/>
  <c r="J113" i="17" a="1"/>
  <c r="J113" i="17" s="1"/>
  <c r="G117" i="17" a="1"/>
  <c r="G117" i="17" s="1"/>
  <c r="G127" i="17" a="1"/>
  <c r="G127" i="17" s="1"/>
  <c r="G134" i="17" a="1"/>
  <c r="G134" i="17" s="1"/>
  <c r="G142" i="17" a="1"/>
  <c r="G142" i="17" s="1"/>
  <c r="G150" i="17" a="1"/>
  <c r="G150" i="17" s="1"/>
  <c r="G158" i="17" a="1"/>
  <c r="G158" i="17" s="1"/>
  <c r="G166" i="17" a="1"/>
  <c r="G166" i="17" s="1"/>
  <c r="G180" i="17" a="1"/>
  <c r="G180" i="17" s="1"/>
  <c r="G196" i="17" a="1"/>
  <c r="G196" i="17" s="1"/>
  <c r="G212" i="17" a="1"/>
  <c r="G212" i="17" s="1"/>
  <c r="G228" i="17" a="1"/>
  <c r="G228" i="17" s="1"/>
  <c r="G244" i="17" a="1"/>
  <c r="G244" i="17" s="1"/>
  <c r="D1" i="21"/>
  <c r="H358" i="17" a="1"/>
  <c r="H358" i="17" s="1"/>
  <c r="H356" i="17" a="1"/>
  <c r="H356" i="17" s="1"/>
  <c r="H354" i="17" a="1"/>
  <c r="H354" i="17" s="1"/>
  <c r="H352" i="17" a="1"/>
  <c r="H352" i="17" s="1"/>
  <c r="H350" i="17" a="1"/>
  <c r="H350" i="17" s="1"/>
  <c r="H348" i="17" a="1"/>
  <c r="H348" i="17" s="1"/>
  <c r="H346" i="17" a="1"/>
  <c r="H346" i="17" s="1"/>
  <c r="H344" i="17" a="1"/>
  <c r="H344" i="17" s="1"/>
  <c r="H342" i="17" a="1"/>
  <c r="H342" i="17" s="1"/>
  <c r="H340" i="17" a="1"/>
  <c r="H340" i="17" s="1"/>
  <c r="H338" i="17" a="1"/>
  <c r="H338" i="17" s="1"/>
  <c r="H336" i="17" a="1"/>
  <c r="H336" i="17" s="1"/>
  <c r="H334" i="17" a="1"/>
  <c r="H334" i="17" s="1"/>
  <c r="H332" i="17" a="1"/>
  <c r="H332" i="17" s="1"/>
  <c r="H330" i="17" a="1"/>
  <c r="H330" i="17" s="1"/>
  <c r="H328" i="17" a="1"/>
  <c r="H328" i="17" s="1"/>
  <c r="H326" i="17" a="1"/>
  <c r="H326" i="17" s="1"/>
  <c r="H324" i="17" a="1"/>
  <c r="H324" i="17" s="1"/>
  <c r="H322" i="17" a="1"/>
  <c r="H322" i="17" s="1"/>
  <c r="H320" i="17" a="1"/>
  <c r="H320" i="17" s="1"/>
  <c r="H318" i="17" a="1"/>
  <c r="H318" i="17" s="1"/>
  <c r="H316" i="17" a="1"/>
  <c r="H316" i="17" s="1"/>
  <c r="H314" i="17" a="1"/>
  <c r="H314" i="17" s="1"/>
  <c r="H312" i="17" a="1"/>
  <c r="H312" i="17" s="1"/>
  <c r="H310" i="17" a="1"/>
  <c r="H310" i="17" s="1"/>
  <c r="H308" i="17" a="1"/>
  <c r="H308" i="17" s="1"/>
  <c r="H306" i="17" a="1"/>
  <c r="H306" i="17" s="1"/>
  <c r="H304" i="17" a="1"/>
  <c r="H304" i="17" s="1"/>
  <c r="H302" i="17" a="1"/>
  <c r="H302" i="17" s="1"/>
  <c r="H300" i="17" a="1"/>
  <c r="H300" i="17" s="1"/>
  <c r="H298" i="17" a="1"/>
  <c r="H298" i="17" s="1"/>
  <c r="H296" i="17" a="1"/>
  <c r="H296" i="17" s="1"/>
  <c r="H294" i="17" a="1"/>
  <c r="H294" i="17" s="1"/>
  <c r="H292" i="17" a="1"/>
  <c r="H292" i="17" s="1"/>
  <c r="H290" i="17" a="1"/>
  <c r="H290" i="17" s="1"/>
  <c r="H288" i="17" a="1"/>
  <c r="H288" i="17" s="1"/>
  <c r="H286" i="17" a="1"/>
  <c r="H286" i="17" s="1"/>
  <c r="H284" i="17" a="1"/>
  <c r="H284" i="17" s="1"/>
  <c r="H282" i="17" a="1"/>
  <c r="H282" i="17" s="1"/>
  <c r="H280" i="17" a="1"/>
  <c r="H280" i="17" s="1"/>
  <c r="H278" i="17" a="1"/>
  <c r="H278" i="17" s="1"/>
  <c r="H276" i="17" a="1"/>
  <c r="H276" i="17" s="1"/>
  <c r="H274" i="17" a="1"/>
  <c r="H274" i="17" s="1"/>
  <c r="H272" i="17" a="1"/>
  <c r="H272" i="17" s="1"/>
  <c r="H270" i="17" a="1"/>
  <c r="H270" i="17" s="1"/>
  <c r="H268" i="17" a="1"/>
  <c r="H268" i="17" s="1"/>
  <c r="H266" i="17" a="1"/>
  <c r="H266" i="17" s="1"/>
  <c r="H264" i="17" a="1"/>
  <c r="H264" i="17" s="1"/>
  <c r="H262" i="17" a="1"/>
  <c r="H262" i="17" s="1"/>
  <c r="H260" i="17" a="1"/>
  <c r="H260" i="17" s="1"/>
  <c r="H258" i="17" a="1"/>
  <c r="H258" i="17" s="1"/>
  <c r="H6" i="17" a="1"/>
  <c r="H6" i="17" s="1"/>
  <c r="D6" i="21" s="1"/>
  <c r="H357" i="17" a="1"/>
  <c r="H357" i="17" s="1"/>
  <c r="H355" i="17" a="1"/>
  <c r="H355" i="17" s="1"/>
  <c r="H353" i="17" a="1"/>
  <c r="H353" i="17" s="1"/>
  <c r="H351" i="17" a="1"/>
  <c r="H351" i="17" s="1"/>
  <c r="H349" i="17" a="1"/>
  <c r="H349" i="17" s="1"/>
  <c r="H347" i="17" a="1"/>
  <c r="H347" i="17" s="1"/>
  <c r="D92" i="21" s="1"/>
  <c r="H345" i="17" a="1"/>
  <c r="H345" i="17" s="1"/>
  <c r="H343" i="17" a="1"/>
  <c r="H343" i="17" s="1"/>
  <c r="H341" i="17" a="1"/>
  <c r="H341" i="17" s="1"/>
  <c r="H339" i="17" a="1"/>
  <c r="H339" i="17" s="1"/>
  <c r="D90" i="21" s="1"/>
  <c r="H337" i="17" a="1"/>
  <c r="H337" i="17" s="1"/>
  <c r="H335" i="17" a="1"/>
  <c r="H335" i="17" s="1"/>
  <c r="H333" i="17" a="1"/>
  <c r="H333" i="17" s="1"/>
  <c r="H331" i="17" a="1"/>
  <c r="H331" i="17" s="1"/>
  <c r="D88" i="21" s="1"/>
  <c r="H329" i="17" a="1"/>
  <c r="H329" i="17" s="1"/>
  <c r="H327" i="17" a="1"/>
  <c r="H327" i="17" s="1"/>
  <c r="H325" i="17" a="1"/>
  <c r="H325" i="17" s="1"/>
  <c r="H323" i="17" a="1"/>
  <c r="H323" i="17" s="1"/>
  <c r="D86" i="21" s="1"/>
  <c r="H321" i="17" a="1"/>
  <c r="H321" i="17" s="1"/>
  <c r="H319" i="17" a="1"/>
  <c r="H319" i="17" s="1"/>
  <c r="H317" i="17" a="1"/>
  <c r="H317" i="17" s="1"/>
  <c r="H315" i="17" a="1"/>
  <c r="H315" i="17" s="1"/>
  <c r="D84" i="21" s="1"/>
  <c r="H313" i="17" a="1"/>
  <c r="H313" i="17" s="1"/>
  <c r="H311" i="17" a="1"/>
  <c r="H311" i="17" s="1"/>
  <c r="H309" i="17" a="1"/>
  <c r="H309" i="17" s="1"/>
  <c r="H307" i="17" a="1"/>
  <c r="H307" i="17" s="1"/>
  <c r="D82" i="21" s="1"/>
  <c r="H305" i="17" a="1"/>
  <c r="H305" i="17" s="1"/>
  <c r="H303" i="17" a="1"/>
  <c r="H303" i="17" s="1"/>
  <c r="H301" i="17" a="1"/>
  <c r="H301" i="17" s="1"/>
  <c r="H299" i="17" a="1"/>
  <c r="H299" i="17" s="1"/>
  <c r="D80" i="21" s="1"/>
  <c r="H297" i="17" a="1"/>
  <c r="H297" i="17" s="1"/>
  <c r="H295" i="17" a="1"/>
  <c r="H295" i="17" s="1"/>
  <c r="H293" i="17" a="1"/>
  <c r="H293" i="17" s="1"/>
  <c r="H291" i="17" a="1"/>
  <c r="H291" i="17" s="1"/>
  <c r="D78" i="21" s="1"/>
  <c r="H289" i="17" a="1"/>
  <c r="H289" i="17" s="1"/>
  <c r="H287" i="17" a="1"/>
  <c r="H287" i="17" s="1"/>
  <c r="H285" i="17" a="1"/>
  <c r="H285" i="17" s="1"/>
  <c r="H283" i="17" a="1"/>
  <c r="H283" i="17" s="1"/>
  <c r="D76" i="21" s="1"/>
  <c r="H281" i="17" a="1"/>
  <c r="H281" i="17" s="1"/>
  <c r="H279" i="17" a="1"/>
  <c r="H279" i="17" s="1"/>
  <c r="H277" i="17" a="1"/>
  <c r="H277" i="17" s="1"/>
  <c r="H275" i="17" a="1"/>
  <c r="H275" i="17" s="1"/>
  <c r="D74" i="21" s="1"/>
  <c r="H273" i="17" a="1"/>
  <c r="H273" i="17" s="1"/>
  <c r="H271" i="17" a="1"/>
  <c r="H271" i="17" s="1"/>
  <c r="H269" i="17" a="1"/>
  <c r="H269" i="17" s="1"/>
  <c r="H267" i="17" a="1"/>
  <c r="H267" i="17" s="1"/>
  <c r="D72" i="21" s="1"/>
  <c r="H265" i="17" a="1"/>
  <c r="H265" i="17" s="1"/>
  <c r="H263" i="17" a="1"/>
  <c r="H263" i="17" s="1"/>
  <c r="H261" i="17" a="1"/>
  <c r="H261" i="17" s="1"/>
  <c r="H259" i="17" a="1"/>
  <c r="H259" i="17" s="1"/>
  <c r="D70" i="21" s="1"/>
  <c r="H257" i="17" a="1"/>
  <c r="H257" i="17" s="1"/>
  <c r="H255" i="17" a="1"/>
  <c r="H255" i="17" s="1"/>
  <c r="H256" i="17" a="1"/>
  <c r="H256" i="17" s="1"/>
  <c r="H253" i="17" a="1"/>
  <c r="H253" i="17" s="1"/>
  <c r="H251" i="17" a="1"/>
  <c r="H251" i="17" s="1"/>
  <c r="H249" i="17" a="1"/>
  <c r="H249" i="17" s="1"/>
  <c r="H247" i="17" a="1"/>
  <c r="H247" i="17" s="1"/>
  <c r="H245" i="17" a="1"/>
  <c r="H245" i="17" s="1"/>
  <c r="H243" i="17" a="1"/>
  <c r="H243" i="17" s="1"/>
  <c r="H241" i="17" a="1"/>
  <c r="H241" i="17" s="1"/>
  <c r="H239" i="17" a="1"/>
  <c r="H239" i="17" s="1"/>
  <c r="H237" i="17" a="1"/>
  <c r="H237" i="17" s="1"/>
  <c r="H235" i="17" a="1"/>
  <c r="H235" i="17" s="1"/>
  <c r="H233" i="17" a="1"/>
  <c r="H233" i="17" s="1"/>
  <c r="H231" i="17" a="1"/>
  <c r="H231" i="17" s="1"/>
  <c r="H229" i="17" a="1"/>
  <c r="H229" i="17" s="1"/>
  <c r="H227" i="17" a="1"/>
  <c r="H227" i="17" s="1"/>
  <c r="H225" i="17" a="1"/>
  <c r="H225" i="17" s="1"/>
  <c r="H223" i="17" a="1"/>
  <c r="H223" i="17" s="1"/>
  <c r="H221" i="17" a="1"/>
  <c r="H221" i="17" s="1"/>
  <c r="H219" i="17" a="1"/>
  <c r="H219" i="17" s="1"/>
  <c r="H217" i="17" a="1"/>
  <c r="H217" i="17" s="1"/>
  <c r="H215" i="17" a="1"/>
  <c r="H215" i="17" s="1"/>
  <c r="H213" i="17" a="1"/>
  <c r="H213" i="17" s="1"/>
  <c r="H211" i="17" a="1"/>
  <c r="H211" i="17" s="1"/>
  <c r="H209" i="17" a="1"/>
  <c r="H209" i="17" s="1"/>
  <c r="H207" i="17" a="1"/>
  <c r="H207" i="17" s="1"/>
  <c r="H205" i="17" a="1"/>
  <c r="H205" i="17" s="1"/>
  <c r="H203" i="17" a="1"/>
  <c r="H203" i="17" s="1"/>
  <c r="H201" i="17" a="1"/>
  <c r="H201" i="17" s="1"/>
  <c r="H199" i="17" a="1"/>
  <c r="H199" i="17" s="1"/>
  <c r="H197" i="17" a="1"/>
  <c r="H197" i="17" s="1"/>
  <c r="H195" i="17" a="1"/>
  <c r="H195" i="17" s="1"/>
  <c r="H193" i="17" a="1"/>
  <c r="H193" i="17" s="1"/>
  <c r="H191" i="17" a="1"/>
  <c r="H191" i="17" s="1"/>
  <c r="H189" i="17" a="1"/>
  <c r="H189" i="17" s="1"/>
  <c r="H187" i="17" a="1"/>
  <c r="H187" i="17" s="1"/>
  <c r="H185" i="17" a="1"/>
  <c r="H185" i="17" s="1"/>
  <c r="H183" i="17" a="1"/>
  <c r="H183" i="17" s="1"/>
  <c r="H181" i="17" a="1"/>
  <c r="H181" i="17" s="1"/>
  <c r="H179" i="17" a="1"/>
  <c r="H179" i="17" s="1"/>
  <c r="H177" i="17" a="1"/>
  <c r="H177" i="17" s="1"/>
  <c r="H175" i="17" a="1"/>
  <c r="H175" i="17" s="1"/>
  <c r="H173" i="17" a="1"/>
  <c r="H173" i="17" s="1"/>
  <c r="H171" i="17" a="1"/>
  <c r="H171" i="17" s="1"/>
  <c r="H169" i="17" a="1"/>
  <c r="H169" i="17" s="1"/>
  <c r="H167" i="17" a="1"/>
  <c r="H167" i="17" s="1"/>
  <c r="H165" i="17" a="1"/>
  <c r="H165" i="17" s="1"/>
  <c r="H163" i="17" a="1"/>
  <c r="H163" i="17" s="1"/>
  <c r="H161" i="17" a="1"/>
  <c r="H161" i="17" s="1"/>
  <c r="H159" i="17" a="1"/>
  <c r="H159" i="17" s="1"/>
  <c r="H157" i="17" a="1"/>
  <c r="H157" i="17" s="1"/>
  <c r="H155" i="17" a="1"/>
  <c r="H155" i="17" s="1"/>
  <c r="H153" i="17" a="1"/>
  <c r="H153" i="17" s="1"/>
  <c r="H151" i="17" a="1"/>
  <c r="H151" i="17" s="1"/>
  <c r="H149" i="17" a="1"/>
  <c r="H149" i="17" s="1"/>
  <c r="H147" i="17" a="1"/>
  <c r="H147" i="17" s="1"/>
  <c r="H145" i="17" a="1"/>
  <c r="H145" i="17" s="1"/>
  <c r="H143" i="17" a="1"/>
  <c r="H143" i="17" s="1"/>
  <c r="H141" i="17" a="1"/>
  <c r="H141" i="17" s="1"/>
  <c r="H139" i="17" a="1"/>
  <c r="H139" i="17" s="1"/>
  <c r="H137" i="17" a="1"/>
  <c r="H137" i="17" s="1"/>
  <c r="H135" i="17" a="1"/>
  <c r="H135" i="17" s="1"/>
  <c r="H133" i="17" a="1"/>
  <c r="H133" i="17" s="1"/>
  <c r="H131" i="17" a="1"/>
  <c r="H131" i="17" s="1"/>
  <c r="H129" i="17" a="1"/>
  <c r="H129" i="17" s="1"/>
  <c r="H127" i="17" a="1"/>
  <c r="H127" i="17" s="1"/>
  <c r="H125" i="17" a="1"/>
  <c r="H125" i="17" s="1"/>
  <c r="H123" i="17" a="1"/>
  <c r="H123" i="17" s="1"/>
  <c r="H121" i="17" a="1"/>
  <c r="H121" i="17" s="1"/>
  <c r="H119" i="17" a="1"/>
  <c r="H119" i="17" s="1"/>
  <c r="H117" i="17" a="1"/>
  <c r="H117" i="17" s="1"/>
  <c r="H115" i="17" a="1"/>
  <c r="H115" i="17" s="1"/>
  <c r="H113" i="17" a="1"/>
  <c r="H113" i="17" s="1"/>
  <c r="H252" i="17" a="1"/>
  <c r="H252" i="17" s="1"/>
  <c r="H250" i="17" a="1"/>
  <c r="H250" i="17" s="1"/>
  <c r="H248" i="17" a="1"/>
  <c r="H248" i="17" s="1"/>
  <c r="H246" i="17" a="1"/>
  <c r="H246" i="17" s="1"/>
  <c r="H244" i="17" a="1"/>
  <c r="H244" i="17" s="1"/>
  <c r="H242" i="17" a="1"/>
  <c r="H242" i="17" s="1"/>
  <c r="H240" i="17" a="1"/>
  <c r="H240" i="17" s="1"/>
  <c r="H238" i="17" a="1"/>
  <c r="H238" i="17" s="1"/>
  <c r="H236" i="17" a="1"/>
  <c r="H236" i="17" s="1"/>
  <c r="H234" i="17" a="1"/>
  <c r="H234" i="17" s="1"/>
  <c r="H232" i="17" a="1"/>
  <c r="H232" i="17" s="1"/>
  <c r="H230" i="17" a="1"/>
  <c r="H230" i="17" s="1"/>
  <c r="H228" i="17" a="1"/>
  <c r="H228" i="17" s="1"/>
  <c r="H226" i="17" a="1"/>
  <c r="H226" i="17" s="1"/>
  <c r="H224" i="17" a="1"/>
  <c r="H224" i="17" s="1"/>
  <c r="H222" i="17" a="1"/>
  <c r="H222" i="17" s="1"/>
  <c r="H220" i="17" a="1"/>
  <c r="H220" i="17" s="1"/>
  <c r="H218" i="17" a="1"/>
  <c r="H218" i="17" s="1"/>
  <c r="H216" i="17" a="1"/>
  <c r="H216" i="17" s="1"/>
  <c r="H214" i="17" a="1"/>
  <c r="H214" i="17" s="1"/>
  <c r="H212" i="17" a="1"/>
  <c r="H212" i="17" s="1"/>
  <c r="H210" i="17" a="1"/>
  <c r="H210" i="17" s="1"/>
  <c r="H208" i="17" a="1"/>
  <c r="H208" i="17" s="1"/>
  <c r="H206" i="17" a="1"/>
  <c r="H206" i="17" s="1"/>
  <c r="H204" i="17" a="1"/>
  <c r="H204" i="17" s="1"/>
  <c r="H202" i="17" a="1"/>
  <c r="H202" i="17" s="1"/>
  <c r="H200" i="17" a="1"/>
  <c r="H200" i="17" s="1"/>
  <c r="H198" i="17" a="1"/>
  <c r="H198" i="17" s="1"/>
  <c r="H196" i="17" a="1"/>
  <c r="H196" i="17" s="1"/>
  <c r="H194" i="17" a="1"/>
  <c r="H194" i="17" s="1"/>
  <c r="H192" i="17" a="1"/>
  <c r="H192" i="17" s="1"/>
  <c r="H190" i="17" a="1"/>
  <c r="H190" i="17" s="1"/>
  <c r="H188" i="17" a="1"/>
  <c r="H188" i="17" s="1"/>
  <c r="H186" i="17" a="1"/>
  <c r="H186" i="17" s="1"/>
  <c r="H184" i="17" a="1"/>
  <c r="H184" i="17" s="1"/>
  <c r="H182" i="17" a="1"/>
  <c r="H182" i="17" s="1"/>
  <c r="H180" i="17" a="1"/>
  <c r="H180" i="17" s="1"/>
  <c r="H178" i="17" a="1"/>
  <c r="H178" i="17" s="1"/>
  <c r="H176" i="17" a="1"/>
  <c r="H176" i="17" s="1"/>
  <c r="H174" i="17" a="1"/>
  <c r="H174" i="17" s="1"/>
  <c r="H172" i="17" a="1"/>
  <c r="H172" i="17" s="1"/>
  <c r="H170" i="17" a="1"/>
  <c r="H170" i="17" s="1"/>
  <c r="H168" i="17" a="1"/>
  <c r="H168" i="17" s="1"/>
  <c r="H166" i="17" a="1"/>
  <c r="H166" i="17" s="1"/>
  <c r="H164" i="17" a="1"/>
  <c r="H164" i="17" s="1"/>
  <c r="H162" i="17" a="1"/>
  <c r="H162" i="17" s="1"/>
  <c r="H160" i="17" a="1"/>
  <c r="H160" i="17" s="1"/>
  <c r="H158" i="17" a="1"/>
  <c r="H158" i="17" s="1"/>
  <c r="H156" i="17" a="1"/>
  <c r="H156" i="17" s="1"/>
  <c r="H154" i="17" a="1"/>
  <c r="H154" i="17" s="1"/>
  <c r="H152" i="17" a="1"/>
  <c r="H152" i="17" s="1"/>
  <c r="H150" i="17" a="1"/>
  <c r="H150" i="17" s="1"/>
  <c r="H148" i="17" a="1"/>
  <c r="H148" i="17" s="1"/>
  <c r="H146" i="17" a="1"/>
  <c r="H146" i="17" s="1"/>
  <c r="H144" i="17" a="1"/>
  <c r="H144" i="17" s="1"/>
  <c r="H142" i="17" a="1"/>
  <c r="H142" i="17" s="1"/>
  <c r="H140" i="17" a="1"/>
  <c r="H140" i="17" s="1"/>
  <c r="H138" i="17" a="1"/>
  <c r="H138" i="17" s="1"/>
  <c r="H136" i="17" a="1"/>
  <c r="H136" i="17" s="1"/>
  <c r="H134" i="17" a="1"/>
  <c r="H134" i="17" s="1"/>
  <c r="H132" i="17" a="1"/>
  <c r="H132" i="17" s="1"/>
  <c r="H130" i="17" a="1"/>
  <c r="H130" i="17" s="1"/>
  <c r="H128" i="17" a="1"/>
  <c r="H128" i="17" s="1"/>
  <c r="H126" i="17" a="1"/>
  <c r="H126" i="17" s="1"/>
  <c r="H124" i="17" a="1"/>
  <c r="H124" i="17" s="1"/>
  <c r="H122" i="17" a="1"/>
  <c r="H122" i="17" s="1"/>
  <c r="H120" i="17" a="1"/>
  <c r="H120" i="17" s="1"/>
  <c r="H118" i="17" a="1"/>
  <c r="H118" i="17" s="1"/>
  <c r="H116" i="17" a="1"/>
  <c r="H116" i="17" s="1"/>
  <c r="H114" i="17" a="1"/>
  <c r="H114" i="17" s="1"/>
  <c r="H254" i="17" a="1"/>
  <c r="H254" i="17" s="1"/>
  <c r="E1" i="21"/>
  <c r="I357" i="17" a="1"/>
  <c r="I357" i="17" s="1"/>
  <c r="I355" i="17" a="1"/>
  <c r="I355" i="17" s="1"/>
  <c r="I353" i="17" a="1"/>
  <c r="I353" i="17" s="1"/>
  <c r="I351" i="17" a="1"/>
  <c r="I351" i="17" s="1"/>
  <c r="I349" i="17" a="1"/>
  <c r="I349" i="17" s="1"/>
  <c r="I347" i="17" a="1"/>
  <c r="I347" i="17" s="1"/>
  <c r="I345" i="17" a="1"/>
  <c r="I345" i="17" s="1"/>
  <c r="I343" i="17" a="1"/>
  <c r="I343" i="17" s="1"/>
  <c r="I341" i="17" a="1"/>
  <c r="I341" i="17" s="1"/>
  <c r="I339" i="17" a="1"/>
  <c r="I339" i="17" s="1"/>
  <c r="I337" i="17" a="1"/>
  <c r="I337" i="17" s="1"/>
  <c r="I335" i="17" a="1"/>
  <c r="I335" i="17" s="1"/>
  <c r="I333" i="17" a="1"/>
  <c r="I333" i="17" s="1"/>
  <c r="I331" i="17" a="1"/>
  <c r="I331" i="17" s="1"/>
  <c r="I329" i="17" a="1"/>
  <c r="I329" i="17" s="1"/>
  <c r="I327" i="17" a="1"/>
  <c r="I327" i="17" s="1"/>
  <c r="I325" i="17" a="1"/>
  <c r="I325" i="17" s="1"/>
  <c r="I323" i="17" a="1"/>
  <c r="I323" i="17" s="1"/>
  <c r="I321" i="17" a="1"/>
  <c r="I321" i="17" s="1"/>
  <c r="I319" i="17" a="1"/>
  <c r="I319" i="17" s="1"/>
  <c r="I317" i="17" a="1"/>
  <c r="I317" i="17" s="1"/>
  <c r="I315" i="17" a="1"/>
  <c r="I315" i="17" s="1"/>
  <c r="I313" i="17" a="1"/>
  <c r="I313" i="17" s="1"/>
  <c r="I311" i="17" a="1"/>
  <c r="I311" i="17" s="1"/>
  <c r="I309" i="17" a="1"/>
  <c r="I309" i="17" s="1"/>
  <c r="I307" i="17" a="1"/>
  <c r="I307" i="17" s="1"/>
  <c r="I305" i="17" a="1"/>
  <c r="I305" i="17" s="1"/>
  <c r="I303" i="17" a="1"/>
  <c r="I303" i="17" s="1"/>
  <c r="I301" i="17" a="1"/>
  <c r="I301" i="17" s="1"/>
  <c r="I299" i="17" a="1"/>
  <c r="I299" i="17" s="1"/>
  <c r="I297" i="17" a="1"/>
  <c r="I297" i="17" s="1"/>
  <c r="I295" i="17" a="1"/>
  <c r="I295" i="17" s="1"/>
  <c r="I293" i="17" a="1"/>
  <c r="I293" i="17" s="1"/>
  <c r="I291" i="17" a="1"/>
  <c r="I291" i="17" s="1"/>
  <c r="I289" i="17" a="1"/>
  <c r="I289" i="17" s="1"/>
  <c r="I287" i="17" a="1"/>
  <c r="I287" i="17" s="1"/>
  <c r="I285" i="17" a="1"/>
  <c r="I285" i="17" s="1"/>
  <c r="I283" i="17" a="1"/>
  <c r="I283" i="17" s="1"/>
  <c r="I281" i="17" a="1"/>
  <c r="I281" i="17" s="1"/>
  <c r="I279" i="17" a="1"/>
  <c r="I279" i="17" s="1"/>
  <c r="I277" i="17" a="1"/>
  <c r="I277" i="17" s="1"/>
  <c r="I275" i="17" a="1"/>
  <c r="I275" i="17" s="1"/>
  <c r="I273" i="17" a="1"/>
  <c r="I273" i="17" s="1"/>
  <c r="I271" i="17" a="1"/>
  <c r="I271" i="17" s="1"/>
  <c r="I269" i="17" a="1"/>
  <c r="I269" i="17" s="1"/>
  <c r="I267" i="17" a="1"/>
  <c r="I267" i="17" s="1"/>
  <c r="I265" i="17" a="1"/>
  <c r="I265" i="17" s="1"/>
  <c r="I263" i="17" a="1"/>
  <c r="I263" i="17" s="1"/>
  <c r="E71" i="21" s="1"/>
  <c r="I261" i="17" a="1"/>
  <c r="I261" i="17" s="1"/>
  <c r="I259" i="17" a="1"/>
  <c r="I259" i="17" s="1"/>
  <c r="I257" i="17" a="1"/>
  <c r="I257" i="17" s="1"/>
  <c r="I255" i="17" a="1"/>
  <c r="I255" i="17" s="1"/>
  <c r="I253" i="17" a="1"/>
  <c r="I253" i="17" s="1"/>
  <c r="I358" i="17" a="1"/>
  <c r="I358" i="17" s="1"/>
  <c r="I356" i="17" a="1"/>
  <c r="I356" i="17" s="1"/>
  <c r="I354" i="17" a="1"/>
  <c r="I354" i="17" s="1"/>
  <c r="I352" i="17" a="1"/>
  <c r="I352" i="17" s="1"/>
  <c r="I350" i="17" a="1"/>
  <c r="I350" i="17" s="1"/>
  <c r="I348" i="17" a="1"/>
  <c r="I348" i="17" s="1"/>
  <c r="I346" i="17" a="1"/>
  <c r="I346" i="17" s="1"/>
  <c r="I344" i="17" a="1"/>
  <c r="I344" i="17" s="1"/>
  <c r="I342" i="17" a="1"/>
  <c r="I342" i="17" s="1"/>
  <c r="I340" i="17" a="1"/>
  <c r="I340" i="17" s="1"/>
  <c r="I332" i="17" a="1"/>
  <c r="I332" i="17" s="1"/>
  <c r="I324" i="17" a="1"/>
  <c r="I324" i="17" s="1"/>
  <c r="I316" i="17" a="1"/>
  <c r="I316" i="17" s="1"/>
  <c r="I308" i="17" a="1"/>
  <c r="I308" i="17" s="1"/>
  <c r="I300" i="17" a="1"/>
  <c r="I300" i="17" s="1"/>
  <c r="I292" i="17" a="1"/>
  <c r="I292" i="17" s="1"/>
  <c r="I284" i="17" a="1"/>
  <c r="I284" i="17" s="1"/>
  <c r="I276" i="17" a="1"/>
  <c r="I276" i="17" s="1"/>
  <c r="I268" i="17" a="1"/>
  <c r="I268" i="17" s="1"/>
  <c r="I264" i="17" a="1"/>
  <c r="I264" i="17" s="1"/>
  <c r="I260" i="17" a="1"/>
  <c r="I260" i="17" s="1"/>
  <c r="I256" i="17" a="1"/>
  <c r="I256" i="17" s="1"/>
  <c r="I251" i="17" a="1"/>
  <c r="I251" i="17" s="1"/>
  <c r="I249" i="17" a="1"/>
  <c r="I249" i="17" s="1"/>
  <c r="I247" i="17" a="1"/>
  <c r="I247" i="17" s="1"/>
  <c r="I245" i="17" a="1"/>
  <c r="I245" i="17" s="1"/>
  <c r="I243" i="17" a="1"/>
  <c r="I243" i="17" s="1"/>
  <c r="I241" i="17" a="1"/>
  <c r="I241" i="17" s="1"/>
  <c r="I239" i="17" a="1"/>
  <c r="I239" i="17" s="1"/>
  <c r="I237" i="17" a="1"/>
  <c r="I237" i="17" s="1"/>
  <c r="I235" i="17" a="1"/>
  <c r="I235" i="17" s="1"/>
  <c r="I233" i="17" a="1"/>
  <c r="I233" i="17" s="1"/>
  <c r="I231" i="17" a="1"/>
  <c r="I231" i="17" s="1"/>
  <c r="I229" i="17" a="1"/>
  <c r="I229" i="17" s="1"/>
  <c r="I227" i="17" a="1"/>
  <c r="I227" i="17" s="1"/>
  <c r="I225" i="17" a="1"/>
  <c r="I225" i="17" s="1"/>
  <c r="I223" i="17" a="1"/>
  <c r="I223" i="17" s="1"/>
  <c r="I221" i="17" a="1"/>
  <c r="I221" i="17" s="1"/>
  <c r="I219" i="17" a="1"/>
  <c r="I219" i="17" s="1"/>
  <c r="I217" i="17" a="1"/>
  <c r="I217" i="17" s="1"/>
  <c r="I215" i="17" a="1"/>
  <c r="I215" i="17" s="1"/>
  <c r="I213" i="17" a="1"/>
  <c r="I213" i="17" s="1"/>
  <c r="I211" i="17" a="1"/>
  <c r="I211" i="17" s="1"/>
  <c r="I209" i="17" a="1"/>
  <c r="I209" i="17" s="1"/>
  <c r="I207" i="17" a="1"/>
  <c r="I207" i="17" s="1"/>
  <c r="I205" i="17" a="1"/>
  <c r="I205" i="17" s="1"/>
  <c r="I203" i="17" a="1"/>
  <c r="I203" i="17" s="1"/>
  <c r="I201" i="17" a="1"/>
  <c r="I201" i="17" s="1"/>
  <c r="I199" i="17" a="1"/>
  <c r="I199" i="17" s="1"/>
  <c r="I197" i="17" a="1"/>
  <c r="I197" i="17" s="1"/>
  <c r="I195" i="17" a="1"/>
  <c r="I195" i="17" s="1"/>
  <c r="I193" i="17" a="1"/>
  <c r="I193" i="17" s="1"/>
  <c r="I191" i="17" a="1"/>
  <c r="I191" i="17" s="1"/>
  <c r="I189" i="17" a="1"/>
  <c r="I189" i="17" s="1"/>
  <c r="I187" i="17" a="1"/>
  <c r="I187" i="17" s="1"/>
  <c r="I185" i="17" a="1"/>
  <c r="I185" i="17" s="1"/>
  <c r="I183" i="17" a="1"/>
  <c r="I183" i="17" s="1"/>
  <c r="I181" i="17" a="1"/>
  <c r="I181" i="17" s="1"/>
  <c r="I179" i="17" a="1"/>
  <c r="I179" i="17" s="1"/>
  <c r="I177" i="17" a="1"/>
  <c r="I177" i="17" s="1"/>
  <c r="I175" i="17" a="1"/>
  <c r="I175" i="17" s="1"/>
  <c r="I173" i="17" a="1"/>
  <c r="I173" i="17" s="1"/>
  <c r="I171" i="17" a="1"/>
  <c r="I171" i="17" s="1"/>
  <c r="I169" i="17" a="1"/>
  <c r="I169" i="17" s="1"/>
  <c r="I167" i="17" a="1"/>
  <c r="I167" i="17" s="1"/>
  <c r="I165" i="17" a="1"/>
  <c r="I165" i="17" s="1"/>
  <c r="I163" i="17" a="1"/>
  <c r="I163" i="17" s="1"/>
  <c r="I161" i="17" a="1"/>
  <c r="I161" i="17" s="1"/>
  <c r="I159" i="17" a="1"/>
  <c r="I159" i="17" s="1"/>
  <c r="I157" i="17" a="1"/>
  <c r="I157" i="17" s="1"/>
  <c r="I155" i="17" a="1"/>
  <c r="I155" i="17" s="1"/>
  <c r="I153" i="17" a="1"/>
  <c r="I153" i="17" s="1"/>
  <c r="I151" i="17" a="1"/>
  <c r="I151" i="17" s="1"/>
  <c r="I149" i="17" a="1"/>
  <c r="I149" i="17" s="1"/>
  <c r="I147" i="17" a="1"/>
  <c r="I147" i="17" s="1"/>
  <c r="I145" i="17" a="1"/>
  <c r="I145" i="17" s="1"/>
  <c r="I143" i="17" a="1"/>
  <c r="I143" i="17" s="1"/>
  <c r="I141" i="17" a="1"/>
  <c r="I141" i="17" s="1"/>
  <c r="I139" i="17" a="1"/>
  <c r="I139" i="17" s="1"/>
  <c r="I137" i="17" a="1"/>
  <c r="I137" i="17" s="1"/>
  <c r="I135" i="17" a="1"/>
  <c r="I135" i="17" s="1"/>
  <c r="I133" i="17" a="1"/>
  <c r="I133" i="17" s="1"/>
  <c r="I131" i="17" a="1"/>
  <c r="I131" i="17" s="1"/>
  <c r="I129" i="17" a="1"/>
  <c r="I129" i="17" s="1"/>
  <c r="I338" i="17" a="1"/>
  <c r="I338" i="17" s="1"/>
  <c r="I330" i="17" a="1"/>
  <c r="I330" i="17" s="1"/>
  <c r="I322" i="17" a="1"/>
  <c r="I322" i="17" s="1"/>
  <c r="I314" i="17" a="1"/>
  <c r="I314" i="17" s="1"/>
  <c r="I306" i="17" a="1"/>
  <c r="I306" i="17" s="1"/>
  <c r="I298" i="17" a="1"/>
  <c r="I298" i="17" s="1"/>
  <c r="I290" i="17" a="1"/>
  <c r="I290" i="17" s="1"/>
  <c r="I282" i="17" a="1"/>
  <c r="I282" i="17" s="1"/>
  <c r="I274" i="17" a="1"/>
  <c r="I274" i="17" s="1"/>
  <c r="I336" i="17" a="1"/>
  <c r="I336" i="17" s="1"/>
  <c r="I328" i="17" a="1"/>
  <c r="I328" i="17" s="1"/>
  <c r="I320" i="17" a="1"/>
  <c r="I320" i="17" s="1"/>
  <c r="I312" i="17" a="1"/>
  <c r="I312" i="17" s="1"/>
  <c r="I304" i="17" a="1"/>
  <c r="I304" i="17" s="1"/>
  <c r="I296" i="17" a="1"/>
  <c r="I296" i="17" s="1"/>
  <c r="I288" i="17" a="1"/>
  <c r="I288" i="17" s="1"/>
  <c r="I280" i="17" a="1"/>
  <c r="I280" i="17" s="1"/>
  <c r="I272" i="17" a="1"/>
  <c r="I272" i="17" s="1"/>
  <c r="I6" i="17" a="1"/>
  <c r="I6" i="17" s="1"/>
  <c r="E6" i="21" s="1"/>
  <c r="I266" i="17" a="1"/>
  <c r="I266" i="17" s="1"/>
  <c r="I262" i="17" a="1"/>
  <c r="I262" i="17" s="1"/>
  <c r="I258" i="17" a="1"/>
  <c r="I258" i="17" s="1"/>
  <c r="I252" i="17" a="1"/>
  <c r="I252" i="17" s="1"/>
  <c r="I250" i="17" a="1"/>
  <c r="I250" i="17" s="1"/>
  <c r="I248" i="17" a="1"/>
  <c r="I248" i="17" s="1"/>
  <c r="I246" i="17" a="1"/>
  <c r="I246" i="17" s="1"/>
  <c r="I244" i="17" a="1"/>
  <c r="I244" i="17" s="1"/>
  <c r="I242" i="17" a="1"/>
  <c r="I242" i="17" s="1"/>
  <c r="I240" i="17" a="1"/>
  <c r="I240" i="17" s="1"/>
  <c r="I238" i="17" a="1"/>
  <c r="I238" i="17" s="1"/>
  <c r="I236" i="17" a="1"/>
  <c r="I236" i="17" s="1"/>
  <c r="I234" i="17" a="1"/>
  <c r="I234" i="17" s="1"/>
  <c r="I232" i="17" a="1"/>
  <c r="I232" i="17" s="1"/>
  <c r="I230" i="17" a="1"/>
  <c r="I230" i="17" s="1"/>
  <c r="I228" i="17" a="1"/>
  <c r="I228" i="17" s="1"/>
  <c r="I226" i="17" a="1"/>
  <c r="I226" i="17" s="1"/>
  <c r="I224" i="17" a="1"/>
  <c r="I224" i="17" s="1"/>
  <c r="I222" i="17" a="1"/>
  <c r="I222" i="17" s="1"/>
  <c r="I220" i="17" a="1"/>
  <c r="I220" i="17" s="1"/>
  <c r="I218" i="17" a="1"/>
  <c r="I218" i="17" s="1"/>
  <c r="I216" i="17" a="1"/>
  <c r="I216" i="17" s="1"/>
  <c r="I214" i="17" a="1"/>
  <c r="I214" i="17" s="1"/>
  <c r="I212" i="17" a="1"/>
  <c r="I212" i="17" s="1"/>
  <c r="I210" i="17" a="1"/>
  <c r="I210" i="17" s="1"/>
  <c r="I208" i="17" a="1"/>
  <c r="I208" i="17" s="1"/>
  <c r="I206" i="17" a="1"/>
  <c r="I206" i="17" s="1"/>
  <c r="I204" i="17" a="1"/>
  <c r="I204" i="17" s="1"/>
  <c r="I202" i="17" a="1"/>
  <c r="I202" i="17" s="1"/>
  <c r="I200" i="17" a="1"/>
  <c r="I200" i="17" s="1"/>
  <c r="I198" i="17" a="1"/>
  <c r="I198" i="17" s="1"/>
  <c r="I196" i="17" a="1"/>
  <c r="I196" i="17" s="1"/>
  <c r="I194" i="17" a="1"/>
  <c r="I194" i="17" s="1"/>
  <c r="I192" i="17" a="1"/>
  <c r="I192" i="17" s="1"/>
  <c r="I190" i="17" a="1"/>
  <c r="I190" i="17" s="1"/>
  <c r="I188" i="17" a="1"/>
  <c r="I188" i="17" s="1"/>
  <c r="I186" i="17" a="1"/>
  <c r="I186" i="17" s="1"/>
  <c r="I184" i="17" a="1"/>
  <c r="I184" i="17" s="1"/>
  <c r="I182" i="17" a="1"/>
  <c r="I182" i="17" s="1"/>
  <c r="I180" i="17" a="1"/>
  <c r="I180" i="17" s="1"/>
  <c r="I178" i="17" a="1"/>
  <c r="I178" i="17" s="1"/>
  <c r="I176" i="17" a="1"/>
  <c r="I176" i="17" s="1"/>
  <c r="I174" i="17" a="1"/>
  <c r="I174" i="17" s="1"/>
  <c r="I172" i="17" a="1"/>
  <c r="I172" i="17" s="1"/>
  <c r="I170" i="17" a="1"/>
  <c r="I170" i="17" s="1"/>
  <c r="I168" i="17" a="1"/>
  <c r="I168" i="17" s="1"/>
  <c r="I166" i="17" a="1"/>
  <c r="I166" i="17" s="1"/>
  <c r="I164" i="17" a="1"/>
  <c r="I164" i="17" s="1"/>
  <c r="I162" i="17" a="1"/>
  <c r="I162" i="17" s="1"/>
  <c r="I160" i="17" a="1"/>
  <c r="I160" i="17" s="1"/>
  <c r="I158" i="17" a="1"/>
  <c r="I158" i="17" s="1"/>
  <c r="I156" i="17" a="1"/>
  <c r="I156" i="17" s="1"/>
  <c r="I154" i="17" a="1"/>
  <c r="I154" i="17" s="1"/>
  <c r="I152" i="17" a="1"/>
  <c r="I152" i="17" s="1"/>
  <c r="I150" i="17" a="1"/>
  <c r="I150" i="17" s="1"/>
  <c r="I148" i="17" a="1"/>
  <c r="I148" i="17" s="1"/>
  <c r="I146" i="17" a="1"/>
  <c r="I146" i="17" s="1"/>
  <c r="I144" i="17" a="1"/>
  <c r="I144" i="17" s="1"/>
  <c r="I142" i="17" a="1"/>
  <c r="I142" i="17" s="1"/>
  <c r="I140" i="17" a="1"/>
  <c r="I140" i="17" s="1"/>
  <c r="I138" i="17" a="1"/>
  <c r="I138" i="17" s="1"/>
  <c r="I136" i="17" a="1"/>
  <c r="I136" i="17" s="1"/>
  <c r="I134" i="17" a="1"/>
  <c r="I134" i="17" s="1"/>
  <c r="I132" i="17" a="1"/>
  <c r="I132" i="17" s="1"/>
  <c r="I130" i="17" a="1"/>
  <c r="I130" i="17" s="1"/>
  <c r="I128" i="17" a="1"/>
  <c r="I128" i="17" s="1"/>
  <c r="I126" i="17" a="1"/>
  <c r="I126" i="17" s="1"/>
  <c r="I124" i="17" a="1"/>
  <c r="I124" i="17" s="1"/>
  <c r="I122" i="17" a="1"/>
  <c r="I122" i="17" s="1"/>
  <c r="I120" i="17" a="1"/>
  <c r="I120" i="17" s="1"/>
  <c r="I118" i="17" a="1"/>
  <c r="I118" i="17" s="1"/>
  <c r="I334" i="17" a="1"/>
  <c r="I334" i="17" s="1"/>
  <c r="I326" i="17" a="1"/>
  <c r="I326" i="17" s="1"/>
  <c r="I318" i="17" a="1"/>
  <c r="I318" i="17" s="1"/>
  <c r="I310" i="17" a="1"/>
  <c r="I310" i="17" s="1"/>
  <c r="I302" i="17" a="1"/>
  <c r="I302" i="17" s="1"/>
  <c r="I294" i="17" a="1"/>
  <c r="I294" i="17" s="1"/>
  <c r="I286" i="17" a="1"/>
  <c r="I286" i="17" s="1"/>
  <c r="I278" i="17" a="1"/>
  <c r="I278" i="17" s="1"/>
  <c r="I270" i="17" a="1"/>
  <c r="I270" i="17" s="1"/>
  <c r="I254" i="17" a="1"/>
  <c r="I254" i="17" s="1"/>
  <c r="J7" i="17" a="1"/>
  <c r="J7" i="17" s="1"/>
  <c r="J9" i="17" a="1"/>
  <c r="J9" i="17" s="1"/>
  <c r="J11" i="17" a="1"/>
  <c r="J11" i="17" s="1"/>
  <c r="J13" i="17" a="1"/>
  <c r="J13" i="17" s="1"/>
  <c r="J15" i="17" a="1"/>
  <c r="J15" i="17" s="1"/>
  <c r="J17" i="17" a="1"/>
  <c r="J17" i="17" s="1"/>
  <c r="J19" i="17" a="1"/>
  <c r="J19" i="17" s="1"/>
  <c r="J21" i="17" a="1"/>
  <c r="J21" i="17" s="1"/>
  <c r="J23" i="17" a="1"/>
  <c r="J23" i="17" s="1"/>
  <c r="J25" i="17" a="1"/>
  <c r="J25" i="17" s="1"/>
  <c r="J27" i="17" a="1"/>
  <c r="J27" i="17" s="1"/>
  <c r="J29" i="17" a="1"/>
  <c r="J29" i="17" s="1"/>
  <c r="J31" i="17" a="1"/>
  <c r="J31" i="17" s="1"/>
  <c r="J33" i="17" a="1"/>
  <c r="J33" i="17" s="1"/>
  <c r="J35" i="17" a="1"/>
  <c r="J35" i="17" s="1"/>
  <c r="J37" i="17" a="1"/>
  <c r="J37" i="17" s="1"/>
  <c r="J39" i="17" a="1"/>
  <c r="J39" i="17" s="1"/>
  <c r="J41" i="17" a="1"/>
  <c r="J41" i="17" s="1"/>
  <c r="J43" i="17" a="1"/>
  <c r="J43" i="17" s="1"/>
  <c r="J45" i="17" a="1"/>
  <c r="J45" i="17" s="1"/>
  <c r="J47" i="17" a="1"/>
  <c r="J47" i="17" s="1"/>
  <c r="J49" i="17" a="1"/>
  <c r="J49" i="17" s="1"/>
  <c r="J51" i="17" a="1"/>
  <c r="J51" i="17" s="1"/>
  <c r="J53" i="17" a="1"/>
  <c r="J53" i="17" s="1"/>
  <c r="J55" i="17" a="1"/>
  <c r="J55" i="17" s="1"/>
  <c r="J57" i="17" a="1"/>
  <c r="J57" i="17" s="1"/>
  <c r="J59" i="17" a="1"/>
  <c r="J59" i="17" s="1"/>
  <c r="J61" i="17" a="1"/>
  <c r="J61" i="17" s="1"/>
  <c r="J63" i="17" a="1"/>
  <c r="J63" i="17" s="1"/>
  <c r="J65" i="17" a="1"/>
  <c r="J65" i="17" s="1"/>
  <c r="J67" i="17" a="1"/>
  <c r="J67" i="17" s="1"/>
  <c r="J69" i="17" a="1"/>
  <c r="J69" i="17" s="1"/>
  <c r="J71" i="17" a="1"/>
  <c r="J71" i="17" s="1"/>
  <c r="J73" i="17" a="1"/>
  <c r="J73" i="17" s="1"/>
  <c r="J75" i="17" a="1"/>
  <c r="J75" i="17" s="1"/>
  <c r="J77" i="17" a="1"/>
  <c r="J77" i="17" s="1"/>
  <c r="J79" i="17" a="1"/>
  <c r="J79" i="17" s="1"/>
  <c r="J81" i="17" a="1"/>
  <c r="J81" i="17" s="1"/>
  <c r="J83" i="17" a="1"/>
  <c r="J83" i="17" s="1"/>
  <c r="J85" i="17" a="1"/>
  <c r="J85" i="17" s="1"/>
  <c r="J87" i="17" a="1"/>
  <c r="J87" i="17" s="1"/>
  <c r="J89" i="17" a="1"/>
  <c r="J89" i="17" s="1"/>
  <c r="J91" i="17" a="1"/>
  <c r="J91" i="17" s="1"/>
  <c r="J93" i="17" a="1"/>
  <c r="J93" i="17" s="1"/>
  <c r="J95" i="17" a="1"/>
  <c r="J95" i="17" s="1"/>
  <c r="J97" i="17" a="1"/>
  <c r="J97" i="17" s="1"/>
  <c r="J99" i="17" a="1"/>
  <c r="J99" i="17" s="1"/>
  <c r="J101" i="17" a="1"/>
  <c r="J101" i="17" s="1"/>
  <c r="J103" i="17" a="1"/>
  <c r="J103" i="17" s="1"/>
  <c r="J105" i="17" a="1"/>
  <c r="J105" i="17" s="1"/>
  <c r="J107" i="17" a="1"/>
  <c r="J107" i="17" s="1"/>
  <c r="J109" i="17" a="1"/>
  <c r="J109" i="17" s="1"/>
  <c r="J111" i="17" a="1"/>
  <c r="J111" i="17" s="1"/>
  <c r="F33" i="21" s="1"/>
  <c r="G114" i="17" a="1"/>
  <c r="G114" i="17" s="1"/>
  <c r="I117" i="17" a="1"/>
  <c r="I117" i="17" s="1"/>
  <c r="G122" i="17" a="1"/>
  <c r="G122" i="17" s="1"/>
  <c r="I127" i="17" a="1"/>
  <c r="I127" i="17" s="1"/>
  <c r="E37" i="21" s="1"/>
  <c r="G135" i="17" a="1"/>
  <c r="G135" i="17" s="1"/>
  <c r="G143" i="17" a="1"/>
  <c r="G143" i="17" s="1"/>
  <c r="C41" i="21" s="1"/>
  <c r="G151" i="17" a="1"/>
  <c r="G151" i="17" s="1"/>
  <c r="C43" i="21" s="1"/>
  <c r="G159" i="17" a="1"/>
  <c r="G159" i="17" s="1"/>
  <c r="C45" i="21" s="1"/>
  <c r="G167" i="17" a="1"/>
  <c r="G167" i="17" s="1"/>
  <c r="G182" i="17" a="1"/>
  <c r="G182" i="17" s="1"/>
  <c r="G198" i="17" a="1"/>
  <c r="G198" i="17" s="1"/>
  <c r="G214" i="17" a="1"/>
  <c r="G214" i="17" s="1"/>
  <c r="G230" i="17" a="1"/>
  <c r="G230" i="17" s="1"/>
  <c r="G246" i="17" a="1"/>
  <c r="G246" i="17" s="1"/>
  <c r="L154" i="17" a="1"/>
  <c r="L154" i="17" s="1"/>
  <c r="H1" i="21"/>
  <c r="L10" i="17" a="1"/>
  <c r="L10" i="17" s="1"/>
  <c r="L16" i="17" a="1"/>
  <c r="L16" i="17" s="1"/>
  <c r="L20" i="17" a="1"/>
  <c r="L20" i="17" s="1"/>
  <c r="L23" i="17" a="1"/>
  <c r="L23" i="17" s="1"/>
  <c r="L27" i="17" a="1"/>
  <c r="L27" i="17" s="1"/>
  <c r="L34" i="17" a="1"/>
  <c r="L34" i="17" s="1"/>
  <c r="L41" i="17" a="1"/>
  <c r="L41" i="17" s="1"/>
  <c r="L48" i="17" a="1"/>
  <c r="L48" i="17" s="1"/>
  <c r="L52" i="17" a="1"/>
  <c r="L52" i="17" s="1"/>
  <c r="L55" i="17" a="1"/>
  <c r="L55" i="17" s="1"/>
  <c r="L68" i="17" a="1"/>
  <c r="L68" i="17" s="1"/>
  <c r="L71" i="17" a="1"/>
  <c r="L71" i="17" s="1"/>
  <c r="L84" i="17" a="1"/>
  <c r="L84" i="17" s="1"/>
  <c r="L87" i="17" a="1"/>
  <c r="L87" i="17" s="1"/>
  <c r="L100" i="17" a="1"/>
  <c r="L100" i="17" s="1"/>
  <c r="L108" i="17" a="1"/>
  <c r="L108" i="17" s="1"/>
  <c r="M53" i="17" a="1"/>
  <c r="M53" i="17" s="1"/>
  <c r="I1" i="21"/>
  <c r="N7" i="17" a="1"/>
  <c r="N7" i="17" s="1"/>
  <c r="N10" i="17" a="1"/>
  <c r="N10" i="17" s="1"/>
  <c r="K14" i="17" a="1"/>
  <c r="K14" i="17" s="1"/>
  <c r="N16" i="17" a="1"/>
  <c r="N16" i="17" s="1"/>
  <c r="N20" i="17" a="1"/>
  <c r="N20" i="17" s="1"/>
  <c r="N23" i="17" a="1"/>
  <c r="N23" i="17" s="1"/>
  <c r="N27" i="17" a="1"/>
  <c r="N27" i="17" s="1"/>
  <c r="N30" i="17" a="1"/>
  <c r="N30" i="17" s="1"/>
  <c r="N34" i="17" a="1"/>
  <c r="N34" i="17" s="1"/>
  <c r="L38" i="17" a="1"/>
  <c r="L38" i="17" s="1"/>
  <c r="N41" i="17" a="1"/>
  <c r="N41" i="17" s="1"/>
  <c r="L45" i="17" a="1"/>
  <c r="L45" i="17" s="1"/>
  <c r="N48" i="17" a="1"/>
  <c r="N48" i="17" s="1"/>
  <c r="N52" i="17" a="1"/>
  <c r="N52" i="17" s="1"/>
  <c r="N55" i="17" a="1"/>
  <c r="N55" i="17" s="1"/>
  <c r="N58" i="17" a="1"/>
  <c r="N58" i="17" s="1"/>
  <c r="L62" i="17" a="1"/>
  <c r="L62" i="17" s="1"/>
  <c r="L65" i="17" a="1"/>
  <c r="L65" i="17" s="1"/>
  <c r="M68" i="17" a="1"/>
  <c r="M68" i="17" s="1"/>
  <c r="N71" i="17" a="1"/>
  <c r="N71" i="17" s="1"/>
  <c r="N74" i="17" a="1"/>
  <c r="N74" i="17" s="1"/>
  <c r="L78" i="17" a="1"/>
  <c r="L78" i="17" s="1"/>
  <c r="L81" i="17" a="1"/>
  <c r="L81" i="17" s="1"/>
  <c r="M84" i="17" a="1"/>
  <c r="M84" i="17" s="1"/>
  <c r="N87" i="17" a="1"/>
  <c r="N87" i="17" s="1"/>
  <c r="L94" i="17" a="1"/>
  <c r="L94" i="17" s="1"/>
  <c r="L97" i="17" a="1"/>
  <c r="L97" i="17" s="1"/>
  <c r="L101" i="17" a="1"/>
  <c r="L101" i="17" s="1"/>
  <c r="L109" i="17" a="1"/>
  <c r="L109" i="17" s="1"/>
  <c r="N189" i="17" a="1"/>
  <c r="N189" i="17" s="1"/>
  <c r="J1" i="21"/>
  <c r="K8" i="17" a="1"/>
  <c r="K8" i="17" s="1"/>
  <c r="L11" i="17" a="1"/>
  <c r="L11" i="17" s="1"/>
  <c r="L14" i="17" a="1"/>
  <c r="L14" i="17" s="1"/>
  <c r="L17" i="17" a="1"/>
  <c r="L17" i="17" s="1"/>
  <c r="K21" i="17" a="1"/>
  <c r="K21" i="17" s="1"/>
  <c r="L24" i="17" a="1"/>
  <c r="L24" i="17" s="1"/>
  <c r="L28" i="17" a="1"/>
  <c r="L28" i="17" s="1"/>
  <c r="L31" i="17" a="1"/>
  <c r="L31" i="17" s="1"/>
  <c r="L35" i="17" a="1"/>
  <c r="L35" i="17" s="1"/>
  <c r="M38" i="17" a="1"/>
  <c r="M38" i="17" s="1"/>
  <c r="L42" i="17" a="1"/>
  <c r="L42" i="17" s="1"/>
  <c r="N45" i="17" a="1"/>
  <c r="N45" i="17" s="1"/>
  <c r="L49" i="17" a="1"/>
  <c r="L49" i="17" s="1"/>
  <c r="K53" i="17" a="1"/>
  <c r="K53" i="17" s="1"/>
  <c r="L56" i="17" a="1"/>
  <c r="L56" i="17" s="1"/>
  <c r="L59" i="17" a="1"/>
  <c r="L59" i="17" s="1"/>
  <c r="M62" i="17" a="1"/>
  <c r="M62" i="17" s="1"/>
  <c r="N65" i="17" a="1"/>
  <c r="N65" i="17" s="1"/>
  <c r="N68" i="17" a="1"/>
  <c r="N68" i="17" s="1"/>
  <c r="L72" i="17" a="1"/>
  <c r="L72" i="17" s="1"/>
  <c r="L75" i="17" a="1"/>
  <c r="L75" i="17" s="1"/>
  <c r="M78" i="17" a="1"/>
  <c r="M78" i="17" s="1"/>
  <c r="N81" i="17" a="1"/>
  <c r="N81" i="17" s="1"/>
  <c r="N84" i="17" a="1"/>
  <c r="N84" i="17" s="1"/>
  <c r="L88" i="17" a="1"/>
  <c r="L88" i="17" s="1"/>
  <c r="L91" i="17" a="1"/>
  <c r="L91" i="17" s="1"/>
  <c r="M94" i="17" a="1"/>
  <c r="M94" i="17" s="1"/>
  <c r="N97" i="17" a="1"/>
  <c r="N97" i="17" s="1"/>
  <c r="L102" i="17" a="1"/>
  <c r="L102" i="17" s="1"/>
  <c r="N111" i="17" a="1"/>
  <c r="N111" i="17" s="1"/>
  <c r="K6" i="17" a="1"/>
  <c r="K6" i="17" s="1"/>
  <c r="G6" i="21" s="1"/>
  <c r="L8" i="17" a="1"/>
  <c r="L8" i="17" s="1"/>
  <c r="N11" i="17" a="1"/>
  <c r="N11" i="17" s="1"/>
  <c r="M14" i="17" a="1"/>
  <c r="M14" i="17" s="1"/>
  <c r="N17" i="17" a="1"/>
  <c r="N17" i="17" s="1"/>
  <c r="L21" i="17" a="1"/>
  <c r="L21" i="17" s="1"/>
  <c r="N24" i="17" a="1"/>
  <c r="N24" i="17" s="1"/>
  <c r="N28" i="17" a="1"/>
  <c r="N28" i="17" s="1"/>
  <c r="N31" i="17" a="1"/>
  <c r="N31" i="17" s="1"/>
  <c r="N35" i="17" a="1"/>
  <c r="N35" i="17" s="1"/>
  <c r="N38" i="17" a="1"/>
  <c r="N38" i="17" s="1"/>
  <c r="N42" i="17" a="1"/>
  <c r="N42" i="17" s="1"/>
  <c r="L46" i="17" a="1"/>
  <c r="L46" i="17" s="1"/>
  <c r="N49" i="17" a="1"/>
  <c r="N49" i="17" s="1"/>
  <c r="L53" i="17" a="1"/>
  <c r="L53" i="17" s="1"/>
  <c r="M56" i="17" a="1"/>
  <c r="M56" i="17" s="1"/>
  <c r="N59" i="17" a="1"/>
  <c r="N59" i="17" s="1"/>
  <c r="N62" i="17" a="1"/>
  <c r="N62" i="17" s="1"/>
  <c r="L66" i="17" a="1"/>
  <c r="L66" i="17" s="1"/>
  <c r="L69" i="17" a="1"/>
  <c r="L69" i="17" s="1"/>
  <c r="M72" i="17" a="1"/>
  <c r="M72" i="17" s="1"/>
  <c r="N75" i="17" a="1"/>
  <c r="N75" i="17" s="1"/>
  <c r="N78" i="17" a="1"/>
  <c r="N78" i="17" s="1"/>
  <c r="L82" i="17" a="1"/>
  <c r="L82" i="17" s="1"/>
  <c r="L85" i="17" a="1"/>
  <c r="L85" i="17" s="1"/>
  <c r="M88" i="17" a="1"/>
  <c r="M88" i="17" s="1"/>
  <c r="N91" i="17" a="1"/>
  <c r="N91" i="17" s="1"/>
  <c r="N94" i="17" a="1"/>
  <c r="N94" i="17" s="1"/>
  <c r="L98" i="17" a="1"/>
  <c r="L98" i="17" s="1"/>
  <c r="L103" i="17" a="1"/>
  <c r="L103" i="17" s="1"/>
  <c r="L116" i="17" a="1"/>
  <c r="L116" i="17" s="1"/>
  <c r="L6" i="17" a="1"/>
  <c r="L6" i="17" s="1"/>
  <c r="H6" i="21" s="1"/>
  <c r="N8" i="17" a="1"/>
  <c r="N8" i="17" s="1"/>
  <c r="L12" i="17" a="1"/>
  <c r="L12" i="17" s="1"/>
  <c r="N14" i="17" a="1"/>
  <c r="N14" i="17" s="1"/>
  <c r="L18" i="17" a="1"/>
  <c r="L18" i="17" s="1"/>
  <c r="N21" i="17" a="1"/>
  <c r="N21" i="17" s="1"/>
  <c r="L25" i="17" a="1"/>
  <c r="L25" i="17" s="1"/>
  <c r="K29" i="17" a="1"/>
  <c r="K29" i="17" s="1"/>
  <c r="L32" i="17" a="1"/>
  <c r="L32" i="17" s="1"/>
  <c r="L36" i="17" a="1"/>
  <c r="L36" i="17" s="1"/>
  <c r="L39" i="17" a="1"/>
  <c r="L39" i="17" s="1"/>
  <c r="L43" i="17" a="1"/>
  <c r="L43" i="17" s="1"/>
  <c r="M46" i="17" a="1"/>
  <c r="M46" i="17" s="1"/>
  <c r="L50" i="17" a="1"/>
  <c r="L50" i="17" s="1"/>
  <c r="N53" i="17" a="1"/>
  <c r="N53" i="17" s="1"/>
  <c r="N56" i="17" a="1"/>
  <c r="N56" i="17" s="1"/>
  <c r="L60" i="17" a="1"/>
  <c r="L60" i="17" s="1"/>
  <c r="L63" i="17" a="1"/>
  <c r="L63" i="17" s="1"/>
  <c r="M66" i="17" a="1"/>
  <c r="M66" i="17" s="1"/>
  <c r="N69" i="17" a="1"/>
  <c r="N69" i="17" s="1"/>
  <c r="N72" i="17" a="1"/>
  <c r="N72" i="17" s="1"/>
  <c r="L76" i="17" a="1"/>
  <c r="L76" i="17" s="1"/>
  <c r="L79" i="17" a="1"/>
  <c r="L79" i="17" s="1"/>
  <c r="M82" i="17" a="1"/>
  <c r="M82" i="17" s="1"/>
  <c r="N85" i="17" a="1"/>
  <c r="N85" i="17" s="1"/>
  <c r="N88" i="17" a="1"/>
  <c r="N88" i="17" s="1"/>
  <c r="L92" i="17" a="1"/>
  <c r="L92" i="17" s="1"/>
  <c r="L95" i="17" a="1"/>
  <c r="L95" i="17" s="1"/>
  <c r="M98" i="17" a="1"/>
  <c r="M98" i="17" s="1"/>
  <c r="L104" i="17" a="1"/>
  <c r="L104" i="17" s="1"/>
  <c r="M117" i="17" a="1"/>
  <c r="M117" i="17" s="1"/>
  <c r="L9" i="17" a="1"/>
  <c r="L9" i="17" s="1"/>
  <c r="N12" i="17" a="1"/>
  <c r="N12" i="17" s="1"/>
  <c r="L15" i="17" a="1"/>
  <c r="L15" i="17" s="1"/>
  <c r="N18" i="17" a="1"/>
  <c r="N18" i="17" s="1"/>
  <c r="L22" i="17" a="1"/>
  <c r="L22" i="17" s="1"/>
  <c r="N25" i="17" a="1"/>
  <c r="N25" i="17" s="1"/>
  <c r="L29" i="17" a="1"/>
  <c r="L29" i="17" s="1"/>
  <c r="N32" i="17" a="1"/>
  <c r="N32" i="17" s="1"/>
  <c r="N36" i="17" a="1"/>
  <c r="N36" i="17" s="1"/>
  <c r="N39" i="17" a="1"/>
  <c r="N39" i="17" s="1"/>
  <c r="N43" i="17" a="1"/>
  <c r="N43" i="17" s="1"/>
  <c r="N46" i="17" a="1"/>
  <c r="N46" i="17" s="1"/>
  <c r="N50" i="17" a="1"/>
  <c r="N50" i="17" s="1"/>
  <c r="L54" i="17" a="1"/>
  <c r="L54" i="17" s="1"/>
  <c r="L57" i="17" a="1"/>
  <c r="L57" i="17" s="1"/>
  <c r="M60" i="17" a="1"/>
  <c r="M60" i="17" s="1"/>
  <c r="N63" i="17" a="1"/>
  <c r="N63" i="17" s="1"/>
  <c r="N66" i="17" a="1"/>
  <c r="N66" i="17" s="1"/>
  <c r="L70" i="17" a="1"/>
  <c r="L70" i="17" s="1"/>
  <c r="L73" i="17" a="1"/>
  <c r="L73" i="17" s="1"/>
  <c r="M76" i="17" a="1"/>
  <c r="M76" i="17" s="1"/>
  <c r="N79" i="17" a="1"/>
  <c r="N79" i="17" s="1"/>
  <c r="N82" i="17" a="1"/>
  <c r="N82" i="17" s="1"/>
  <c r="L86" i="17" a="1"/>
  <c r="L86" i="17" s="1"/>
  <c r="L89" i="17" a="1"/>
  <c r="L89" i="17" s="1"/>
  <c r="M92" i="17" a="1"/>
  <c r="M92" i="17" s="1"/>
  <c r="N95" i="17" a="1"/>
  <c r="N95" i="17" s="1"/>
  <c r="N98" i="17" a="1"/>
  <c r="N98" i="17" s="1"/>
  <c r="L105" i="17" a="1"/>
  <c r="L105" i="17" s="1"/>
  <c r="N119" i="17" a="1"/>
  <c r="N119" i="17" s="1"/>
  <c r="M9" i="17" a="1"/>
  <c r="M9" i="17" s="1"/>
  <c r="K13" i="17" a="1"/>
  <c r="K13" i="17" s="1"/>
  <c r="N15" i="17" a="1"/>
  <c r="N15" i="17" s="1"/>
  <c r="L19" i="17" a="1"/>
  <c r="L19" i="17" s="1"/>
  <c r="M22" i="17" a="1"/>
  <c r="M22" i="17" s="1"/>
  <c r="L26" i="17" a="1"/>
  <c r="L26" i="17" s="1"/>
  <c r="N29" i="17" a="1"/>
  <c r="N29" i="17" s="1"/>
  <c r="L33" i="17" a="1"/>
  <c r="L33" i="17" s="1"/>
  <c r="K37" i="17" a="1"/>
  <c r="K37" i="17" s="1"/>
  <c r="L40" i="17" a="1"/>
  <c r="L40" i="17" s="1"/>
  <c r="L44" i="17" a="1"/>
  <c r="L44" i="17" s="1"/>
  <c r="L47" i="17" a="1"/>
  <c r="L47" i="17" s="1"/>
  <c r="L51" i="17" a="1"/>
  <c r="L51" i="17" s="1"/>
  <c r="M54" i="17" a="1"/>
  <c r="M54" i="17" s="1"/>
  <c r="N57" i="17" a="1"/>
  <c r="N57" i="17" s="1"/>
  <c r="N60" i="17" a="1"/>
  <c r="N60" i="17" s="1"/>
  <c r="L64" i="17" a="1"/>
  <c r="L64" i="17" s="1"/>
  <c r="L67" i="17" a="1"/>
  <c r="L67" i="17" s="1"/>
  <c r="M70" i="17" a="1"/>
  <c r="M70" i="17" s="1"/>
  <c r="N73" i="17" a="1"/>
  <c r="N73" i="17" s="1"/>
  <c r="N76" i="17" a="1"/>
  <c r="N76" i="17" s="1"/>
  <c r="L80" i="17" a="1"/>
  <c r="L80" i="17" s="1"/>
  <c r="L83" i="17" a="1"/>
  <c r="L83" i="17" s="1"/>
  <c r="M86" i="17" a="1"/>
  <c r="M86" i="17" s="1"/>
  <c r="N89" i="17" a="1"/>
  <c r="N89" i="17" s="1"/>
  <c r="N92" i="17" a="1"/>
  <c r="N92" i="17" s="1"/>
  <c r="L96" i="17" a="1"/>
  <c r="L96" i="17" s="1"/>
  <c r="L99" i="17" a="1"/>
  <c r="L99" i="17" s="1"/>
  <c r="L106" i="17" a="1"/>
  <c r="L106" i="17" s="1"/>
  <c r="L124" i="17" a="1"/>
  <c r="L124" i="17" s="1"/>
  <c r="L7" i="17" a="1"/>
  <c r="L7" i="17" s="1"/>
  <c r="L13" i="17" a="1"/>
  <c r="L13" i="17" s="1"/>
  <c r="K16" i="17" a="1"/>
  <c r="K16" i="17" s="1"/>
  <c r="N19" i="17" a="1"/>
  <c r="N19" i="17" s="1"/>
  <c r="N22" i="17" a="1"/>
  <c r="N22" i="17" s="1"/>
  <c r="N26" i="17" a="1"/>
  <c r="N26" i="17" s="1"/>
  <c r="L30" i="17" a="1"/>
  <c r="L30" i="17" s="1"/>
  <c r="N33" i="17" a="1"/>
  <c r="N33" i="17" s="1"/>
  <c r="L37" i="17" a="1"/>
  <c r="L37" i="17" s="1"/>
  <c r="N40" i="17" a="1"/>
  <c r="N40" i="17" s="1"/>
  <c r="N44" i="17" a="1"/>
  <c r="N44" i="17" s="1"/>
  <c r="N47" i="17" a="1"/>
  <c r="N47" i="17" s="1"/>
  <c r="J17" i="21" s="1"/>
  <c r="N51" i="17" a="1"/>
  <c r="N51" i="17" s="1"/>
  <c r="N54" i="17" a="1"/>
  <c r="N54" i="17" s="1"/>
  <c r="L58" i="17" a="1"/>
  <c r="L58" i="17" s="1"/>
  <c r="L61" i="17" a="1"/>
  <c r="L61" i="17" s="1"/>
  <c r="M64" i="17" a="1"/>
  <c r="M64" i="17" s="1"/>
  <c r="N67" i="17" a="1"/>
  <c r="N67" i="17" s="1"/>
  <c r="N70" i="17" a="1"/>
  <c r="N70" i="17" s="1"/>
  <c r="L74" i="17" a="1"/>
  <c r="L74" i="17" s="1"/>
  <c r="L77" i="17" a="1"/>
  <c r="L77" i="17" s="1"/>
  <c r="M80" i="17" a="1"/>
  <c r="M80" i="17" s="1"/>
  <c r="N83" i="17" a="1"/>
  <c r="N83" i="17" s="1"/>
  <c r="N86" i="17" a="1"/>
  <c r="N86" i="17" s="1"/>
  <c r="L90" i="17" a="1"/>
  <c r="L90" i="17" s="1"/>
  <c r="L93" i="17" a="1"/>
  <c r="L93" i="17" s="1"/>
  <c r="M96" i="17" a="1"/>
  <c r="M96" i="17" s="1"/>
  <c r="N99" i="17" a="1"/>
  <c r="N99" i="17" s="1"/>
  <c r="L107" i="17" a="1"/>
  <c r="L107" i="17" s="1"/>
  <c r="L198" i="17" a="1"/>
  <c r="L198" i="17" s="1"/>
  <c r="K356" i="17" a="1"/>
  <c r="K356" i="17" s="1"/>
  <c r="K348" i="17" a="1"/>
  <c r="K348" i="17" s="1"/>
  <c r="K340" i="17" a="1"/>
  <c r="K340" i="17" s="1"/>
  <c r="K332" i="17" a="1"/>
  <c r="K332" i="17" s="1"/>
  <c r="K324" i="17" a="1"/>
  <c r="K324" i="17" s="1"/>
  <c r="K316" i="17" a="1"/>
  <c r="K316" i="17" s="1"/>
  <c r="K308" i="17" a="1"/>
  <c r="K308" i="17" s="1"/>
  <c r="K300" i="17" a="1"/>
  <c r="K300" i="17" s="1"/>
  <c r="K357" i="17" a="1"/>
  <c r="K357" i="17" s="1"/>
  <c r="K349" i="17" a="1"/>
  <c r="K349" i="17" s="1"/>
  <c r="K341" i="17" a="1"/>
  <c r="K341" i="17" s="1"/>
  <c r="K333" i="17" a="1"/>
  <c r="K333" i="17" s="1"/>
  <c r="K325" i="17" a="1"/>
  <c r="K325" i="17" s="1"/>
  <c r="K317" i="17" a="1"/>
  <c r="K317" i="17" s="1"/>
  <c r="K309" i="17" a="1"/>
  <c r="K309" i="17" s="1"/>
  <c r="K301" i="17" a="1"/>
  <c r="K301" i="17" s="1"/>
  <c r="K293" i="17" a="1"/>
  <c r="K293" i="17" s="1"/>
  <c r="K350" i="17" a="1"/>
  <c r="K350" i="17" s="1"/>
  <c r="K342" i="17" a="1"/>
  <c r="K342" i="17" s="1"/>
  <c r="K334" i="17" a="1"/>
  <c r="K334" i="17" s="1"/>
  <c r="K326" i="17" a="1"/>
  <c r="K326" i="17" s="1"/>
  <c r="K318" i="17" a="1"/>
  <c r="K318" i="17" s="1"/>
  <c r="K310" i="17" a="1"/>
  <c r="K310" i="17" s="1"/>
  <c r="K302" i="17" a="1"/>
  <c r="K302" i="17" s="1"/>
  <c r="K294" i="17" a="1"/>
  <c r="K294" i="17" s="1"/>
  <c r="K286" i="17" a="1"/>
  <c r="K286" i="17" s="1"/>
  <c r="K278" i="17" a="1"/>
  <c r="K278" i="17" s="1"/>
  <c r="K351" i="17" a="1"/>
  <c r="K351" i="17" s="1"/>
  <c r="K343" i="17" a="1"/>
  <c r="K343" i="17" s="1"/>
  <c r="K335" i="17" a="1"/>
  <c r="K335" i="17" s="1"/>
  <c r="K327" i="17" a="1"/>
  <c r="K327" i="17" s="1"/>
  <c r="K319" i="17" a="1"/>
  <c r="K319" i="17" s="1"/>
  <c r="K311" i="17" a="1"/>
  <c r="K311" i="17" s="1"/>
  <c r="K303" i="17" a="1"/>
  <c r="K303" i="17" s="1"/>
  <c r="K295" i="17" a="1"/>
  <c r="K295" i="17" s="1"/>
  <c r="K358" i="17" a="1"/>
  <c r="K358" i="17" s="1"/>
  <c r="K352" i="17" a="1"/>
  <c r="K352" i="17" s="1"/>
  <c r="K344" i="17" a="1"/>
  <c r="K344" i="17" s="1"/>
  <c r="K336" i="17" a="1"/>
  <c r="K336" i="17" s="1"/>
  <c r="K328" i="17" a="1"/>
  <c r="K328" i="17" s="1"/>
  <c r="K320" i="17" a="1"/>
  <c r="K320" i="17" s="1"/>
  <c r="K312" i="17" a="1"/>
  <c r="K312" i="17" s="1"/>
  <c r="K304" i="17" a="1"/>
  <c r="K304" i="17" s="1"/>
  <c r="K296" i="17" a="1"/>
  <c r="K296" i="17" s="1"/>
  <c r="K288" i="17" a="1"/>
  <c r="K288" i="17" s="1"/>
  <c r="K353" i="17" a="1"/>
  <c r="K353" i="17" s="1"/>
  <c r="K345" i="17" a="1"/>
  <c r="K345" i="17" s="1"/>
  <c r="K337" i="17" a="1"/>
  <c r="K337" i="17" s="1"/>
  <c r="K329" i="17" a="1"/>
  <c r="K329" i="17" s="1"/>
  <c r="K321" i="17" a="1"/>
  <c r="K321" i="17" s="1"/>
  <c r="K313" i="17" a="1"/>
  <c r="K313" i="17" s="1"/>
  <c r="K305" i="17" a="1"/>
  <c r="K305" i="17" s="1"/>
  <c r="K297" i="17" a="1"/>
  <c r="K297" i="17" s="1"/>
  <c r="K289" i="17" a="1"/>
  <c r="K289" i="17" s="1"/>
  <c r="K281" i="17" a="1"/>
  <c r="K281" i="17" s="1"/>
  <c r="K354" i="17" a="1"/>
  <c r="K354" i="17" s="1"/>
  <c r="K346" i="17" a="1"/>
  <c r="K346" i="17" s="1"/>
  <c r="K338" i="17" a="1"/>
  <c r="K338" i="17" s="1"/>
  <c r="K330" i="17" a="1"/>
  <c r="K330" i="17" s="1"/>
  <c r="K322" i="17" a="1"/>
  <c r="K322" i="17" s="1"/>
  <c r="K314" i="17" a="1"/>
  <c r="K314" i="17" s="1"/>
  <c r="K306" i="17" a="1"/>
  <c r="K306" i="17" s="1"/>
  <c r="K298" i="17" a="1"/>
  <c r="K298" i="17" s="1"/>
  <c r="K290" i="17" a="1"/>
  <c r="K290" i="17" s="1"/>
  <c r="K282" i="17" a="1"/>
  <c r="K282" i="17" s="1"/>
  <c r="K274" i="17" a="1"/>
  <c r="K274" i="17" s="1"/>
  <c r="K339" i="17" a="1"/>
  <c r="K339" i="17" s="1"/>
  <c r="G90" i="21" s="1"/>
  <c r="K292" i="17" a="1"/>
  <c r="K292" i="17" s="1"/>
  <c r="K271" i="17" a="1"/>
  <c r="K271" i="17" s="1"/>
  <c r="K347" i="17" a="1"/>
  <c r="K347" i="17" s="1"/>
  <c r="K291" i="17" a="1"/>
  <c r="K291" i="17" s="1"/>
  <c r="K283" i="17" a="1"/>
  <c r="K283" i="17" s="1"/>
  <c r="K279" i="17" a="1"/>
  <c r="K279" i="17" s="1"/>
  <c r="K355" i="17" a="1"/>
  <c r="K355" i="17" s="1"/>
  <c r="K277" i="17" a="1"/>
  <c r="K277" i="17" s="1"/>
  <c r="K275" i="17" a="1"/>
  <c r="K275" i="17" s="1"/>
  <c r="K272" i="17" a="1"/>
  <c r="K272" i="17" s="1"/>
  <c r="K268" i="17" a="1"/>
  <c r="K268" i="17" s="1"/>
  <c r="K299" i="17" a="1"/>
  <c r="K299" i="17" s="1"/>
  <c r="K285" i="17" a="1"/>
  <c r="K285" i="17" s="1"/>
  <c r="K307" i="17" a="1"/>
  <c r="K307" i="17" s="1"/>
  <c r="K287" i="17" a="1"/>
  <c r="K287" i="17" s="1"/>
  <c r="K323" i="17" a="1"/>
  <c r="K323" i="17" s="1"/>
  <c r="K284" i="17" a="1"/>
  <c r="K284" i="17" s="1"/>
  <c r="K276" i="17" a="1"/>
  <c r="K276" i="17" s="1"/>
  <c r="K270" i="17" a="1"/>
  <c r="K270" i="17" s="1"/>
  <c r="K265" i="17" a="1"/>
  <c r="K265" i="17" s="1"/>
  <c r="K315" i="17" a="1"/>
  <c r="K315" i="17" s="1"/>
  <c r="K280" i="17" a="1"/>
  <c r="K280" i="17" s="1"/>
  <c r="K264" i="17" a="1"/>
  <c r="K264" i="17" s="1"/>
  <c r="K256" i="17" a="1"/>
  <c r="K256" i="17" s="1"/>
  <c r="K248" i="17" a="1"/>
  <c r="K248" i="17" s="1"/>
  <c r="K240" i="17" a="1"/>
  <c r="K240" i="17" s="1"/>
  <c r="K232" i="17" a="1"/>
  <c r="K232" i="17" s="1"/>
  <c r="K224" i="17" a="1"/>
  <c r="K224" i="17" s="1"/>
  <c r="K216" i="17" a="1"/>
  <c r="K216" i="17" s="1"/>
  <c r="K208" i="17" a="1"/>
  <c r="K208" i="17" s="1"/>
  <c r="K261" i="17" a="1"/>
  <c r="K261" i="17" s="1"/>
  <c r="K257" i="17" a="1"/>
  <c r="K257" i="17" s="1"/>
  <c r="K249" i="17" a="1"/>
  <c r="K249" i="17" s="1"/>
  <c r="K241" i="17" a="1"/>
  <c r="K241" i="17" s="1"/>
  <c r="K233" i="17" a="1"/>
  <c r="K233" i="17" s="1"/>
  <c r="K225" i="17" a="1"/>
  <c r="K225" i="17" s="1"/>
  <c r="K217" i="17" a="1"/>
  <c r="K217" i="17" s="1"/>
  <c r="K250" i="17" a="1"/>
  <c r="K250" i="17" s="1"/>
  <c r="K242" i="17" a="1"/>
  <c r="K242" i="17" s="1"/>
  <c r="K234" i="17" a="1"/>
  <c r="K234" i="17" s="1"/>
  <c r="K226" i="17" a="1"/>
  <c r="K226" i="17" s="1"/>
  <c r="K218" i="17" a="1"/>
  <c r="K218" i="17" s="1"/>
  <c r="K210" i="17" a="1"/>
  <c r="K210" i="17" s="1"/>
  <c r="K273" i="17" a="1"/>
  <c r="K273" i="17" s="1"/>
  <c r="K262" i="17" a="1"/>
  <c r="K262" i="17" s="1"/>
  <c r="K258" i="17" a="1"/>
  <c r="K258" i="17" s="1"/>
  <c r="K251" i="17" a="1"/>
  <c r="K251" i="17" s="1"/>
  <c r="K243" i="17" a="1"/>
  <c r="K243" i="17" s="1"/>
  <c r="K235" i="17" a="1"/>
  <c r="K235" i="17" s="1"/>
  <c r="K227" i="17" a="1"/>
  <c r="K227" i="17" s="1"/>
  <c r="K267" i="17" a="1"/>
  <c r="K267" i="17" s="1"/>
  <c r="K252" i="17" a="1"/>
  <c r="K252" i="17" s="1"/>
  <c r="K244" i="17" a="1"/>
  <c r="K244" i="17" s="1"/>
  <c r="K236" i="17" a="1"/>
  <c r="K236" i="17" s="1"/>
  <c r="K228" i="17" a="1"/>
  <c r="K228" i="17" s="1"/>
  <c r="K220" i="17" a="1"/>
  <c r="K220" i="17" s="1"/>
  <c r="K212" i="17" a="1"/>
  <c r="K212" i="17" s="1"/>
  <c r="K204" i="17" a="1"/>
  <c r="K204" i="17" s="1"/>
  <c r="K331" i="17" a="1"/>
  <c r="K331" i="17" s="1"/>
  <c r="G88" i="21" s="1"/>
  <c r="K269" i="17" a="1"/>
  <c r="K269" i="17" s="1"/>
  <c r="K263" i="17" a="1"/>
  <c r="K263" i="17" s="1"/>
  <c r="K259" i="17" a="1"/>
  <c r="K259" i="17" s="1"/>
  <c r="K253" i="17" a="1"/>
  <c r="K253" i="17" s="1"/>
  <c r="K245" i="17" a="1"/>
  <c r="K245" i="17" s="1"/>
  <c r="K237" i="17" a="1"/>
  <c r="K237" i="17" s="1"/>
  <c r="K229" i="17" a="1"/>
  <c r="K229" i="17" s="1"/>
  <c r="K221" i="17" a="1"/>
  <c r="K221" i="17" s="1"/>
  <c r="K230" i="17" a="1"/>
  <c r="K230" i="17" s="1"/>
  <c r="K222" i="17" a="1"/>
  <c r="K222" i="17" s="1"/>
  <c r="K219" i="17" a="1"/>
  <c r="K219" i="17" s="1"/>
  <c r="K199" i="17" a="1"/>
  <c r="K199" i="17" s="1"/>
  <c r="K239" i="17" a="1"/>
  <c r="K239" i="17" s="1"/>
  <c r="K211" i="17" a="1"/>
  <c r="K211" i="17" s="1"/>
  <c r="K206" i="17" a="1"/>
  <c r="K206" i="17" s="1"/>
  <c r="K200" i="17" a="1"/>
  <c r="K200" i="17" s="1"/>
  <c r="K192" i="17" a="1"/>
  <c r="K192" i="17" s="1"/>
  <c r="K184" i="17" a="1"/>
  <c r="K184" i="17" s="1"/>
  <c r="K238" i="17" a="1"/>
  <c r="K238" i="17" s="1"/>
  <c r="K213" i="17" a="1"/>
  <c r="K213" i="17" s="1"/>
  <c r="K209" i="17" a="1"/>
  <c r="K209" i="17" s="1"/>
  <c r="K201" i="17" a="1"/>
  <c r="K201" i="17" s="1"/>
  <c r="K193" i="17" a="1"/>
  <c r="K193" i="17" s="1"/>
  <c r="K185" i="17" a="1"/>
  <c r="K185" i="17" s="1"/>
  <c r="K247" i="17" a="1"/>
  <c r="K247" i="17" s="1"/>
  <c r="K207" i="17" a="1"/>
  <c r="K207" i="17" s="1"/>
  <c r="K202" i="17" a="1"/>
  <c r="K202" i="17" s="1"/>
  <c r="K194" i="17" a="1"/>
  <c r="K194" i="17" s="1"/>
  <c r="K246" i="17" a="1"/>
  <c r="K246" i="17" s="1"/>
  <c r="K215" i="17" a="1"/>
  <c r="K215" i="17" s="1"/>
  <c r="K203" i="17" a="1"/>
  <c r="K203" i="17" s="1"/>
  <c r="K195" i="17" a="1"/>
  <c r="K195" i="17" s="1"/>
  <c r="G54" i="21" s="1"/>
  <c r="K254" i="17" a="1"/>
  <c r="K254" i="17" s="1"/>
  <c r="K223" i="17" a="1"/>
  <c r="K223" i="17" s="1"/>
  <c r="K186" i="17" a="1"/>
  <c r="K186" i="17" s="1"/>
  <c r="K179" i="17" a="1"/>
  <c r="K179" i="17" s="1"/>
  <c r="K172" i="17" a="1"/>
  <c r="K172" i="17" s="1"/>
  <c r="K164" i="17" a="1"/>
  <c r="K164" i="17" s="1"/>
  <c r="K156" i="17" a="1"/>
  <c r="K156" i="17" s="1"/>
  <c r="K148" i="17" a="1"/>
  <c r="K148" i="17" s="1"/>
  <c r="K140" i="17" a="1"/>
  <c r="K140" i="17" s="1"/>
  <c r="K231" i="17" a="1"/>
  <c r="K231" i="17" s="1"/>
  <c r="K197" i="17" a="1"/>
  <c r="K197" i="17" s="1"/>
  <c r="K189" i="17" a="1"/>
  <c r="K189" i="17" s="1"/>
  <c r="K183" i="17" a="1"/>
  <c r="K183" i="17" s="1"/>
  <c r="K173" i="17" a="1"/>
  <c r="K173" i="17" s="1"/>
  <c r="K165" i="17" a="1"/>
  <c r="K165" i="17" s="1"/>
  <c r="K157" i="17" a="1"/>
  <c r="K157" i="17" s="1"/>
  <c r="K149" i="17" a="1"/>
  <c r="K149" i="17" s="1"/>
  <c r="K141" i="17" a="1"/>
  <c r="K141" i="17" s="1"/>
  <c r="K266" i="17" a="1"/>
  <c r="K266" i="17" s="1"/>
  <c r="K180" i="17" a="1"/>
  <c r="K180" i="17" s="1"/>
  <c r="K174" i="17" a="1"/>
  <c r="K174" i="17" s="1"/>
  <c r="K166" i="17" a="1"/>
  <c r="K166" i="17" s="1"/>
  <c r="K158" i="17" a="1"/>
  <c r="K158" i="17" s="1"/>
  <c r="K150" i="17" a="1"/>
  <c r="K150" i="17" s="1"/>
  <c r="K142" i="17" a="1"/>
  <c r="K142" i="17" s="1"/>
  <c r="K196" i="17" a="1"/>
  <c r="K196" i="17" s="1"/>
  <c r="K187" i="17" a="1"/>
  <c r="K187" i="17" s="1"/>
  <c r="K175" i="17" a="1"/>
  <c r="K175" i="17" s="1"/>
  <c r="K167" i="17" a="1"/>
  <c r="K167" i="17" s="1"/>
  <c r="K159" i="17" a="1"/>
  <c r="K159" i="17" s="1"/>
  <c r="K151" i="17" a="1"/>
  <c r="K151" i="17" s="1"/>
  <c r="K143" i="17" a="1"/>
  <c r="K143" i="17" s="1"/>
  <c r="K260" i="17" a="1"/>
  <c r="K260" i="17" s="1"/>
  <c r="K190" i="17" a="1"/>
  <c r="K190" i="17" s="1"/>
  <c r="K181" i="17" a="1"/>
  <c r="K181" i="17" s="1"/>
  <c r="K176" i="17" a="1"/>
  <c r="K176" i="17" s="1"/>
  <c r="K168" i="17" a="1"/>
  <c r="K168" i="17" s="1"/>
  <c r="K160" i="17" a="1"/>
  <c r="K160" i="17" s="1"/>
  <c r="K152" i="17" a="1"/>
  <c r="K152" i="17" s="1"/>
  <c r="K144" i="17" a="1"/>
  <c r="K144" i="17" s="1"/>
  <c r="K136" i="17" a="1"/>
  <c r="K136" i="17" s="1"/>
  <c r="K135" i="17" a="1"/>
  <c r="K135" i="17" s="1"/>
  <c r="K134" i="17" a="1"/>
  <c r="K134" i="17" s="1"/>
  <c r="K255" i="17" a="1"/>
  <c r="K255" i="17" s="1"/>
  <c r="K214" i="17" a="1"/>
  <c r="K214" i="17" s="1"/>
  <c r="K188" i="17" a="1"/>
  <c r="K188" i="17" s="1"/>
  <c r="K182" i="17" a="1"/>
  <c r="K182" i="17" s="1"/>
  <c r="K178" i="17" a="1"/>
  <c r="K178" i="17" s="1"/>
  <c r="K170" i="17" a="1"/>
  <c r="K170" i="17" s="1"/>
  <c r="K162" i="17" a="1"/>
  <c r="K162" i="17" s="1"/>
  <c r="K154" i="17" a="1"/>
  <c r="K154" i="17" s="1"/>
  <c r="K146" i="17" a="1"/>
  <c r="K146" i="17" s="1"/>
  <c r="K138" i="17" a="1"/>
  <c r="K138" i="17" s="1"/>
  <c r="K198" i="17" a="1"/>
  <c r="K198" i="17" s="1"/>
  <c r="K191" i="17" a="1"/>
  <c r="K191" i="17" s="1"/>
  <c r="K171" i="17" a="1"/>
  <c r="K171" i="17" s="1"/>
  <c r="G48" i="21" s="1"/>
  <c r="K163" i="17" a="1"/>
  <c r="K163" i="17" s="1"/>
  <c r="K139" i="17" a="1"/>
  <c r="K139" i="17" s="1"/>
  <c r="K133" i="17" a="1"/>
  <c r="K133" i="17" s="1"/>
  <c r="K129" i="17" a="1"/>
  <c r="K129" i="17" s="1"/>
  <c r="K123" i="17" a="1"/>
  <c r="K123" i="17" s="1"/>
  <c r="K115" i="17" a="1"/>
  <c r="K115" i="17" s="1"/>
  <c r="K124" i="17" a="1"/>
  <c r="K124" i="17" s="1"/>
  <c r="K116" i="17" a="1"/>
  <c r="K116" i="17" s="1"/>
  <c r="K108" i="17" a="1"/>
  <c r="K108" i="17" s="1"/>
  <c r="K107" i="17" a="1"/>
  <c r="K107" i="17" s="1"/>
  <c r="K106" i="17" a="1"/>
  <c r="K106" i="17" s="1"/>
  <c r="K105" i="17" a="1"/>
  <c r="K105" i="17" s="1"/>
  <c r="K104" i="17" a="1"/>
  <c r="K104" i="17" s="1"/>
  <c r="K103" i="17" a="1"/>
  <c r="K103" i="17" s="1"/>
  <c r="K102" i="17" a="1"/>
  <c r="K102" i="17" s="1"/>
  <c r="K101" i="17" a="1"/>
  <c r="K101" i="17" s="1"/>
  <c r="K161" i="17" a="1"/>
  <c r="K161" i="17" s="1"/>
  <c r="K147" i="17" a="1"/>
  <c r="K147" i="17" s="1"/>
  <c r="K130" i="17" a="1"/>
  <c r="K130" i="17" s="1"/>
  <c r="K125" i="17" a="1"/>
  <c r="K125" i="17" s="1"/>
  <c r="K117" i="17" a="1"/>
  <c r="K117" i="17" s="1"/>
  <c r="K109" i="17" a="1"/>
  <c r="K109" i="17" s="1"/>
  <c r="K169" i="17" a="1"/>
  <c r="K169" i="17" s="1"/>
  <c r="K137" i="17" a="1"/>
  <c r="K137" i="17" s="1"/>
  <c r="K126" i="17" a="1"/>
  <c r="K126" i="17" s="1"/>
  <c r="K118" i="17" a="1"/>
  <c r="K118" i="17" s="1"/>
  <c r="K110" i="17" a="1"/>
  <c r="K110" i="17" s="1"/>
  <c r="K177" i="17" a="1"/>
  <c r="K177" i="17" s="1"/>
  <c r="K155" i="17" a="1"/>
  <c r="K155" i="17" s="1"/>
  <c r="K131" i="17" a="1"/>
  <c r="K131" i="17" s="1"/>
  <c r="K127" i="17" a="1"/>
  <c r="K127" i="17" s="1"/>
  <c r="K119" i="17" a="1"/>
  <c r="K119" i="17" s="1"/>
  <c r="K111" i="17" a="1"/>
  <c r="K111" i="17" s="1"/>
  <c r="K205" i="17" a="1"/>
  <c r="K205" i="17" s="1"/>
  <c r="K145" i="17" a="1"/>
  <c r="K145" i="17" s="1"/>
  <c r="K120" i="17" a="1"/>
  <c r="K120" i="17" s="1"/>
  <c r="K112" i="17" a="1"/>
  <c r="K112" i="17" s="1"/>
  <c r="K132" i="17" a="1"/>
  <c r="K132" i="17" s="1"/>
  <c r="K128" i="17" a="1"/>
  <c r="K128" i="17" s="1"/>
  <c r="K121" i="17" a="1"/>
  <c r="K121" i="17" s="1"/>
  <c r="K113" i="17" a="1"/>
  <c r="K113" i="17" s="1"/>
  <c r="M11" i="17" a="1"/>
  <c r="M11" i="17" s="1"/>
  <c r="K18" i="17" a="1"/>
  <c r="K18" i="17" s="1"/>
  <c r="M19" i="17" a="1"/>
  <c r="M19" i="17" s="1"/>
  <c r="K26" i="17" a="1"/>
  <c r="K26" i="17" s="1"/>
  <c r="M27" i="17" a="1"/>
  <c r="M27" i="17" s="1"/>
  <c r="K34" i="17" a="1"/>
  <c r="K34" i="17" s="1"/>
  <c r="M35" i="17" a="1"/>
  <c r="M35" i="17" s="1"/>
  <c r="K42" i="17" a="1"/>
  <c r="K42" i="17" s="1"/>
  <c r="M43" i="17" a="1"/>
  <c r="M43" i="17" s="1"/>
  <c r="K50" i="17" a="1"/>
  <c r="K50" i="17" s="1"/>
  <c r="M51" i="17" a="1"/>
  <c r="M51" i="17" s="1"/>
  <c r="M109" i="17" a="1"/>
  <c r="M109" i="17" s="1"/>
  <c r="M148" i="17" a="1"/>
  <c r="M148" i="17" s="1"/>
  <c r="K10" i="17" a="1"/>
  <c r="K10" i="17" s="1"/>
  <c r="K7" i="17" a="1"/>
  <c r="K7" i="17" s="1"/>
  <c r="M8" i="17" a="1"/>
  <c r="M8" i="17" s="1"/>
  <c r="I7" i="21" s="1"/>
  <c r="K15" i="17" a="1"/>
  <c r="K15" i="17" s="1"/>
  <c r="M16" i="17" a="1"/>
  <c r="M16" i="17" s="1"/>
  <c r="K23" i="17" a="1"/>
  <c r="K23" i="17" s="1"/>
  <c r="M24" i="17" a="1"/>
  <c r="M24" i="17" s="1"/>
  <c r="K31" i="17" a="1"/>
  <c r="K31" i="17" s="1"/>
  <c r="M32" i="17" a="1"/>
  <c r="M32" i="17" s="1"/>
  <c r="K39" i="17" a="1"/>
  <c r="K39" i="17" s="1"/>
  <c r="M40" i="17" a="1"/>
  <c r="M40" i="17" s="1"/>
  <c r="K47" i="17" a="1"/>
  <c r="K47" i="17" s="1"/>
  <c r="M48" i="17" a="1"/>
  <c r="M48" i="17" s="1"/>
  <c r="K55" i="17" a="1"/>
  <c r="K55" i="17" s="1"/>
  <c r="K57" i="17" a="1"/>
  <c r="K57" i="17" s="1"/>
  <c r="K59" i="17" a="1"/>
  <c r="K59" i="17" s="1"/>
  <c r="K61" i="17" a="1"/>
  <c r="K61" i="17" s="1"/>
  <c r="K63" i="17" a="1"/>
  <c r="K63" i="17" s="1"/>
  <c r="K65" i="17" a="1"/>
  <c r="K65" i="17" s="1"/>
  <c r="K67" i="17" a="1"/>
  <c r="K67" i="17" s="1"/>
  <c r="K69" i="17" a="1"/>
  <c r="K69" i="17" s="1"/>
  <c r="K71" i="17" a="1"/>
  <c r="K71" i="17" s="1"/>
  <c r="K73" i="17" a="1"/>
  <c r="K73" i="17" s="1"/>
  <c r="K75" i="17" a="1"/>
  <c r="K75" i="17" s="1"/>
  <c r="K77" i="17" a="1"/>
  <c r="K77" i="17" s="1"/>
  <c r="K79" i="17" a="1"/>
  <c r="K79" i="17" s="1"/>
  <c r="K81" i="17" a="1"/>
  <c r="K81" i="17" s="1"/>
  <c r="K83" i="17" a="1"/>
  <c r="K83" i="17" s="1"/>
  <c r="K85" i="17" a="1"/>
  <c r="K85" i="17" s="1"/>
  <c r="K87" i="17" a="1"/>
  <c r="K87" i="17" s="1"/>
  <c r="K89" i="17" a="1"/>
  <c r="K89" i="17" s="1"/>
  <c r="K91" i="17" a="1"/>
  <c r="K91" i="17" s="1"/>
  <c r="K93" i="17" a="1"/>
  <c r="K93" i="17" s="1"/>
  <c r="K95" i="17" a="1"/>
  <c r="K95" i="17" s="1"/>
  <c r="K97" i="17" a="1"/>
  <c r="K97" i="17" s="1"/>
  <c r="K99" i="17" a="1"/>
  <c r="K99" i="17" s="1"/>
  <c r="K153" i="17" a="1"/>
  <c r="K153" i="17" s="1"/>
  <c r="M13" i="17" a="1"/>
  <c r="M13" i="17" s="1"/>
  <c r="K20" i="17" a="1"/>
  <c r="K20" i="17" s="1"/>
  <c r="K28" i="17" a="1"/>
  <c r="K28" i="17" s="1"/>
  <c r="M29" i="17" a="1"/>
  <c r="M29" i="17" s="1"/>
  <c r="K36" i="17" a="1"/>
  <c r="K36" i="17" s="1"/>
  <c r="M37" i="17" a="1"/>
  <c r="M37" i="17" s="1"/>
  <c r="K44" i="17" a="1"/>
  <c r="K44" i="17" s="1"/>
  <c r="M45" i="17" a="1"/>
  <c r="M45" i="17" s="1"/>
  <c r="K52" i="17" a="1"/>
  <c r="K52" i="17" s="1"/>
  <c r="M358" i="17" a="1"/>
  <c r="M358" i="17" s="1"/>
  <c r="M357" i="17" a="1"/>
  <c r="M357" i="17" s="1"/>
  <c r="M351" i="17" a="1"/>
  <c r="M351" i="17" s="1"/>
  <c r="M343" i="17" a="1"/>
  <c r="M343" i="17" s="1"/>
  <c r="M335" i="17" a="1"/>
  <c r="M335" i="17" s="1"/>
  <c r="M327" i="17" a="1"/>
  <c r="M327" i="17" s="1"/>
  <c r="M319" i="17" a="1"/>
  <c r="M319" i="17" s="1"/>
  <c r="M311" i="17" a="1"/>
  <c r="M311" i="17" s="1"/>
  <c r="M303" i="17" a="1"/>
  <c r="M303" i="17" s="1"/>
  <c r="M352" i="17" a="1"/>
  <c r="M352" i="17" s="1"/>
  <c r="M344" i="17" a="1"/>
  <c r="M344" i="17" s="1"/>
  <c r="M336" i="17" a="1"/>
  <c r="M336" i="17" s="1"/>
  <c r="M328" i="17" a="1"/>
  <c r="M328" i="17" s="1"/>
  <c r="M320" i="17" a="1"/>
  <c r="M320" i="17" s="1"/>
  <c r="M312" i="17" a="1"/>
  <c r="M312" i="17" s="1"/>
  <c r="M304" i="17" a="1"/>
  <c r="M304" i="17" s="1"/>
  <c r="M296" i="17" a="1"/>
  <c r="M296" i="17" s="1"/>
  <c r="M353" i="17" a="1"/>
  <c r="M353" i="17" s="1"/>
  <c r="M345" i="17" a="1"/>
  <c r="M345" i="17" s="1"/>
  <c r="M337" i="17" a="1"/>
  <c r="M337" i="17" s="1"/>
  <c r="M329" i="17" a="1"/>
  <c r="M329" i="17" s="1"/>
  <c r="M321" i="17" a="1"/>
  <c r="M321" i="17" s="1"/>
  <c r="M313" i="17" a="1"/>
  <c r="M313" i="17" s="1"/>
  <c r="M305" i="17" a="1"/>
  <c r="M305" i="17" s="1"/>
  <c r="M297" i="17" a="1"/>
  <c r="M297" i="17" s="1"/>
  <c r="M289" i="17" a="1"/>
  <c r="M289" i="17" s="1"/>
  <c r="M281" i="17" a="1"/>
  <c r="M281" i="17" s="1"/>
  <c r="M273" i="17" a="1"/>
  <c r="M273" i="17" s="1"/>
  <c r="M272" i="17" a="1"/>
  <c r="M272" i="17" s="1"/>
  <c r="M271" i="17" a="1"/>
  <c r="M271" i="17" s="1"/>
  <c r="M270" i="17" a="1"/>
  <c r="M270" i="17" s="1"/>
  <c r="M269" i="17" a="1"/>
  <c r="M269" i="17" s="1"/>
  <c r="M268" i="17" a="1"/>
  <c r="M268" i="17" s="1"/>
  <c r="M267" i="17" a="1"/>
  <c r="M267" i="17" s="1"/>
  <c r="M354" i="17" a="1"/>
  <c r="M354" i="17" s="1"/>
  <c r="M346" i="17" a="1"/>
  <c r="M346" i="17" s="1"/>
  <c r="M338" i="17" a="1"/>
  <c r="M338" i="17" s="1"/>
  <c r="M330" i="17" a="1"/>
  <c r="M330" i="17" s="1"/>
  <c r="M322" i="17" a="1"/>
  <c r="M322" i="17" s="1"/>
  <c r="M314" i="17" a="1"/>
  <c r="M314" i="17" s="1"/>
  <c r="M306" i="17" a="1"/>
  <c r="M306" i="17" s="1"/>
  <c r="M298" i="17" a="1"/>
  <c r="M298" i="17" s="1"/>
  <c r="M290" i="17" a="1"/>
  <c r="M290" i="17" s="1"/>
  <c r="M355" i="17" a="1"/>
  <c r="M355" i="17" s="1"/>
  <c r="I94" i="21" s="1"/>
  <c r="M347" i="17" a="1"/>
  <c r="M347" i="17" s="1"/>
  <c r="M339" i="17" a="1"/>
  <c r="M339" i="17" s="1"/>
  <c r="M331" i="17" a="1"/>
  <c r="M331" i="17" s="1"/>
  <c r="M323" i="17" a="1"/>
  <c r="M323" i="17" s="1"/>
  <c r="M315" i="17" a="1"/>
  <c r="M315" i="17" s="1"/>
  <c r="M307" i="17" a="1"/>
  <c r="M307" i="17" s="1"/>
  <c r="M299" i="17" a="1"/>
  <c r="M299" i="17" s="1"/>
  <c r="M291" i="17" a="1"/>
  <c r="M291" i="17" s="1"/>
  <c r="M283" i="17" a="1"/>
  <c r="M283" i="17" s="1"/>
  <c r="M356" i="17" a="1"/>
  <c r="M356" i="17" s="1"/>
  <c r="M348" i="17" a="1"/>
  <c r="M348" i="17" s="1"/>
  <c r="M340" i="17" a="1"/>
  <c r="M340" i="17" s="1"/>
  <c r="M332" i="17" a="1"/>
  <c r="M332" i="17" s="1"/>
  <c r="M324" i="17" a="1"/>
  <c r="M324" i="17" s="1"/>
  <c r="M316" i="17" a="1"/>
  <c r="M316" i="17" s="1"/>
  <c r="M308" i="17" a="1"/>
  <c r="M308" i="17" s="1"/>
  <c r="M300" i="17" a="1"/>
  <c r="M300" i="17" s="1"/>
  <c r="M292" i="17" a="1"/>
  <c r="M292" i="17" s="1"/>
  <c r="M284" i="17" a="1"/>
  <c r="M284" i="17" s="1"/>
  <c r="M276" i="17" a="1"/>
  <c r="M276" i="17" s="1"/>
  <c r="M349" i="17" a="1"/>
  <c r="M349" i="17" s="1"/>
  <c r="M341" i="17" a="1"/>
  <c r="M341" i="17" s="1"/>
  <c r="M333" i="17" a="1"/>
  <c r="M333" i="17" s="1"/>
  <c r="M325" i="17" a="1"/>
  <c r="M325" i="17" s="1"/>
  <c r="M317" i="17" a="1"/>
  <c r="M317" i="17" s="1"/>
  <c r="M309" i="17" a="1"/>
  <c r="M309" i="17" s="1"/>
  <c r="M301" i="17" a="1"/>
  <c r="M301" i="17" s="1"/>
  <c r="M293" i="17" a="1"/>
  <c r="M293" i="17" s="1"/>
  <c r="M285" i="17" a="1"/>
  <c r="M285" i="17" s="1"/>
  <c r="M277" i="17" a="1"/>
  <c r="M277" i="17" s="1"/>
  <c r="M302" i="17" a="1"/>
  <c r="M302" i="17" s="1"/>
  <c r="M288" i="17" a="1"/>
  <c r="M288" i="17" s="1"/>
  <c r="M310" i="17" a="1"/>
  <c r="M310" i="17" s="1"/>
  <c r="M275" i="17" a="1"/>
  <c r="M275" i="17" s="1"/>
  <c r="M263" i="17" a="1"/>
  <c r="M263" i="17" s="1"/>
  <c r="M318" i="17" a="1"/>
  <c r="M318" i="17" s="1"/>
  <c r="M295" i="17" a="1"/>
  <c r="M295" i="17" s="1"/>
  <c r="M287" i="17" a="1"/>
  <c r="M287" i="17" s="1"/>
  <c r="M326" i="17" a="1"/>
  <c r="M326" i="17" s="1"/>
  <c r="M294" i="17" a="1"/>
  <c r="M294" i="17" s="1"/>
  <c r="M280" i="17" a="1"/>
  <c r="M280" i="17" s="1"/>
  <c r="M278" i="17" a="1"/>
  <c r="M278" i="17" s="1"/>
  <c r="M265" i="17" a="1"/>
  <c r="M265" i="17" s="1"/>
  <c r="M334" i="17" a="1"/>
  <c r="M334" i="17" s="1"/>
  <c r="M282" i="17" a="1"/>
  <c r="M282" i="17" s="1"/>
  <c r="M350" i="17" a="1"/>
  <c r="M350" i="17" s="1"/>
  <c r="M251" i="17" a="1"/>
  <c r="M251" i="17" s="1"/>
  <c r="M243" i="17" a="1"/>
  <c r="M243" i="17" s="1"/>
  <c r="M235" i="17" a="1"/>
  <c r="M235" i="17" s="1"/>
  <c r="M227" i="17" a="1"/>
  <c r="M227" i="17" s="1"/>
  <c r="M219" i="17" a="1"/>
  <c r="M219" i="17" s="1"/>
  <c r="M211" i="17" a="1"/>
  <c r="M211" i="17" s="1"/>
  <c r="M279" i="17" a="1"/>
  <c r="M279" i="17" s="1"/>
  <c r="M274" i="17" a="1"/>
  <c r="M274" i="17" s="1"/>
  <c r="M262" i="17" a="1"/>
  <c r="M262" i="17" s="1"/>
  <c r="M258" i="17" a="1"/>
  <c r="M258" i="17" s="1"/>
  <c r="M252" i="17" a="1"/>
  <c r="M252" i="17" s="1"/>
  <c r="M244" i="17" a="1"/>
  <c r="M244" i="17" s="1"/>
  <c r="M236" i="17" a="1"/>
  <c r="M236" i="17" s="1"/>
  <c r="M228" i="17" a="1"/>
  <c r="M228" i="17" s="1"/>
  <c r="M220" i="17" a="1"/>
  <c r="M220" i="17" s="1"/>
  <c r="M212" i="17" a="1"/>
  <c r="M212" i="17" s="1"/>
  <c r="M342" i="17" a="1"/>
  <c r="M342" i="17" s="1"/>
  <c r="M286" i="17" a="1"/>
  <c r="M286" i="17" s="1"/>
  <c r="M253" i="17" a="1"/>
  <c r="M253" i="17" s="1"/>
  <c r="M245" i="17" a="1"/>
  <c r="M245" i="17" s="1"/>
  <c r="M237" i="17" a="1"/>
  <c r="M237" i="17" s="1"/>
  <c r="M229" i="17" a="1"/>
  <c r="M229" i="17" s="1"/>
  <c r="M221" i="17" a="1"/>
  <c r="M221" i="17" s="1"/>
  <c r="M213" i="17" a="1"/>
  <c r="M213" i="17" s="1"/>
  <c r="M259" i="17" a="1"/>
  <c r="M259" i="17" s="1"/>
  <c r="M254" i="17" a="1"/>
  <c r="M254" i="17" s="1"/>
  <c r="M246" i="17" a="1"/>
  <c r="M246" i="17" s="1"/>
  <c r="M238" i="17" a="1"/>
  <c r="M238" i="17" s="1"/>
  <c r="M230" i="17" a="1"/>
  <c r="M230" i="17" s="1"/>
  <c r="M255" i="17" a="1"/>
  <c r="M255" i="17" s="1"/>
  <c r="M247" i="17" a="1"/>
  <c r="M247" i="17" s="1"/>
  <c r="M239" i="17" a="1"/>
  <c r="M239" i="17" s="1"/>
  <c r="M231" i="17" a="1"/>
  <c r="M231" i="17" s="1"/>
  <c r="M223" i="17" a="1"/>
  <c r="M223" i="17" s="1"/>
  <c r="M215" i="17" a="1"/>
  <c r="M215" i="17" s="1"/>
  <c r="M207" i="17" a="1"/>
  <c r="M207" i="17" s="1"/>
  <c r="M266" i="17" a="1"/>
  <c r="M266" i="17" s="1"/>
  <c r="M260" i="17" a="1"/>
  <c r="M260" i="17" s="1"/>
  <c r="M256" i="17" a="1"/>
  <c r="M256" i="17" s="1"/>
  <c r="M248" i="17" a="1"/>
  <c r="M248" i="17" s="1"/>
  <c r="M240" i="17" a="1"/>
  <c r="M240" i="17" s="1"/>
  <c r="M232" i="17" a="1"/>
  <c r="M232" i="17" s="1"/>
  <c r="M224" i="17" a="1"/>
  <c r="M224" i="17" s="1"/>
  <c r="M216" i="17" a="1"/>
  <c r="M216" i="17" s="1"/>
  <c r="M225" i="17" a="1"/>
  <c r="M225" i="17" s="1"/>
  <c r="M209" i="17" a="1"/>
  <c r="M209" i="17" s="1"/>
  <c r="M195" i="17" a="1"/>
  <c r="M195" i="17" s="1"/>
  <c r="M257" i="17" a="1"/>
  <c r="M257" i="17" s="1"/>
  <c r="M234" i="17" a="1"/>
  <c r="M234" i="17" s="1"/>
  <c r="M203" i="17" a="1"/>
  <c r="M203" i="17" s="1"/>
  <c r="M196" i="17" a="1"/>
  <c r="M196" i="17" s="1"/>
  <c r="M188" i="17" a="1"/>
  <c r="M188" i="17" s="1"/>
  <c r="M233" i="17" a="1"/>
  <c r="M233" i="17" s="1"/>
  <c r="M218" i="17" a="1"/>
  <c r="M218" i="17" s="1"/>
  <c r="M197" i="17" a="1"/>
  <c r="M197" i="17" s="1"/>
  <c r="M189" i="17" a="1"/>
  <c r="M189" i="17" s="1"/>
  <c r="M181" i="17" a="1"/>
  <c r="M181" i="17" s="1"/>
  <c r="M261" i="17" a="1"/>
  <c r="M261" i="17" s="1"/>
  <c r="M242" i="17" a="1"/>
  <c r="M242" i="17" s="1"/>
  <c r="M204" i="17" a="1"/>
  <c r="M204" i="17" s="1"/>
  <c r="M198" i="17" a="1"/>
  <c r="M198" i="17" s="1"/>
  <c r="M241" i="17" a="1"/>
  <c r="M241" i="17" s="1"/>
  <c r="M217" i="17" a="1"/>
  <c r="M217" i="17" s="1"/>
  <c r="M210" i="17" a="1"/>
  <c r="M210" i="17" s="1"/>
  <c r="M208" i="17" a="1"/>
  <c r="M208" i="17" s="1"/>
  <c r="M199" i="17" a="1"/>
  <c r="M199" i="17" s="1"/>
  <c r="M264" i="17" a="1"/>
  <c r="M264" i="17" s="1"/>
  <c r="M249" i="17" a="1"/>
  <c r="M249" i="17" s="1"/>
  <c r="M250" i="17" a="1"/>
  <c r="M250" i="17" s="1"/>
  <c r="M194" i="17" a="1"/>
  <c r="M194" i="17" s="1"/>
  <c r="M190" i="17" a="1"/>
  <c r="M190" i="17" s="1"/>
  <c r="M184" i="17" a="1"/>
  <c r="M184" i="17" s="1"/>
  <c r="M175" i="17" a="1"/>
  <c r="M175" i="17" s="1"/>
  <c r="M167" i="17" a="1"/>
  <c r="M167" i="17" s="1"/>
  <c r="M159" i="17" a="1"/>
  <c r="M159" i="17" s="1"/>
  <c r="M151" i="17" a="1"/>
  <c r="M151" i="17" s="1"/>
  <c r="M143" i="17" a="1"/>
  <c r="M143" i="17" s="1"/>
  <c r="M135" i="17" a="1"/>
  <c r="M135" i="17" s="1"/>
  <c r="M187" i="17" a="1"/>
  <c r="M187" i="17" s="1"/>
  <c r="M176" i="17" a="1"/>
  <c r="M176" i="17" s="1"/>
  <c r="M168" i="17" a="1"/>
  <c r="M168" i="17" s="1"/>
  <c r="M160" i="17" a="1"/>
  <c r="M160" i="17" s="1"/>
  <c r="M152" i="17" a="1"/>
  <c r="M152" i="17" s="1"/>
  <c r="M144" i="17" a="1"/>
  <c r="M144" i="17" s="1"/>
  <c r="M136" i="17" a="1"/>
  <c r="M136" i="17" s="1"/>
  <c r="M206" i="17" a="1"/>
  <c r="M206" i="17" s="1"/>
  <c r="M182" i="17" a="1"/>
  <c r="M182" i="17" s="1"/>
  <c r="M177" i="17" a="1"/>
  <c r="M177" i="17" s="1"/>
  <c r="M169" i="17" a="1"/>
  <c r="M169" i="17" s="1"/>
  <c r="M161" i="17" a="1"/>
  <c r="M161" i="17" s="1"/>
  <c r="M153" i="17" a="1"/>
  <c r="M153" i="17" s="1"/>
  <c r="M145" i="17" a="1"/>
  <c r="M145" i="17" s="1"/>
  <c r="M137" i="17" a="1"/>
  <c r="M137" i="17" s="1"/>
  <c r="M226" i="17" a="1"/>
  <c r="M226" i="17" s="1"/>
  <c r="M205" i="17" a="1"/>
  <c r="M205" i="17" s="1"/>
  <c r="M202" i="17" a="1"/>
  <c r="M202" i="17" s="1"/>
  <c r="M193" i="17" a="1"/>
  <c r="M193" i="17" s="1"/>
  <c r="M191" i="17" a="1"/>
  <c r="M191" i="17" s="1"/>
  <c r="M185" i="17" a="1"/>
  <c r="M185" i="17" s="1"/>
  <c r="M178" i="17" a="1"/>
  <c r="M178" i="17" s="1"/>
  <c r="M170" i="17" a="1"/>
  <c r="M170" i="17" s="1"/>
  <c r="M162" i="17" a="1"/>
  <c r="M162" i="17" s="1"/>
  <c r="M154" i="17" a="1"/>
  <c r="M154" i="17" s="1"/>
  <c r="M146" i="17" a="1"/>
  <c r="M146" i="17" s="1"/>
  <c r="M138" i="17" a="1"/>
  <c r="M138" i="17" s="1"/>
  <c r="M214" i="17" a="1"/>
  <c r="M214" i="17" s="1"/>
  <c r="M171" i="17" a="1"/>
  <c r="M171" i="17" s="1"/>
  <c r="M163" i="17" a="1"/>
  <c r="M163" i="17" s="1"/>
  <c r="M155" i="17" a="1"/>
  <c r="M155" i="17" s="1"/>
  <c r="M147" i="17" a="1"/>
  <c r="M147" i="17" s="1"/>
  <c r="M139" i="17" a="1"/>
  <c r="M139" i="17" s="1"/>
  <c r="M192" i="17" a="1"/>
  <c r="M192" i="17" s="1"/>
  <c r="M186" i="17" a="1"/>
  <c r="M186" i="17" s="1"/>
  <c r="M173" i="17" a="1"/>
  <c r="M173" i="17" s="1"/>
  <c r="M165" i="17" a="1"/>
  <c r="M165" i="17" s="1"/>
  <c r="M157" i="17" a="1"/>
  <c r="M157" i="17" s="1"/>
  <c r="M149" i="17" a="1"/>
  <c r="M149" i="17" s="1"/>
  <c r="M141" i="17" a="1"/>
  <c r="M141" i="17" s="1"/>
  <c r="M200" i="17" a="1"/>
  <c r="M200" i="17" s="1"/>
  <c r="M180" i="17" a="1"/>
  <c r="M180" i="17" s="1"/>
  <c r="M174" i="17" a="1"/>
  <c r="M174" i="17" s="1"/>
  <c r="M166" i="17" a="1"/>
  <c r="M166" i="17" s="1"/>
  <c r="M172" i="17" a="1"/>
  <c r="M172" i="17" s="1"/>
  <c r="M130" i="17" a="1"/>
  <c r="M130" i="17" s="1"/>
  <c r="M126" i="17" a="1"/>
  <c r="M126" i="17" s="1"/>
  <c r="M118" i="17" a="1"/>
  <c r="M118" i="17" s="1"/>
  <c r="M110" i="17" a="1"/>
  <c r="M110" i="17" s="1"/>
  <c r="M156" i="17" a="1"/>
  <c r="M156" i="17" s="1"/>
  <c r="M119" i="17" a="1"/>
  <c r="M119" i="17" s="1"/>
  <c r="M111" i="17" a="1"/>
  <c r="M111" i="17" s="1"/>
  <c r="I33" i="21" s="1"/>
  <c r="M222" i="17" a="1"/>
  <c r="M222" i="17" s="1"/>
  <c r="M179" i="17" a="1"/>
  <c r="M179" i="17" s="1"/>
  <c r="M142" i="17" a="1"/>
  <c r="M142" i="17" s="1"/>
  <c r="M134" i="17" a="1"/>
  <c r="M134" i="17" s="1"/>
  <c r="M131" i="17" a="1"/>
  <c r="M131" i="17" s="1"/>
  <c r="M127" i="17" a="1"/>
  <c r="M127" i="17" s="1"/>
  <c r="M120" i="17" a="1"/>
  <c r="M120" i="17" s="1"/>
  <c r="M112" i="17" a="1"/>
  <c r="M112" i="17" s="1"/>
  <c r="M121" i="17" a="1"/>
  <c r="M121" i="17" s="1"/>
  <c r="M113" i="17" a="1"/>
  <c r="M113" i="17" s="1"/>
  <c r="M150" i="17" a="1"/>
  <c r="M150" i="17" s="1"/>
  <c r="M132" i="17" a="1"/>
  <c r="M132" i="17" s="1"/>
  <c r="M128" i="17" a="1"/>
  <c r="M128" i="17" s="1"/>
  <c r="M122" i="17" a="1"/>
  <c r="M122" i="17" s="1"/>
  <c r="M114" i="17" a="1"/>
  <c r="M114" i="17" s="1"/>
  <c r="M140" i="17" a="1"/>
  <c r="M140" i="17" s="1"/>
  <c r="M123" i="17" a="1"/>
  <c r="M123" i="17" s="1"/>
  <c r="M115" i="17" a="1"/>
  <c r="M115" i="17" s="1"/>
  <c r="M107" i="17" a="1"/>
  <c r="M107" i="17" s="1"/>
  <c r="M106" i="17" a="1"/>
  <c r="M106" i="17" s="1"/>
  <c r="M105" i="17" a="1"/>
  <c r="M105" i="17" s="1"/>
  <c r="M104" i="17" a="1"/>
  <c r="M104" i="17" s="1"/>
  <c r="M103" i="17" a="1"/>
  <c r="M103" i="17" s="1"/>
  <c r="M102" i="17" a="1"/>
  <c r="M102" i="17" s="1"/>
  <c r="M101" i="17" a="1"/>
  <c r="M101" i="17" s="1"/>
  <c r="M100" i="17" a="1"/>
  <c r="M100" i="17" s="1"/>
  <c r="M201" i="17" a="1"/>
  <c r="M201" i="17" s="1"/>
  <c r="M158" i="17" a="1"/>
  <c r="M158" i="17" s="1"/>
  <c r="M133" i="17" a="1"/>
  <c r="M133" i="17" s="1"/>
  <c r="M129" i="17" a="1"/>
  <c r="M129" i="17" s="1"/>
  <c r="M124" i="17" a="1"/>
  <c r="M124" i="17" s="1"/>
  <c r="M116" i="17" a="1"/>
  <c r="M116" i="17" s="1"/>
  <c r="M108" i="17" a="1"/>
  <c r="M108" i="17" s="1"/>
  <c r="K12" i="17" a="1"/>
  <c r="K12" i="17" s="1"/>
  <c r="M21" i="17" a="1"/>
  <c r="M21" i="17" s="1"/>
  <c r="K9" i="17" a="1"/>
  <c r="K9" i="17" s="1"/>
  <c r="M10" i="17" a="1"/>
  <c r="M10" i="17" s="1"/>
  <c r="K17" i="17" a="1"/>
  <c r="K17" i="17" s="1"/>
  <c r="M18" i="17" a="1"/>
  <c r="M18" i="17" s="1"/>
  <c r="K25" i="17" a="1"/>
  <c r="K25" i="17" s="1"/>
  <c r="M26" i="17" a="1"/>
  <c r="M26" i="17" s="1"/>
  <c r="K33" i="17" a="1"/>
  <c r="K33" i="17" s="1"/>
  <c r="M34" i="17" a="1"/>
  <c r="M34" i="17" s="1"/>
  <c r="K41" i="17" a="1"/>
  <c r="K41" i="17" s="1"/>
  <c r="M42" i="17" a="1"/>
  <c r="M42" i="17" s="1"/>
  <c r="K49" i="17" a="1"/>
  <c r="K49" i="17" s="1"/>
  <c r="M50" i="17" a="1"/>
  <c r="M50" i="17" s="1"/>
  <c r="M55" i="17" a="1"/>
  <c r="M55" i="17" s="1"/>
  <c r="M57" i="17" a="1"/>
  <c r="M57" i="17" s="1"/>
  <c r="M59" i="17" a="1"/>
  <c r="M59" i="17" s="1"/>
  <c r="M61" i="17" a="1"/>
  <c r="M61" i="17" s="1"/>
  <c r="M63" i="17" a="1"/>
  <c r="M63" i="17" s="1"/>
  <c r="M65" i="17" a="1"/>
  <c r="M65" i="17" s="1"/>
  <c r="M67" i="17" a="1"/>
  <c r="M67" i="17" s="1"/>
  <c r="M69" i="17" a="1"/>
  <c r="M69" i="17" s="1"/>
  <c r="M71" i="17" a="1"/>
  <c r="M71" i="17" s="1"/>
  <c r="M73" i="17" a="1"/>
  <c r="M73" i="17" s="1"/>
  <c r="M75" i="17" a="1"/>
  <c r="M75" i="17" s="1"/>
  <c r="M77" i="17" a="1"/>
  <c r="M77" i="17" s="1"/>
  <c r="M79" i="17" a="1"/>
  <c r="M79" i="17" s="1"/>
  <c r="M81" i="17" a="1"/>
  <c r="M81" i="17" s="1"/>
  <c r="M83" i="17" a="1"/>
  <c r="M83" i="17" s="1"/>
  <c r="M85" i="17" a="1"/>
  <c r="M85" i="17" s="1"/>
  <c r="M87" i="17" a="1"/>
  <c r="M87" i="17" s="1"/>
  <c r="M89" i="17" a="1"/>
  <c r="M89" i="17" s="1"/>
  <c r="M91" i="17" a="1"/>
  <c r="M91" i="17" s="1"/>
  <c r="M93" i="17" a="1"/>
  <c r="M93" i="17" s="1"/>
  <c r="M95" i="17" a="1"/>
  <c r="M95" i="17" s="1"/>
  <c r="M97" i="17" a="1"/>
  <c r="M97" i="17" s="1"/>
  <c r="M99" i="17" a="1"/>
  <c r="M99" i="17" s="1"/>
  <c r="K122" i="17" a="1"/>
  <c r="K122" i="17" s="1"/>
  <c r="M164" i="17" a="1"/>
  <c r="M164" i="17" s="1"/>
  <c r="M15" i="17" a="1"/>
  <c r="M15" i="17" s="1"/>
  <c r="K22" i="17" a="1"/>
  <c r="K22" i="17" s="1"/>
  <c r="M23" i="17" a="1"/>
  <c r="M23" i="17" s="1"/>
  <c r="K30" i="17" a="1"/>
  <c r="K30" i="17" s="1"/>
  <c r="M31" i="17" a="1"/>
  <c r="M31" i="17" s="1"/>
  <c r="K38" i="17" a="1"/>
  <c r="K38" i="17" s="1"/>
  <c r="M39" i="17" a="1"/>
  <c r="M39" i="17" s="1"/>
  <c r="K46" i="17" a="1"/>
  <c r="K46" i="17" s="1"/>
  <c r="M47" i="17" a="1"/>
  <c r="M47" i="17" s="1"/>
  <c r="K54" i="17" a="1"/>
  <c r="K54" i="17" s="1"/>
  <c r="K114" i="17" a="1"/>
  <c r="K114" i="17" s="1"/>
  <c r="K11" i="17" a="1"/>
  <c r="K11" i="17" s="1"/>
  <c r="M12" i="17" a="1"/>
  <c r="M12" i="17" s="1"/>
  <c r="K19" i="17" a="1"/>
  <c r="K19" i="17" s="1"/>
  <c r="M20" i="17" a="1"/>
  <c r="M20" i="17" s="1"/>
  <c r="K27" i="17" a="1"/>
  <c r="K27" i="17" s="1"/>
  <c r="M28" i="17" a="1"/>
  <c r="M28" i="17" s="1"/>
  <c r="K35" i="17" a="1"/>
  <c r="K35" i="17" s="1"/>
  <c r="M36" i="17" a="1"/>
  <c r="M36" i="17" s="1"/>
  <c r="K43" i="17" a="1"/>
  <c r="K43" i="17" s="1"/>
  <c r="M44" i="17" a="1"/>
  <c r="M44" i="17" s="1"/>
  <c r="K51" i="17" a="1"/>
  <c r="K51" i="17" s="1"/>
  <c r="M52" i="17" a="1"/>
  <c r="M52" i="17" s="1"/>
  <c r="K56" i="17" a="1"/>
  <c r="K56" i="17" s="1"/>
  <c r="K58" i="17" a="1"/>
  <c r="K58" i="17" s="1"/>
  <c r="K60" i="17" a="1"/>
  <c r="K60" i="17" s="1"/>
  <c r="K62" i="17" a="1"/>
  <c r="K62" i="17" s="1"/>
  <c r="K64" i="17" a="1"/>
  <c r="K64" i="17" s="1"/>
  <c r="K66" i="17" a="1"/>
  <c r="K66" i="17" s="1"/>
  <c r="K68" i="17" a="1"/>
  <c r="K68" i="17" s="1"/>
  <c r="K70" i="17" a="1"/>
  <c r="K70" i="17" s="1"/>
  <c r="K72" i="17" a="1"/>
  <c r="K72" i="17" s="1"/>
  <c r="K74" i="17" a="1"/>
  <c r="K74" i="17" s="1"/>
  <c r="K76" i="17" a="1"/>
  <c r="K76" i="17" s="1"/>
  <c r="K78" i="17" a="1"/>
  <c r="K78" i="17" s="1"/>
  <c r="K80" i="17" a="1"/>
  <c r="K80" i="17" s="1"/>
  <c r="K82" i="17" a="1"/>
  <c r="K82" i="17" s="1"/>
  <c r="K84" i="17" a="1"/>
  <c r="K84" i="17" s="1"/>
  <c r="K86" i="17" a="1"/>
  <c r="K86" i="17" s="1"/>
  <c r="K88" i="17" a="1"/>
  <c r="K88" i="17" s="1"/>
  <c r="K90" i="17" a="1"/>
  <c r="K90" i="17" s="1"/>
  <c r="K92" i="17" a="1"/>
  <c r="K92" i="17" s="1"/>
  <c r="K94" i="17" a="1"/>
  <c r="K94" i="17" s="1"/>
  <c r="K96" i="17" a="1"/>
  <c r="K96" i="17" s="1"/>
  <c r="K98" i="17" a="1"/>
  <c r="K98" i="17" s="1"/>
  <c r="K100" i="17" a="1"/>
  <c r="K100" i="17" s="1"/>
  <c r="M183" i="17" a="1"/>
  <c r="M183" i="17" s="1"/>
  <c r="M17" i="17" a="1"/>
  <c r="M17" i="17" s="1"/>
  <c r="K24" i="17" a="1"/>
  <c r="K24" i="17" s="1"/>
  <c r="M25" i="17" a="1"/>
  <c r="M25" i="17" s="1"/>
  <c r="K32" i="17" a="1"/>
  <c r="K32" i="17" s="1"/>
  <c r="M33" i="17" a="1"/>
  <c r="M33" i="17" s="1"/>
  <c r="K40" i="17" a="1"/>
  <c r="K40" i="17" s="1"/>
  <c r="M41" i="17" a="1"/>
  <c r="M41" i="17" s="1"/>
  <c r="K48" i="17" a="1"/>
  <c r="K48" i="17" s="1"/>
  <c r="M49" i="17" a="1"/>
  <c r="M49" i="17" s="1"/>
  <c r="M125" i="17" a="1"/>
  <c r="M125" i="17" s="1"/>
  <c r="N110" i="17" a="1"/>
  <c r="N110" i="17" s="1"/>
  <c r="L115" i="17" a="1"/>
  <c r="L115" i="17" s="1"/>
  <c r="N118" i="17" a="1"/>
  <c r="N118" i="17" s="1"/>
  <c r="L123" i="17" a="1"/>
  <c r="L123" i="17" s="1"/>
  <c r="N126" i="17" a="1"/>
  <c r="N126" i="17" s="1"/>
  <c r="N130" i="17" a="1"/>
  <c r="N130" i="17" s="1"/>
  <c r="L140" i="17" a="1"/>
  <c r="L140" i="17" s="1"/>
  <c r="N144" i="17" a="1"/>
  <c r="N144" i="17" s="1"/>
  <c r="N174" i="17" a="1"/>
  <c r="N174" i="17" s="1"/>
  <c r="L185" i="17" a="1"/>
  <c r="L185" i="17" s="1"/>
  <c r="N109" i="17" a="1"/>
  <c r="N109" i="17" s="1"/>
  <c r="L114" i="17" a="1"/>
  <c r="L114" i="17" s="1"/>
  <c r="N117" i="17" a="1"/>
  <c r="N117" i="17" s="1"/>
  <c r="L122" i="17" a="1"/>
  <c r="L122" i="17" s="1"/>
  <c r="N125" i="17" a="1"/>
  <c r="N125" i="17" s="1"/>
  <c r="N158" i="17" a="1"/>
  <c r="N158" i="17" s="1"/>
  <c r="N166" i="17" a="1"/>
  <c r="N166" i="17" s="1"/>
  <c r="L358" i="17" a="1"/>
  <c r="L358" i="17" s="1"/>
  <c r="L357" i="17" a="1"/>
  <c r="L357" i="17" s="1"/>
  <c r="L349" i="17" a="1"/>
  <c r="L349" i="17" s="1"/>
  <c r="L341" i="17" a="1"/>
  <c r="L341" i="17" s="1"/>
  <c r="L333" i="17" a="1"/>
  <c r="L333" i="17" s="1"/>
  <c r="L325" i="17" a="1"/>
  <c r="L325" i="17" s="1"/>
  <c r="L317" i="17" a="1"/>
  <c r="L317" i="17" s="1"/>
  <c r="L309" i="17" a="1"/>
  <c r="L309" i="17" s="1"/>
  <c r="L301" i="17" a="1"/>
  <c r="L301" i="17" s="1"/>
  <c r="L350" i="17" a="1"/>
  <c r="L350" i="17" s="1"/>
  <c r="L342" i="17" a="1"/>
  <c r="L342" i="17" s="1"/>
  <c r="L334" i="17" a="1"/>
  <c r="L334" i="17" s="1"/>
  <c r="L326" i="17" a="1"/>
  <c r="L326" i="17" s="1"/>
  <c r="L318" i="17" a="1"/>
  <c r="L318" i="17" s="1"/>
  <c r="L310" i="17" a="1"/>
  <c r="L310" i="17" s="1"/>
  <c r="L302" i="17" a="1"/>
  <c r="L302" i="17" s="1"/>
  <c r="L294" i="17" a="1"/>
  <c r="L294" i="17" s="1"/>
  <c r="L351" i="17" a="1"/>
  <c r="L351" i="17" s="1"/>
  <c r="L343" i="17" a="1"/>
  <c r="L343" i="17" s="1"/>
  <c r="L335" i="17" a="1"/>
  <c r="L335" i="17" s="1"/>
  <c r="L327" i="17" a="1"/>
  <c r="L327" i="17" s="1"/>
  <c r="L319" i="17" a="1"/>
  <c r="L319" i="17" s="1"/>
  <c r="L311" i="17" a="1"/>
  <c r="L311" i="17" s="1"/>
  <c r="L303" i="17" a="1"/>
  <c r="L303" i="17" s="1"/>
  <c r="L295" i="17" a="1"/>
  <c r="L295" i="17" s="1"/>
  <c r="L287" i="17" a="1"/>
  <c r="L287" i="17" s="1"/>
  <c r="L279" i="17" a="1"/>
  <c r="L279" i="17" s="1"/>
  <c r="L352" i="17" a="1"/>
  <c r="L352" i="17" s="1"/>
  <c r="L344" i="17" a="1"/>
  <c r="L344" i="17" s="1"/>
  <c r="L336" i="17" a="1"/>
  <c r="L336" i="17" s="1"/>
  <c r="L328" i="17" a="1"/>
  <c r="L328" i="17" s="1"/>
  <c r="L320" i="17" a="1"/>
  <c r="L320" i="17" s="1"/>
  <c r="L312" i="17" a="1"/>
  <c r="L312" i="17" s="1"/>
  <c r="L304" i="17" a="1"/>
  <c r="L304" i="17" s="1"/>
  <c r="L296" i="17" a="1"/>
  <c r="L296" i="17" s="1"/>
  <c r="L288" i="17" a="1"/>
  <c r="L288" i="17" s="1"/>
  <c r="L353" i="17" a="1"/>
  <c r="L353" i="17" s="1"/>
  <c r="L345" i="17" a="1"/>
  <c r="L345" i="17" s="1"/>
  <c r="L337" i="17" a="1"/>
  <c r="L337" i="17" s="1"/>
  <c r="L329" i="17" a="1"/>
  <c r="L329" i="17" s="1"/>
  <c r="L321" i="17" a="1"/>
  <c r="L321" i="17" s="1"/>
  <c r="L313" i="17" a="1"/>
  <c r="L313" i="17" s="1"/>
  <c r="L305" i="17" a="1"/>
  <c r="L305" i="17" s="1"/>
  <c r="L297" i="17" a="1"/>
  <c r="L297" i="17" s="1"/>
  <c r="L289" i="17" a="1"/>
  <c r="L289" i="17" s="1"/>
  <c r="L281" i="17" a="1"/>
  <c r="L281" i="17" s="1"/>
  <c r="L354" i="17" a="1"/>
  <c r="L354" i="17" s="1"/>
  <c r="L346" i="17" a="1"/>
  <c r="L346" i="17" s="1"/>
  <c r="L338" i="17" a="1"/>
  <c r="L338" i="17" s="1"/>
  <c r="L330" i="17" a="1"/>
  <c r="L330" i="17" s="1"/>
  <c r="L322" i="17" a="1"/>
  <c r="L322" i="17" s="1"/>
  <c r="L314" i="17" a="1"/>
  <c r="L314" i="17" s="1"/>
  <c r="L306" i="17" a="1"/>
  <c r="L306" i="17" s="1"/>
  <c r="L298" i="17" a="1"/>
  <c r="L298" i="17" s="1"/>
  <c r="L290" i="17" a="1"/>
  <c r="L290" i="17" s="1"/>
  <c r="L282" i="17" a="1"/>
  <c r="L282" i="17" s="1"/>
  <c r="L274" i="17" a="1"/>
  <c r="L274" i="17" s="1"/>
  <c r="L355" i="17" a="1"/>
  <c r="L355" i="17" s="1"/>
  <c r="L347" i="17" a="1"/>
  <c r="L347" i="17" s="1"/>
  <c r="L339" i="17" a="1"/>
  <c r="L339" i="17" s="1"/>
  <c r="L331" i="17" a="1"/>
  <c r="L331" i="17" s="1"/>
  <c r="L323" i="17" a="1"/>
  <c r="L323" i="17" s="1"/>
  <c r="H86" i="21" s="1"/>
  <c r="L315" i="17" a="1"/>
  <c r="L315" i="17" s="1"/>
  <c r="L307" i="17" a="1"/>
  <c r="L307" i="17" s="1"/>
  <c r="L299" i="17" a="1"/>
  <c r="L299" i="17" s="1"/>
  <c r="L291" i="17" a="1"/>
  <c r="L291" i="17" s="1"/>
  <c r="L283" i="17" a="1"/>
  <c r="L283" i="17" s="1"/>
  <c r="L275" i="17" a="1"/>
  <c r="L275" i="17" s="1"/>
  <c r="L348" i="17" a="1"/>
  <c r="L348" i="17" s="1"/>
  <c r="L356" i="17" a="1"/>
  <c r="L356" i="17" s="1"/>
  <c r="L277" i="17" a="1"/>
  <c r="L277" i="17" s="1"/>
  <c r="L272" i="17" a="1"/>
  <c r="L272" i="17" s="1"/>
  <c r="L268" i="17" a="1"/>
  <c r="L268" i="17" s="1"/>
  <c r="L300" i="17" a="1"/>
  <c r="L300" i="17" s="1"/>
  <c r="L285" i="17" a="1"/>
  <c r="L285" i="17" s="1"/>
  <c r="L308" i="17" a="1"/>
  <c r="L308" i="17" s="1"/>
  <c r="L273" i="17" a="1"/>
  <c r="L273" i="17" s="1"/>
  <c r="L269" i="17" a="1"/>
  <c r="L269" i="17" s="1"/>
  <c r="L263" i="17" a="1"/>
  <c r="L263" i="17" s="1"/>
  <c r="L316" i="17" a="1"/>
  <c r="L316" i="17" s="1"/>
  <c r="L280" i="17" a="1"/>
  <c r="L280" i="17" s="1"/>
  <c r="L332" i="17" a="1"/>
  <c r="L332" i="17" s="1"/>
  <c r="L293" i="17" a="1"/>
  <c r="L293" i="17" s="1"/>
  <c r="L266" i="17" a="1"/>
  <c r="L266" i="17" s="1"/>
  <c r="L271" i="17" a="1"/>
  <c r="L271" i="17" s="1"/>
  <c r="L261" i="17" a="1"/>
  <c r="L261" i="17" s="1"/>
  <c r="L257" i="17" a="1"/>
  <c r="L257" i="17" s="1"/>
  <c r="L249" i="17" a="1"/>
  <c r="L249" i="17" s="1"/>
  <c r="L241" i="17" a="1"/>
  <c r="L241" i="17" s="1"/>
  <c r="L233" i="17" a="1"/>
  <c r="L233" i="17" s="1"/>
  <c r="L225" i="17" a="1"/>
  <c r="L225" i="17" s="1"/>
  <c r="L217" i="17" a="1"/>
  <c r="L217" i="17" s="1"/>
  <c r="L209" i="17" a="1"/>
  <c r="L209" i="17" s="1"/>
  <c r="L250" i="17" a="1"/>
  <c r="L250" i="17" s="1"/>
  <c r="L242" i="17" a="1"/>
  <c r="L242" i="17" s="1"/>
  <c r="L234" i="17" a="1"/>
  <c r="L234" i="17" s="1"/>
  <c r="L226" i="17" a="1"/>
  <c r="L226" i="17" s="1"/>
  <c r="L218" i="17" a="1"/>
  <c r="L218" i="17" s="1"/>
  <c r="L270" i="17" a="1"/>
  <c r="L270" i="17" s="1"/>
  <c r="L262" i="17" a="1"/>
  <c r="L262" i="17" s="1"/>
  <c r="L258" i="17" a="1"/>
  <c r="L258" i="17" s="1"/>
  <c r="L251" i="17" a="1"/>
  <c r="L251" i="17" s="1"/>
  <c r="L243" i="17" a="1"/>
  <c r="L243" i="17" s="1"/>
  <c r="L235" i="17" a="1"/>
  <c r="L235" i="17" s="1"/>
  <c r="L227" i="17" a="1"/>
  <c r="L227" i="17" s="1"/>
  <c r="L219" i="17" a="1"/>
  <c r="L219" i="17" s="1"/>
  <c r="L211" i="17" a="1"/>
  <c r="L211" i="17" s="1"/>
  <c r="L340" i="17" a="1"/>
  <c r="L340" i="17" s="1"/>
  <c r="L286" i="17" a="1"/>
  <c r="L286" i="17" s="1"/>
  <c r="L278" i="17" a="1"/>
  <c r="L278" i="17" s="1"/>
  <c r="L267" i="17" a="1"/>
  <c r="L267" i="17" s="1"/>
  <c r="L265" i="17" a="1"/>
  <c r="L265" i="17" s="1"/>
  <c r="L252" i="17" a="1"/>
  <c r="L252" i="17" s="1"/>
  <c r="L244" i="17" a="1"/>
  <c r="L244" i="17" s="1"/>
  <c r="L236" i="17" a="1"/>
  <c r="L236" i="17" s="1"/>
  <c r="L228" i="17" a="1"/>
  <c r="L228" i="17" s="1"/>
  <c r="L284" i="17" a="1"/>
  <c r="L284" i="17" s="1"/>
  <c r="L259" i="17" a="1"/>
  <c r="L259" i="17" s="1"/>
  <c r="H70" i="21" s="1"/>
  <c r="L253" i="17" a="1"/>
  <c r="L253" i="17" s="1"/>
  <c r="L245" i="17" a="1"/>
  <c r="L245" i="17" s="1"/>
  <c r="L237" i="17" a="1"/>
  <c r="L237" i="17" s="1"/>
  <c r="L229" i="17" a="1"/>
  <c r="L229" i="17" s="1"/>
  <c r="L221" i="17" a="1"/>
  <c r="L221" i="17" s="1"/>
  <c r="L213" i="17" a="1"/>
  <c r="L213" i="17" s="1"/>
  <c r="L205" i="17" a="1"/>
  <c r="L205" i="17" s="1"/>
  <c r="L254" i="17" a="1"/>
  <c r="L254" i="17" s="1"/>
  <c r="L246" i="17" a="1"/>
  <c r="L246" i="17" s="1"/>
  <c r="L238" i="17" a="1"/>
  <c r="L238" i="17" s="1"/>
  <c r="L230" i="17" a="1"/>
  <c r="L230" i="17" s="1"/>
  <c r="L222" i="17" a="1"/>
  <c r="L222" i="17" s="1"/>
  <c r="L324" i="17" a="1"/>
  <c r="L324" i="17" s="1"/>
  <c r="L239" i="17" a="1"/>
  <c r="L239" i="17" s="1"/>
  <c r="L216" i="17" a="1"/>
  <c r="L216" i="17" s="1"/>
  <c r="L206" i="17" a="1"/>
  <c r="L206" i="17" s="1"/>
  <c r="L201" i="17" a="1"/>
  <c r="L201" i="17" s="1"/>
  <c r="L193" i="17" a="1"/>
  <c r="L193" i="17" s="1"/>
  <c r="L248" i="17" a="1"/>
  <c r="L248" i="17" s="1"/>
  <c r="L202" i="17" a="1"/>
  <c r="L202" i="17" s="1"/>
  <c r="L194" i="17" a="1"/>
  <c r="L194" i="17" s="1"/>
  <c r="L186" i="17" a="1"/>
  <c r="L186" i="17" s="1"/>
  <c r="L247" i="17" a="1"/>
  <c r="L247" i="17" s="1"/>
  <c r="L207" i="17" a="1"/>
  <c r="L207" i="17" s="1"/>
  <c r="L195" i="17" a="1"/>
  <c r="L195" i="17" s="1"/>
  <c r="L187" i="17" a="1"/>
  <c r="L187" i="17" s="1"/>
  <c r="L179" i="17" a="1"/>
  <c r="L179" i="17" s="1"/>
  <c r="L292" i="17" a="1"/>
  <c r="L292" i="17" s="1"/>
  <c r="L256" i="17" a="1"/>
  <c r="L256" i="17" s="1"/>
  <c r="L224" i="17" a="1"/>
  <c r="L224" i="17" s="1"/>
  <c r="L215" i="17" a="1"/>
  <c r="L215" i="17" s="1"/>
  <c r="L203" i="17" a="1"/>
  <c r="L203" i="17" s="1"/>
  <c r="H56" i="21" s="1"/>
  <c r="L196" i="17" a="1"/>
  <c r="L196" i="17" s="1"/>
  <c r="L260" i="17" a="1"/>
  <c r="L260" i="17" s="1"/>
  <c r="L255" i="17" a="1"/>
  <c r="L255" i="17" s="1"/>
  <c r="L197" i="17" a="1"/>
  <c r="L197" i="17" s="1"/>
  <c r="L276" i="17" a="1"/>
  <c r="L276" i="17" s="1"/>
  <c r="L231" i="17" a="1"/>
  <c r="L231" i="17" s="1"/>
  <c r="L232" i="17" a="1"/>
  <c r="L232" i="17" s="1"/>
  <c r="L192" i="17" a="1"/>
  <c r="L192" i="17" s="1"/>
  <c r="L180" i="17" a="1"/>
  <c r="L180" i="17" s="1"/>
  <c r="L173" i="17" a="1"/>
  <c r="L173" i="17" s="1"/>
  <c r="L165" i="17" a="1"/>
  <c r="L165" i="17" s="1"/>
  <c r="L157" i="17" a="1"/>
  <c r="L157" i="17" s="1"/>
  <c r="L149" i="17" a="1"/>
  <c r="L149" i="17" s="1"/>
  <c r="L141" i="17" a="1"/>
  <c r="L141" i="17" s="1"/>
  <c r="L200" i="17" a="1"/>
  <c r="L200" i="17" s="1"/>
  <c r="L174" i="17" a="1"/>
  <c r="L174" i="17" s="1"/>
  <c r="L166" i="17" a="1"/>
  <c r="L166" i="17" s="1"/>
  <c r="L158" i="17" a="1"/>
  <c r="L158" i="17" s="1"/>
  <c r="L150" i="17" a="1"/>
  <c r="L150" i="17" s="1"/>
  <c r="L142" i="17" a="1"/>
  <c r="L142" i="17" s="1"/>
  <c r="L210" i="17" a="1"/>
  <c r="L210" i="17" s="1"/>
  <c r="L190" i="17" a="1"/>
  <c r="L190" i="17" s="1"/>
  <c r="L184" i="17" a="1"/>
  <c r="L184" i="17" s="1"/>
  <c r="L181" i="17" a="1"/>
  <c r="L181" i="17" s="1"/>
  <c r="L175" i="17" a="1"/>
  <c r="L175" i="17" s="1"/>
  <c r="L167" i="17" a="1"/>
  <c r="L167" i="17" s="1"/>
  <c r="L159" i="17" a="1"/>
  <c r="L159" i="17" s="1"/>
  <c r="L151" i="17" a="1"/>
  <c r="L151" i="17" s="1"/>
  <c r="L143" i="17" a="1"/>
  <c r="L143" i="17" s="1"/>
  <c r="L135" i="17" a="1"/>
  <c r="L135" i="17" s="1"/>
  <c r="L134" i="17" a="1"/>
  <c r="L134" i="17" s="1"/>
  <c r="L133" i="17" a="1"/>
  <c r="L133" i="17" s="1"/>
  <c r="L132" i="17" a="1"/>
  <c r="L132" i="17" s="1"/>
  <c r="L131" i="17" a="1"/>
  <c r="L131" i="17" s="1"/>
  <c r="L130" i="17" a="1"/>
  <c r="L130" i="17" s="1"/>
  <c r="L129" i="17" a="1"/>
  <c r="L129" i="17" s="1"/>
  <c r="L128" i="17" a="1"/>
  <c r="L128" i="17" s="1"/>
  <c r="L127" i="17" a="1"/>
  <c r="L127" i="17" s="1"/>
  <c r="L264" i="17" a="1"/>
  <c r="L264" i="17" s="1"/>
  <c r="L199" i="17" a="1"/>
  <c r="L199" i="17" s="1"/>
  <c r="L176" i="17" a="1"/>
  <c r="L176" i="17" s="1"/>
  <c r="L168" i="17" a="1"/>
  <c r="L168" i="17" s="1"/>
  <c r="L160" i="17" a="1"/>
  <c r="L160" i="17" s="1"/>
  <c r="L152" i="17" a="1"/>
  <c r="L152" i="17" s="1"/>
  <c r="L144" i="17" a="1"/>
  <c r="L144" i="17" s="1"/>
  <c r="L136" i="17" a="1"/>
  <c r="L136" i="17" s="1"/>
  <c r="L223" i="17" a="1"/>
  <c r="L223" i="17" s="1"/>
  <c r="L188" i="17" a="1"/>
  <c r="L188" i="17" s="1"/>
  <c r="L182" i="17" a="1"/>
  <c r="L182" i="17" s="1"/>
  <c r="L177" i="17" a="1"/>
  <c r="L177" i="17" s="1"/>
  <c r="L169" i="17" a="1"/>
  <c r="L169" i="17" s="1"/>
  <c r="L161" i="17" a="1"/>
  <c r="L161" i="17" s="1"/>
  <c r="L153" i="17" a="1"/>
  <c r="L153" i="17" s="1"/>
  <c r="L145" i="17" a="1"/>
  <c r="L145" i="17" s="1"/>
  <c r="L137" i="17" a="1"/>
  <c r="L137" i="17" s="1"/>
  <c r="L220" i="17" a="1"/>
  <c r="L220" i="17" s="1"/>
  <c r="L208" i="17" a="1"/>
  <c r="L208" i="17" s="1"/>
  <c r="L204" i="17" a="1"/>
  <c r="L204" i="17" s="1"/>
  <c r="L171" i="17" a="1"/>
  <c r="L171" i="17" s="1"/>
  <c r="L163" i="17" a="1"/>
  <c r="L163" i="17" s="1"/>
  <c r="L155" i="17" a="1"/>
  <c r="L155" i="17" s="1"/>
  <c r="L147" i="17" a="1"/>
  <c r="L147" i="17" s="1"/>
  <c r="L139" i="17" a="1"/>
  <c r="L139" i="17" s="1"/>
  <c r="L212" i="17" a="1"/>
  <c r="L212" i="17" s="1"/>
  <c r="L189" i="17" a="1"/>
  <c r="L189" i="17" s="1"/>
  <c r="L183" i="17" a="1"/>
  <c r="L183" i="17" s="1"/>
  <c r="L172" i="17" a="1"/>
  <c r="L172" i="17" s="1"/>
  <c r="L164" i="17" a="1"/>
  <c r="L164" i="17" s="1"/>
  <c r="N108" i="17" a="1"/>
  <c r="N108" i="17" s="1"/>
  <c r="L113" i="17" a="1"/>
  <c r="L113" i="17" s="1"/>
  <c r="N116" i="17" a="1"/>
  <c r="N116" i="17" s="1"/>
  <c r="L121" i="17" a="1"/>
  <c r="L121" i="17" s="1"/>
  <c r="N124" i="17" a="1"/>
  <c r="N124" i="17" s="1"/>
  <c r="N129" i="17" a="1"/>
  <c r="N129" i="17" s="1"/>
  <c r="N136" i="17" a="1"/>
  <c r="N136" i="17" s="1"/>
  <c r="N100" i="17" a="1"/>
  <c r="N100" i="17" s="1"/>
  <c r="N101" i="17" a="1"/>
  <c r="N101" i="17" s="1"/>
  <c r="N102" i="17" a="1"/>
  <c r="N102" i="17" s="1"/>
  <c r="N103" i="17" a="1"/>
  <c r="N103" i="17" s="1"/>
  <c r="N104" i="17" a="1"/>
  <c r="N104" i="17" s="1"/>
  <c r="N105" i="17" a="1"/>
  <c r="N105" i="17" s="1"/>
  <c r="N106" i="17" a="1"/>
  <c r="N106" i="17" s="1"/>
  <c r="N107" i="17" a="1"/>
  <c r="N107" i="17" s="1"/>
  <c r="L112" i="17" a="1"/>
  <c r="L112" i="17" s="1"/>
  <c r="N115" i="17" a="1"/>
  <c r="N115" i="17" s="1"/>
  <c r="L120" i="17" a="1"/>
  <c r="L120" i="17" s="1"/>
  <c r="N123" i="17" a="1"/>
  <c r="N123" i="17" s="1"/>
  <c r="L146" i="17" a="1"/>
  <c r="L146" i="17" s="1"/>
  <c r="N150" i="17" a="1"/>
  <c r="N150" i="17" s="1"/>
  <c r="L178" i="17" a="1"/>
  <c r="L178" i="17" s="1"/>
  <c r="L214" i="17" a="1"/>
  <c r="L214" i="17" s="1"/>
  <c r="N353" i="17" a="1"/>
  <c r="N353" i="17" s="1"/>
  <c r="N345" i="17" a="1"/>
  <c r="N345" i="17" s="1"/>
  <c r="N337" i="17" a="1"/>
  <c r="N337" i="17" s="1"/>
  <c r="N329" i="17" a="1"/>
  <c r="N329" i="17" s="1"/>
  <c r="N321" i="17" a="1"/>
  <c r="N321" i="17" s="1"/>
  <c r="N313" i="17" a="1"/>
  <c r="N313" i="17" s="1"/>
  <c r="N305" i="17" a="1"/>
  <c r="N305" i="17" s="1"/>
  <c r="N358" i="17" a="1"/>
  <c r="N358" i="17" s="1"/>
  <c r="N354" i="17" a="1"/>
  <c r="N354" i="17" s="1"/>
  <c r="N346" i="17" a="1"/>
  <c r="N346" i="17" s="1"/>
  <c r="N338" i="17" a="1"/>
  <c r="N338" i="17" s="1"/>
  <c r="N330" i="17" a="1"/>
  <c r="N330" i="17" s="1"/>
  <c r="N322" i="17" a="1"/>
  <c r="N322" i="17" s="1"/>
  <c r="N314" i="17" a="1"/>
  <c r="N314" i="17" s="1"/>
  <c r="N306" i="17" a="1"/>
  <c r="N306" i="17" s="1"/>
  <c r="N298" i="17" a="1"/>
  <c r="N298" i="17" s="1"/>
  <c r="N290" i="17" a="1"/>
  <c r="N290" i="17" s="1"/>
  <c r="N355" i="17" a="1"/>
  <c r="N355" i="17" s="1"/>
  <c r="N347" i="17" a="1"/>
  <c r="N347" i="17" s="1"/>
  <c r="N339" i="17" a="1"/>
  <c r="N339" i="17" s="1"/>
  <c r="N331" i="17" a="1"/>
  <c r="N331" i="17" s="1"/>
  <c r="N323" i="17" a="1"/>
  <c r="N323" i="17" s="1"/>
  <c r="N315" i="17" a="1"/>
  <c r="N315" i="17" s="1"/>
  <c r="N307" i="17" a="1"/>
  <c r="N307" i="17" s="1"/>
  <c r="N299" i="17" a="1"/>
  <c r="N299" i="17" s="1"/>
  <c r="N291" i="17" a="1"/>
  <c r="N291" i="17" s="1"/>
  <c r="N283" i="17" a="1"/>
  <c r="N283" i="17" s="1"/>
  <c r="N275" i="17" a="1"/>
  <c r="N275" i="17" s="1"/>
  <c r="N356" i="17" a="1"/>
  <c r="N356" i="17" s="1"/>
  <c r="N348" i="17" a="1"/>
  <c r="N348" i="17" s="1"/>
  <c r="N340" i="17" a="1"/>
  <c r="N340" i="17" s="1"/>
  <c r="N332" i="17" a="1"/>
  <c r="N332" i="17" s="1"/>
  <c r="N324" i="17" a="1"/>
  <c r="N324" i="17" s="1"/>
  <c r="N316" i="17" a="1"/>
  <c r="N316" i="17" s="1"/>
  <c r="N308" i="17" a="1"/>
  <c r="N308" i="17" s="1"/>
  <c r="N300" i="17" a="1"/>
  <c r="N300" i="17" s="1"/>
  <c r="N292" i="17" a="1"/>
  <c r="N292" i="17" s="1"/>
  <c r="N349" i="17" a="1"/>
  <c r="N349" i="17" s="1"/>
  <c r="N341" i="17" a="1"/>
  <c r="N341" i="17" s="1"/>
  <c r="N333" i="17" a="1"/>
  <c r="N333" i="17" s="1"/>
  <c r="N325" i="17" a="1"/>
  <c r="N325" i="17" s="1"/>
  <c r="N317" i="17" a="1"/>
  <c r="N317" i="17" s="1"/>
  <c r="N309" i="17" a="1"/>
  <c r="N309" i="17" s="1"/>
  <c r="N301" i="17" a="1"/>
  <c r="N301" i="17" s="1"/>
  <c r="N293" i="17" a="1"/>
  <c r="N293" i="17" s="1"/>
  <c r="N285" i="17" a="1"/>
  <c r="N285" i="17" s="1"/>
  <c r="N350" i="17" a="1"/>
  <c r="N350" i="17" s="1"/>
  <c r="N342" i="17" a="1"/>
  <c r="N342" i="17" s="1"/>
  <c r="N334" i="17" a="1"/>
  <c r="N334" i="17" s="1"/>
  <c r="N326" i="17" a="1"/>
  <c r="N326" i="17" s="1"/>
  <c r="N318" i="17" a="1"/>
  <c r="N318" i="17" s="1"/>
  <c r="N310" i="17" a="1"/>
  <c r="N310" i="17" s="1"/>
  <c r="N302" i="17" a="1"/>
  <c r="N302" i="17" s="1"/>
  <c r="N294" i="17" a="1"/>
  <c r="N294" i="17" s="1"/>
  <c r="N286" i="17" a="1"/>
  <c r="N286" i="17" s="1"/>
  <c r="N278" i="17" a="1"/>
  <c r="N278" i="17" s="1"/>
  <c r="N357" i="17" a="1"/>
  <c r="N357" i="17" s="1"/>
  <c r="N351" i="17" a="1"/>
  <c r="N351" i="17" s="1"/>
  <c r="N343" i="17" a="1"/>
  <c r="N343" i="17" s="1"/>
  <c r="N335" i="17" a="1"/>
  <c r="N335" i="17" s="1"/>
  <c r="N327" i="17" a="1"/>
  <c r="N327" i="17" s="1"/>
  <c r="N319" i="17" a="1"/>
  <c r="N319" i="17" s="1"/>
  <c r="N311" i="17" a="1"/>
  <c r="N311" i="17" s="1"/>
  <c r="N303" i="17" a="1"/>
  <c r="N303" i="17" s="1"/>
  <c r="N295" i="17" a="1"/>
  <c r="N295" i="17" s="1"/>
  <c r="N287" i="17" a="1"/>
  <c r="N287" i="17" s="1"/>
  <c r="N279" i="17" a="1"/>
  <c r="N279" i="17" s="1"/>
  <c r="N320" i="17" a="1"/>
  <c r="N320" i="17" s="1"/>
  <c r="N273" i="17" a="1"/>
  <c r="N273" i="17" s="1"/>
  <c r="N328" i="17" a="1"/>
  <c r="N328" i="17" s="1"/>
  <c r="N280" i="17" a="1"/>
  <c r="N280" i="17" s="1"/>
  <c r="N265" i="17" a="1"/>
  <c r="N265" i="17" s="1"/>
  <c r="N336" i="17" a="1"/>
  <c r="N336" i="17" s="1"/>
  <c r="N270" i="17" a="1"/>
  <c r="N270" i="17" s="1"/>
  <c r="N266" i="17" a="1"/>
  <c r="N266" i="17" s="1"/>
  <c r="N344" i="17" a="1"/>
  <c r="N344" i="17" s="1"/>
  <c r="N282" i="17" a="1"/>
  <c r="N282" i="17" s="1"/>
  <c r="N276" i="17" a="1"/>
  <c r="N276" i="17" s="1"/>
  <c r="N352" i="17" a="1"/>
  <c r="N352" i="17" s="1"/>
  <c r="N289" i="17" a="1"/>
  <c r="N289" i="17" s="1"/>
  <c r="N284" i="17" a="1"/>
  <c r="N284" i="17" s="1"/>
  <c r="N304" i="17" a="1"/>
  <c r="N304" i="17" s="1"/>
  <c r="N297" i="17" a="1"/>
  <c r="N297" i="17" s="1"/>
  <c r="N288" i="17" a="1"/>
  <c r="N288" i="17" s="1"/>
  <c r="N281" i="17" a="1"/>
  <c r="N281" i="17" s="1"/>
  <c r="N272" i="17" a="1"/>
  <c r="N272" i="17" s="1"/>
  <c r="N268" i="17" a="1"/>
  <c r="N268" i="17" s="1"/>
  <c r="N274" i="17" a="1"/>
  <c r="N274" i="17" s="1"/>
  <c r="N253" i="17" a="1"/>
  <c r="N253" i="17" s="1"/>
  <c r="N245" i="17" a="1"/>
  <c r="N245" i="17" s="1"/>
  <c r="N237" i="17" a="1"/>
  <c r="N237" i="17" s="1"/>
  <c r="N229" i="17" a="1"/>
  <c r="N229" i="17" s="1"/>
  <c r="N221" i="17" a="1"/>
  <c r="N221" i="17" s="1"/>
  <c r="N213" i="17" a="1"/>
  <c r="N213" i="17" s="1"/>
  <c r="N312" i="17" a="1"/>
  <c r="N312" i="17" s="1"/>
  <c r="N267" i="17" a="1"/>
  <c r="N267" i="17" s="1"/>
  <c r="N259" i="17" a="1"/>
  <c r="N259" i="17" s="1"/>
  <c r="N254" i="17" a="1"/>
  <c r="N254" i="17" s="1"/>
  <c r="N246" i="17" a="1"/>
  <c r="N246" i="17" s="1"/>
  <c r="N238" i="17" a="1"/>
  <c r="N238" i="17" s="1"/>
  <c r="N230" i="17" a="1"/>
  <c r="N230" i="17" s="1"/>
  <c r="N222" i="17" a="1"/>
  <c r="N222" i="17" s="1"/>
  <c r="N214" i="17" a="1"/>
  <c r="N214" i="17" s="1"/>
  <c r="N263" i="17" a="1"/>
  <c r="N263" i="17" s="1"/>
  <c r="N255" i="17" a="1"/>
  <c r="N255" i="17" s="1"/>
  <c r="N247" i="17" a="1"/>
  <c r="N247" i="17" s="1"/>
  <c r="N239" i="17" a="1"/>
  <c r="N239" i="17" s="1"/>
  <c r="N231" i="17" a="1"/>
  <c r="N231" i="17" s="1"/>
  <c r="N223" i="17" a="1"/>
  <c r="N223" i="17" s="1"/>
  <c r="J61" i="21" s="1"/>
  <c r="N215" i="17" a="1"/>
  <c r="N215" i="17" s="1"/>
  <c r="N207" i="17" a="1"/>
  <c r="N207" i="17" s="1"/>
  <c r="N260" i="17" a="1"/>
  <c r="N260" i="17" s="1"/>
  <c r="N256" i="17" a="1"/>
  <c r="N256" i="17" s="1"/>
  <c r="N248" i="17" a="1"/>
  <c r="N248" i="17" s="1"/>
  <c r="N240" i="17" a="1"/>
  <c r="N240" i="17" s="1"/>
  <c r="N232" i="17" a="1"/>
  <c r="N232" i="17" s="1"/>
  <c r="N224" i="17" a="1"/>
  <c r="N224" i="17" s="1"/>
  <c r="N277" i="17" a="1"/>
  <c r="N277" i="17" s="1"/>
  <c r="N269" i="17" a="1"/>
  <c r="N269" i="17" s="1"/>
  <c r="N249" i="17" a="1"/>
  <c r="N249" i="17" s="1"/>
  <c r="N241" i="17" a="1"/>
  <c r="N241" i="17" s="1"/>
  <c r="N233" i="17" a="1"/>
  <c r="N233" i="17" s="1"/>
  <c r="N225" i="17" a="1"/>
  <c r="N225" i="17" s="1"/>
  <c r="N217" i="17" a="1"/>
  <c r="N217" i="17" s="1"/>
  <c r="N209" i="17" a="1"/>
  <c r="N209" i="17" s="1"/>
  <c r="N296" i="17" a="1"/>
  <c r="N296" i="17" s="1"/>
  <c r="N264" i="17" a="1"/>
  <c r="N264" i="17" s="1"/>
  <c r="N261" i="17" a="1"/>
  <c r="N261" i="17" s="1"/>
  <c r="N257" i="17" a="1"/>
  <c r="N257" i="17" s="1"/>
  <c r="N250" i="17" a="1"/>
  <c r="N250" i="17" s="1"/>
  <c r="N242" i="17" a="1"/>
  <c r="N242" i="17" s="1"/>
  <c r="N234" i="17" a="1"/>
  <c r="N234" i="17" s="1"/>
  <c r="N226" i="17" a="1"/>
  <c r="N226" i="17" s="1"/>
  <c r="N218" i="17" a="1"/>
  <c r="N218" i="17" s="1"/>
  <c r="N271" i="17" a="1"/>
  <c r="N271" i="17" s="1"/>
  <c r="N243" i="17" a="1"/>
  <c r="N243" i="17" s="1"/>
  <c r="N197" i="17" a="1"/>
  <c r="N197" i="17" s="1"/>
  <c r="N262" i="17" a="1"/>
  <c r="N262" i="17" s="1"/>
  <c r="N252" i="17" a="1"/>
  <c r="N252" i="17" s="1"/>
  <c r="N204" i="17" a="1"/>
  <c r="N204" i="17" s="1"/>
  <c r="N198" i="17" a="1"/>
  <c r="N198" i="17" s="1"/>
  <c r="N190" i="17" a="1"/>
  <c r="N190" i="17" s="1"/>
  <c r="N182" i="17" a="1"/>
  <c r="N182" i="17" s="1"/>
  <c r="N251" i="17" a="1"/>
  <c r="N251" i="17" s="1"/>
  <c r="N210" i="17" a="1"/>
  <c r="N210" i="17" s="1"/>
  <c r="N199" i="17" a="1"/>
  <c r="N199" i="17" s="1"/>
  <c r="N191" i="17" a="1"/>
  <c r="N191" i="17" s="1"/>
  <c r="N183" i="17" a="1"/>
  <c r="N183" i="17" s="1"/>
  <c r="N228" i="17" a="1"/>
  <c r="N228" i="17" s="1"/>
  <c r="N208" i="17" a="1"/>
  <c r="N208" i="17" s="1"/>
  <c r="N205" i="17" a="1"/>
  <c r="N205" i="17" s="1"/>
  <c r="N200" i="17" a="1"/>
  <c r="N200" i="17" s="1"/>
  <c r="N192" i="17" a="1"/>
  <c r="N192" i="17" s="1"/>
  <c r="N227" i="17" a="1"/>
  <c r="N227" i="17" s="1"/>
  <c r="N220" i="17" a="1"/>
  <c r="N220" i="17" s="1"/>
  <c r="N212" i="17" a="1"/>
  <c r="N212" i="17" s="1"/>
  <c r="N201" i="17" a="1"/>
  <c r="N201" i="17" s="1"/>
  <c r="N235" i="17" a="1"/>
  <c r="N235" i="17" s="1"/>
  <c r="N206" i="17" a="1"/>
  <c r="N206" i="17" s="1"/>
  <c r="N203" i="17" a="1"/>
  <c r="N203" i="17" s="1"/>
  <c r="J56" i="21" s="1"/>
  <c r="N177" i="17" a="1"/>
  <c r="N177" i="17" s="1"/>
  <c r="N169" i="17" a="1"/>
  <c r="N169" i="17" s="1"/>
  <c r="N161" i="17" a="1"/>
  <c r="N161" i="17" s="1"/>
  <c r="N153" i="17" a="1"/>
  <c r="N153" i="17" s="1"/>
  <c r="N145" i="17" a="1"/>
  <c r="N145" i="17" s="1"/>
  <c r="N137" i="17" a="1"/>
  <c r="N137" i="17" s="1"/>
  <c r="N211" i="17" a="1"/>
  <c r="N211" i="17" s="1"/>
  <c r="N202" i="17" a="1"/>
  <c r="N202" i="17" s="1"/>
  <c r="N193" i="17" a="1"/>
  <c r="N193" i="17" s="1"/>
  <c r="N185" i="17" a="1"/>
  <c r="N185" i="17" s="1"/>
  <c r="N178" i="17" a="1"/>
  <c r="N178" i="17" s="1"/>
  <c r="N170" i="17" a="1"/>
  <c r="N170" i="17" s="1"/>
  <c r="N162" i="17" a="1"/>
  <c r="N162" i="17" s="1"/>
  <c r="N154" i="17" a="1"/>
  <c r="N154" i="17" s="1"/>
  <c r="N146" i="17" a="1"/>
  <c r="N146" i="17" s="1"/>
  <c r="N138" i="17" a="1"/>
  <c r="N138" i="17" s="1"/>
  <c r="N216" i="17" a="1"/>
  <c r="N216" i="17" s="1"/>
  <c r="N196" i="17" a="1"/>
  <c r="N196" i="17" s="1"/>
  <c r="N188" i="17" a="1"/>
  <c r="N188" i="17" s="1"/>
  <c r="N171" i="17" a="1"/>
  <c r="N171" i="17" s="1"/>
  <c r="N163" i="17" a="1"/>
  <c r="N163" i="17" s="1"/>
  <c r="J46" i="21" s="1"/>
  <c r="N155" i="17" a="1"/>
  <c r="N155" i="17" s="1"/>
  <c r="N147" i="17" a="1"/>
  <c r="N147" i="17" s="1"/>
  <c r="N139" i="17" a="1"/>
  <c r="N139" i="17" s="1"/>
  <c r="N244" i="17" a="1"/>
  <c r="N244" i="17" s="1"/>
  <c r="N179" i="17" a="1"/>
  <c r="N179" i="17" s="1"/>
  <c r="N172" i="17" a="1"/>
  <c r="N172" i="17" s="1"/>
  <c r="N164" i="17" a="1"/>
  <c r="N164" i="17" s="1"/>
  <c r="N156" i="17" a="1"/>
  <c r="N156" i="17" s="1"/>
  <c r="N148" i="17" a="1"/>
  <c r="N148" i="17" s="1"/>
  <c r="N140" i="17" a="1"/>
  <c r="N140" i="17" s="1"/>
  <c r="N195" i="17" a="1"/>
  <c r="N195" i="17" s="1"/>
  <c r="N186" i="17" a="1"/>
  <c r="N186" i="17" s="1"/>
  <c r="N173" i="17" a="1"/>
  <c r="N173" i="17" s="1"/>
  <c r="N165" i="17" a="1"/>
  <c r="N165" i="17" s="1"/>
  <c r="N157" i="17" a="1"/>
  <c r="N157" i="17" s="1"/>
  <c r="N149" i="17" a="1"/>
  <c r="N149" i="17" s="1"/>
  <c r="N141" i="17" a="1"/>
  <c r="N141" i="17" s="1"/>
  <c r="N236" i="17" a="1"/>
  <c r="N236" i="17" s="1"/>
  <c r="N194" i="17" a="1"/>
  <c r="N194" i="17" s="1"/>
  <c r="N184" i="17" a="1"/>
  <c r="N184" i="17" s="1"/>
  <c r="N175" i="17" a="1"/>
  <c r="N175" i="17" s="1"/>
  <c r="N167" i="17" a="1"/>
  <c r="N167" i="17" s="1"/>
  <c r="N159" i="17" a="1"/>
  <c r="N159" i="17" s="1"/>
  <c r="N151" i="17" a="1"/>
  <c r="N151" i="17" s="1"/>
  <c r="N143" i="17" a="1"/>
  <c r="N143" i="17" s="1"/>
  <c r="N135" i="17" a="1"/>
  <c r="N135" i="17" s="1"/>
  <c r="N134" i="17" a="1"/>
  <c r="N134" i="17" s="1"/>
  <c r="N133" i="17" a="1"/>
  <c r="N133" i="17" s="1"/>
  <c r="N219" i="17" a="1"/>
  <c r="N219" i="17" s="1"/>
  <c r="N187" i="17" a="1"/>
  <c r="N187" i="17" s="1"/>
  <c r="N181" i="17" a="1"/>
  <c r="N181" i="17" s="1"/>
  <c r="N176" i="17" a="1"/>
  <c r="N176" i="17" s="1"/>
  <c r="N168" i="17" a="1"/>
  <c r="N168" i="17" s="1"/>
  <c r="N160" i="17" a="1"/>
  <c r="N160" i="17" s="1"/>
  <c r="L111" i="17" a="1"/>
  <c r="L111" i="17" s="1"/>
  <c r="N114" i="17" a="1"/>
  <c r="N114" i="17" s="1"/>
  <c r="L119" i="17" a="1"/>
  <c r="L119" i="17" s="1"/>
  <c r="N122" i="17" a="1"/>
  <c r="N122" i="17" s="1"/>
  <c r="N128" i="17" a="1"/>
  <c r="N128" i="17" s="1"/>
  <c r="N132" i="17" a="1"/>
  <c r="N132" i="17" s="1"/>
  <c r="L156" i="17" a="1"/>
  <c r="L156" i="17" s="1"/>
  <c r="L170" i="17" a="1"/>
  <c r="L170" i="17" s="1"/>
  <c r="L191" i="17" a="1"/>
  <c r="L191" i="17" s="1"/>
  <c r="L110" i="17" a="1"/>
  <c r="L110" i="17" s="1"/>
  <c r="N113" i="17" a="1"/>
  <c r="N113" i="17" s="1"/>
  <c r="L118" i="17" a="1"/>
  <c r="L118" i="17" s="1"/>
  <c r="N121" i="17" a="1"/>
  <c r="N121" i="17" s="1"/>
  <c r="L126" i="17" a="1"/>
  <c r="L126" i="17" s="1"/>
  <c r="L138" i="17" a="1"/>
  <c r="L138" i="17" s="1"/>
  <c r="N142" i="17" a="1"/>
  <c r="N142" i="17" s="1"/>
  <c r="L162" i="17" a="1"/>
  <c r="L162" i="17" s="1"/>
  <c r="N180" i="17" a="1"/>
  <c r="N180" i="17" s="1"/>
  <c r="L240" i="17" a="1"/>
  <c r="L240" i="17" s="1"/>
  <c r="N112" i="17" a="1"/>
  <c r="N112" i="17" s="1"/>
  <c r="L117" i="17" a="1"/>
  <c r="L117" i="17" s="1"/>
  <c r="N120" i="17" a="1"/>
  <c r="N120" i="17" s="1"/>
  <c r="L125" i="17" a="1"/>
  <c r="L125" i="17" s="1"/>
  <c r="N127" i="17" a="1"/>
  <c r="N127" i="17" s="1"/>
  <c r="N131" i="17" a="1"/>
  <c r="N131" i="17" s="1"/>
  <c r="L148" i="17" a="1"/>
  <c r="L148" i="17" s="1"/>
  <c r="N152" i="17" a="1"/>
  <c r="N152" i="17" s="1"/>
  <c r="N258" i="17" a="1"/>
  <c r="N258" i="17" s="1"/>
  <c r="F8" i="17" a="1"/>
  <c r="F8" i="17" s="1"/>
  <c r="E10" i="17"/>
  <c r="H57" i="21" l="1"/>
  <c r="G72" i="21"/>
  <c r="I19" i="21"/>
  <c r="I66" i="21"/>
  <c r="I51" i="21"/>
  <c r="D94" i="21"/>
  <c r="J43" i="21"/>
  <c r="I23" i="21"/>
  <c r="J48" i="21"/>
  <c r="J52" i="21"/>
  <c r="E69" i="21"/>
  <c r="E73" i="21"/>
  <c r="C7" i="21"/>
  <c r="I27" i="21"/>
  <c r="J69" i="21"/>
  <c r="J70" i="21"/>
  <c r="J79" i="21"/>
  <c r="H46" i="21"/>
  <c r="H77" i="21"/>
  <c r="H93" i="21"/>
  <c r="I29" i="21"/>
  <c r="I25" i="21"/>
  <c r="I21" i="21"/>
  <c r="I42" i="21"/>
  <c r="I39" i="21"/>
  <c r="I18" i="21"/>
  <c r="G69" i="21"/>
  <c r="G94" i="21"/>
  <c r="J14" i="21"/>
  <c r="H13" i="21"/>
  <c r="J19" i="21"/>
  <c r="J12" i="21"/>
  <c r="J87" i="21"/>
  <c r="J40" i="21"/>
  <c r="H69" i="21"/>
  <c r="I32" i="21"/>
  <c r="G82" i="21"/>
  <c r="J58" i="21"/>
  <c r="J84" i="21"/>
  <c r="H82" i="21"/>
  <c r="I50" i="21"/>
  <c r="I43" i="21"/>
  <c r="G40" i="21"/>
  <c r="G61" i="21"/>
  <c r="H30" i="21"/>
  <c r="I15" i="21"/>
  <c r="C39" i="21"/>
  <c r="F41" i="21"/>
  <c r="F45" i="21"/>
  <c r="F49" i="21"/>
  <c r="F53" i="21"/>
  <c r="F57" i="21"/>
  <c r="F61" i="21"/>
  <c r="F65" i="21"/>
  <c r="C48" i="21"/>
  <c r="C52" i="21"/>
  <c r="C56" i="21"/>
  <c r="C60" i="21"/>
  <c r="C64" i="21"/>
  <c r="C68" i="21"/>
  <c r="E31" i="21"/>
  <c r="E27" i="21"/>
  <c r="E23" i="21"/>
  <c r="E19" i="21"/>
  <c r="E15" i="21"/>
  <c r="E11" i="21"/>
  <c r="E7" i="21"/>
  <c r="D32" i="21"/>
  <c r="D28" i="21"/>
  <c r="E36" i="21"/>
  <c r="F69" i="21"/>
  <c r="C44" i="21"/>
  <c r="F75" i="21"/>
  <c r="J80" i="21"/>
  <c r="H60" i="21"/>
  <c r="G16" i="21"/>
  <c r="G8" i="21"/>
  <c r="I69" i="21"/>
  <c r="I58" i="21"/>
  <c r="I86" i="21"/>
  <c r="I83" i="21"/>
  <c r="G27" i="21"/>
  <c r="G23" i="21"/>
  <c r="G19" i="21"/>
  <c r="G11" i="21"/>
  <c r="I10" i="21"/>
  <c r="G49" i="21"/>
  <c r="G55" i="21"/>
  <c r="G77" i="21"/>
  <c r="G81" i="21"/>
  <c r="H15" i="21"/>
  <c r="F30" i="21"/>
  <c r="F26" i="21"/>
  <c r="F22" i="21"/>
  <c r="F18" i="21"/>
  <c r="F14" i="21"/>
  <c r="F10" i="21"/>
  <c r="E40" i="21"/>
  <c r="E44" i="21"/>
  <c r="E48" i="21"/>
  <c r="E52" i="21"/>
  <c r="E56" i="21"/>
  <c r="E60" i="21"/>
  <c r="E64" i="21"/>
  <c r="E68" i="21"/>
  <c r="E77" i="21"/>
  <c r="E81" i="21"/>
  <c r="E89" i="21"/>
  <c r="E93" i="21"/>
  <c r="D71" i="21"/>
  <c r="D75" i="21"/>
  <c r="D79" i="21"/>
  <c r="D83" i="21"/>
  <c r="D87" i="21"/>
  <c r="D91" i="21"/>
  <c r="D31" i="21"/>
  <c r="D27" i="21"/>
  <c r="D23" i="21"/>
  <c r="D19" i="21"/>
  <c r="D15" i="21"/>
  <c r="D11" i="21"/>
  <c r="C42" i="21"/>
  <c r="H43" i="21"/>
  <c r="H94" i="21"/>
  <c r="J71" i="21"/>
  <c r="J72" i="21"/>
  <c r="J81" i="21"/>
  <c r="J82" i="21"/>
  <c r="H48" i="21"/>
  <c r="H50" i="21"/>
  <c r="H79" i="21"/>
  <c r="H34" i="21"/>
  <c r="I11" i="21"/>
  <c r="I41" i="21"/>
  <c r="I60" i="21"/>
  <c r="H9" i="21"/>
  <c r="H21" i="21"/>
  <c r="J11" i="21"/>
  <c r="C47" i="21"/>
  <c r="D36" i="21"/>
  <c r="D40" i="21"/>
  <c r="D44" i="21"/>
  <c r="D48" i="21"/>
  <c r="D52" i="21"/>
  <c r="D56" i="21"/>
  <c r="D60" i="21"/>
  <c r="D64" i="21"/>
  <c r="D68" i="21"/>
  <c r="D33" i="21"/>
  <c r="H10" i="21"/>
  <c r="C35" i="21"/>
  <c r="C94" i="21"/>
  <c r="H53" i="21"/>
  <c r="J37" i="21"/>
  <c r="E34" i="21"/>
  <c r="H55" i="21"/>
  <c r="I47" i="21"/>
  <c r="G25" i="21"/>
  <c r="G7" i="21"/>
  <c r="G35" i="21"/>
  <c r="G41" i="21"/>
  <c r="G92" i="21"/>
  <c r="G89" i="21"/>
  <c r="J30" i="21"/>
  <c r="H33" i="21"/>
  <c r="J68" i="21"/>
  <c r="G12" i="21"/>
  <c r="I53" i="21"/>
  <c r="I61" i="21"/>
  <c r="I91" i="21"/>
  <c r="G21" i="21"/>
  <c r="J45" i="21"/>
  <c r="J74" i="21"/>
  <c r="J90" i="21"/>
  <c r="J36" i="21"/>
  <c r="J31" i="21"/>
  <c r="H40" i="21"/>
  <c r="H61" i="21"/>
  <c r="H59" i="21"/>
  <c r="H67" i="21"/>
  <c r="H78" i="21"/>
  <c r="H68" i="21"/>
  <c r="I56" i="21"/>
  <c r="G15" i="21"/>
  <c r="J89" i="21"/>
  <c r="J75" i="21"/>
  <c r="J76" i="21"/>
  <c r="J92" i="21"/>
  <c r="H42" i="21"/>
  <c r="H37" i="21"/>
  <c r="J54" i="21"/>
  <c r="J32" i="21"/>
  <c r="H45" i="21"/>
  <c r="J88" i="21"/>
  <c r="H85" i="21"/>
  <c r="I55" i="21"/>
  <c r="I78" i="21"/>
  <c r="G29" i="21"/>
  <c r="I14" i="21"/>
  <c r="J51" i="21"/>
  <c r="J63" i="21"/>
  <c r="J47" i="21"/>
  <c r="J53" i="21"/>
  <c r="J65" i="21"/>
  <c r="J91" i="21"/>
  <c r="H35" i="21"/>
  <c r="J60" i="21"/>
  <c r="J49" i="21"/>
  <c r="J50" i="21"/>
  <c r="G50" i="21"/>
  <c r="G68" i="21"/>
  <c r="H20" i="21"/>
  <c r="H80" i="21"/>
  <c r="I44" i="21"/>
  <c r="I71" i="21"/>
  <c r="I88" i="21"/>
  <c r="I85" i="21"/>
  <c r="G52" i="21"/>
  <c r="G60" i="21"/>
  <c r="G70" i="21"/>
  <c r="G75" i="21"/>
  <c r="J38" i="21"/>
  <c r="J66" i="21"/>
  <c r="H62" i="21"/>
  <c r="J39" i="21"/>
  <c r="J42" i="21"/>
  <c r="J73" i="21"/>
  <c r="J57" i="21"/>
  <c r="J83" i="21"/>
  <c r="H51" i="21"/>
  <c r="H38" i="21"/>
  <c r="H47" i="21"/>
  <c r="H52" i="21"/>
  <c r="E85" i="21"/>
  <c r="G83" i="21"/>
  <c r="J26" i="21"/>
  <c r="H18" i="21"/>
  <c r="J29" i="21"/>
  <c r="J16" i="21"/>
  <c r="J20" i="21"/>
  <c r="J13" i="21"/>
  <c r="C31" i="21"/>
  <c r="C27" i="21"/>
  <c r="C23" i="21"/>
  <c r="C19" i="21"/>
  <c r="C15" i="21"/>
  <c r="C11" i="21"/>
  <c r="F88" i="21"/>
  <c r="C76" i="21"/>
  <c r="C80" i="21"/>
  <c r="C84" i="21"/>
  <c r="C88" i="21"/>
  <c r="C92" i="21"/>
  <c r="H64" i="21"/>
  <c r="H81" i="21"/>
  <c r="G14" i="21"/>
  <c r="I28" i="21"/>
  <c r="I24" i="21"/>
  <c r="I20" i="21"/>
  <c r="I34" i="21"/>
  <c r="I46" i="21"/>
  <c r="I57" i="21"/>
  <c r="I62" i="21"/>
  <c r="I74" i="21"/>
  <c r="I90" i="21"/>
  <c r="I73" i="21"/>
  <c r="I87" i="21"/>
  <c r="G30" i="21"/>
  <c r="G26" i="21"/>
  <c r="G22" i="21"/>
  <c r="G17" i="21"/>
  <c r="G9" i="21"/>
  <c r="I16" i="21"/>
  <c r="I8" i="21"/>
  <c r="G42" i="21"/>
  <c r="G32" i="21"/>
  <c r="G39" i="21"/>
  <c r="G63" i="21"/>
  <c r="G57" i="21"/>
  <c r="G71" i="21"/>
  <c r="G84" i="21"/>
  <c r="G76" i="21"/>
  <c r="G85" i="21"/>
  <c r="H17" i="21"/>
  <c r="J15" i="21"/>
  <c r="J33" i="21"/>
  <c r="F29" i="21"/>
  <c r="F25" i="21"/>
  <c r="F21" i="21"/>
  <c r="F17" i="21"/>
  <c r="F13" i="21"/>
  <c r="F9" i="21"/>
  <c r="E41" i="21"/>
  <c r="E45" i="21"/>
  <c r="E49" i="21"/>
  <c r="E53" i="21"/>
  <c r="E57" i="21"/>
  <c r="E61" i="21"/>
  <c r="E65" i="21"/>
  <c r="E70" i="21"/>
  <c r="E74" i="21"/>
  <c r="E78" i="21"/>
  <c r="E82" i="21"/>
  <c r="E86" i="21"/>
  <c r="E90" i="21"/>
  <c r="E94" i="21"/>
  <c r="E33" i="21"/>
  <c r="E29" i="21"/>
  <c r="E25" i="21"/>
  <c r="E21" i="21"/>
  <c r="E17" i="21"/>
  <c r="E13" i="21"/>
  <c r="E9" i="21"/>
  <c r="D30" i="21"/>
  <c r="D26" i="21"/>
  <c r="D22" i="21"/>
  <c r="D18" i="21"/>
  <c r="D14" i="21"/>
  <c r="D10" i="21"/>
  <c r="C40" i="21"/>
  <c r="C34" i="21"/>
  <c r="C36" i="21"/>
  <c r="F92" i="21"/>
  <c r="F74" i="21"/>
  <c r="F90" i="21"/>
  <c r="F38" i="21"/>
  <c r="F42" i="21"/>
  <c r="F46" i="21"/>
  <c r="F50" i="21"/>
  <c r="F54" i="21"/>
  <c r="F58" i="21"/>
  <c r="F62" i="21"/>
  <c r="F66" i="21"/>
  <c r="C49" i="21"/>
  <c r="C53" i="21"/>
  <c r="C57" i="21"/>
  <c r="C61" i="21"/>
  <c r="C65" i="21"/>
  <c r="J41" i="21"/>
  <c r="J44" i="21"/>
  <c r="J64" i="21"/>
  <c r="J59" i="21"/>
  <c r="J85" i="21"/>
  <c r="J86" i="21"/>
  <c r="H49" i="21"/>
  <c r="H54" i="21"/>
  <c r="H72" i="21"/>
  <c r="H66" i="21"/>
  <c r="H71" i="21"/>
  <c r="H84" i="21"/>
  <c r="H83" i="21"/>
  <c r="I17" i="21"/>
  <c r="I9" i="21"/>
  <c r="I36" i="21"/>
  <c r="I48" i="21"/>
  <c r="I45" i="21"/>
  <c r="I59" i="21"/>
  <c r="I64" i="21"/>
  <c r="I76" i="21"/>
  <c r="I92" i="21"/>
  <c r="I89" i="21"/>
  <c r="G33" i="21"/>
  <c r="G46" i="21"/>
  <c r="G67" i="21"/>
  <c r="G80" i="21"/>
  <c r="G78" i="21"/>
  <c r="G87" i="21"/>
  <c r="H32" i="21"/>
  <c r="J18" i="21"/>
  <c r="J9" i="21"/>
  <c r="J21" i="21"/>
  <c r="H24" i="21"/>
  <c r="J23" i="21"/>
  <c r="H27" i="21"/>
  <c r="D37" i="21"/>
  <c r="D41" i="21"/>
  <c r="D45" i="21"/>
  <c r="D49" i="21"/>
  <c r="D53" i="21"/>
  <c r="D57" i="21"/>
  <c r="D61" i="21"/>
  <c r="D65" i="21"/>
  <c r="C30" i="21"/>
  <c r="C26" i="21"/>
  <c r="C22" i="21"/>
  <c r="C18" i="21"/>
  <c r="C14" i="21"/>
  <c r="C10" i="21"/>
  <c r="C38" i="21"/>
  <c r="F77" i="21"/>
  <c r="F70" i="21"/>
  <c r="F76" i="21"/>
  <c r="C69" i="21"/>
  <c r="C81" i="21"/>
  <c r="C85" i="21"/>
  <c r="C89" i="21"/>
  <c r="C93" i="21"/>
  <c r="J10" i="21"/>
  <c r="H22" i="21"/>
  <c r="H25" i="21"/>
  <c r="H31" i="21"/>
  <c r="J24" i="21"/>
  <c r="H12" i="21"/>
  <c r="F32" i="21"/>
  <c r="F28" i="21"/>
  <c r="F24" i="21"/>
  <c r="F20" i="21"/>
  <c r="F16" i="21"/>
  <c r="F12" i="21"/>
  <c r="F8" i="21"/>
  <c r="E38" i="21"/>
  <c r="E42" i="21"/>
  <c r="E46" i="21"/>
  <c r="E50" i="21"/>
  <c r="E54" i="21"/>
  <c r="E58" i="21"/>
  <c r="E62" i="21"/>
  <c r="E66" i="21"/>
  <c r="E75" i="21"/>
  <c r="E79" i="21"/>
  <c r="E83" i="21"/>
  <c r="E87" i="21"/>
  <c r="E91" i="21"/>
  <c r="D69" i="21"/>
  <c r="D73" i="21"/>
  <c r="D77" i="21"/>
  <c r="D81" i="21"/>
  <c r="D85" i="21"/>
  <c r="D89" i="21"/>
  <c r="D93" i="21"/>
  <c r="F79" i="21"/>
  <c r="F71" i="21"/>
  <c r="F78" i="21"/>
  <c r="F35" i="21"/>
  <c r="F39" i="21"/>
  <c r="F43" i="21"/>
  <c r="F47" i="21"/>
  <c r="F51" i="21"/>
  <c r="F55" i="21"/>
  <c r="F59" i="21"/>
  <c r="F63" i="21"/>
  <c r="F67" i="21"/>
  <c r="C70" i="21"/>
  <c r="C50" i="21"/>
  <c r="C54" i="21"/>
  <c r="C58" i="21"/>
  <c r="C62" i="21"/>
  <c r="C66" i="21"/>
  <c r="H73" i="21"/>
  <c r="H88" i="21"/>
  <c r="H87" i="21"/>
  <c r="I31" i="21"/>
  <c r="I35" i="21"/>
  <c r="I49" i="21"/>
  <c r="I63" i="21"/>
  <c r="I70" i="21"/>
  <c r="I68" i="21"/>
  <c r="I80" i="21"/>
  <c r="I93" i="21"/>
  <c r="G37" i="21"/>
  <c r="G53" i="21"/>
  <c r="G43" i="21"/>
  <c r="G56" i="21"/>
  <c r="G62" i="21"/>
  <c r="G73" i="21"/>
  <c r="G91" i="21"/>
  <c r="H23" i="21"/>
  <c r="H11" i="21"/>
  <c r="D34" i="21"/>
  <c r="D38" i="21"/>
  <c r="D42" i="21"/>
  <c r="D46" i="21"/>
  <c r="D50" i="21"/>
  <c r="D54" i="21"/>
  <c r="D58" i="21"/>
  <c r="D62" i="21"/>
  <c r="D66" i="21"/>
  <c r="C33" i="21"/>
  <c r="C29" i="21"/>
  <c r="C25" i="21"/>
  <c r="C21" i="21"/>
  <c r="C17" i="21"/>
  <c r="C13" i="21"/>
  <c r="C9" i="21"/>
  <c r="E35" i="21"/>
  <c r="F72" i="21"/>
  <c r="F80" i="21"/>
  <c r="C71" i="21"/>
  <c r="H39" i="21"/>
  <c r="H63" i="21"/>
  <c r="H65" i="21"/>
  <c r="H74" i="21"/>
  <c r="H90" i="21"/>
  <c r="H89" i="21"/>
  <c r="G18" i="21"/>
  <c r="G10" i="21"/>
  <c r="I30" i="21"/>
  <c r="I26" i="21"/>
  <c r="I22" i="21"/>
  <c r="I37" i="21"/>
  <c r="I65" i="21"/>
  <c r="I77" i="21"/>
  <c r="I82" i="21"/>
  <c r="I72" i="21"/>
  <c r="G28" i="21"/>
  <c r="G24" i="21"/>
  <c r="G20" i="21"/>
  <c r="G13" i="21"/>
  <c r="I12" i="21"/>
  <c r="G38" i="21"/>
  <c r="G31" i="21"/>
  <c r="G34" i="21"/>
  <c r="G45" i="21"/>
  <c r="G59" i="21"/>
  <c r="G58" i="21"/>
  <c r="G64" i="21"/>
  <c r="G74" i="21"/>
  <c r="G93" i="21"/>
  <c r="J22" i="21"/>
  <c r="J35" i="21"/>
  <c r="J25" i="21"/>
  <c r="H28" i="21"/>
  <c r="H8" i="21"/>
  <c r="J27" i="21"/>
  <c r="J7" i="21"/>
  <c r="F31" i="21"/>
  <c r="F27" i="21"/>
  <c r="F23" i="21"/>
  <c r="F19" i="21"/>
  <c r="F15" i="21"/>
  <c r="F11" i="21"/>
  <c r="F7" i="21"/>
  <c r="E39" i="21"/>
  <c r="E43" i="21"/>
  <c r="E47" i="21"/>
  <c r="E51" i="21"/>
  <c r="E55" i="21"/>
  <c r="E59" i="21"/>
  <c r="E63" i="21"/>
  <c r="E67" i="21"/>
  <c r="E72" i="21"/>
  <c r="E76" i="21"/>
  <c r="E80" i="21"/>
  <c r="E84" i="21"/>
  <c r="E88" i="21"/>
  <c r="E92" i="21"/>
  <c r="D24" i="21"/>
  <c r="D20" i="21"/>
  <c r="D16" i="21"/>
  <c r="D12" i="21"/>
  <c r="D8" i="21"/>
  <c r="F82" i="21"/>
  <c r="F36" i="21"/>
  <c r="F40" i="21"/>
  <c r="F44" i="21"/>
  <c r="F48" i="21"/>
  <c r="F52" i="21"/>
  <c r="F56" i="21"/>
  <c r="F60" i="21"/>
  <c r="F64" i="21"/>
  <c r="F68" i="21"/>
  <c r="C72" i="21"/>
  <c r="C51" i="21"/>
  <c r="C55" i="21"/>
  <c r="C59" i="21"/>
  <c r="C63" i="21"/>
  <c r="C67" i="21"/>
  <c r="J62" i="21"/>
  <c r="J55" i="21"/>
  <c r="J67" i="21"/>
  <c r="J77" i="21"/>
  <c r="J93" i="21"/>
  <c r="J78" i="21"/>
  <c r="J94" i="21"/>
  <c r="J34" i="21"/>
  <c r="H44" i="21"/>
  <c r="H41" i="21"/>
  <c r="H58" i="21"/>
  <c r="H76" i="21"/>
  <c r="H92" i="21"/>
  <c r="H75" i="21"/>
  <c r="H91" i="21"/>
  <c r="H36" i="21"/>
  <c r="I13" i="21"/>
  <c r="I38" i="21"/>
  <c r="I40" i="21"/>
  <c r="I52" i="21"/>
  <c r="I54" i="21"/>
  <c r="I67" i="21"/>
  <c r="I75" i="21"/>
  <c r="I79" i="21"/>
  <c r="I84" i="21"/>
  <c r="I81" i="21"/>
  <c r="G44" i="21"/>
  <c r="G36" i="21"/>
  <c r="G47" i="21"/>
  <c r="G51" i="21"/>
  <c r="G65" i="21"/>
  <c r="G66" i="21"/>
  <c r="G86" i="21"/>
  <c r="G79" i="21"/>
  <c r="H7" i="21"/>
  <c r="H26" i="21"/>
  <c r="H29" i="21"/>
  <c r="H16" i="21"/>
  <c r="J28" i="21"/>
  <c r="J8" i="21"/>
  <c r="H14" i="21"/>
  <c r="H19" i="21"/>
  <c r="D35" i="21"/>
  <c r="D39" i="21"/>
  <c r="D43" i="21"/>
  <c r="D47" i="21"/>
  <c r="D51" i="21"/>
  <c r="D55" i="21"/>
  <c r="D59" i="21"/>
  <c r="D63" i="21"/>
  <c r="D67" i="21"/>
  <c r="C37" i="21"/>
  <c r="C32" i="21"/>
  <c r="C28" i="21"/>
  <c r="C24" i="21"/>
  <c r="C20" i="21"/>
  <c r="C16" i="21"/>
  <c r="C12" i="21"/>
  <c r="C8" i="21"/>
  <c r="C46" i="21"/>
  <c r="F84" i="21"/>
  <c r="F94" i="21"/>
  <c r="C75" i="21"/>
  <c r="C79" i="21"/>
  <c r="C83" i="21"/>
  <c r="C87" i="21"/>
  <c r="C91" i="21"/>
  <c r="F10" i="17" a="1"/>
  <c r="F10" i="17" s="1"/>
  <c r="B7" i="21" s="1"/>
  <c r="E11" i="17"/>
  <c r="F11" i="17" s="1" a="1"/>
  <c r="F11" i="17" s="1"/>
  <c r="E12" i="17" l="1"/>
  <c r="F12" i="17" s="1" a="1"/>
  <c r="F12" i="17" s="1"/>
  <c r="E13" i="17" l="1"/>
  <c r="F13" i="17" s="1" a="1"/>
  <c r="F13" i="17" s="1"/>
  <c r="E14" i="17" l="1"/>
  <c r="F14" i="17" s="1" a="1"/>
  <c r="F14" i="17" s="1"/>
  <c r="E15" i="17" l="1"/>
  <c r="F15" i="17" s="1" a="1"/>
  <c r="F15" i="17" s="1"/>
  <c r="E16" i="17" l="1"/>
  <c r="F16" i="17" s="1" a="1"/>
  <c r="F16" i="17" s="1"/>
  <c r="E17" i="17" l="1"/>
  <c r="F17" i="17" s="1" a="1"/>
  <c r="F17" i="17" s="1"/>
  <c r="E18" i="17" l="1"/>
  <c r="F18" i="17" s="1" a="1"/>
  <c r="F18" i="17" s="1"/>
  <c r="E19" i="17" l="1"/>
  <c r="F19" i="17" s="1" a="1"/>
  <c r="F19" i="17" s="1"/>
  <c r="E20" i="17" l="1"/>
  <c r="F20" i="17" s="1" a="1"/>
  <c r="F20" i="17" s="1"/>
  <c r="E21" i="17" l="1"/>
  <c r="F21" i="17" s="1" a="1"/>
  <c r="F21" i="17" s="1"/>
  <c r="E22" i="17" l="1"/>
  <c r="F22" i="17" s="1" a="1"/>
  <c r="F22" i="17" s="1"/>
  <c r="E23" i="17" l="1"/>
  <c r="F23" i="17" s="1" a="1"/>
  <c r="F23" i="17" s="1"/>
  <c r="E24" i="17" l="1"/>
  <c r="F24" i="17" s="1" a="1"/>
  <c r="F24" i="17" s="1"/>
  <c r="E25" i="17" l="1"/>
  <c r="F25" i="17" s="1" a="1"/>
  <c r="F25" i="17" s="1"/>
  <c r="E26" i="17" l="1"/>
  <c r="F26" i="17" s="1" a="1"/>
  <c r="F26" i="17" s="1"/>
  <c r="E27" i="17" l="1"/>
  <c r="F27" i="17" s="1" a="1"/>
  <c r="F27" i="17" s="1"/>
  <c r="E28" i="17" l="1"/>
  <c r="F28" i="17" s="1" a="1"/>
  <c r="F28" i="17" s="1"/>
  <c r="E29" i="17" l="1"/>
  <c r="F29" i="17" s="1" a="1"/>
  <c r="F29" i="17" s="1"/>
  <c r="E30" i="17" l="1"/>
  <c r="F30" i="17" s="1" a="1"/>
  <c r="F30" i="17" s="1"/>
  <c r="E31" i="17" l="1"/>
  <c r="F31" i="17" s="1" a="1"/>
  <c r="F31" i="17" s="1"/>
  <c r="E32" i="17" l="1"/>
  <c r="F32" i="17" s="1" a="1"/>
  <c r="F32" i="17" s="1"/>
  <c r="E33" i="17" l="1"/>
  <c r="F33" i="17" s="1" a="1"/>
  <c r="F33" i="17" s="1"/>
  <c r="E34" i="17" l="1"/>
  <c r="F34" i="17" s="1" a="1"/>
  <c r="F34" i="17" s="1"/>
  <c r="E35" i="17" l="1"/>
  <c r="F35" i="17" s="1" a="1"/>
  <c r="F35" i="17" s="1"/>
  <c r="E36" i="17" l="1"/>
  <c r="F36" i="17" s="1" a="1"/>
  <c r="F36" i="17" s="1"/>
  <c r="E37" i="17" l="1"/>
  <c r="F37" i="17" s="1" a="1"/>
  <c r="F37" i="17" s="1"/>
  <c r="E38" i="17" l="1"/>
  <c r="F38" i="17" s="1" a="1"/>
  <c r="F38" i="17" s="1"/>
  <c r="E39" i="17" l="1"/>
  <c r="F39" i="17" s="1" a="1"/>
  <c r="F39" i="17" s="1"/>
  <c r="E40" i="17" l="1"/>
  <c r="F40" i="17" s="1" a="1"/>
  <c r="F40" i="17" s="1"/>
  <c r="E41" i="17" l="1"/>
  <c r="F41" i="17" s="1" a="1"/>
  <c r="F41" i="17" s="1"/>
  <c r="E42" i="17" l="1"/>
  <c r="F42" i="17" s="1" a="1"/>
  <c r="F42" i="17" s="1"/>
  <c r="E43" i="17" l="1"/>
  <c r="F43" i="17" s="1" a="1"/>
  <c r="F43" i="17" s="1"/>
  <c r="E44" i="17" l="1"/>
  <c r="F44" i="17" s="1" a="1"/>
  <c r="F44" i="17" s="1"/>
  <c r="E45" i="17" l="1"/>
  <c r="F45" i="17" s="1" a="1"/>
  <c r="F45" i="17" s="1"/>
  <c r="E46" i="17" l="1"/>
  <c r="F46" i="17" s="1" a="1"/>
  <c r="F46" i="17" s="1"/>
  <c r="E47" i="17" l="1"/>
  <c r="F47" i="17" s="1" a="1"/>
  <c r="F47" i="17" s="1"/>
  <c r="E48" i="17" l="1"/>
  <c r="F48" i="17" s="1" a="1"/>
  <c r="F48" i="17" s="1"/>
  <c r="E49" i="17" l="1"/>
  <c r="F49" i="17" s="1" a="1"/>
  <c r="F49" i="17" s="1"/>
  <c r="E50" i="17" l="1"/>
  <c r="F50" i="17" s="1" a="1"/>
  <c r="F50" i="17" s="1"/>
  <c r="E51" i="17" l="1"/>
  <c r="F51" i="17" s="1" a="1"/>
  <c r="F51" i="17" s="1"/>
  <c r="E52" i="17" l="1"/>
  <c r="F52" i="17" s="1" a="1"/>
  <c r="F52" i="17" s="1"/>
  <c r="E53" i="17" l="1"/>
  <c r="F53" i="17" s="1" a="1"/>
  <c r="F53" i="17" s="1"/>
  <c r="E54" i="17" l="1"/>
  <c r="F54" i="17" s="1" a="1"/>
  <c r="F54" i="17" s="1"/>
  <c r="E55" i="17" l="1"/>
  <c r="F55" i="17" s="1" a="1"/>
  <c r="F55" i="17" s="1"/>
  <c r="E56" i="17" l="1"/>
  <c r="F56" i="17" s="1" a="1"/>
  <c r="F56" i="17" s="1"/>
  <c r="E57" i="17" l="1"/>
  <c r="F57" i="17" s="1" a="1"/>
  <c r="F57" i="17" s="1"/>
  <c r="E58" i="17" l="1"/>
  <c r="F58" i="17" s="1" a="1"/>
  <c r="F58" i="17" s="1"/>
  <c r="E59" i="17" l="1"/>
  <c r="F59" i="17" s="1" a="1"/>
  <c r="F59" i="17" s="1"/>
  <c r="E60" i="17" l="1"/>
  <c r="F60" i="17" s="1" a="1"/>
  <c r="F60" i="17" s="1"/>
  <c r="E61" i="17" l="1"/>
  <c r="F61" i="17" s="1" a="1"/>
  <c r="F61" i="17" s="1"/>
  <c r="E62" i="17" l="1"/>
  <c r="F62" i="17" s="1" a="1"/>
  <c r="F62" i="17" s="1"/>
  <c r="E63" i="17" l="1"/>
  <c r="F63" i="17" s="1" a="1"/>
  <c r="F63" i="17" s="1"/>
  <c r="E64" i="17" l="1"/>
  <c r="F64" i="17" s="1" a="1"/>
  <c r="F64" i="17" s="1"/>
  <c r="E65" i="17" l="1"/>
  <c r="F65" i="17" s="1" a="1"/>
  <c r="F65" i="17" s="1"/>
  <c r="E66" i="17" l="1"/>
  <c r="F66" i="17" s="1" a="1"/>
  <c r="F66" i="17" s="1"/>
  <c r="E67" i="17" l="1"/>
  <c r="F67" i="17" s="1" a="1"/>
  <c r="F67" i="17" s="1"/>
  <c r="E68" i="17" l="1"/>
  <c r="F68" i="17" s="1" a="1"/>
  <c r="F68" i="17" s="1"/>
  <c r="E69" i="17" l="1"/>
  <c r="F69" i="17" s="1" a="1"/>
  <c r="F69" i="17" s="1"/>
  <c r="E70" i="17" l="1"/>
  <c r="F70" i="17" s="1" a="1"/>
  <c r="F70" i="17" s="1"/>
  <c r="E71" i="17" l="1"/>
  <c r="F71" i="17" s="1" a="1"/>
  <c r="F71" i="17" s="1"/>
  <c r="E72" i="17" l="1"/>
  <c r="F72" i="17" s="1" a="1"/>
  <c r="F72" i="17" s="1"/>
  <c r="E73" i="17" l="1"/>
  <c r="F73" i="17" s="1" a="1"/>
  <c r="F73" i="17" s="1"/>
  <c r="E74" i="17" l="1"/>
  <c r="F74" i="17" s="1" a="1"/>
  <c r="F74" i="17" s="1"/>
  <c r="E75" i="17" l="1"/>
  <c r="F75" i="17" s="1" a="1"/>
  <c r="F75" i="17" s="1"/>
  <c r="E76" i="17" l="1"/>
  <c r="F76" i="17" s="1" a="1"/>
  <c r="F76" i="17" s="1"/>
  <c r="E77" i="17" l="1"/>
  <c r="F77" i="17" s="1" a="1"/>
  <c r="F77" i="17" s="1"/>
  <c r="E78" i="17" l="1"/>
  <c r="F78" i="17" s="1" a="1"/>
  <c r="F78" i="17" s="1"/>
  <c r="E79" i="17" l="1"/>
  <c r="F79" i="17" s="1" a="1"/>
  <c r="F79" i="17" s="1"/>
  <c r="E80" i="17" l="1"/>
  <c r="F80" i="17" s="1" a="1"/>
  <c r="F80" i="17" s="1"/>
  <c r="E81" i="17" l="1"/>
  <c r="F81" i="17" s="1" a="1"/>
  <c r="F81" i="17" s="1"/>
  <c r="E82" i="17" l="1"/>
  <c r="F82" i="17" s="1" a="1"/>
  <c r="F82" i="17" s="1"/>
  <c r="E83" i="17" l="1"/>
  <c r="F83" i="17" s="1" a="1"/>
  <c r="F83" i="17" s="1"/>
  <c r="E84" i="17" l="1"/>
  <c r="F84" i="17" s="1" a="1"/>
  <c r="F84" i="17" s="1"/>
  <c r="E85" i="17" l="1"/>
  <c r="F85" i="17" s="1" a="1"/>
  <c r="F85" i="17" s="1"/>
  <c r="E86" i="17" l="1"/>
  <c r="F86" i="17" s="1" a="1"/>
  <c r="F86" i="17" s="1"/>
  <c r="E87" i="17" l="1"/>
  <c r="F87" i="17" s="1" a="1"/>
  <c r="F87" i="17" s="1"/>
  <c r="E88" i="17" l="1"/>
  <c r="F88" i="17" s="1" a="1"/>
  <c r="F88" i="17" s="1"/>
  <c r="E89" i="17" l="1"/>
  <c r="F89" i="17" s="1" a="1"/>
  <c r="F89" i="17" s="1"/>
  <c r="E90" i="17" l="1"/>
  <c r="F90" i="17" s="1" a="1"/>
  <c r="F90" i="17" s="1"/>
  <c r="E91" i="17" l="1"/>
  <c r="F91" i="17" s="1" a="1"/>
  <c r="F91" i="17" s="1"/>
  <c r="E92" i="17" l="1"/>
  <c r="F92" i="17" s="1" a="1"/>
  <c r="F92" i="17" s="1"/>
  <c r="E93" i="17" l="1"/>
  <c r="F93" i="17" s="1" a="1"/>
  <c r="F93" i="17" s="1"/>
  <c r="E94" i="17" l="1"/>
  <c r="F94" i="17" s="1" a="1"/>
  <c r="F94" i="17" s="1"/>
  <c r="E95" i="17" l="1"/>
  <c r="F95" i="17" s="1" a="1"/>
  <c r="F95" i="17" s="1"/>
  <c r="E96" i="17" l="1"/>
  <c r="F96" i="17" s="1" a="1"/>
  <c r="F96" i="17" s="1"/>
  <c r="E97" i="17" l="1"/>
  <c r="F97" i="17" s="1" a="1"/>
  <c r="F97" i="17" s="1"/>
  <c r="E98" i="17" l="1"/>
  <c r="F98" i="17" s="1" a="1"/>
  <c r="F98" i="17" s="1"/>
  <c r="E99" i="17" l="1"/>
  <c r="F99" i="17" s="1" a="1"/>
  <c r="F99" i="17" s="1"/>
  <c r="E100" i="17" l="1"/>
  <c r="F100" i="17" s="1" a="1"/>
  <c r="F100" i="17" s="1"/>
  <c r="E101" i="17" l="1"/>
  <c r="F101" i="17" s="1" a="1"/>
  <c r="F101" i="17" s="1"/>
  <c r="E102" i="17" l="1"/>
  <c r="F102" i="17" s="1" a="1"/>
  <c r="F102" i="17" s="1"/>
  <c r="E103" i="17" l="1"/>
  <c r="F103" i="17" s="1" a="1"/>
  <c r="F103" i="17" s="1"/>
  <c r="E104" i="17" l="1"/>
  <c r="F104" i="17" s="1" a="1"/>
  <c r="F104" i="17" s="1"/>
  <c r="E105" i="17" l="1"/>
  <c r="F105" i="17" s="1" a="1"/>
  <c r="F105" i="17" s="1"/>
  <c r="E106" i="17" l="1"/>
  <c r="F106" i="17" s="1" a="1"/>
  <c r="F106" i="17" s="1"/>
  <c r="E107" i="17" l="1"/>
  <c r="F107" i="17" s="1" a="1"/>
  <c r="F107" i="17" s="1"/>
  <c r="E108" i="17" l="1"/>
  <c r="F108" i="17" s="1" a="1"/>
  <c r="F108" i="17" s="1"/>
  <c r="E109" i="17" l="1"/>
  <c r="F109" i="17" s="1" a="1"/>
  <c r="F109" i="17" s="1"/>
  <c r="E110" i="17" l="1"/>
  <c r="F110" i="17" s="1" a="1"/>
  <c r="F110" i="17" s="1"/>
  <c r="E111" i="17" l="1"/>
  <c r="F111" i="17" s="1" a="1"/>
  <c r="F111" i="17" s="1"/>
  <c r="E112" i="17" l="1"/>
  <c r="F112" i="17" s="1" a="1"/>
  <c r="F112" i="17" s="1"/>
  <c r="E113" i="17" l="1"/>
  <c r="F113" i="17" s="1" a="1"/>
  <c r="F113" i="17" s="1"/>
  <c r="E114" i="17" l="1"/>
  <c r="F114" i="17" s="1" a="1"/>
  <c r="F114" i="17" s="1"/>
  <c r="E115" i="17" l="1"/>
  <c r="F115" i="17" s="1" a="1"/>
  <c r="F115" i="17" s="1"/>
  <c r="E116" i="17" l="1"/>
  <c r="F116" i="17" s="1" a="1"/>
  <c r="F116" i="17" s="1"/>
  <c r="E117" i="17" l="1"/>
  <c r="F117" i="17" s="1" a="1"/>
  <c r="F117" i="17" s="1"/>
  <c r="E118" i="17" l="1"/>
  <c r="F118" i="17" s="1" a="1"/>
  <c r="F118" i="17" s="1"/>
  <c r="E119" i="17" l="1"/>
  <c r="F119" i="17" s="1" a="1"/>
  <c r="F119" i="17" s="1"/>
  <c r="E120" i="17" l="1"/>
  <c r="F120" i="17" s="1" a="1"/>
  <c r="F120" i="17" s="1"/>
  <c r="E121" i="17" l="1"/>
  <c r="F121" i="17" s="1" a="1"/>
  <c r="F121" i="17" s="1"/>
  <c r="E122" i="17" l="1"/>
  <c r="F122" i="17" s="1" a="1"/>
  <c r="F122" i="17" s="1"/>
  <c r="E123" i="17" l="1"/>
  <c r="F123" i="17" s="1" a="1"/>
  <c r="F123" i="17" s="1"/>
  <c r="E124" i="17" l="1"/>
  <c r="F124" i="17" s="1" a="1"/>
  <c r="F124" i="17" s="1"/>
  <c r="E125" i="17" l="1"/>
  <c r="F125" i="17" s="1" a="1"/>
  <c r="F125" i="17" s="1"/>
  <c r="E126" i="17" l="1"/>
  <c r="F126" i="17" s="1" a="1"/>
  <c r="F126" i="17" s="1"/>
  <c r="E127" i="17" l="1"/>
  <c r="F127" i="17" s="1" a="1"/>
  <c r="F127" i="17" s="1"/>
  <c r="E128" i="17" l="1"/>
  <c r="F128" i="17" s="1" a="1"/>
  <c r="F128" i="17" s="1"/>
  <c r="E129" i="17" l="1"/>
  <c r="F129" i="17" s="1" a="1"/>
  <c r="F129" i="17" s="1"/>
  <c r="E130" i="17" l="1"/>
  <c r="F130" i="17" s="1" a="1"/>
  <c r="F130" i="17" s="1"/>
  <c r="E131" i="17" l="1"/>
  <c r="F131" i="17" s="1" a="1"/>
  <c r="F131" i="17" s="1"/>
  <c r="E132" i="17" l="1"/>
  <c r="F132" i="17" s="1" a="1"/>
  <c r="F132" i="17" s="1"/>
  <c r="E133" i="17" l="1"/>
  <c r="F133" i="17" s="1" a="1"/>
  <c r="F133" i="17" s="1"/>
  <c r="E134" i="17" l="1"/>
  <c r="F134" i="17" s="1" a="1"/>
  <c r="F134" i="17" s="1"/>
  <c r="E135" i="17" l="1"/>
  <c r="F135" i="17" s="1" a="1"/>
  <c r="F135" i="17" s="1"/>
  <c r="E136" i="17" l="1"/>
  <c r="F136" i="17" s="1" a="1"/>
  <c r="F136" i="17" s="1"/>
  <c r="E137" i="17" l="1"/>
  <c r="F137" i="17" s="1" a="1"/>
  <c r="F137" i="17" s="1"/>
  <c r="E138" i="17" l="1"/>
  <c r="F138" i="17" s="1" a="1"/>
  <c r="F138" i="17" s="1"/>
  <c r="E139" i="17" l="1"/>
  <c r="F139" i="17" s="1" a="1"/>
  <c r="F139" i="17" s="1"/>
  <c r="E140" i="17" l="1"/>
  <c r="F140" i="17" s="1" a="1"/>
  <c r="F140" i="17" s="1"/>
  <c r="E141" i="17" l="1"/>
  <c r="F141" i="17" s="1" a="1"/>
  <c r="F141" i="17" s="1"/>
  <c r="E142" i="17" l="1"/>
  <c r="F142" i="17" s="1" a="1"/>
  <c r="F142" i="17" s="1"/>
  <c r="E143" i="17" l="1"/>
  <c r="F143" i="17" s="1" a="1"/>
  <c r="F143" i="17" s="1"/>
  <c r="E144" i="17" l="1"/>
  <c r="F144" i="17" s="1" a="1"/>
  <c r="F144" i="17" s="1"/>
  <c r="E145" i="17" l="1"/>
  <c r="F145" i="17" s="1" a="1"/>
  <c r="F145" i="17" s="1"/>
  <c r="E146" i="17" l="1"/>
  <c r="F146" i="17" s="1" a="1"/>
  <c r="F146" i="17" s="1"/>
  <c r="E147" i="17" l="1"/>
  <c r="F147" i="17" s="1" a="1"/>
  <c r="F147" i="17" s="1"/>
  <c r="E148" i="17" l="1"/>
  <c r="F148" i="17" s="1" a="1"/>
  <c r="F148" i="17" s="1"/>
  <c r="E149" i="17" l="1"/>
  <c r="F149" i="17" s="1" a="1"/>
  <c r="F149" i="17" s="1"/>
  <c r="E150" i="17" l="1"/>
  <c r="F150" i="17" s="1" a="1"/>
  <c r="F150" i="17" s="1"/>
  <c r="E151" i="17" l="1"/>
  <c r="F151" i="17" s="1" a="1"/>
  <c r="F151" i="17" s="1"/>
  <c r="E152" i="17" l="1"/>
  <c r="F152" i="17" s="1" a="1"/>
  <c r="F152" i="17" s="1"/>
  <c r="E153" i="17" l="1"/>
  <c r="F153" i="17" s="1" a="1"/>
  <c r="F153" i="17" s="1"/>
  <c r="E154" i="17" l="1"/>
  <c r="F154" i="17" s="1" a="1"/>
  <c r="F154" i="17" s="1"/>
  <c r="E155" i="17" l="1"/>
  <c r="F155" i="17" s="1" a="1"/>
  <c r="F155" i="17" s="1"/>
  <c r="E156" i="17" l="1"/>
  <c r="F156" i="17" s="1" a="1"/>
  <c r="F156" i="17" s="1"/>
  <c r="E157" i="17" l="1"/>
  <c r="F157" i="17" s="1" a="1"/>
  <c r="F157" i="17" s="1"/>
  <c r="E158" i="17" l="1"/>
  <c r="F158" i="17" s="1" a="1"/>
  <c r="F158" i="17" s="1"/>
  <c r="E159" i="17" l="1"/>
  <c r="F159" i="17" s="1" a="1"/>
  <c r="F159" i="17" s="1"/>
  <c r="E160" i="17" l="1"/>
  <c r="F160" i="17" s="1" a="1"/>
  <c r="F160" i="17" s="1"/>
  <c r="E161" i="17" l="1"/>
  <c r="F161" i="17" s="1" a="1"/>
  <c r="F161" i="17" s="1"/>
  <c r="E162" i="17" l="1"/>
  <c r="F162" i="17" s="1" a="1"/>
  <c r="F162" i="17" s="1"/>
  <c r="E163" i="17" l="1"/>
  <c r="F163" i="17" s="1" a="1"/>
  <c r="F163" i="17" s="1"/>
  <c r="E164" i="17" l="1"/>
  <c r="F164" i="17" s="1" a="1"/>
  <c r="F164" i="17" s="1"/>
  <c r="E165" i="17" l="1"/>
  <c r="F165" i="17" s="1" a="1"/>
  <c r="F165" i="17" s="1"/>
  <c r="E166" i="17" l="1"/>
  <c r="F166" i="17" s="1" a="1"/>
  <c r="F166" i="17" s="1"/>
  <c r="E167" i="17" l="1"/>
  <c r="F167" i="17" s="1" a="1"/>
  <c r="F167" i="17" s="1"/>
  <c r="E168" i="17" l="1"/>
  <c r="F168" i="17" s="1" a="1"/>
  <c r="F168" i="17" s="1"/>
  <c r="E169" i="17" l="1"/>
  <c r="F169" i="17" s="1" a="1"/>
  <c r="F169" i="17" s="1"/>
  <c r="E170" i="17" l="1"/>
  <c r="F170" i="17" s="1" a="1"/>
  <c r="F170" i="17" s="1"/>
  <c r="E171" i="17" l="1"/>
  <c r="F171" i="17" s="1" a="1"/>
  <c r="F171" i="17" s="1"/>
  <c r="E172" i="17" l="1"/>
  <c r="F172" i="17" s="1" a="1"/>
  <c r="F172" i="17" s="1"/>
  <c r="E173" i="17" l="1"/>
  <c r="F173" i="17" s="1" a="1"/>
  <c r="F173" i="17" s="1"/>
  <c r="E174" i="17" l="1"/>
  <c r="F174" i="17" s="1" a="1"/>
  <c r="F174" i="17" s="1"/>
  <c r="E175" i="17" l="1"/>
  <c r="F175" i="17" s="1" a="1"/>
  <c r="F175" i="17" s="1"/>
  <c r="E176" i="17" l="1"/>
  <c r="F176" i="17" s="1" a="1"/>
  <c r="F176" i="17" s="1"/>
  <c r="E177" i="17" l="1"/>
  <c r="F177" i="17" s="1" a="1"/>
  <c r="F177" i="17" s="1"/>
  <c r="E178" i="17" l="1"/>
  <c r="F178" i="17" s="1" a="1"/>
  <c r="F178" i="17" s="1"/>
  <c r="E179" i="17" l="1"/>
  <c r="F179" i="17" s="1" a="1"/>
  <c r="F179" i="17" s="1"/>
  <c r="E180" i="17" l="1"/>
  <c r="F180" i="17" s="1" a="1"/>
  <c r="F180" i="17" s="1"/>
  <c r="E181" i="17" l="1"/>
  <c r="F181" i="17" s="1" a="1"/>
  <c r="F181" i="17" s="1"/>
  <c r="E182" i="17" l="1"/>
  <c r="F182" i="17" s="1" a="1"/>
  <c r="F182" i="17" s="1"/>
  <c r="E183" i="17" l="1"/>
  <c r="F183" i="17" s="1" a="1"/>
  <c r="F183" i="17" s="1"/>
  <c r="E184" i="17" l="1"/>
  <c r="F184" i="17" s="1" a="1"/>
  <c r="F184" i="17" s="1"/>
  <c r="E185" i="17" l="1"/>
  <c r="F185" i="17" s="1" a="1"/>
  <c r="F185" i="17" s="1"/>
  <c r="E186" i="17" l="1"/>
  <c r="F186" i="17" s="1" a="1"/>
  <c r="F186" i="17" s="1"/>
  <c r="E187" i="17" l="1"/>
  <c r="F187" i="17" s="1" a="1"/>
  <c r="F187" i="17" s="1"/>
  <c r="E188" i="17" l="1"/>
  <c r="F188" i="17" s="1" a="1"/>
  <c r="F188" i="17" s="1"/>
  <c r="E189" i="17" l="1"/>
  <c r="F189" i="17" s="1" a="1"/>
  <c r="F189" i="17" s="1"/>
  <c r="E190" i="17" l="1"/>
  <c r="F190" i="17" s="1" a="1"/>
  <c r="F190" i="17" s="1"/>
  <c r="E191" i="17" l="1"/>
  <c r="F191" i="17" s="1" a="1"/>
  <c r="F191" i="17" s="1"/>
  <c r="E192" i="17" l="1"/>
  <c r="F192" i="17" s="1" a="1"/>
  <c r="F192" i="17" s="1"/>
  <c r="E193" i="17" l="1"/>
  <c r="F193" i="17" s="1" a="1"/>
  <c r="F193" i="17" s="1"/>
  <c r="E194" i="17" l="1"/>
  <c r="F194" i="17" s="1" a="1"/>
  <c r="F194" i="17" s="1"/>
  <c r="B53" i="21" s="1"/>
  <c r="E195" i="17" l="1"/>
  <c r="F195" i="17" s="1" a="1"/>
  <c r="F195" i="17" s="1"/>
  <c r="E196" i="17" l="1"/>
  <c r="F196" i="17" s="1" a="1"/>
  <c r="F196" i="17" s="1"/>
  <c r="E197" i="17" l="1"/>
  <c r="F197" i="17" s="1" a="1"/>
  <c r="F197" i="17" s="1"/>
  <c r="E198" i="17" l="1"/>
  <c r="F198" i="17" s="1" a="1"/>
  <c r="F198" i="17" s="1"/>
  <c r="B54" i="21" s="1"/>
  <c r="E199" i="17" l="1"/>
  <c r="F199" i="17" s="1" a="1"/>
  <c r="F199" i="17" s="1"/>
  <c r="E200" i="17" l="1"/>
  <c r="F200" i="17" s="1" a="1"/>
  <c r="F200" i="17" s="1"/>
  <c r="E201" i="17" l="1"/>
  <c r="F201" i="17" s="1" a="1"/>
  <c r="F201" i="17" s="1"/>
  <c r="E202" i="17" l="1"/>
  <c r="F202" i="17" s="1" a="1"/>
  <c r="F202" i="17" s="1"/>
  <c r="E203" i="17" l="1"/>
  <c r="F203" i="17" s="1" a="1"/>
  <c r="F203" i="17" s="1"/>
  <c r="E204" i="17" l="1"/>
  <c r="F204" i="17" s="1" a="1"/>
  <c r="F204" i="17" s="1"/>
  <c r="E205" i="17" l="1"/>
  <c r="F205" i="17" s="1" a="1"/>
  <c r="F205" i="17" s="1"/>
  <c r="E206" i="17" l="1"/>
  <c r="F206" i="17" s="1" a="1"/>
  <c r="F206" i="17" s="1"/>
  <c r="E207" i="17" l="1"/>
  <c r="F207" i="17" s="1" a="1"/>
  <c r="F207" i="17" s="1"/>
  <c r="E208" i="17" l="1"/>
  <c r="F208" i="17" s="1" a="1"/>
  <c r="F208" i="17" s="1"/>
  <c r="E209" i="17" l="1"/>
  <c r="F209" i="17" s="1" a="1"/>
  <c r="F209" i="17" s="1"/>
  <c r="E210" i="17" l="1"/>
  <c r="F210" i="17" s="1" a="1"/>
  <c r="F210" i="17" s="1"/>
  <c r="E211" i="17" l="1"/>
  <c r="F211" i="17" s="1" a="1"/>
  <c r="F211" i="17" s="1"/>
  <c r="E212" i="17" l="1"/>
  <c r="F212" i="17" s="1" a="1"/>
  <c r="F212" i="17" s="1"/>
  <c r="E213" i="17" l="1"/>
  <c r="F213" i="17" s="1" a="1"/>
  <c r="F213" i="17" s="1"/>
  <c r="E214" i="17" l="1"/>
  <c r="F214" i="17" s="1" a="1"/>
  <c r="F214" i="17" s="1"/>
  <c r="E215" i="17" l="1"/>
  <c r="F215" i="17" s="1" a="1"/>
  <c r="F215" i="17" s="1"/>
  <c r="E216" i="17" l="1"/>
  <c r="F216" i="17" s="1" a="1"/>
  <c r="F216" i="17" s="1"/>
  <c r="E217" i="17" l="1"/>
  <c r="F217" i="17" s="1" a="1"/>
  <c r="F217" i="17" s="1"/>
  <c r="E218" i="17" l="1"/>
  <c r="F218" i="17" s="1" a="1"/>
  <c r="F218" i="17" s="1"/>
  <c r="B59" i="21" s="1"/>
  <c r="E219" i="17" l="1"/>
  <c r="F219" i="17" s="1" a="1"/>
  <c r="F219" i="17" s="1"/>
  <c r="E220" i="17" l="1"/>
  <c r="F220" i="17" s="1" a="1"/>
  <c r="F220" i="17" s="1"/>
  <c r="E221" i="17" l="1"/>
  <c r="F221" i="17" s="1" a="1"/>
  <c r="F221" i="17" s="1"/>
  <c r="E222" i="17" l="1"/>
  <c r="F222" i="17" s="1" a="1"/>
  <c r="F222" i="17" s="1"/>
  <c r="B60" i="21" s="1"/>
  <c r="E223" i="17" l="1"/>
  <c r="F223" i="17" s="1" a="1"/>
  <c r="F223" i="17" s="1"/>
  <c r="E224" i="17" l="1"/>
  <c r="F224" i="17" s="1" a="1"/>
  <c r="F224" i="17" s="1"/>
  <c r="E225" i="17" l="1"/>
  <c r="F225" i="17" s="1" a="1"/>
  <c r="F225" i="17" s="1"/>
  <c r="E226" i="17" l="1"/>
  <c r="F226" i="17" s="1" a="1"/>
  <c r="F226" i="17" s="1"/>
  <c r="B61" i="21" s="1"/>
  <c r="E227" i="17" l="1"/>
  <c r="F227" i="17" s="1" a="1"/>
  <c r="F227" i="17" s="1"/>
  <c r="E228" i="17" l="1"/>
  <c r="F228" i="17" s="1" a="1"/>
  <c r="F228" i="17" s="1"/>
  <c r="E229" i="17" l="1"/>
  <c r="F229" i="17" s="1" a="1"/>
  <c r="F229" i="17" s="1"/>
  <c r="E230" i="17" l="1"/>
  <c r="F230" i="17" s="1" a="1"/>
  <c r="F230" i="17" s="1"/>
  <c r="B62" i="21" s="1"/>
  <c r="E231" i="17" l="1"/>
  <c r="F231" i="17" s="1" a="1"/>
  <c r="F231" i="17" s="1"/>
  <c r="E232" i="17" l="1"/>
  <c r="F232" i="17" s="1" a="1"/>
  <c r="F232" i="17" s="1"/>
  <c r="E233" i="17" l="1"/>
  <c r="F233" i="17" s="1" a="1"/>
  <c r="F233" i="17" s="1"/>
  <c r="E234" i="17" l="1"/>
  <c r="F234" i="17" s="1" a="1"/>
  <c r="F234" i="17" s="1"/>
  <c r="B63" i="21" s="1"/>
  <c r="E235" i="17" l="1"/>
  <c r="F235" i="17" s="1" a="1"/>
  <c r="F235" i="17" s="1"/>
  <c r="E236" i="17" l="1"/>
  <c r="F236" i="17" s="1" a="1"/>
  <c r="F236" i="17" s="1"/>
  <c r="E237" i="17" l="1"/>
  <c r="F237" i="17" s="1" a="1"/>
  <c r="F237" i="17" s="1"/>
  <c r="E238" i="17" l="1"/>
  <c r="F238" i="17" s="1" a="1"/>
  <c r="F238" i="17" s="1"/>
  <c r="B64" i="21" s="1"/>
  <c r="E239" i="17" l="1"/>
  <c r="F239" i="17" s="1" a="1"/>
  <c r="F239" i="17" s="1"/>
  <c r="E240" i="17" l="1"/>
  <c r="F240" i="17" s="1" a="1"/>
  <c r="F240" i="17" s="1"/>
  <c r="E241" i="17" l="1"/>
  <c r="F241" i="17" s="1" a="1"/>
  <c r="F241" i="17" s="1"/>
  <c r="E242" i="17" l="1"/>
  <c r="F242" i="17" s="1" a="1"/>
  <c r="F242" i="17" s="1"/>
  <c r="B65" i="21" s="1"/>
  <c r="E243" i="17" l="1"/>
  <c r="F243" i="17" s="1" a="1"/>
  <c r="F243" i="17" s="1"/>
  <c r="E244" i="17" l="1"/>
  <c r="F244" i="17" s="1" a="1"/>
  <c r="F244" i="17" s="1"/>
  <c r="E245" i="17" l="1"/>
  <c r="F245" i="17" s="1" a="1"/>
  <c r="F245" i="17" s="1"/>
  <c r="E246" i="17" l="1"/>
  <c r="F246" i="17" s="1" a="1"/>
  <c r="F246" i="17" s="1"/>
  <c r="B66" i="21" s="1"/>
  <c r="E247" i="17" l="1"/>
  <c r="F247" i="17" s="1" a="1"/>
  <c r="F247" i="17" s="1"/>
  <c r="E248" i="17" l="1"/>
  <c r="F248" i="17" s="1" a="1"/>
  <c r="F248" i="17" s="1"/>
  <c r="E249" i="17" l="1"/>
  <c r="F249" i="17" s="1" a="1"/>
  <c r="F249" i="17" s="1"/>
  <c r="B67" i="21" l="1"/>
  <c r="E250" i="17"/>
  <c r="F250" i="17" s="1" a="1"/>
  <c r="F250" i="17" s="1"/>
  <c r="E251" i="17" l="1"/>
  <c r="F251" i="17" s="1" a="1"/>
  <c r="F251" i="17" s="1"/>
  <c r="E252" i="17" l="1"/>
  <c r="F252" i="17" s="1" a="1"/>
  <c r="F252" i="17" s="1"/>
  <c r="E253" i="17" l="1"/>
  <c r="F253" i="17" s="1" a="1"/>
  <c r="F253" i="17" s="1"/>
  <c r="B68" i="21" l="1"/>
  <c r="E254" i="17"/>
  <c r="F254" i="17" s="1" a="1"/>
  <c r="F254" i="17" s="1"/>
  <c r="E255" i="17" l="1"/>
  <c r="F255" i="17" s="1" a="1"/>
  <c r="F255" i="17" s="1"/>
  <c r="E256" i="17" l="1"/>
  <c r="F256" i="17" s="1" a="1"/>
  <c r="F256" i="17" s="1"/>
  <c r="E257" i="17" l="1"/>
  <c r="F257" i="17" s="1" a="1"/>
  <c r="F257" i="17" s="1"/>
  <c r="E258" i="17" l="1"/>
  <c r="F258" i="17" s="1" a="1"/>
  <c r="F258" i="17" s="1"/>
  <c r="E259" i="17" l="1"/>
  <c r="F259" i="17" s="1" a="1"/>
  <c r="F259" i="17" s="1"/>
  <c r="E260" i="17" l="1"/>
  <c r="F260" i="17" s="1" a="1"/>
  <c r="F260" i="17" s="1"/>
  <c r="E261" i="17" l="1"/>
  <c r="F261" i="17" s="1" a="1"/>
  <c r="F261" i="17" s="1"/>
  <c r="B70" i="21" l="1"/>
  <c r="E262" i="17"/>
  <c r="F262" i="17" s="1" a="1"/>
  <c r="F262" i="17" s="1"/>
  <c r="E263" i="17" l="1"/>
  <c r="F263" i="17" s="1" a="1"/>
  <c r="F263" i="17" s="1"/>
  <c r="E264" i="17" l="1"/>
  <c r="F264" i="17" s="1" a="1"/>
  <c r="F264" i="17" s="1"/>
  <c r="E265" i="17" l="1"/>
  <c r="F265" i="17" s="1" a="1"/>
  <c r="F265" i="17" s="1"/>
  <c r="B71" i="21" l="1"/>
  <c r="E266" i="17"/>
  <c r="F266" i="17" s="1" a="1"/>
  <c r="F266" i="17" s="1"/>
  <c r="E267" i="17" l="1"/>
  <c r="F267" i="17" s="1" a="1"/>
  <c r="F267" i="17" s="1"/>
  <c r="E268" i="17" l="1"/>
  <c r="F268" i="17" s="1" a="1"/>
  <c r="F268" i="17" s="1"/>
  <c r="E269" i="17" l="1"/>
  <c r="F269" i="17" s="1" a="1"/>
  <c r="F269" i="17" s="1"/>
  <c r="E270" i="17" l="1"/>
  <c r="F270" i="17" s="1" a="1"/>
  <c r="F270" i="17" s="1"/>
  <c r="B72" i="21" s="1"/>
  <c r="E271" i="17" l="1"/>
  <c r="F271" i="17" s="1" a="1"/>
  <c r="F271" i="17" s="1"/>
  <c r="E272" i="17" l="1"/>
  <c r="F272" i="17" s="1" a="1"/>
  <c r="F272" i="17" s="1"/>
  <c r="E273" i="17" l="1"/>
  <c r="F273" i="17" s="1" a="1"/>
  <c r="F273" i="17" s="1"/>
  <c r="E274" i="17" l="1"/>
  <c r="F274" i="17" s="1" a="1"/>
  <c r="F274" i="17" s="1"/>
  <c r="B73" i="21" s="1"/>
  <c r="E275" i="17" l="1"/>
  <c r="F275" i="17" s="1" a="1"/>
  <c r="F275" i="17" s="1"/>
  <c r="E276" i="17" l="1"/>
  <c r="F276" i="17" s="1" a="1"/>
  <c r="F276" i="17" s="1"/>
  <c r="E277" i="17" l="1"/>
  <c r="F277" i="17" s="1" a="1"/>
  <c r="F277" i="17" s="1"/>
  <c r="B74" i="21" l="1"/>
  <c r="E278" i="17"/>
  <c r="F278" i="17" s="1" a="1"/>
  <c r="F278" i="17" s="1"/>
  <c r="E279" i="17" l="1"/>
  <c r="F279" i="17" s="1" a="1"/>
  <c r="F279" i="17" s="1"/>
  <c r="E280" i="17" l="1"/>
  <c r="F280" i="17" s="1" a="1"/>
  <c r="F280" i="17" s="1"/>
  <c r="E281" i="17" l="1"/>
  <c r="F281" i="17" s="1" a="1"/>
  <c r="F281" i="17" s="1"/>
  <c r="B75" i="21" l="1"/>
  <c r="E282" i="17"/>
  <c r="F282" i="17" s="1" a="1"/>
  <c r="F282" i="17" s="1"/>
  <c r="E283" i="17" l="1"/>
  <c r="F283" i="17" s="1" a="1"/>
  <c r="F283" i="17" s="1"/>
  <c r="E284" i="17" l="1"/>
  <c r="F284" i="17" s="1" a="1"/>
  <c r="F284" i="17" s="1"/>
  <c r="E285" i="17" l="1"/>
  <c r="F285" i="17" s="1" a="1"/>
  <c r="F285" i="17" s="1"/>
  <c r="B76" i="21" l="1"/>
  <c r="E286" i="17"/>
  <c r="F286" i="17" s="1" a="1"/>
  <c r="F286" i="17" s="1"/>
  <c r="E287" i="17" l="1"/>
  <c r="F287" i="17" s="1" a="1"/>
  <c r="F287" i="17" s="1"/>
  <c r="E288" i="17" l="1"/>
  <c r="F288" i="17" s="1" a="1"/>
  <c r="F288" i="17" s="1"/>
  <c r="E289" i="17" l="1"/>
  <c r="F289" i="17" s="1" a="1"/>
  <c r="F289" i="17" s="1"/>
  <c r="B77" i="21" l="1"/>
  <c r="E290" i="17"/>
  <c r="F290" i="17" s="1" a="1"/>
  <c r="F290" i="17" s="1"/>
  <c r="E291" i="17" l="1"/>
  <c r="F291" i="17" s="1" a="1"/>
  <c r="F291" i="17" s="1"/>
  <c r="E292" i="17" l="1"/>
  <c r="F292" i="17" s="1" a="1"/>
  <c r="F292" i="17" s="1"/>
  <c r="E293" i="17" l="1"/>
  <c r="F293" i="17" s="1" a="1"/>
  <c r="F293" i="17" s="1"/>
  <c r="B78" i="21" l="1"/>
  <c r="E294" i="17"/>
  <c r="F294" i="17" s="1" a="1"/>
  <c r="F294" i="17" s="1"/>
  <c r="E295" i="17" l="1"/>
  <c r="F295" i="17" s="1" a="1"/>
  <c r="F295" i="17" s="1"/>
  <c r="E296" i="17" l="1"/>
  <c r="F296" i="17" s="1" a="1"/>
  <c r="F296" i="17" s="1"/>
  <c r="E297" i="17" l="1"/>
  <c r="F297" i="17" s="1" a="1"/>
  <c r="F297" i="17" s="1"/>
  <c r="B79" i="21" l="1"/>
  <c r="E298" i="17"/>
  <c r="F298" i="17" s="1" a="1"/>
  <c r="F298" i="17" s="1"/>
  <c r="E299" i="17" l="1"/>
  <c r="F299" i="17" s="1" a="1"/>
  <c r="F299" i="17" s="1"/>
  <c r="E300" i="17" l="1"/>
  <c r="F300" i="17" s="1" a="1"/>
  <c r="F300" i="17" s="1"/>
  <c r="E301" i="17" l="1"/>
  <c r="F301" i="17" s="1" a="1"/>
  <c r="F301" i="17" s="1"/>
  <c r="B80" i="21" l="1"/>
  <c r="E302" i="17"/>
  <c r="F302" i="17" s="1" a="1"/>
  <c r="F302" i="17" s="1"/>
  <c r="E303" i="17" l="1"/>
  <c r="F303" i="17" s="1" a="1"/>
  <c r="F303" i="17" s="1"/>
  <c r="E304" i="17" l="1"/>
  <c r="F304" i="17" s="1" a="1"/>
  <c r="F304" i="17" s="1"/>
  <c r="E305" i="17" l="1"/>
  <c r="F305" i="17" s="1" a="1"/>
  <c r="F305" i="17" s="1"/>
  <c r="B81" i="21" l="1"/>
  <c r="E306" i="17"/>
  <c r="F306" i="17" s="1" a="1"/>
  <c r="F306" i="17" s="1"/>
  <c r="E307" i="17" l="1"/>
  <c r="F307" i="17" s="1" a="1"/>
  <c r="F307" i="17" s="1"/>
  <c r="E308" i="17" l="1"/>
  <c r="F308" i="17" s="1" a="1"/>
  <c r="F308" i="17" s="1"/>
  <c r="E309" i="17" l="1"/>
  <c r="F309" i="17" s="1" a="1"/>
  <c r="F309" i="17" s="1"/>
  <c r="B82" i="21" l="1"/>
  <c r="E310" i="17"/>
  <c r="F310" i="17" s="1" a="1"/>
  <c r="F310" i="17" s="1"/>
  <c r="E311" i="17" l="1"/>
  <c r="F311" i="17" s="1" a="1"/>
  <c r="F311" i="17" s="1"/>
  <c r="E312" i="17" l="1"/>
  <c r="F312" i="17" s="1" a="1"/>
  <c r="F312" i="17" s="1"/>
  <c r="E313" i="17" l="1"/>
  <c r="F313" i="17" s="1" a="1"/>
  <c r="F313" i="17" s="1"/>
  <c r="B83" i="21" l="1"/>
  <c r="E314" i="17"/>
  <c r="F314" i="17" s="1" a="1"/>
  <c r="F314" i="17" s="1"/>
  <c r="E315" i="17" l="1"/>
  <c r="F315" i="17" s="1" a="1"/>
  <c r="F315" i="17" s="1"/>
  <c r="E316" i="17" l="1"/>
  <c r="F316" i="17" s="1" a="1"/>
  <c r="F316" i="17" s="1"/>
  <c r="E317" i="17" l="1"/>
  <c r="F317" i="17" s="1" a="1"/>
  <c r="F317" i="17" s="1"/>
  <c r="B84" i="21" l="1"/>
  <c r="E318" i="17"/>
  <c r="F318" i="17" s="1" a="1"/>
  <c r="F318" i="17" s="1"/>
  <c r="E319" i="17" l="1"/>
  <c r="F319" i="17" s="1" a="1"/>
  <c r="F319" i="17" s="1"/>
  <c r="E320" i="17" l="1"/>
  <c r="F320" i="17" s="1" a="1"/>
  <c r="F320" i="17" s="1"/>
  <c r="E321" i="17" l="1"/>
  <c r="F321" i="17" s="1" a="1"/>
  <c r="F321" i="17" s="1"/>
  <c r="B85" i="21" l="1"/>
  <c r="E322" i="17"/>
  <c r="F322" i="17" s="1" a="1"/>
  <c r="F322" i="17" s="1"/>
  <c r="E323" i="17" l="1"/>
  <c r="F323" i="17" s="1" a="1"/>
  <c r="F323" i="17" s="1"/>
  <c r="E324" i="17" l="1"/>
  <c r="F324" i="17" s="1" a="1"/>
  <c r="F324" i="17" s="1"/>
  <c r="E325" i="17" l="1"/>
  <c r="F325" i="17" s="1" a="1"/>
  <c r="F325" i="17" s="1"/>
  <c r="B86" i="21" l="1"/>
  <c r="E326" i="17"/>
  <c r="F326" i="17" s="1" a="1"/>
  <c r="F326" i="17" s="1"/>
  <c r="E327" i="17" l="1"/>
  <c r="F327" i="17" s="1" a="1"/>
  <c r="F327" i="17" s="1"/>
  <c r="E328" i="17" l="1"/>
  <c r="F328" i="17" s="1" a="1"/>
  <c r="F328" i="17" s="1"/>
  <c r="E329" i="17" l="1"/>
  <c r="F329" i="17" s="1" a="1"/>
  <c r="F329" i="17" s="1"/>
  <c r="B87" i="21" l="1"/>
  <c r="E330" i="17"/>
  <c r="F330" i="17" s="1" a="1"/>
  <c r="F330" i="17" s="1"/>
  <c r="E331" i="17" l="1"/>
  <c r="F331" i="17" s="1" a="1"/>
  <c r="F331" i="17" s="1"/>
  <c r="E332" i="17" l="1"/>
  <c r="F332" i="17" s="1" a="1"/>
  <c r="F332" i="17" s="1"/>
  <c r="E333" i="17" l="1"/>
  <c r="F333" i="17" s="1" a="1"/>
  <c r="F333" i="17" s="1"/>
  <c r="B88" i="21" l="1"/>
  <c r="E334" i="17"/>
  <c r="F334" i="17" s="1" a="1"/>
  <c r="F334" i="17" s="1"/>
  <c r="E335" i="17" l="1"/>
  <c r="F335" i="17" s="1" a="1"/>
  <c r="F335" i="17" s="1"/>
  <c r="E336" i="17" l="1"/>
  <c r="F336" i="17" s="1" a="1"/>
  <c r="F336" i="17" s="1"/>
  <c r="E337" i="17" l="1"/>
  <c r="F337" i="17" s="1" a="1"/>
  <c r="F337" i="17" s="1"/>
  <c r="B89" i="21" l="1"/>
  <c r="E338" i="17"/>
  <c r="F338" i="17" s="1" a="1"/>
  <c r="F338" i="17" s="1"/>
  <c r="E339" i="17" l="1"/>
  <c r="F339" i="17" s="1" a="1"/>
  <c r="F339" i="17" s="1"/>
  <c r="E340" i="17" l="1"/>
  <c r="F340" i="17" s="1" a="1"/>
  <c r="F340" i="17" s="1"/>
  <c r="E341" i="17" l="1"/>
  <c r="F341" i="17" s="1" a="1"/>
  <c r="F341" i="17" s="1"/>
  <c r="B90" i="21" l="1"/>
  <c r="E342" i="17"/>
  <c r="F342" i="17" s="1" a="1"/>
  <c r="F342" i="17" s="1"/>
  <c r="E343" i="17" l="1"/>
  <c r="F343" i="17" s="1" a="1"/>
  <c r="F343" i="17" s="1"/>
  <c r="E344" i="17" l="1"/>
  <c r="F344" i="17" s="1" a="1"/>
  <c r="F344" i="17" s="1"/>
  <c r="E345" i="17" l="1"/>
  <c r="F345" i="17" s="1" a="1"/>
  <c r="F345" i="17" s="1"/>
  <c r="B91" i="21" l="1"/>
  <c r="E346" i="17"/>
  <c r="F346" i="17" s="1" a="1"/>
  <c r="F346" i="17" s="1"/>
  <c r="E347" i="17" l="1"/>
  <c r="F347" i="17" s="1" a="1"/>
  <c r="F347" i="17" s="1"/>
  <c r="E348" i="17" l="1"/>
  <c r="F348" i="17" s="1" a="1"/>
  <c r="F348" i="17" s="1"/>
  <c r="E349" i="17" l="1"/>
  <c r="F349" i="17" s="1" a="1"/>
  <c r="F349" i="17" s="1"/>
  <c r="B92" i="21" l="1"/>
  <c r="E350" i="17"/>
  <c r="F350" i="17" s="1" a="1"/>
  <c r="F350" i="17" s="1"/>
  <c r="E351" i="17" l="1"/>
  <c r="F351" i="17" s="1" a="1"/>
  <c r="F351" i="17" s="1"/>
  <c r="E352" i="17" l="1"/>
  <c r="F352" i="17" s="1" a="1"/>
  <c r="F352" i="17" s="1"/>
  <c r="E353" i="17" l="1"/>
  <c r="F353" i="17" s="1" a="1"/>
  <c r="F353" i="17" s="1"/>
  <c r="B93" i="21" l="1"/>
  <c r="E354" i="17"/>
  <c r="F354" i="17" s="1" a="1"/>
  <c r="F354" i="17" s="1"/>
  <c r="E355" i="17" l="1"/>
  <c r="F355" i="17" s="1" a="1"/>
  <c r="F355" i="17" s="1"/>
  <c r="E356" i="17" l="1"/>
  <c r="F356" i="17" s="1" a="1"/>
  <c r="F356" i="17" s="1"/>
  <c r="E357" i="17" l="1"/>
  <c r="F357" i="17" s="1" a="1"/>
  <c r="F357" i="17" s="1"/>
  <c r="B94" i="21" l="1"/>
  <c r="E358" i="17"/>
  <c r="F358" i="17" s="1" a="1"/>
  <c r="F358" i="17" s="1"/>
  <c r="B8" i="21" l="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5" i="21"/>
  <c r="B56" i="21"/>
  <c r="B57" i="21"/>
  <c r="B58" i="21"/>
  <c r="B69" i="21"/>
  <c r="E6" i="17"/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4" i="2"/>
  <c r="B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4" i="2"/>
  <c r="G66" i="2" l="1"/>
  <c r="G90" i="2"/>
  <c r="G58" i="2"/>
  <c r="G50" i="2"/>
  <c r="G34" i="2"/>
  <c r="G26" i="2"/>
  <c r="G18" i="2"/>
  <c r="G98" i="2"/>
  <c r="G4" i="2"/>
  <c r="G102" i="2"/>
  <c r="G94" i="2"/>
  <c r="G86" i="2"/>
  <c r="G78" i="2"/>
  <c r="G70" i="2"/>
  <c r="G62" i="2"/>
  <c r="G54" i="2"/>
  <c r="G46" i="2"/>
  <c r="G38" i="2"/>
  <c r="G30" i="2"/>
  <c r="G22" i="2"/>
  <c r="G14" i="2"/>
  <c r="G6" i="2"/>
  <c r="G24" i="2"/>
  <c r="G13" i="2"/>
  <c r="G77" i="2"/>
  <c r="G45" i="2"/>
  <c r="G82" i="2"/>
  <c r="G104" i="2"/>
  <c r="G96" i="2"/>
  <c r="G88" i="2"/>
  <c r="G80" i="2"/>
  <c r="G72" i="2"/>
  <c r="G64" i="2"/>
  <c r="G56" i="2"/>
  <c r="G48" i="2"/>
  <c r="G40" i="2"/>
  <c r="G32" i="2"/>
  <c r="G16" i="2"/>
  <c r="G8" i="2"/>
  <c r="G103" i="2"/>
  <c r="G95" i="2"/>
  <c r="G87" i="2"/>
  <c r="G79" i="2"/>
  <c r="G71" i="2"/>
  <c r="G63" i="2"/>
  <c r="G55" i="2"/>
  <c r="G47" i="2"/>
  <c r="G39" i="2"/>
  <c r="G31" i="2"/>
  <c r="G23" i="2"/>
  <c r="G15" i="2"/>
  <c r="G7" i="2"/>
  <c r="G97" i="2"/>
  <c r="G65" i="2"/>
  <c r="G33" i="2"/>
  <c r="G101" i="2"/>
  <c r="G93" i="2"/>
  <c r="G85" i="2"/>
  <c r="G69" i="2"/>
  <c r="G61" i="2"/>
  <c r="G53" i="2"/>
  <c r="G37" i="2"/>
  <c r="G29" i="2"/>
  <c r="G21" i="2"/>
  <c r="G5" i="2"/>
  <c r="G84" i="2"/>
  <c r="G76" i="2"/>
  <c r="G105" i="2"/>
  <c r="G89" i="2"/>
  <c r="G81" i="2"/>
  <c r="G73" i="2"/>
  <c r="G57" i="2"/>
  <c r="G49" i="2"/>
  <c r="G41" i="2"/>
  <c r="G25" i="2"/>
  <c r="G17" i="2"/>
  <c r="G9" i="2"/>
  <c r="G106" i="2"/>
  <c r="G74" i="2"/>
  <c r="G42" i="2"/>
  <c r="G10" i="2"/>
  <c r="G109" i="2"/>
  <c r="G108" i="2"/>
  <c r="G100" i="2"/>
  <c r="G92" i="2"/>
  <c r="G68" i="2"/>
  <c r="G60" i="2"/>
  <c r="G52" i="2"/>
  <c r="G44" i="2"/>
  <c r="G36" i="2"/>
  <c r="G28" i="2"/>
  <c r="G20" i="2"/>
  <c r="G12" i="2"/>
  <c r="G107" i="2"/>
  <c r="G99" i="2"/>
  <c r="G91" i="2"/>
  <c r="G83" i="2"/>
  <c r="G75" i="2"/>
  <c r="G67" i="2"/>
  <c r="G59" i="2"/>
  <c r="G51" i="2"/>
  <c r="G43" i="2"/>
  <c r="G35" i="2"/>
  <c r="G27" i="2"/>
  <c r="G19" i="2"/>
  <c r="G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<sst xmlns="http://schemas.openxmlformats.org/spreadsheetml/2006/main" count="2579" uniqueCount="1531">
  <si>
    <t>MGSX@UK</t>
  </si>
  <si>
    <t>UKSEURA@UK</t>
  </si>
  <si>
    <t>198001 !M</t>
  </si>
  <si>
    <t>198001</t>
  </si>
  <si>
    <t>.DTLM</t>
  </si>
  <si>
    <t>.LSOURCE</t>
  </si>
  <si>
    <t>.TN</t>
  </si>
  <si>
    <t>.T1</t>
  </si>
  <si>
    <t>.DESC</t>
  </si>
  <si>
    <t>Office for National Statistics</t>
  </si>
  <si>
    <t>Feb-1971</t>
  </si>
  <si>
    <t>UK: LFS: Unemployment Rate: Aged 16 and Over (SA, %)</t>
  </si>
  <si>
    <t>Dec-17-2024 07:04</t>
  </si>
  <si>
    <t>Oct-2024</t>
  </si>
  <si>
    <t>Jun-1992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</si>
  <si>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</si>
  <si>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</si>
  <si>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</si>
  <si>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</si>
  <si>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</si>
  <si>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</si>
  <si>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</si>
  <si>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</si>
  <si>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</si>
  <si>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</si>
  <si>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</si>
  <si>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</si>
  <si>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</si>
  <si>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</si>
  <si>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</si>
  <si>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</si>
  <si>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</si>
  <si>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</si>
  <si>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</si>
  <si>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</si>
  <si>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</si>
  <si>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</si>
  <si>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</si>
  <si>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</si>
  <si>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</si>
  <si>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</si>
  <si>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</si>
  <si>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</si>
  <si>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</si>
  <si>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</si>
  <si>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</si>
  <si>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198209</t>
  </si>
  <si>
    <t>198210</t>
  </si>
  <si>
    <t>198211</t>
  </si>
  <si>
    <t>198212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</si>
  <si>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</si>
  <si>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</si>
  <si>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</si>
  <si>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</si>
  <si>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</si>
  <si>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</si>
  <si>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</si>
  <si>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</si>
  <si>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198309</t>
  </si>
  <si>
    <t>198310</t>
  </si>
  <si>
    <t>198311</t>
  </si>
  <si>
    <t>198312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</si>
  <si>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</si>
  <si>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</si>
  <si>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</si>
  <si>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</si>
  <si>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</si>
  <si>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</si>
  <si>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</si>
  <si>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</si>
  <si>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</si>
  <si>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</si>
  <si>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</si>
  <si>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</si>
  <si>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</si>
  <si>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</si>
  <si>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</si>
  <si>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</si>
  <si>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</si>
  <si>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</si>
  <si>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</si>
  <si>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</si>
  <si>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</si>
  <si>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</si>
  <si>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</si>
  <si>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</si>
  <si>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</si>
  <si>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</si>
  <si>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</si>
  <si>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</si>
  <si>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</si>
  <si>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</si>
  <si>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</si>
  <si>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</si>
  <si>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</si>
  <si>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</si>
  <si>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</si>
  <si>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</si>
  <si>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</si>
  <si>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</si>
  <si>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</si>
  <si>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</si>
  <si>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</si>
  <si>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</si>
  <si>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</si>
  <si>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</si>
  <si>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</si>
  <si>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</si>
  <si>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</si>
  <si>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</si>
  <si>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</si>
  <si>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</si>
  <si>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</si>
  <si>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</si>
  <si>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</si>
  <si>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</si>
  <si>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</si>
  <si>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</si>
  <si>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</si>
  <si>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</si>
  <si>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</si>
  <si>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</si>
  <si>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</si>
  <si>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</si>
  <si>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</si>
  <si>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</si>
  <si>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</si>
  <si>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</si>
  <si>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</si>
  <si>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</si>
  <si>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</si>
  <si>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</si>
  <si>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</si>
  <si>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</si>
  <si>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</si>
  <si>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</si>
  <si>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</si>
  <si>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</si>
  <si>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</si>
  <si>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</si>
  <si>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</si>
  <si>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</si>
  <si>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</si>
  <si>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</si>
  <si>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</si>
  <si>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</si>
  <si>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</si>
  <si>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</si>
  <si>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</si>
  <si>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</si>
  <si>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</si>
  <si>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</si>
  <si>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</si>
  <si>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</si>
  <si>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</si>
  <si>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</si>
  <si>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</si>
  <si>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</si>
  <si>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</si>
  <si>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</si>
  <si>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</si>
  <si>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</si>
  <si>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</si>
  <si>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</si>
  <si>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</si>
  <si>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</si>
  <si>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</si>
  <si>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</si>
  <si>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</si>
  <si>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</si>
  <si>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</si>
  <si>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</si>
  <si>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</si>
  <si>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</si>
  <si>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</si>
  <si>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</si>
  <si>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</si>
  <si>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</si>
  <si>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</si>
  <si>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</si>
  <si>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</si>
  <si>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</si>
  <si>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</si>
  <si>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</si>
  <si>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</si>
  <si>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</si>
  <si>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</si>
  <si>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</si>
  <si>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</si>
  <si>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</si>
  <si>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</si>
  <si>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</si>
  <si>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</si>
  <si>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</si>
  <si>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</si>
  <si>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</si>
  <si>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</si>
  <si>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</si>
  <si>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</si>
  <si>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</si>
  <si>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</si>
  <si>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</si>
  <si>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</si>
  <si>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</si>
  <si>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</si>
  <si>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</si>
  <si>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</si>
  <si>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</si>
  <si>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</si>
  <si>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</si>
  <si>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</si>
  <si>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</si>
  <si>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</si>
  <si>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</si>
  <si>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</si>
  <si>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</si>
  <si>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</si>
  <si>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</si>
  <si>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</si>
  <si>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</si>
  <si>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</si>
  <si>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</si>
  <si>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</si>
  <si>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</si>
  <si>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</si>
  <si>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</si>
  <si>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</si>
  <si>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</si>
  <si>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</si>
  <si>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</si>
  <si>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</si>
  <si>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</si>
  <si>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</si>
  <si>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</si>
  <si>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</si>
  <si>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</si>
  <si>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</si>
  <si>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</si>
  <si>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</si>
  <si>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</si>
  <si>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</si>
  <si>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</si>
  <si>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</si>
  <si>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</si>
  <si>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</si>
  <si>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</si>
  <si>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</si>
  <si>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</si>
  <si>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</si>
  <si>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</si>
  <si>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</si>
  <si>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</si>
  <si>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</si>
  <si>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</si>
  <si>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</si>
  <si>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</si>
  <si>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</si>
  <si>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</si>
  <si>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</si>
  <si>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</si>
  <si>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</si>
  <si>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</si>
  <si>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</si>
  <si>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</si>
  <si>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</si>
  <si>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</si>
  <si>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</si>
  <si>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</si>
  <si>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</si>
  <si>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</si>
  <si>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</si>
  <si>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</si>
  <si>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</si>
  <si>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</si>
  <si>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</si>
  <si>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</si>
  <si>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</si>
  <si>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</si>
  <si>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</si>
  <si>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</si>
  <si>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</si>
  <si>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</si>
  <si>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</si>
  <si>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</si>
  <si>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</si>
  <si>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</si>
  <si>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</si>
  <si>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</si>
  <si>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</si>
  <si>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</si>
  <si>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</si>
  <si>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</si>
  <si>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</si>
  <si>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</si>
  <si>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</si>
  <si>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</si>
  <si>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</si>
  <si>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</si>
  <si>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</si>
  <si>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</si>
  <si>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</si>
  <si>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</si>
  <si>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</si>
  <si>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</si>
  <si>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</si>
  <si>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</si>
  <si>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</si>
  <si>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</si>
  <si>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</si>
  <si>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</si>
  <si>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</si>
  <si>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</si>
  <si>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</si>
  <si>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</si>
  <si>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</si>
  <si>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</si>
  <si>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</si>
  <si>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</si>
  <si>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</si>
  <si>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</si>
  <si>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</si>
  <si>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</si>
  <si>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</si>
  <si>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</si>
  <si>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</si>
  <si>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</si>
  <si>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</si>
  <si>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</si>
  <si>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</si>
  <si>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</si>
  <si>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</si>
  <si>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</si>
  <si>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</si>
  <si>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</si>
  <si>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</si>
  <si>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</si>
  <si>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</si>
  <si>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</si>
  <si>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</si>
  <si>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</si>
  <si>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</si>
  <si>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</si>
  <si>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</si>
  <si>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</si>
  <si>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</si>
  <si>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</si>
  <si>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</si>
  <si>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</si>
  <si>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</si>
  <si>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</si>
  <si>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</si>
  <si>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</si>
  <si>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</si>
  <si>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</si>
  <si>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</si>
  <si>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</si>
  <si>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</si>
  <si>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</si>
  <si>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</si>
  <si>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</si>
  <si>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</si>
  <si>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</si>
  <si>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</si>
  <si>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</si>
  <si>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</si>
  <si>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</si>
  <si>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</si>
  <si>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</si>
  <si>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</si>
  <si>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</si>
  <si>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</si>
  <si>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</si>
  <si>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</si>
  <si>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</si>
  <si>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</si>
  <si>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</si>
  <si>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</si>
  <si>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</si>
  <si>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</si>
  <si>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</si>
  <si>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</si>
  <si>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</si>
  <si>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</si>
  <si>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</si>
  <si>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</si>
  <si>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</si>
  <si>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</si>
  <si>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</si>
  <si>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</si>
  <si>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</si>
  <si>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</si>
  <si>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</si>
  <si>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</si>
  <si>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</si>
  <si>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</si>
  <si>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</si>
  <si>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</si>
  <si>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</si>
  <si>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</si>
  <si>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</si>
  <si>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</si>
  <si>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</si>
  <si>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</si>
  <si>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</si>
  <si>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</si>
  <si>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</si>
  <si>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</si>
  <si>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</si>
  <si>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</si>
  <si>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</si>
  <si>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</si>
  <si>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</si>
  <si>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</si>
  <si>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</si>
  <si>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</si>
  <si>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</si>
  <si>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</si>
  <si>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</si>
  <si>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</si>
  <si>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</si>
  <si>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</si>
  <si>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</si>
  <si>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</si>
  <si>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</si>
  <si>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</si>
  <si>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</si>
  <si>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</si>
  <si>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</si>
  <si>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</si>
  <si>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</si>
  <si>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</si>
  <si>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</si>
  <si>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</si>
  <si>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</si>
  <si>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</si>
  <si>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</si>
  <si>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</si>
  <si>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</si>
  <si>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</si>
  <si>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</si>
  <si>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</si>
  <si>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</si>
  <si>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</si>
  <si>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</si>
  <si>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</si>
  <si>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</si>
  <si>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</si>
  <si>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</si>
  <si>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</si>
  <si>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</si>
  <si>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</si>
  <si>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</si>
  <si>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</si>
  <si>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</si>
  <si>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</si>
  <si>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</si>
  <si>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</si>
  <si>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</si>
  <si>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</si>
  <si>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</si>
  <si>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</si>
  <si>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</si>
  <si>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</si>
  <si>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</si>
  <si>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</si>
  <si>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</si>
  <si>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</si>
  <si>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</si>
  <si>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</si>
  <si>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</si>
  <si>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</si>
  <si>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</si>
  <si>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</si>
  <si>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</si>
  <si>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</si>
  <si>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</si>
  <si>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</si>
  <si>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</si>
  <si>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</si>
  <si>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</si>
  <si>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</si>
  <si>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</si>
  <si>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</si>
  <si>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</si>
  <si>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</si>
  <si>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</si>
  <si>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</si>
  <si>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</si>
  <si>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</si>
  <si>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</si>
  <si>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</si>
  <si>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</si>
  <si>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</si>
  <si>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</si>
  <si>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</si>
  <si>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</si>
  <si>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</si>
  <si>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</si>
  <si>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</si>
  <si>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</si>
  <si>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</si>
  <si>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</si>
  <si>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</si>
  <si>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</si>
  <si>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</si>
  <si>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</si>
  <si>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</si>
  <si>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</si>
  <si>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</si>
  <si>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</si>
  <si>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</si>
  <si>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</si>
  <si>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</si>
  <si>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</si>
  <si>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</si>
  <si>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</si>
  <si>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</si>
  <si>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</si>
  <si>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</si>
  <si>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</si>
  <si>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</si>
  <si>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</si>
  <si>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</si>
  <si>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</si>
  <si>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</si>
  <si>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</si>
  <si>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</si>
  <si>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</si>
  <si>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</si>
  <si>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</si>
  <si>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</si>
  <si>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</si>
  <si>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</si>
  <si>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</si>
  <si>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</si>
  <si>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</si>
  <si>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</si>
  <si>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</si>
  <si>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</si>
  <si>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</si>
  <si>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</si>
  <si>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</si>
  <si>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</si>
  <si>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</si>
  <si>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</si>
  <si>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</si>
  <si>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</si>
  <si>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</si>
  <si>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</si>
  <si>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</si>
  <si>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</si>
  <si>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</si>
  <si>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Single month range - max</t>
  </si>
  <si>
    <t>Range of single-month estimates</t>
  </si>
  <si>
    <t>Single month range - min</t>
  </si>
  <si>
    <t>Single month rate</t>
  </si>
  <si>
    <t>Three-month rate</t>
  </si>
  <si>
    <t>LFS unemployment - single-month &amp; three-month rates</t>
  </si>
  <si>
    <t>LFS unemployment - single-month range &amp; 3-month rate</t>
  </si>
  <si>
    <t>G7AUQ@UK</t>
  </si>
  <si>
    <t>G7K5Q@UK</t>
  </si>
  <si>
    <t>G7GOQ@UK</t>
  </si>
  <si>
    <t>MFY7Q@UK</t>
  </si>
  <si>
    <t>MFY5Q@UK</t>
  </si>
  <si>
    <t>19801 !Q</t>
  </si>
  <si>
    <t>19801</t>
  </si>
  <si>
    <t>Dec-17-2024 07:20</t>
  </si>
  <si>
    <t>Q3-2024</t>
  </si>
  <si>
    <t>Q2-1991</t>
  </si>
  <si>
    <t>UK: Total Public Sector Employment (SA, Thous)</t>
  </si>
  <si>
    <t>Q1-1999</t>
  </si>
  <si>
    <t>UK: Total Private Sector Employment (SA, Thous)</t>
  </si>
  <si>
    <t>UK: Total Employment [Labor Force Survey] (SA, Thous)</t>
  </si>
  <si>
    <t>UK: Public Sector Employment ex Major Reclassifications (SA. Thous)</t>
  </si>
  <si>
    <t>UK: Private Sector Employment ex Major Reclassifications (SA. % of Employed)</t>
  </si>
  <si>
    <t>19802</t>
  </si>
  <si>
    <t>19803</t>
  </si>
  <si>
    <t>19804</t>
  </si>
  <si>
    <t>19811</t>
  </si>
  <si>
    <t>19812</t>
  </si>
  <si>
    <t>19813</t>
  </si>
  <si>
    <t>19814</t>
  </si>
  <si>
    <t>19821</t>
  </si>
  <si>
    <t>19822</t>
  </si>
  <si>
    <t>19823</t>
  </si>
  <si>
    <t>19824</t>
  </si>
  <si>
    <t>19831</t>
  </si>
  <si>
    <t>19832</t>
  </si>
  <si>
    <t>19833</t>
  </si>
  <si>
    <t>19834</t>
  </si>
  <si>
    <t>19841</t>
  </si>
  <si>
    <t>19842</t>
  </si>
  <si>
    <t>19843</t>
  </si>
  <si>
    <t>19844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</si>
  <si>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</si>
  <si>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</si>
  <si>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</si>
  <si>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</si>
  <si>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</si>
  <si>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</si>
  <si>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</si>
  <si>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</si>
  <si>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</si>
  <si>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</si>
  <si>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</si>
  <si>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</si>
  <si>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</si>
  <si>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</si>
  <si>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</si>
  <si>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</si>
  <si>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</si>
  <si>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</si>
  <si>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</si>
  <si>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</si>
  <si>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</si>
  <si>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</si>
  <si>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</si>
  <si>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</si>
  <si>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</si>
  <si>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</si>
  <si>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</si>
  <si>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</si>
  <si>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</si>
  <si>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</si>
  <si>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</si>
  <si>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</si>
  <si>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</si>
  <si>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</si>
  <si>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</si>
  <si>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</si>
  <si>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</si>
  <si>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</si>
  <si>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</si>
  <si>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</si>
  <si>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</si>
  <si>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</si>
  <si>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</si>
  <si>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</si>
  <si>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</si>
  <si>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</si>
  <si>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</si>
  <si>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</si>
  <si>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</si>
  <si>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</si>
  <si>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</si>
  <si>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</si>
  <si>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</si>
  <si>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</si>
  <si>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</si>
  <si>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</si>
  <si>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</si>
  <si>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</si>
  <si>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</si>
  <si>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</si>
  <si>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</si>
  <si>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</si>
  <si>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</si>
  <si>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</si>
  <si>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</si>
  <si>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</si>
  <si>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</si>
  <si>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</si>
  <si>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</si>
  <si>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</si>
  <si>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</si>
  <si>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</si>
  <si>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</si>
  <si>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</si>
  <si>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</si>
  <si>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</si>
  <si>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</si>
  <si>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</si>
  <si>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</si>
  <si>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</si>
  <si>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</si>
  <si>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</si>
  <si>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</si>
  <si>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</si>
  <si>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</si>
  <si>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</si>
  <si>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</si>
  <si>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</si>
  <si>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</si>
  <si>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</si>
  <si>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</si>
  <si>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</si>
  <si>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</si>
  <si>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</si>
  <si>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</si>
  <si>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</si>
  <si>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</si>
  <si>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</si>
  <si>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</si>
  <si>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</si>
  <si>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</si>
  <si>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</si>
  <si>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</si>
  <si>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</si>
  <si>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</si>
  <si>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</si>
  <si>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</si>
  <si>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</si>
  <si>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</si>
  <si>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</si>
  <si>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</si>
  <si>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</si>
  <si>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</si>
  <si>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</si>
  <si>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</si>
  <si>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</si>
  <si>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</si>
  <si>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</si>
  <si>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</si>
  <si>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</si>
  <si>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</si>
  <si>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</si>
  <si>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</si>
  <si>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</si>
  <si>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</si>
  <si>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</si>
  <si>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</si>
  <si>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</si>
  <si>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</si>
  <si>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</si>
  <si>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</si>
  <si>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</si>
  <si>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</si>
  <si>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</si>
  <si>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</si>
  <si>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</si>
  <si>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</si>
  <si>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</si>
  <si>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</si>
  <si>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</si>
  <si>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</si>
  <si>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</si>
  <si>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</si>
  <si>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</si>
  <si>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</si>
  <si>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</si>
  <si>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</si>
  <si>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</si>
  <si>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</si>
  <si>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</si>
  <si>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</si>
  <si>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</si>
  <si>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</si>
  <si>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</si>
  <si>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</si>
  <si>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</si>
  <si>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</si>
  <si>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</si>
  <si>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</si>
  <si>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MFZ2Q@UK</t>
  </si>
  <si>
    <t>UK: Private Sector Employment ex Major Reclassifications (SA. Thous)</t>
  </si>
  <si>
    <t>G9BZQ@UK</t>
  </si>
  <si>
    <t>G9C2Q@UK</t>
  </si>
  <si>
    <t>MFY9Q@UK</t>
  </si>
  <si>
    <t>UK: Public Sector Employment as % of Total Employment (SA, %)</t>
  </si>
  <si>
    <t>UK: Private Sector Employment as % of Total Employment (SA, %)</t>
  </si>
  <si>
    <t>UK: Public Sector Employment ex Major Reclassifications (SA. % of Employed)</t>
  </si>
  <si>
    <t>G7ERQ@UK</t>
  </si>
  <si>
    <t>G7EUQ@UK</t>
  </si>
  <si>
    <t>G7EXQ@UK</t>
  </si>
  <si>
    <t>G7F2Q@UK</t>
  </si>
  <si>
    <t>G7F5Q@UK</t>
  </si>
  <si>
    <t>G7FGQ@UK</t>
  </si>
  <si>
    <t>G7FJQ@UK</t>
  </si>
  <si>
    <t>G7FMQ@UK</t>
  </si>
  <si>
    <t>UK: Public Sector Employment: Construction (SA, Thous)</t>
  </si>
  <si>
    <t>UK: Public Sector Employment: HM Forces (SA, Thous)</t>
  </si>
  <si>
    <t>UK: Public Sector Employment: Police [including Civilians] (SA, Thous)</t>
  </si>
  <si>
    <t>UK: Public Sector Employment: Public Administration (SA, Thous)</t>
  </si>
  <si>
    <t>UK: Public Sector Employment: Education (SA, Thous)</t>
  </si>
  <si>
    <t>UK: Public Sector Employment: National Health Service (SA, Thous)</t>
  </si>
  <si>
    <t>UK: Public Sector Employment: Other Health and Social Work (SA, Thous)</t>
  </si>
  <si>
    <t>UK: Public Sector Employment: Other Public Sector (SA, Thous)</t>
  </si>
  <si>
    <t>Q2-1978</t>
  </si>
  <si>
    <t>DYDCQ@UK</t>
  </si>
  <si>
    <t>JWR5Q@UK</t>
  </si>
  <si>
    <t>JWR6Q@UK</t>
  </si>
  <si>
    <t>JWR7Q@UK</t>
  </si>
  <si>
    <t>JWR8Q@UK</t>
  </si>
  <si>
    <t>JWR9Q@UK</t>
  </si>
  <si>
    <t>JWS2Q@UK</t>
  </si>
  <si>
    <t>JWT8Q@UK</t>
  </si>
  <si>
    <t>JWS3Q@UK</t>
  </si>
  <si>
    <t>JWS4Q@UK</t>
  </si>
  <si>
    <t>JWS5Q@UK</t>
  </si>
  <si>
    <t>JWS6Q@UK</t>
  </si>
  <si>
    <t>JWS7Q@UK</t>
  </si>
  <si>
    <t>JWS8Q@UK</t>
  </si>
  <si>
    <t>JWS9Q@UK</t>
  </si>
  <si>
    <t>JWT2Q@UK</t>
  </si>
  <si>
    <t>JWT3Q@UK</t>
  </si>
  <si>
    <t>JWT4Q@UK</t>
  </si>
  <si>
    <t>JWT5Q@UK</t>
  </si>
  <si>
    <t>JWT6Q@UK</t>
  </si>
  <si>
    <t>Q2-1959</t>
  </si>
  <si>
    <t>UK: Total Workforce Jobs [Count of Jobs, Not People] (SA, Thous)</t>
  </si>
  <si>
    <t>UK: Workforce Jobs: Agriculture, Forestry &amp; Fishing(SA, Thous)</t>
  </si>
  <si>
    <t>UK: Workforce Jobs: Mining &amp; Quarrying(SA, Thous)</t>
  </si>
  <si>
    <t>UK: Workforce Jobs: Manufacturing(SA, Thous)</t>
  </si>
  <si>
    <t>UK: Workforce Jobs: Electricity, Gas, Steam &amp; Air-Conditioning Supply(SA, Thous)</t>
  </si>
  <si>
    <t>UK: Workforce Jobs: Water Supply, Waste Management &amp; Remediation(SA, Thous)</t>
  </si>
  <si>
    <t>UK: Workforce Jobs: Construction(SA, Thous)</t>
  </si>
  <si>
    <t>UK: Workforce Jobs: Total Services(SA, Thous)</t>
  </si>
  <si>
    <t>UK: Workforce Jobs: Wholesale/Retail Trade, Motor Vehicle Repair(SA, Thous)</t>
  </si>
  <si>
    <t>UK: Workforce Jobs: Transportation &amp; Storage(SA, Thous)</t>
  </si>
  <si>
    <t>UK: Workforce Jobs: Accommodation &amp; Food Services(SA, Thous)</t>
  </si>
  <si>
    <t>UK: Workforce Jobs: Information &amp; Communication(SA, Thous)</t>
  </si>
  <si>
    <t>UK: Workforce Jobs: Financial &amp; Insurance Activities(SA, Thous)</t>
  </si>
  <si>
    <t>UK: Workforce Jobs: Real Estate Activities(SA, Thous)</t>
  </si>
  <si>
    <t>UK: Workforce Jobs: Professional Scientific &amp; Technical Activities(SA, Thous)</t>
  </si>
  <si>
    <t>UK: Workforce Jobs: Administrative &amp; Support Services(SA, Thous)</t>
  </si>
  <si>
    <t>UK: Workforce Jobs: Public Administration, Defense, Social Security(SA, Thous)</t>
  </si>
  <si>
    <t>UK: Workforce Jobs: Education(SA, Thous)</t>
  </si>
  <si>
    <t>UK: Workforce Jobs: Human Health &amp; Social Work Activities(SA, Thous)</t>
  </si>
  <si>
    <t>UK: Workforce Jobs: Arts, Entertainment &amp; Recreation(SA, Thous)</t>
  </si>
  <si>
    <t>JWT7Q@UK</t>
  </si>
  <si>
    <t>KW78Q@UK</t>
  </si>
  <si>
    <t>UK: Workforce Jobs: Other Service Activities(SA, Thous)</t>
  </si>
  <si>
    <t>UK: Workforce Jobs: People Employed by Households, etc. (SA, Thous)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</si>
  <si>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</si>
  <si>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</si>
  <si>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</si>
  <si>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</si>
  <si>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</si>
  <si>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</si>
  <si>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</si>
  <si>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</si>
  <si>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</si>
  <si>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</si>
  <si>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</si>
  <si>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</si>
  <si>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</si>
  <si>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</si>
  <si>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</si>
  <si>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</si>
  <si>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</si>
  <si>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</si>
  <si>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</si>
  <si>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</si>
  <si>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</si>
  <si>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</si>
  <si>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</si>
  <si>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</si>
  <si>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</si>
  <si>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</si>
  <si>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</si>
  <si>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</si>
  <si>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</si>
  <si>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</si>
  <si>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</si>
  <si>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</si>
  <si>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</si>
  <si>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</si>
  <si>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</si>
  <si>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</si>
  <si>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</si>
  <si>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</si>
  <si>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</si>
  <si>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</si>
  <si>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</si>
  <si>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</si>
  <si>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</si>
  <si>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</si>
  <si>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</si>
  <si>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</si>
  <si>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</si>
  <si>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</si>
  <si>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</si>
  <si>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</si>
  <si>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</si>
  <si>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</si>
  <si>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</si>
  <si>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</si>
  <si>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</si>
  <si>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</si>
  <si>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</si>
  <si>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</si>
  <si>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</si>
  <si>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</si>
  <si>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</si>
  <si>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</si>
  <si>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</si>
  <si>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</si>
  <si>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</si>
  <si>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</si>
  <si>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</si>
  <si>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</si>
  <si>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</si>
  <si>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</si>
  <si>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</si>
  <si>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</si>
  <si>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</si>
  <si>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</si>
  <si>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</si>
  <si>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</si>
  <si>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</si>
  <si>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</si>
  <si>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</si>
  <si>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</si>
  <si>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</si>
  <si>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</si>
  <si>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</si>
  <si>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</si>
  <si>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</si>
  <si>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</si>
  <si>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</si>
  <si>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</si>
  <si>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</si>
  <si>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</si>
  <si>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</si>
  <si>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</si>
  <si>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</si>
  <si>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</si>
  <si>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</si>
  <si>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</si>
  <si>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</si>
  <si>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</si>
  <si>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</si>
  <si>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</si>
  <si>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</si>
  <si>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</si>
  <si>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</si>
  <si>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</si>
  <si>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</si>
  <si>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</si>
  <si>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</si>
  <si>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</si>
  <si>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</si>
  <si>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</si>
  <si>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</si>
  <si>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</si>
  <si>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</si>
  <si>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</si>
  <si>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</si>
  <si>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</si>
  <si>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</si>
  <si>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</si>
  <si>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</si>
  <si>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</si>
  <si>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</si>
  <si>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</si>
  <si>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</si>
  <si>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</si>
  <si>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</si>
  <si>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</si>
  <si>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</si>
  <si>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</si>
  <si>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</si>
  <si>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</si>
  <si>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</si>
  <si>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</si>
  <si>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</si>
  <si>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</si>
  <si>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</si>
  <si>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</si>
  <si>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</si>
  <si>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</si>
  <si>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</si>
  <si>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</si>
  <si>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</si>
  <si>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</si>
  <si>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</si>
  <si>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</si>
  <si>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</si>
  <si>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</si>
  <si>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</si>
  <si>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</si>
  <si>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</si>
  <si>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</si>
  <si>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</si>
  <si>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</si>
  <si>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</si>
  <si>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</si>
  <si>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</si>
  <si>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</si>
  <si>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</si>
  <si>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</si>
  <si>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</si>
  <si>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</si>
  <si>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</si>
  <si>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</si>
  <si>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</si>
  <si>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</si>
  <si>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</si>
  <si>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</si>
  <si>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</si>
  <si>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</si>
  <si>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</si>
  <si>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</si>
  <si>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</si>
  <si>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</si>
  <si>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</si>
  <si>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</si>
  <si>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</si>
  <si>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</si>
  <si>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</si>
  <si>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</si>
  <si>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</si>
  <si>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</si>
  <si>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</si>
  <si>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</si>
  <si>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</si>
  <si>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</si>
  <si>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</si>
  <si>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</si>
  <si>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</si>
  <si>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</si>
  <si>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</si>
  <si>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</si>
  <si>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</si>
  <si>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</si>
  <si>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</si>
  <si>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</si>
  <si>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</si>
  <si>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</si>
  <si>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</si>
  <si>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</si>
  <si>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</si>
  <si>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</si>
  <si>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</si>
  <si>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</si>
  <si>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</si>
  <si>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</si>
  <si>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</si>
  <si>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</si>
  <si>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</si>
  <si>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</si>
  <si>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</si>
  <si>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</si>
  <si>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</si>
  <si>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</si>
  <si>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</si>
  <si>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</si>
  <si>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</si>
  <si>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</si>
  <si>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</si>
  <si>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</si>
  <si>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</si>
  <si>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</si>
  <si>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</si>
  <si>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</si>
  <si>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</si>
  <si>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</si>
  <si>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</si>
  <si>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</si>
  <si>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</si>
  <si>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</si>
  <si>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</si>
  <si>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</si>
  <si>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</si>
  <si>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</si>
  <si>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</si>
  <si>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</si>
  <si>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</si>
  <si>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</si>
  <si>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</si>
  <si>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</si>
  <si>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</si>
  <si>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</si>
  <si>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</si>
  <si>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</si>
  <si>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</si>
  <si>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</si>
  <si>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</si>
  <si>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</si>
  <si>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</si>
  <si>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</si>
  <si>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</si>
  <si>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</si>
  <si>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</si>
  <si>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</si>
  <si>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</si>
  <si>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</si>
  <si>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</si>
  <si>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</si>
  <si>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</si>
  <si>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</si>
  <si>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</si>
  <si>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</si>
  <si>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</si>
  <si>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</si>
  <si>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</si>
  <si>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</si>
  <si>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</si>
  <si>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</si>
  <si>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</si>
  <si>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</si>
  <si>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</si>
  <si>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</si>
  <si>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</si>
  <si>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</si>
  <si>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</si>
  <si>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</si>
  <si>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</si>
  <si>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</si>
  <si>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</si>
  <si>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</si>
  <si>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</si>
  <si>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</si>
  <si>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</si>
  <si>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</si>
  <si>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</si>
  <si>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</si>
  <si>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</si>
  <si>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</si>
  <si>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</si>
  <si>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</si>
  <si>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</si>
  <si>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</si>
  <si>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</si>
  <si>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</si>
  <si>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</si>
  <si>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</si>
  <si>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</si>
  <si>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</si>
  <si>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</si>
  <si>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</si>
  <si>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</si>
  <si>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</si>
  <si>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</si>
  <si>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</si>
  <si>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</si>
  <si>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</si>
  <si>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</si>
  <si>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</si>
  <si>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</si>
  <si>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</si>
  <si>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</si>
  <si>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</si>
  <si>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</si>
  <si>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</si>
  <si>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</si>
  <si>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</si>
  <si>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</si>
  <si>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</si>
  <si>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</si>
  <si>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</si>
  <si>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</si>
  <si>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</si>
  <si>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</si>
  <si>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</si>
  <si>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</si>
  <si>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</si>
  <si>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</si>
  <si>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</si>
  <si>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</si>
  <si>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</si>
  <si>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</si>
  <si>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</si>
  <si>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</si>
  <si>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</si>
  <si>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</si>
  <si>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</si>
  <si>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</si>
  <si>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</si>
  <si>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</si>
  <si>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</si>
  <si>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</si>
  <si>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</si>
  <si>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</si>
  <si>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</si>
  <si>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</si>
  <si>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</si>
  <si>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</si>
  <si>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</si>
  <si>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</si>
  <si>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</si>
  <si>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</si>
  <si>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</si>
  <si>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</si>
  <si>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</si>
  <si>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</si>
  <si>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</si>
  <si>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</si>
  <si>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</si>
  <si>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</si>
  <si>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</si>
  <si>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</si>
  <si>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</si>
  <si>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</si>
  <si>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</si>
  <si>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</si>
  <si>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</si>
  <si>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</si>
  <si>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</si>
  <si>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</si>
  <si>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</si>
  <si>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</si>
  <si>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</si>
  <si>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</si>
  <si>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Costs, unit wage costs, whole economy, nominal</t>
  </si>
  <si>
    <t>Index</t>
  </si>
  <si>
    <t>NA</t>
  </si>
  <si>
    <t>Level</t>
  </si>
  <si>
    <t>Oxford Economics calculation using Office for National Statistics data</t>
  </si>
  <si>
    <t>WC = 242.3075 * (PEWFP * (1.000000 + TPR) + PEOCR) / GDP + (R(WC))</t>
  </si>
  <si>
    <t>GBR</t>
  </si>
  <si>
    <t>WC</t>
  </si>
  <si>
    <t>Tax revenue, employer social security contributions, LCU</t>
  </si>
  <si>
    <t>Pound</t>
  </si>
  <si>
    <t>Millions</t>
  </si>
  <si>
    <t>Office for National Statistics\Haver Analytics</t>
  </si>
  <si>
    <t>RNFSQ@UK</t>
  </si>
  <si>
    <t xml:space="preserve">UK: IA: CG: Resources: Employers' Social Contributions (SA, Mil.GBP) </t>
  </si>
  <si>
    <t>TP</t>
  </si>
  <si>
    <t>Company profits, LCU</t>
  </si>
  <si>
    <t>CGBZQ@UK</t>
  </si>
  <si>
    <t xml:space="preserve">U.K.: Gross Operating Surplus of Corporations (SA, Mil.Pounds) </t>
  </si>
  <si>
    <t>COGTP</t>
  </si>
  <si>
    <t>GDP, nominal, LCU</t>
  </si>
  <si>
    <t>YBHAQ@UK</t>
  </si>
  <si>
    <t xml:space="preserve">U.K.: Gross Domestic Product (SA, Mil.Pounds) </t>
  </si>
  <si>
    <t>GDP!</t>
  </si>
  <si>
    <t>Average Weekly Earnings (total pay)</t>
  </si>
  <si>
    <t>Pound per Employee</t>
  </si>
  <si>
    <t>KAB9@UK</t>
  </si>
  <si>
    <t>GB: AWE, Total Pay: Whole Economy (SA, GBP)</t>
  </si>
  <si>
    <t>WAGEWKLY</t>
  </si>
  <si>
    <t>UK</t>
  </si>
  <si>
    <t>L</t>
  </si>
  <si>
    <t>CYs</t>
  </si>
  <si>
    <t>FYs</t>
  </si>
  <si>
    <t>FY end</t>
  </si>
  <si>
    <t>Wages and salaries, LCU</t>
  </si>
  <si>
    <t>ROYJQ@UK</t>
  </si>
  <si>
    <t xml:space="preserve">UK: HH &amp; NPISH: Income: Wages and Salaries (SA, Mil.GBP) </t>
  </si>
  <si>
    <t>PEWFP</t>
  </si>
  <si>
    <t>Income, personal disposable, nominal, LCU</t>
  </si>
  <si>
    <t>RPHQQ@UK</t>
  </si>
  <si>
    <t xml:space="preserve">UK: HH &amp; NPISH: Gross Disposable Income (SA, Mil.GBP) </t>
  </si>
  <si>
    <t>PEDY!</t>
  </si>
  <si>
    <t>Income, personal disposable, real, LCU</t>
  </si>
  <si>
    <t>chained 2022</t>
  </si>
  <si>
    <t>NRJRQ@UK</t>
  </si>
  <si>
    <t>UK: HH &amp; NPISH: Real Household Disposable Income (SA, Mil.Chn.2022.Pounds)</t>
  </si>
  <si>
    <t>PEDY</t>
  </si>
  <si>
    <t>Consumption, private deflator</t>
  </si>
  <si>
    <t>Consumption, private, nominal/Consumption, private, real * 100</t>
  </si>
  <si>
    <t>PC</t>
  </si>
  <si>
    <t>UKNEMW@UK</t>
  </si>
  <si>
    <t>Oct-30-2024 11:52</t>
  </si>
  <si>
    <t>Low Pay Commission</t>
  </si>
  <si>
    <t>Mar-2026</t>
  </si>
  <si>
    <t>Apr-1999</t>
  </si>
  <si>
    <t>UK: National Minimum Wage/National Living Wage (NSA, GBP/hr)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</si>
  <si>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</si>
  <si>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</si>
  <si>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</si>
  <si>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</si>
  <si>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</si>
  <si>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</si>
  <si>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</si>
  <si>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</si>
  <si>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</si>
  <si>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</si>
  <si>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</si>
  <si>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</si>
  <si>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</si>
  <si>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</si>
  <si>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</si>
  <si>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</si>
  <si>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</si>
  <si>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UKNEJ@UK</t>
  </si>
  <si>
    <t>BEIRQ@UK</t>
  </si>
  <si>
    <t>MGSCQ@UK</t>
  </si>
  <si>
    <t>UNVAL1@UK</t>
  </si>
  <si>
    <t>UBCMERD@UK</t>
  </si>
  <si>
    <t>UBCSERD@UK</t>
  </si>
  <si>
    <t>Q3-2024 &lt;- Nov-2024</t>
  </si>
  <si>
    <t>Q2-2001 &lt;- Apr-2001</t>
  </si>
  <si>
    <t>UK: Job Vacancies Excluding Agriculture, Forestry &amp; Fishing (NSA, Thous)</t>
  </si>
  <si>
    <t>Dec-17-2024 07:18</t>
  </si>
  <si>
    <t>Q1-1971</t>
  </si>
  <si>
    <t>UK: LFS: Unemployed: Aged 16 &amp; Over (SA, Thous)</t>
  </si>
  <si>
    <t>Q2-1995</t>
  </si>
  <si>
    <t>UK: LFS: ILO Redundancy Rate (SA, Per 1000 Employees)</t>
  </si>
  <si>
    <t>Dec-19-2024 12:02</t>
  </si>
  <si>
    <t>Bank of England</t>
  </si>
  <si>
    <t>Q1-2005 &lt;- Jan-2005</t>
  </si>
  <si>
    <t>UK: BoE Agents' Survey: Labor Market: Recruitment Difficulties (NSA, % Bal)</t>
  </si>
  <si>
    <t>Jan-06-2025 00:01</t>
  </si>
  <si>
    <t>The British Chambers of Commerce</t>
  </si>
  <si>
    <t>Q4-2024</t>
  </si>
  <si>
    <t>Q1-1989</t>
  </si>
  <si>
    <t>UK: BCC Survey: Manufacturing: Recruitment Difficulties (% of Cos)</t>
  </si>
  <si>
    <t>UK: BCC Survey: Service: Recruitment Difficulties (% of Cos)</t>
  </si>
  <si>
    <t>20244</t>
  </si>
  <si>
    <t>MGSXQ@UK</t>
  </si>
  <si>
    <t>YBWHQ@UK</t>
  </si>
  <si>
    <t>Q2-1992</t>
  </si>
  <si>
    <t>UK: LFS: Unemployed: Aged 16 &amp; Over: Over 12 Months (SA, Thous)</t>
  </si>
  <si>
    <t>MGSLQ@UK</t>
  </si>
  <si>
    <t>UK: LFS: Working Age Population: Age 16 &amp; Over (NSA, Thous)</t>
  </si>
  <si>
    <t>UK: LFS: Economic Activity Rate: Aged 16 and Over (SA, %)</t>
  </si>
  <si>
    <t>MGWGQ@UK</t>
  </si>
  <si>
    <t>LF24Q@UK</t>
  </si>
  <si>
    <t>UK: LFS: Employment Rate: Aged 16 to 64 (SA, %)</t>
  </si>
  <si>
    <t>YBUVQ@UK</t>
  </si>
  <si>
    <t>UK: LFS: Average Actual Weekly Hours Worked: All Workers (SA, Hours)</t>
  </si>
  <si>
    <t>KAC4@UK</t>
  </si>
  <si>
    <t>Q1-2000 &lt;- Jan-2000</t>
  </si>
  <si>
    <t>Great Britain: AWE, Total Pay: Private Sector (SA, GBP)</t>
  </si>
  <si>
    <t>UK: LFS: Employment: Aged 16 and Over (SA, Thous)</t>
  </si>
  <si>
    <t>MGRZQ@UK</t>
  </si>
  <si>
    <t>UKSEPEP@UK</t>
  </si>
  <si>
    <t>Q3-2014 &lt;- Jul-2014</t>
  </si>
  <si>
    <t>UK: Paid Employees: PAYE Real Time Information [RTI] (SA, Number)</t>
  </si>
  <si>
    <t>MGRNQ@UK</t>
  </si>
  <si>
    <t>UK: LFS: Employees (SA, Thous)</t>
  </si>
  <si>
    <t>UK: LFS: Part-Time Workers: Couldn't Find Full-Time Job (SA, Thous)</t>
  </si>
  <si>
    <t>UK: LFS: Economically Inactive: Wants a Job (SA, Thous)</t>
  </si>
  <si>
    <t>LFM2Q@UK</t>
  </si>
  <si>
    <t>YCCXQ@UK</t>
  </si>
  <si>
    <t>Table 1: Long-term international migration into and out of the United Kingdom by nationality,</t>
  </si>
  <si>
    <t>using new approach to producing migration estimates.</t>
  </si>
  <si>
    <t>This worksheet contains one table.</t>
  </si>
  <si>
    <t>Notes and definitions are referred to in this table. The text for these can be found in the corresponding worksheets.</t>
  </si>
  <si>
    <t>Some shorthand is used in this table, P = provisional, R = revised, YE = Year Ending and EU = European Union.</t>
  </si>
  <si>
    <t>Flow
[note 2]</t>
  </si>
  <si>
    <t>Period
[note 15]</t>
  </si>
  <si>
    <t>All Nationalities
[note 1]</t>
  </si>
  <si>
    <t>British
[definition 2]</t>
  </si>
  <si>
    <t>EU+
[definition 3]</t>
  </si>
  <si>
    <t>Non-EU+
[definition 4]</t>
  </si>
  <si>
    <t>Immigration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</si>
  <si>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</si>
  <si>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</si>
  <si>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</si>
  <si>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</si>
  <si>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</si>
  <si>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</si>
  <si>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</si>
  <si>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</si>
  <si>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</si>
  <si>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</si>
  <si>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</si>
  <si>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</si>
  <si>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</si>
  <si>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</si>
  <si>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</si>
  <si>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</si>
  <si>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</si>
  <si>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</si>
  <si>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</si>
  <si>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</si>
  <si>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</si>
  <si>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</si>
  <si>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</si>
  <si>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</si>
  <si>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</si>
  <si>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</si>
  <si>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</si>
  <si>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</si>
  <si>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</si>
  <si>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</si>
  <si>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</si>
  <si>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</si>
  <si>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</si>
  <si>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</si>
  <si>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</si>
  <si>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</si>
  <si>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</si>
  <si>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</si>
  <si>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</si>
  <si>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</si>
  <si>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</si>
  <si>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>YE Sep 22 R</t>
  </si>
  <si>
    <t>YE Dec 22 R</t>
  </si>
  <si>
    <t>YE Mar 23 R</t>
  </si>
  <si>
    <t>YE Jun 23 R</t>
  </si>
  <si>
    <t>YE Sep 23 R P</t>
  </si>
  <si>
    <t>YE Dec 23 R P</t>
  </si>
  <si>
    <t>YE Mar 24 P</t>
  </si>
  <si>
    <t>YE Jun 24 P</t>
  </si>
  <si>
    <t>Emigration</t>
  </si>
  <si>
    <t>Net migration</t>
  </si>
  <si>
    <t xml:space="preserve">This worksheet contains one table. Freeze panes is turned on. </t>
  </si>
  <si>
    <t>To turn off freeze panes select the 'View' ribbon then 'Freeze Panes' then 'Unfreeze Panes' or use [Alt W, F]</t>
  </si>
  <si>
    <t>Flow</t>
  </si>
  <si>
    <t>Period</t>
  </si>
  <si>
    <t>All Nationalities</t>
  </si>
  <si>
    <t>British</t>
  </si>
  <si>
    <t>EU</t>
  </si>
  <si>
    <t>Non-EU</t>
  </si>
  <si>
    <t>YE Jun 21</t>
  </si>
  <si>
    <t>YE Sep 21</t>
  </si>
  <si>
    <t>YE Dec 21</t>
  </si>
  <si>
    <t>YE Mar 22</t>
  </si>
  <si>
    <t>YE Jun 22</t>
  </si>
  <si>
    <t>YE Sep 22</t>
  </si>
  <si>
    <t>YE Dec 22</t>
  </si>
  <si>
    <t>YE Mar 23 P</t>
  </si>
  <si>
    <t>YE Jun 23 P</t>
  </si>
  <si>
    <t>YE Sep 23 P</t>
  </si>
  <si>
    <t>YE Dec 23 P</t>
  </si>
  <si>
    <t>Net</t>
  </si>
  <si>
    <t>Estimated and projected international migration, years ending mid-2014 to mid-2030 for national population projections: 2021-based interim for United Kingdom</t>
  </si>
  <si>
    <t xml:space="preserve">This worksheet contains one table. </t>
  </si>
  <si>
    <t>Unit</t>
  </si>
  <si>
    <t>Persons (thousands)</t>
  </si>
  <si>
    <t xml:space="preserve">Year ending mid- </t>
  </si>
  <si>
    <t>Estimated Immigration</t>
  </si>
  <si>
    <t xml:space="preserve">Estimated Emigration </t>
  </si>
  <si>
    <r>
      <t xml:space="preserve">Estimated Net Migration </t>
    </r>
    <r>
      <rPr>
        <b/>
        <sz val="12"/>
        <color rgb="FF000000"/>
        <rFont val="Arial"/>
        <family val="2"/>
      </rPr>
      <t>[note 4]</t>
    </r>
  </si>
  <si>
    <t>Projected Immigration</t>
  </si>
  <si>
    <t xml:space="preserve">Projected Emigration </t>
  </si>
  <si>
    <r>
      <t xml:space="preserve">Projected Net Migration </t>
    </r>
    <r>
      <rPr>
        <b/>
        <sz val="12"/>
        <color rgb="FF000000"/>
        <rFont val="Arial"/>
        <family val="2"/>
      </rPr>
      <t>[note 4]</t>
    </r>
  </si>
  <si>
    <r>
      <t>2014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</si>
  <si>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2015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</si>
  <si>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2016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</si>
  <si>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2017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</si>
  <si>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2018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</si>
  <si>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2019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</si>
  <si>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rPr>
        <sz val="12"/>
        <color rgb="FF000000"/>
        <rFont val="Arial"/>
        <family val="2"/>
      </rPr>
      <t>2020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</si>
  <si>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2021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</si>
  <si>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2022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</si>
  <si>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2023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 [note 3]</t>
    </r>
  </si>
  <si>
    <t>Long-term net inward migration</t>
  </si>
  <si>
    <t>Current estimate</t>
  </si>
  <si>
    <t>Previous estimate</t>
  </si>
  <si>
    <t>January 2024 population projections</t>
  </si>
  <si>
    <t>Diff (history)</t>
  </si>
  <si>
    <t>Diff vs pproj</t>
  </si>
  <si>
    <t>Employees - LFS, HMRC, WFJ</t>
  </si>
  <si>
    <t>HMRC</t>
  </si>
  <si>
    <t>BCAJQ@UK</t>
  </si>
  <si>
    <t>UK: Workforce Jobs: Employees (SA, Thous)</t>
  </si>
  <si>
    <t>Labour Force Survey</t>
  </si>
  <si>
    <t>Workforce jobs</t>
  </si>
  <si>
    <t>JAN010B</t>
  </si>
  <si>
    <t>JAN010B.db</t>
  </si>
  <si>
    <t>Employment, aged 16 and over, ILO definition</t>
  </si>
  <si>
    <t>Person</t>
  </si>
  <si>
    <t>Thousands</t>
  </si>
  <si>
    <t xml:space="preserve">UK: LFS: Employment: Aged 16 and Over (SA, Thous) </t>
  </si>
  <si>
    <t>ETILO</t>
  </si>
  <si>
    <t>Unemployment, ILO definition</t>
  </si>
  <si>
    <t xml:space="preserve">UK: LFS: Unemployed: Aged 16 &amp; Over (SA, Thous) </t>
  </si>
  <si>
    <t>UILO</t>
  </si>
  <si>
    <t>Unemployment rate, ILO definition</t>
  </si>
  <si>
    <t>%</t>
  </si>
  <si>
    <t xml:space="preserve">UK: LFS: Unemployment Rate: Aged 16 and Over (SA, %) </t>
  </si>
  <si>
    <t>UPILO</t>
  </si>
  <si>
    <t>FEB019C</t>
  </si>
  <si>
    <t>FEB019C.db</t>
  </si>
  <si>
    <t>OCT010I</t>
  </si>
  <si>
    <t>OCT010I.db</t>
  </si>
  <si>
    <t>LFS revisions</t>
  </si>
  <si>
    <t>Current</t>
  </si>
  <si>
    <t>Figure 3: Wave-specific response rates</t>
  </si>
  <si>
    <t/>
  </si>
  <si>
    <t>Great Britain, excluding imputed households, July to September 2014, to July to September 2024</t>
  </si>
  <si>
    <t>Notes</t>
  </si>
  <si>
    <t>1. The total response rate is the cumulative response rate for the quarter across all waves, based on all eligible, in-scope households.
2. For a full definition of response categories and the method used to calculate the response rates, see [Section 10: Technical definitions](https://publishing.dp-prod.aws.onsdigital.uk/employmentandlabourmarket/peopleinwork/employmentandemployeetypes/methodologies/labourforcesurveyperformanceandqualitymonitoringreportjulytoseptember2024#technical-definitions).</t>
  </si>
  <si>
    <t>Wave 1</t>
  </si>
  <si>
    <t>Wave 2</t>
  </si>
  <si>
    <t>Wave 3</t>
  </si>
  <si>
    <t>Wave 4</t>
  </si>
  <si>
    <t>Wave 5</t>
  </si>
  <si>
    <t>Total</t>
  </si>
  <si>
    <t>JS14</t>
  </si>
  <si>
    <t>59.1</t>
  </si>
  <si>
    <t>48.0</t>
  </si>
  <si>
    <t>43.4</t>
  </si>
  <si>
    <t>42.0</t>
  </si>
  <si>
    <t>42.1</t>
  </si>
  <si>
    <t>47.1</t>
  </si>
  <si>
    <t>OD14</t>
  </si>
  <si>
    <t>JM15</t>
  </si>
  <si>
    <t>AJ15</t>
  </si>
  <si>
    <t>JS15</t>
  </si>
  <si>
    <t>OD15</t>
  </si>
  <si>
    <t>JM16</t>
  </si>
  <si>
    <t>AJ16</t>
  </si>
  <si>
    <t>JS16</t>
  </si>
  <si>
    <t>OD16</t>
  </si>
  <si>
    <t>JM17</t>
  </si>
  <si>
    <t>AJ17</t>
  </si>
  <si>
    <t>JS17</t>
  </si>
  <si>
    <t>OD17</t>
  </si>
  <si>
    <t xml:space="preserve">JM18 </t>
  </si>
  <si>
    <t>AJ18</t>
  </si>
  <si>
    <t>JS18</t>
  </si>
  <si>
    <t>OD18</t>
  </si>
  <si>
    <t>JM19</t>
  </si>
  <si>
    <t>AJ19</t>
  </si>
  <si>
    <t>JS19</t>
  </si>
  <si>
    <t>OD19</t>
  </si>
  <si>
    <t>JM20</t>
  </si>
  <si>
    <t>AJ20</t>
  </si>
  <si>
    <t>JS20</t>
  </si>
  <si>
    <t>OD20</t>
  </si>
  <si>
    <t>JM21</t>
  </si>
  <si>
    <t>AJ21</t>
  </si>
  <si>
    <t>JS21</t>
  </si>
  <si>
    <t>OD21</t>
  </si>
  <si>
    <t>JM22</t>
  </si>
  <si>
    <t>AJ22</t>
  </si>
  <si>
    <t>JS22</t>
  </si>
  <si>
    <t>OD22</t>
  </si>
  <si>
    <t>JM23</t>
  </si>
  <si>
    <t>AJ23</t>
  </si>
  <si>
    <t>JS23</t>
  </si>
  <si>
    <t>OD23</t>
  </si>
  <si>
    <t>JM24</t>
  </si>
  <si>
    <t>AJ24</t>
  </si>
  <si>
    <t>JS24</t>
  </si>
  <si>
    <t>Figure 2: Achieved number of person interviews</t>
  </si>
  <si>
    <t>Great Britain and UK, July to September 2014, to July to September 2024</t>
  </si>
  <si>
    <t>GB Includes Imputed</t>
  </si>
  <si>
    <t>GB Excludes Imputed</t>
  </si>
  <si>
    <t>UK Includes Imputed</t>
  </si>
  <si>
    <t>UK Excludes Imputed</t>
  </si>
  <si>
    <t>92143</t>
  </si>
  <si>
    <t>77698</t>
  </si>
  <si>
    <t>95950</t>
  </si>
  <si>
    <t>80989</t>
  </si>
  <si>
    <t xml:space="preserve">JS16 </t>
  </si>
  <si>
    <t>JM18</t>
  </si>
  <si>
    <t>Diff %</t>
  </si>
  <si>
    <t>Diff 000s</t>
  </si>
  <si>
    <t>Jan-21-2025 07:06</t>
  </si>
  <si>
    <t>Jan-21-2025 07:05</t>
  </si>
  <si>
    <t>Nov-2024</t>
  </si>
  <si>
    <t>Jan-21-2025 07:04</t>
  </si>
  <si>
    <t>Q4-2024 &lt;- Dec-2024</t>
  </si>
  <si>
    <t>Jan-21-2025 07:03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</si>
</sst>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##0.0;\-###0.0;0.0;@"/>
    <numFmt numFmtId="167" formatCode="#,##0;[Red]#,##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u/>
      <sz val="12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9">
    <xf numFmtId="0" fontId="0" fillId="0" borderId="0"/>
    <xf numFmtId="0" fontId="3" fillId="0" borderId="0"/>
    <xf numFmtId="0" fontId="2" fillId="0" borderId="0"/>
    <xf numFmtId="0" fontId="5" fillId="0" borderId="0"/>
    <xf numFmtId="49" fontId="7" fillId="0" borderId="0" applyFill="0" applyProtection="0">
      <alignment vertical="top"/>
    </xf>
    <xf numFmtId="0" fontId="14" fillId="0" borderId="0"/>
    <xf numFmtId="0" fontId="16" fillId="0" borderId="0" applyNumberFormat="0" applyFill="0" applyBorder="0" applyAlignment="0" applyProtection="0"/>
    <xf numFmtId="0" fontId="19" fillId="0" borderId="0"/>
    <xf numFmtId="0" fontId="20" fillId="0" borderId="0"/>
  </cellStyleXfs>
  <cellXfs count="47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0" fontId="1" fillId="0" borderId="0" xfId="0" applyFont="1"/>
    <xf numFmtId="0" fontId="0" fillId="0" borderId="0" xfId="0" applyFill="1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4" fillId="0" borderId="0" xfId="0" applyNumberFormat="1" applyFont="1"/>
    <xf numFmtId="0" fontId="2" fillId="0" borderId="0" xfId="2"/>
    <xf numFmtId="0" fontId="2" fillId="0" borderId="0" xfId="2" applyAlignment="1">
      <alignment horizontal="right"/>
    </xf>
    <xf numFmtId="49" fontId="7" fillId="0" borderId="0" xfId="4" applyFill="1">
      <alignment vertical="top"/>
    </xf>
    <xf numFmtId="49" fontId="8" fillId="0" borderId="0" xfId="4" applyFont="1" applyFill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49" fontId="10" fillId="0" borderId="0" xfId="4" applyFont="1" applyFill="1">
      <alignment vertical="top"/>
    </xf>
    <xf numFmtId="0" fontId="11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9" fillId="0" borderId="0" xfId="0" applyFont="1"/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3" fontId="9" fillId="0" borderId="0" xfId="0" applyNumberFormat="1" applyFont="1" applyAlignment="1">
      <alignment vertical="top"/>
    </xf>
    <xf numFmtId="3" fontId="9" fillId="0" borderId="0" xfId="0" applyNumberFormat="1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3" fontId="12" fillId="0" borderId="0" xfId="0" applyNumberFormat="1" applyFont="1" applyAlignment="1">
      <alignment vertical="top"/>
    </xf>
    <xf numFmtId="3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167" fontId="13" fillId="0" borderId="0" xfId="0" applyNumberFormat="1" applyFont="1" applyAlignment="1">
      <alignment vertical="top"/>
    </xf>
    <xf numFmtId="167" fontId="10" fillId="0" borderId="0" xfId="0" applyNumberFormat="1" applyFont="1" applyAlignment="1">
      <alignment horizontal="right" vertical="top"/>
    </xf>
    <xf numFmtId="0" fontId="15" fillId="0" borderId="0" xfId="5" applyFont="1"/>
    <xf numFmtId="0" fontId="14" fillId="0" borderId="0" xfId="5"/>
    <xf numFmtId="0" fontId="10" fillId="0" borderId="0" xfId="5" applyFont="1"/>
    <xf numFmtId="0" fontId="17" fillId="0" borderId="0" xfId="6" applyFont="1"/>
    <xf numFmtId="0" fontId="12" fillId="0" borderId="0" xfId="5" applyFont="1" applyAlignment="1">
      <alignment wrapText="1"/>
    </xf>
    <xf numFmtId="0" fontId="10" fillId="0" borderId="0" xfId="5" applyFont="1" applyAlignment="1">
      <alignment wrapText="1"/>
    </xf>
    <xf numFmtId="0" fontId="12" fillId="0" borderId="0" xfId="5" applyFont="1" applyAlignment="1">
      <alignment horizontal="left"/>
    </xf>
    <xf numFmtId="164" fontId="10" fillId="0" borderId="0" xfId="5" applyNumberFormat="1" applyFont="1"/>
    <xf numFmtId="0" fontId="10" fillId="0" borderId="0" xfId="5" applyFont="1" applyAlignment="1">
      <alignment horizontal="right"/>
    </xf>
    <xf numFmtId="0" fontId="10" fillId="0" borderId="0" xfId="5" applyFont="1" applyAlignment="1">
      <alignment horizontal="left"/>
    </xf>
    <xf numFmtId="3" fontId="0" fillId="0" borderId="0" xfId="0" applyNumberFormat="1"/>
    <xf numFmtId="0" fontId="6" fillId="2" borderId="1" xfId="1" applyFont="1" applyFill="1" applyBorder="1" applyAlignment="1">
      <alignment horizontal="left" wrapText="1"/>
    </xf>
    <xf numFmtId="0" fontId="20" fillId="0" borderId="0" xfId="8"/>
    <xf numFmtId="164" fontId="20" fillId="0" borderId="0" xfId="8" applyNumberFormat="1"/>
  </cellXfs>
  <cellStyles count="9">
    <cellStyle name="Heading 1 2" xfId="4" xr:uid="{278B35A6-1670-438E-B1ED-B78E803D58B9}"/>
    <cellStyle name="Hyperlink 2" xfId="6" xr:uid="{C27A9BD0-E4CF-4E85-B659-BFA0799E75C2}"/>
    <cellStyle name="Normal" xfId="0" builtinId="0"/>
    <cellStyle name="Normal 2" xfId="1" xr:uid="{C4CA7049-D613-4AAC-81D8-27288F5206AB}"/>
    <cellStyle name="Normal 2 2" xfId="5" xr:uid="{D936CEF0-74E5-4C22-9B5B-61AF08F3AAE9}"/>
    <cellStyle name="Normal 2 5" xfId="2" xr:uid="{10420136-F7B3-4719-8FC8-FE4A2674724C}"/>
    <cellStyle name="Normal 3" xfId="3" xr:uid="{1C179679-BA27-48CE-A22D-98ACC79DE8D6}"/>
    <cellStyle name="Normal 4" xfId="7" xr:uid="{F6E81936-93D5-484B-A210-6FBF5122D77E}"/>
    <cellStyle name="Normal 5" xfId="8" xr:uid="{30D86BD6-9B97-4C37-83CB-16A935DCD189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/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/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worksheet" Target="worksheets/sheet14.xml"/><Relationship Id="rId3" Type="http://schemas.openxmlformats.org/officeDocument/2006/relationships/chartsheet" Target="chart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25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2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24" Type="http://schemas.openxmlformats.org/officeDocument/2006/relationships/sheetMetadata" Target="metadata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1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6.xml"/><Relationship Id="rId19" Type="http://schemas.openxmlformats.org/officeDocument/2006/relationships/chartsheet" Target="chartsheets/sheet5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8090816614024945"/>
          <c:h val="0.8083097261567516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Single month rate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Data'!$A$4:$A$111</c:f>
              <c:numCache>
                <c:formatCode>mmm\-yy</c:formatCode>
                <c:ptCount val="10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</c:numCache>
            </c:numRef>
          </c:cat>
          <c:val>
            <c:numRef>
              <c:f>'Chart Data'!$B$4:$B$111</c:f>
              <c:numCache>
                <c:formatCode>General</c:formatCode>
                <c:ptCount val="108"/>
                <c:pt idx="0">
                  <c:v>4.9279999999999999</c:v>
                </c:pt>
                <c:pt idx="1">
                  <c:v>5.1159999999999997</c:v>
                </c:pt>
                <c:pt idx="2">
                  <c:v>5.165</c:v>
                </c:pt>
                <c:pt idx="3">
                  <c:v>4.7300000000000004</c:v>
                </c:pt>
                <c:pt idx="4">
                  <c:v>4.88</c:v>
                </c:pt>
                <c:pt idx="5">
                  <c:v>5.1449999999999996</c:v>
                </c:pt>
                <c:pt idx="6">
                  <c:v>4.6589999999999998</c:v>
                </c:pt>
                <c:pt idx="7">
                  <c:v>5.1040000000000001</c:v>
                </c:pt>
                <c:pt idx="8">
                  <c:v>4.7359999999999998</c:v>
                </c:pt>
                <c:pt idx="9">
                  <c:v>4.66</c:v>
                </c:pt>
                <c:pt idx="10">
                  <c:v>4.9509999999999996</c:v>
                </c:pt>
                <c:pt idx="11">
                  <c:v>4.5940000000000003</c:v>
                </c:pt>
                <c:pt idx="12">
                  <c:v>4.5940000000000003</c:v>
                </c:pt>
                <c:pt idx="13">
                  <c:v>4.7080000000000002</c:v>
                </c:pt>
                <c:pt idx="14">
                  <c:v>4.3710000000000004</c:v>
                </c:pt>
                <c:pt idx="15">
                  <c:v>4.5609999999999999</c:v>
                </c:pt>
                <c:pt idx="16">
                  <c:v>4.3899999999999997</c:v>
                </c:pt>
                <c:pt idx="17">
                  <c:v>4.3109999999999999</c:v>
                </c:pt>
                <c:pt idx="18">
                  <c:v>4.3319999999999999</c:v>
                </c:pt>
                <c:pt idx="19">
                  <c:v>4.33</c:v>
                </c:pt>
                <c:pt idx="20">
                  <c:v>4.1340000000000003</c:v>
                </c:pt>
                <c:pt idx="21">
                  <c:v>4.2889999999999997</c:v>
                </c:pt>
                <c:pt idx="22">
                  <c:v>4.3789999999999996</c:v>
                </c:pt>
                <c:pt idx="23">
                  <c:v>4.3949999999999996</c:v>
                </c:pt>
                <c:pt idx="24">
                  <c:v>4.173</c:v>
                </c:pt>
                <c:pt idx="25">
                  <c:v>4.056</c:v>
                </c:pt>
                <c:pt idx="26">
                  <c:v>4.3849999999999998</c:v>
                </c:pt>
                <c:pt idx="27">
                  <c:v>4.16</c:v>
                </c:pt>
                <c:pt idx="28">
                  <c:v>3.9359999999999999</c:v>
                </c:pt>
                <c:pt idx="29">
                  <c:v>4.0369999999999999</c:v>
                </c:pt>
                <c:pt idx="30">
                  <c:v>4.133</c:v>
                </c:pt>
                <c:pt idx="31">
                  <c:v>3.9249999999999998</c:v>
                </c:pt>
                <c:pt idx="32">
                  <c:v>4.1870000000000003</c:v>
                </c:pt>
                <c:pt idx="33">
                  <c:v>4.101</c:v>
                </c:pt>
                <c:pt idx="34">
                  <c:v>3.827</c:v>
                </c:pt>
                <c:pt idx="35">
                  <c:v>4.1449999999999996</c:v>
                </c:pt>
                <c:pt idx="36">
                  <c:v>3.8639999999999999</c:v>
                </c:pt>
                <c:pt idx="37">
                  <c:v>3.819</c:v>
                </c:pt>
                <c:pt idx="38">
                  <c:v>3.8159999999999998</c:v>
                </c:pt>
                <c:pt idx="39">
                  <c:v>3.8889999999999998</c:v>
                </c:pt>
                <c:pt idx="40">
                  <c:v>3.6850000000000001</c:v>
                </c:pt>
                <c:pt idx="41">
                  <c:v>4.0860000000000003</c:v>
                </c:pt>
                <c:pt idx="42">
                  <c:v>3.7829999999999999</c:v>
                </c:pt>
                <c:pt idx="43">
                  <c:v>3.7709999999999999</c:v>
                </c:pt>
                <c:pt idx="44">
                  <c:v>4.08</c:v>
                </c:pt>
                <c:pt idx="45">
                  <c:v>3.5510000000000002</c:v>
                </c:pt>
                <c:pt idx="46">
                  <c:v>3.8639999999999999</c:v>
                </c:pt>
                <c:pt idx="47">
                  <c:v>3.8079999999999998</c:v>
                </c:pt>
                <c:pt idx="48">
                  <c:v>3.996</c:v>
                </c:pt>
                <c:pt idx="49">
                  <c:v>4.05</c:v>
                </c:pt>
                <c:pt idx="50">
                  <c:v>4.2560000000000002</c:v>
                </c:pt>
                <c:pt idx="51">
                  <c:v>3.9689999999999999</c:v>
                </c:pt>
                <c:pt idx="52">
                  <c:v>4.1520000000000001</c:v>
                </c:pt>
                <c:pt idx="53">
                  <c:v>4.1189999999999998</c:v>
                </c:pt>
                <c:pt idx="54">
                  <c:v>4.8120000000000003</c:v>
                </c:pt>
                <c:pt idx="55">
                  <c:v>4.9550000000000001</c:v>
                </c:pt>
                <c:pt idx="56">
                  <c:v>5.14</c:v>
                </c:pt>
                <c:pt idx="57">
                  <c:v>5.3810000000000002</c:v>
                </c:pt>
                <c:pt idx="58">
                  <c:v>5.1630000000000003</c:v>
                </c:pt>
                <c:pt idx="59">
                  <c:v>5.2670000000000003</c:v>
                </c:pt>
                <c:pt idx="60">
                  <c:v>5.056</c:v>
                </c:pt>
                <c:pt idx="61">
                  <c:v>4.8259999999999996</c:v>
                </c:pt>
                <c:pt idx="62">
                  <c:v>4.8499999999999996</c:v>
                </c:pt>
                <c:pt idx="63">
                  <c:v>4.7869999999999999</c:v>
                </c:pt>
                <c:pt idx="64">
                  <c:v>4.7480000000000002</c:v>
                </c:pt>
                <c:pt idx="65">
                  <c:v>4.4710000000000001</c:v>
                </c:pt>
                <c:pt idx="66">
                  <c:v>4.4960000000000004</c:v>
                </c:pt>
                <c:pt idx="67">
                  <c:v>4.5880000000000001</c:v>
                </c:pt>
                <c:pt idx="68">
                  <c:v>4.0750000000000002</c:v>
                </c:pt>
                <c:pt idx="69">
                  <c:v>4.258</c:v>
                </c:pt>
                <c:pt idx="70">
                  <c:v>4.3570000000000002</c:v>
                </c:pt>
                <c:pt idx="71">
                  <c:v>3.9380000000000002</c:v>
                </c:pt>
                <c:pt idx="72">
                  <c:v>3.9809999999999999</c:v>
                </c:pt>
                <c:pt idx="73">
                  <c:v>3.87</c:v>
                </c:pt>
                <c:pt idx="74">
                  <c:v>3.4889999999999999</c:v>
                </c:pt>
                <c:pt idx="75">
                  <c:v>4.0869999999999997</c:v>
                </c:pt>
                <c:pt idx="76">
                  <c:v>3.6429999999999998</c:v>
                </c:pt>
                <c:pt idx="77">
                  <c:v>3.5649999999999999</c:v>
                </c:pt>
                <c:pt idx="78">
                  <c:v>3.677</c:v>
                </c:pt>
                <c:pt idx="79">
                  <c:v>3.5609999999999999</c:v>
                </c:pt>
                <c:pt idx="80">
                  <c:v>3.9289999999999998</c:v>
                </c:pt>
                <c:pt idx="81">
                  <c:v>4.0730000000000004</c:v>
                </c:pt>
                <c:pt idx="82">
                  <c:v>3.6890000000000001</c:v>
                </c:pt>
                <c:pt idx="83">
                  <c:v>3.976</c:v>
                </c:pt>
                <c:pt idx="84">
                  <c:v>3.9710000000000001</c:v>
                </c:pt>
                <c:pt idx="85">
                  <c:v>3.9820000000000002</c:v>
                </c:pt>
                <c:pt idx="86">
                  <c:v>3.9860000000000002</c:v>
                </c:pt>
                <c:pt idx="87">
                  <c:v>3.6970000000000001</c:v>
                </c:pt>
                <c:pt idx="88">
                  <c:v>4.3040000000000003</c:v>
                </c:pt>
                <c:pt idx="89">
                  <c:v>4.6459999999999999</c:v>
                </c:pt>
                <c:pt idx="90">
                  <c:v>4.0709999999999997</c:v>
                </c:pt>
                <c:pt idx="91">
                  <c:v>4.0810000000000004</c:v>
                </c:pt>
                <c:pt idx="92">
                  <c:v>4.2080000000000002</c:v>
                </c:pt>
                <c:pt idx="93">
                  <c:v>3.7789999999999999</c:v>
                </c:pt>
                <c:pt idx="94">
                  <c:v>3.9239999999999999</c:v>
                </c:pt>
                <c:pt idx="95">
                  <c:v>3.9470000000000001</c:v>
                </c:pt>
                <c:pt idx="96">
                  <c:v>4.3120000000000003</c:v>
                </c:pt>
                <c:pt idx="97">
                  <c:v>4.3070000000000004</c:v>
                </c:pt>
                <c:pt idx="98">
                  <c:v>4.431</c:v>
                </c:pt>
                <c:pt idx="99">
                  <c:v>4.3540000000000001</c:v>
                </c:pt>
                <c:pt idx="100">
                  <c:v>4.4859999999999998</c:v>
                </c:pt>
                <c:pt idx="101">
                  <c:v>3.77</c:v>
                </c:pt>
                <c:pt idx="102">
                  <c:v>4.359</c:v>
                </c:pt>
                <c:pt idx="103">
                  <c:v>4.0999999999999996</c:v>
                </c:pt>
                <c:pt idx="104">
                  <c:v>4.391</c:v>
                </c:pt>
                <c:pt idx="105">
                  <c:v>4.3259999999999996</c:v>
                </c:pt>
                <c:pt idx="106">
                  <c:v>4.5890000000000004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Three-month rate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Data'!$A$4:$A$111</c:f>
              <c:numCache>
                <c:formatCode>mmm\-yy</c:formatCode>
                <c:ptCount val="10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</c:numCache>
            </c:numRef>
          </c:cat>
          <c:val>
            <c:numRef>
              <c:f>'Chart Data'!$C$4:$C$111</c:f>
              <c:numCache>
                <c:formatCode>0.000</c:formatCode>
                <c:ptCount val="108"/>
                <c:pt idx="0">
                  <c:v>5.0999999999999996</c:v>
                </c:pt>
                <c:pt idx="1">
                  <c:v>5.0999999999999996</c:v>
                </c:pt>
                <c:pt idx="2">
                  <c:v>5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5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4.7</c:v>
                </c:pt>
                <c:pt idx="11">
                  <c:v>4.7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4.4000000000000004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4.2</c:v>
                </c:pt>
                <c:pt idx="21">
                  <c:v>4.3</c:v>
                </c:pt>
                <c:pt idx="22">
                  <c:v>4.4000000000000004</c:v>
                </c:pt>
                <c:pt idx="23">
                  <c:v>4.3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4.0999999999999996</c:v>
                </c:pt>
                <c:pt idx="32">
                  <c:v>4.0999999999999996</c:v>
                </c:pt>
                <c:pt idx="33">
                  <c:v>4</c:v>
                </c:pt>
                <c:pt idx="34">
                  <c:v>4</c:v>
                </c:pt>
                <c:pt idx="35">
                  <c:v>3.9</c:v>
                </c:pt>
                <c:pt idx="36">
                  <c:v>4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3.9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3.8</c:v>
                </c:pt>
                <c:pt idx="45">
                  <c:v>3.8</c:v>
                </c:pt>
                <c:pt idx="46">
                  <c:v>3.7</c:v>
                </c:pt>
                <c:pt idx="47">
                  <c:v>3.9</c:v>
                </c:pt>
                <c:pt idx="48">
                  <c:v>3.9</c:v>
                </c:pt>
                <c:pt idx="49">
                  <c:v>4.0999999999999996</c:v>
                </c:pt>
                <c:pt idx="50">
                  <c:v>4.0999999999999996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4.4000000000000004</c:v>
                </c:pt>
                <c:pt idx="54">
                  <c:v>4.5999999999999996</c:v>
                </c:pt>
                <c:pt idx="55">
                  <c:v>5</c:v>
                </c:pt>
                <c:pt idx="56">
                  <c:v>5.2</c:v>
                </c:pt>
                <c:pt idx="57">
                  <c:v>5.2</c:v>
                </c:pt>
                <c:pt idx="58">
                  <c:v>5.3</c:v>
                </c:pt>
                <c:pt idx="59">
                  <c:v>5.2</c:v>
                </c:pt>
                <c:pt idx="60">
                  <c:v>5</c:v>
                </c:pt>
                <c:pt idx="61">
                  <c:v>4.9000000000000004</c:v>
                </c:pt>
                <c:pt idx="62">
                  <c:v>4.8</c:v>
                </c:pt>
                <c:pt idx="63">
                  <c:v>4.8</c:v>
                </c:pt>
                <c:pt idx="64">
                  <c:v>4.7</c:v>
                </c:pt>
                <c:pt idx="65">
                  <c:v>4.5999999999999996</c:v>
                </c:pt>
                <c:pt idx="66">
                  <c:v>4.5</c:v>
                </c:pt>
                <c:pt idx="67">
                  <c:v>4.4000000000000004</c:v>
                </c:pt>
                <c:pt idx="68">
                  <c:v>4.3</c:v>
                </c:pt>
                <c:pt idx="69">
                  <c:v>4.2</c:v>
                </c:pt>
                <c:pt idx="70">
                  <c:v>4.2</c:v>
                </c:pt>
                <c:pt idx="71">
                  <c:v>4.0999999999999996</c:v>
                </c:pt>
                <c:pt idx="72">
                  <c:v>3.9</c:v>
                </c:pt>
                <c:pt idx="73">
                  <c:v>3.8</c:v>
                </c:pt>
                <c:pt idx="74">
                  <c:v>3.8</c:v>
                </c:pt>
                <c:pt idx="75">
                  <c:v>3.7</c:v>
                </c:pt>
                <c:pt idx="76">
                  <c:v>3.8</c:v>
                </c:pt>
                <c:pt idx="77">
                  <c:v>3.6</c:v>
                </c:pt>
                <c:pt idx="78">
                  <c:v>3.6</c:v>
                </c:pt>
                <c:pt idx="79">
                  <c:v>3.7</c:v>
                </c:pt>
                <c:pt idx="80">
                  <c:v>3.8</c:v>
                </c:pt>
                <c:pt idx="81">
                  <c:v>3.9</c:v>
                </c:pt>
                <c:pt idx="82">
                  <c:v>3.9</c:v>
                </c:pt>
                <c:pt idx="83">
                  <c:v>3.9</c:v>
                </c:pt>
                <c:pt idx="84">
                  <c:v>4</c:v>
                </c:pt>
                <c:pt idx="85">
                  <c:v>4</c:v>
                </c:pt>
                <c:pt idx="86">
                  <c:v>3.9</c:v>
                </c:pt>
                <c:pt idx="87">
                  <c:v>4</c:v>
                </c:pt>
                <c:pt idx="88">
                  <c:v>4.2</c:v>
                </c:pt>
                <c:pt idx="89">
                  <c:v>4.3</c:v>
                </c:pt>
                <c:pt idx="90">
                  <c:v>4.3</c:v>
                </c:pt>
                <c:pt idx="91">
                  <c:v>4.0999999999999996</c:v>
                </c:pt>
                <c:pt idx="92">
                  <c:v>4</c:v>
                </c:pt>
                <c:pt idx="93">
                  <c:v>4</c:v>
                </c:pt>
                <c:pt idx="94">
                  <c:v>3.9</c:v>
                </c:pt>
                <c:pt idx="95">
                  <c:v>4.0999999999999996</c:v>
                </c:pt>
                <c:pt idx="96">
                  <c:v>4.2</c:v>
                </c:pt>
                <c:pt idx="97">
                  <c:v>4.3</c:v>
                </c:pt>
                <c:pt idx="98">
                  <c:v>4.4000000000000004</c:v>
                </c:pt>
                <c:pt idx="99">
                  <c:v>4.4000000000000004</c:v>
                </c:pt>
                <c:pt idx="100">
                  <c:v>4.2</c:v>
                </c:pt>
                <c:pt idx="101">
                  <c:v>4.2</c:v>
                </c:pt>
                <c:pt idx="102">
                  <c:v>4.0999999999999996</c:v>
                </c:pt>
                <c:pt idx="103">
                  <c:v>4.3</c:v>
                </c:pt>
                <c:pt idx="104">
                  <c:v>4.3</c:v>
                </c:pt>
                <c:pt idx="105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325773685069031"/>
          <c:y val="8.9666525395373731E-2"/>
          <c:w val="0.61485309251597797"/>
          <c:h val="5.610106102176321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Data'!$M$3</c:f>
              <c:strCache>
                <c:ptCount val="1"/>
                <c:pt idx="0">
                  <c:v>Labour Force Survey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Data'!$L$4:$L$27</c:f>
              <c:numCache>
                <c:formatCode>m/d/yyyy</c:formatCode>
                <c:ptCount val="24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</c:numCache>
            </c:numRef>
          </c:cat>
          <c:val>
            <c:numRef>
              <c:f>'Chart Data'!$M$4:$M$27</c:f>
              <c:numCache>
                <c:formatCode>0</c:formatCode>
                <c:ptCount val="24"/>
                <c:pt idx="0">
                  <c:v>-88.25</c:v>
                </c:pt>
                <c:pt idx="1">
                  <c:v>31.75</c:v>
                </c:pt>
                <c:pt idx="2">
                  <c:v>-18.25</c:v>
                </c:pt>
                <c:pt idx="3">
                  <c:v>74.75</c:v>
                </c:pt>
                <c:pt idx="4">
                  <c:v>98.75</c:v>
                </c:pt>
                <c:pt idx="5">
                  <c:v>52.75</c:v>
                </c:pt>
                <c:pt idx="6">
                  <c:v>18.75</c:v>
                </c:pt>
                <c:pt idx="7">
                  <c:v>64.75</c:v>
                </c:pt>
                <c:pt idx="8">
                  <c:v>164.75</c:v>
                </c:pt>
                <c:pt idx="9">
                  <c:v>299.75</c:v>
                </c:pt>
                <c:pt idx="10">
                  <c:v>547.75</c:v>
                </c:pt>
                <c:pt idx="11">
                  <c:v>638.75</c:v>
                </c:pt>
                <c:pt idx="12">
                  <c:v>643.75</c:v>
                </c:pt>
                <c:pt idx="13">
                  <c:v>838.75</c:v>
                </c:pt>
                <c:pt idx="14">
                  <c:v>741.75</c:v>
                </c:pt>
                <c:pt idx="15">
                  <c:v>895.75</c:v>
                </c:pt>
                <c:pt idx="16">
                  <c:v>985.75</c:v>
                </c:pt>
                <c:pt idx="17">
                  <c:v>1071.75</c:v>
                </c:pt>
                <c:pt idx="18">
                  <c:v>1048.75</c:v>
                </c:pt>
                <c:pt idx="19">
                  <c:v>1038.75</c:v>
                </c:pt>
                <c:pt idx="20">
                  <c:v>1146.75</c:v>
                </c:pt>
                <c:pt idx="21">
                  <c:v>1242.75</c:v>
                </c:pt>
                <c:pt idx="22">
                  <c:v>1458.75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Data'!$N$3</c:f>
              <c:strCache>
                <c:ptCount val="1"/>
                <c:pt idx="0">
                  <c:v>HMRC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Data'!$L$4:$L$27</c:f>
              <c:numCache>
                <c:formatCode>m/d/yyyy</c:formatCode>
                <c:ptCount val="24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</c:numCache>
            </c:numRef>
          </c:cat>
          <c:val>
            <c:numRef>
              <c:f>'Chart Data'!$N$4:$N$27</c:f>
              <c:numCache>
                <c:formatCode>0</c:formatCode>
                <c:ptCount val="24"/>
                <c:pt idx="0">
                  <c:v>-77.403166666664177</c:v>
                </c:pt>
                <c:pt idx="1">
                  <c:v>-12.330499999996274</c:v>
                </c:pt>
                <c:pt idx="2">
                  <c:v>20.369833333335816</c:v>
                </c:pt>
                <c:pt idx="3">
                  <c:v>69.363833333335819</c:v>
                </c:pt>
                <c:pt idx="4">
                  <c:v>123.16416666667163</c:v>
                </c:pt>
                <c:pt idx="5">
                  <c:v>-470.39849999999626</c:v>
                </c:pt>
                <c:pt idx="6">
                  <c:v>-654.10749999999632</c:v>
                </c:pt>
                <c:pt idx="7">
                  <c:v>-786.0388333333284</c:v>
                </c:pt>
                <c:pt idx="8">
                  <c:v>-736.78816666666421</c:v>
                </c:pt>
                <c:pt idx="9">
                  <c:v>-405.62849999999628</c:v>
                </c:pt>
                <c:pt idx="10">
                  <c:v>18.338500000003727</c:v>
                </c:pt>
                <c:pt idx="11">
                  <c:v>252.31150000000372</c:v>
                </c:pt>
                <c:pt idx="12">
                  <c:v>495.78316666667166</c:v>
                </c:pt>
                <c:pt idx="13">
                  <c:v>642.60750000000371</c:v>
                </c:pt>
                <c:pt idx="14">
                  <c:v>795.1341666666716</c:v>
                </c:pt>
                <c:pt idx="15">
                  <c:v>960.62283333333585</c:v>
                </c:pt>
                <c:pt idx="16">
                  <c:v>1098.1041666666717</c:v>
                </c:pt>
                <c:pt idx="17">
                  <c:v>1227.6148333333358</c:v>
                </c:pt>
                <c:pt idx="18">
                  <c:v>1290.1655000000037</c:v>
                </c:pt>
                <c:pt idx="19">
                  <c:v>1389.6361666666717</c:v>
                </c:pt>
                <c:pt idx="20">
                  <c:v>1457.8648333333358</c:v>
                </c:pt>
                <c:pt idx="21">
                  <c:v>1491.8655000000037</c:v>
                </c:pt>
                <c:pt idx="22">
                  <c:v>1487.0645000000038</c:v>
                </c:pt>
                <c:pt idx="23">
                  <c:v>1469.1911666666717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Data'!$O$3</c:f>
              <c:strCache>
                <c:ptCount val="1"/>
                <c:pt idx="0">
                  <c:v>Workforce jobs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Data'!$L$4:$L$27</c:f>
              <c:numCache>
                <c:formatCode>m/d/yyyy</c:formatCode>
                <c:ptCount val="24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</c:numCache>
            </c:numRef>
          </c:cat>
          <c:val>
            <c:numRef>
              <c:f>'Chart Data'!$O$4:$O$27</c:f>
              <c:numCache>
                <c:formatCode>0</c:formatCode>
                <c:ptCount val="24"/>
                <c:pt idx="0">
                  <c:v>-111</c:v>
                </c:pt>
                <c:pt idx="1">
                  <c:v>-38</c:v>
                </c:pt>
                <c:pt idx="2">
                  <c:v>94</c:v>
                </c:pt>
                <c:pt idx="3">
                  <c:v>55</c:v>
                </c:pt>
                <c:pt idx="4">
                  <c:v>201</c:v>
                </c:pt>
                <c:pt idx="5">
                  <c:v>-96</c:v>
                </c:pt>
                <c:pt idx="6">
                  <c:v>-502</c:v>
                </c:pt>
                <c:pt idx="7">
                  <c:v>-507</c:v>
                </c:pt>
                <c:pt idx="8">
                  <c:v>-318</c:v>
                </c:pt>
                <c:pt idx="9">
                  <c:v>-54</c:v>
                </c:pt>
                <c:pt idx="10">
                  <c:v>279</c:v>
                </c:pt>
                <c:pt idx="11">
                  <c:v>424</c:v>
                </c:pt>
                <c:pt idx="12">
                  <c:v>680</c:v>
                </c:pt>
                <c:pt idx="13">
                  <c:v>880</c:v>
                </c:pt>
                <c:pt idx="14">
                  <c:v>974</c:v>
                </c:pt>
                <c:pt idx="15">
                  <c:v>1091</c:v>
                </c:pt>
                <c:pt idx="16">
                  <c:v>1316</c:v>
                </c:pt>
                <c:pt idx="17">
                  <c:v>1280</c:v>
                </c:pt>
                <c:pt idx="18">
                  <c:v>1412</c:v>
                </c:pt>
                <c:pt idx="19">
                  <c:v>1460</c:v>
                </c:pt>
                <c:pt idx="20">
                  <c:v>1552</c:v>
                </c:pt>
                <c:pt idx="21">
                  <c:v>1576</c:v>
                </c:pt>
                <c:pt idx="22">
                  <c:v>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"/>
        <c:majorTimeUnit val="year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37966351406335"/>
          <c:y val="0.14249296377180168"/>
          <c:w val="0.76794273357160736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8827850777039807E-2"/>
          <c:y val="0.14714391023940784"/>
          <c:w val="0.86558118734482636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Data'!$R$3</c:f>
              <c:strCache>
                <c:ptCount val="1"/>
                <c:pt idx="0">
                  <c:v>Oct-23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Data'!$Q$4:$Q$27</c:f>
              <c:numCache>
                <c:formatCode>m/d/yyyy</c:formatCode>
                <c:ptCount val="24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</c:numCache>
            </c:numRef>
          </c:cat>
          <c:val>
            <c:numRef>
              <c:f>'Chart Data'!$R$4:$R$27</c:f>
              <c:numCache>
                <c:formatCode>General</c:formatCode>
                <c:ptCount val="24"/>
                <c:pt idx="0">
                  <c:v>32697</c:v>
                </c:pt>
                <c:pt idx="1">
                  <c:v>32811</c:v>
                </c:pt>
                <c:pt idx="2">
                  <c:v>32753</c:v>
                </c:pt>
                <c:pt idx="3">
                  <c:v>32934</c:v>
                </c:pt>
                <c:pt idx="4">
                  <c:v>32984</c:v>
                </c:pt>
                <c:pt idx="5">
                  <c:v>32560</c:v>
                </c:pt>
                <c:pt idx="6">
                  <c:v>32333</c:v>
                </c:pt>
                <c:pt idx="7">
                  <c:v>32159</c:v>
                </c:pt>
                <c:pt idx="8">
                  <c:v>32165</c:v>
                </c:pt>
                <c:pt idx="9">
                  <c:v>32303</c:v>
                </c:pt>
                <c:pt idx="10">
                  <c:v>32592</c:v>
                </c:pt>
                <c:pt idx="11">
                  <c:v>32567</c:v>
                </c:pt>
                <c:pt idx="12">
                  <c:v>32632</c:v>
                </c:pt>
                <c:pt idx="13">
                  <c:v>32792</c:v>
                </c:pt>
                <c:pt idx="14">
                  <c:v>32739</c:v>
                </c:pt>
                <c:pt idx="15">
                  <c:v>32813</c:v>
                </c:pt>
                <c:pt idx="16">
                  <c:v>32995</c:v>
                </c:pt>
                <c:pt idx="17">
                  <c:v>32929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Data'!$S$3</c:f>
              <c:strCache>
                <c:ptCount val="1"/>
                <c:pt idx="0">
                  <c:v>Feb-24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Data'!$Q$4:$Q$27</c:f>
              <c:numCache>
                <c:formatCode>m/d/yyyy</c:formatCode>
                <c:ptCount val="24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</c:numCache>
            </c:numRef>
          </c:cat>
          <c:val>
            <c:numRef>
              <c:f>'Chart Data'!$S$4:$S$27</c:f>
              <c:numCache>
                <c:formatCode>General</c:formatCode>
                <c:ptCount val="24"/>
                <c:pt idx="0">
                  <c:v>32721</c:v>
                </c:pt>
                <c:pt idx="1">
                  <c:v>32839</c:v>
                </c:pt>
                <c:pt idx="2">
                  <c:v>32779</c:v>
                </c:pt>
                <c:pt idx="3">
                  <c:v>32954</c:v>
                </c:pt>
                <c:pt idx="4">
                  <c:v>33000</c:v>
                </c:pt>
                <c:pt idx="5">
                  <c:v>32571</c:v>
                </c:pt>
                <c:pt idx="6">
                  <c:v>32354</c:v>
                </c:pt>
                <c:pt idx="7">
                  <c:v>32198</c:v>
                </c:pt>
                <c:pt idx="8">
                  <c:v>32221</c:v>
                </c:pt>
                <c:pt idx="9">
                  <c:v>32377</c:v>
                </c:pt>
                <c:pt idx="10">
                  <c:v>32687</c:v>
                </c:pt>
                <c:pt idx="11">
                  <c:v>32686</c:v>
                </c:pt>
                <c:pt idx="12">
                  <c:v>32775</c:v>
                </c:pt>
                <c:pt idx="13">
                  <c:v>32958</c:v>
                </c:pt>
                <c:pt idx="14">
                  <c:v>32916</c:v>
                </c:pt>
                <c:pt idx="15">
                  <c:v>33067</c:v>
                </c:pt>
                <c:pt idx="16">
                  <c:v>33201</c:v>
                </c:pt>
                <c:pt idx="17">
                  <c:v>33163</c:v>
                </c:pt>
                <c:pt idx="18">
                  <c:v>33102</c:v>
                </c:pt>
                <c:pt idx="19">
                  <c:v>33174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Data'!$T$3</c:f>
              <c:strCache>
                <c:ptCount val="1"/>
                <c:pt idx="0">
                  <c:v>Current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Data'!$Q$4:$Q$27</c:f>
              <c:numCache>
                <c:formatCode>m/d/yyyy</c:formatCode>
                <c:ptCount val="24"/>
                <c:pt idx="0">
                  <c:v>43466</c:v>
                </c:pt>
                <c:pt idx="1">
                  <c:v>43556</c:v>
                </c:pt>
                <c:pt idx="2">
                  <c:v>43647</c:v>
                </c:pt>
                <c:pt idx="3">
                  <c:v>43739</c:v>
                </c:pt>
                <c:pt idx="4">
                  <c:v>43831</c:v>
                </c:pt>
                <c:pt idx="5">
                  <c:v>43922</c:v>
                </c:pt>
                <c:pt idx="6">
                  <c:v>44013</c:v>
                </c:pt>
                <c:pt idx="7">
                  <c:v>44105</c:v>
                </c:pt>
                <c:pt idx="8">
                  <c:v>44197</c:v>
                </c:pt>
                <c:pt idx="9">
                  <c:v>44287</c:v>
                </c:pt>
                <c:pt idx="10">
                  <c:v>44378</c:v>
                </c:pt>
                <c:pt idx="11">
                  <c:v>44470</c:v>
                </c:pt>
                <c:pt idx="12">
                  <c:v>44562</c:v>
                </c:pt>
                <c:pt idx="13">
                  <c:v>44652</c:v>
                </c:pt>
                <c:pt idx="14">
                  <c:v>44743</c:v>
                </c:pt>
                <c:pt idx="15">
                  <c:v>44835</c:v>
                </c:pt>
                <c:pt idx="16">
                  <c:v>44927</c:v>
                </c:pt>
                <c:pt idx="17">
                  <c:v>45017</c:v>
                </c:pt>
                <c:pt idx="18">
                  <c:v>45108</c:v>
                </c:pt>
                <c:pt idx="19">
                  <c:v>45200</c:v>
                </c:pt>
                <c:pt idx="20">
                  <c:v>45292</c:v>
                </c:pt>
                <c:pt idx="21">
                  <c:v>45383</c:v>
                </c:pt>
                <c:pt idx="22">
                  <c:v>45474</c:v>
                </c:pt>
                <c:pt idx="23">
                  <c:v>45566</c:v>
                </c:pt>
              </c:numCache>
            </c:numRef>
          </c:cat>
          <c:val>
            <c:numRef>
              <c:f>'Chart Data'!$T$4:$T$27</c:f>
              <c:numCache>
                <c:formatCode>General</c:formatCode>
                <c:ptCount val="24"/>
                <c:pt idx="0">
                  <c:v>32773</c:v>
                </c:pt>
                <c:pt idx="1">
                  <c:v>32965</c:v>
                </c:pt>
                <c:pt idx="2">
                  <c:v>32894</c:v>
                </c:pt>
                <c:pt idx="3">
                  <c:v>33055</c:v>
                </c:pt>
                <c:pt idx="4">
                  <c:v>32972</c:v>
                </c:pt>
                <c:pt idx="5">
                  <c:v>32636</c:v>
                </c:pt>
                <c:pt idx="6">
                  <c:v>32352</c:v>
                </c:pt>
                <c:pt idx="7">
                  <c:v>32266</c:v>
                </c:pt>
                <c:pt idx="8">
                  <c:v>32308</c:v>
                </c:pt>
                <c:pt idx="9">
                  <c:v>32454</c:v>
                </c:pt>
                <c:pt idx="10">
                  <c:v>32712</c:v>
                </c:pt>
                <c:pt idx="11">
                  <c:v>32729</c:v>
                </c:pt>
                <c:pt idx="12">
                  <c:v>32784</c:v>
                </c:pt>
                <c:pt idx="13">
                  <c:v>33007</c:v>
                </c:pt>
                <c:pt idx="14">
                  <c:v>32904</c:v>
                </c:pt>
                <c:pt idx="15">
                  <c:v>33114</c:v>
                </c:pt>
                <c:pt idx="16">
                  <c:v>33320</c:v>
                </c:pt>
                <c:pt idx="17">
                  <c:v>33356</c:v>
                </c:pt>
                <c:pt idx="18">
                  <c:v>33326</c:v>
                </c:pt>
                <c:pt idx="19">
                  <c:v>33377</c:v>
                </c:pt>
                <c:pt idx="20">
                  <c:v>33331</c:v>
                </c:pt>
                <c:pt idx="21">
                  <c:v>33496</c:v>
                </c:pt>
                <c:pt idx="22">
                  <c:v>33749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"/>
        <c:majorTimeUnit val="years"/>
      </c:dateAx>
      <c:valAx>
        <c:axId val="263608576"/>
        <c:scaling>
          <c:orientation val="minMax"/>
          <c:min val="3200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334041117096299"/>
          <c:y val="9.3427707426640236E-2"/>
          <c:w val="0.62196102760712546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3053675710877845E-2"/>
          <c:y val="0.14714391023940784"/>
          <c:w val="0.85767947359867713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Data'!$Z$3</c:f>
              <c:strCache>
                <c:ptCount val="1"/>
                <c:pt idx="0">
                  <c:v>Current estimate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Data'!$Y$4:$Y$52</c:f>
              <c:numCache>
                <c:formatCode>m/d/yyyy</c:formatCode>
                <c:ptCount val="4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44805</c:v>
                </c:pt>
                <c:pt idx="42">
                  <c:v>44896</c:v>
                </c:pt>
                <c:pt idx="43">
                  <c:v>44986</c:v>
                </c:pt>
                <c:pt idx="44">
                  <c:v>45078</c:v>
                </c:pt>
                <c:pt idx="45">
                  <c:v>45170</c:v>
                </c:pt>
                <c:pt idx="46">
                  <c:v>45261</c:v>
                </c:pt>
                <c:pt idx="47">
                  <c:v>45352</c:v>
                </c:pt>
                <c:pt idx="48">
                  <c:v>45444</c:v>
                </c:pt>
              </c:numCache>
            </c:numRef>
          </c:cat>
          <c:val>
            <c:numRef>
              <c:f>'Chart Data'!$Z$4:$Z$52</c:f>
              <c:numCache>
                <c:formatCode>#,##0</c:formatCode>
                <c:ptCount val="49"/>
                <c:pt idx="0">
                  <c:v>162000</c:v>
                </c:pt>
                <c:pt idx="1">
                  <c:v>157000</c:v>
                </c:pt>
                <c:pt idx="2">
                  <c:v>195000</c:v>
                </c:pt>
                <c:pt idx="3">
                  <c:v>204000</c:v>
                </c:pt>
                <c:pt idx="4">
                  <c:v>215000</c:v>
                </c:pt>
                <c:pt idx="5">
                  <c:v>259000</c:v>
                </c:pt>
                <c:pt idx="6">
                  <c:v>244000</c:v>
                </c:pt>
                <c:pt idx="7">
                  <c:v>256000</c:v>
                </c:pt>
                <c:pt idx="8">
                  <c:v>248000</c:v>
                </c:pt>
                <c:pt idx="9">
                  <c:v>264000</c:v>
                </c:pt>
                <c:pt idx="10">
                  <c:v>284000</c:v>
                </c:pt>
                <c:pt idx="11">
                  <c:v>296000</c:v>
                </c:pt>
                <c:pt idx="12">
                  <c:v>296000</c:v>
                </c:pt>
                <c:pt idx="13">
                  <c:v>293000</c:v>
                </c:pt>
                <c:pt idx="14">
                  <c:v>303000</c:v>
                </c:pt>
                <c:pt idx="15">
                  <c:v>298000</c:v>
                </c:pt>
                <c:pt idx="16">
                  <c:v>321000</c:v>
                </c:pt>
                <c:pt idx="17">
                  <c:v>290000</c:v>
                </c:pt>
                <c:pt idx="18">
                  <c:v>249000</c:v>
                </c:pt>
                <c:pt idx="19">
                  <c:v>240000</c:v>
                </c:pt>
                <c:pt idx="20">
                  <c:v>200000</c:v>
                </c:pt>
                <c:pt idx="21">
                  <c:v>205000</c:v>
                </c:pt>
                <c:pt idx="22">
                  <c:v>208000</c:v>
                </c:pt>
                <c:pt idx="23">
                  <c:v>193000</c:v>
                </c:pt>
                <c:pt idx="24">
                  <c:v>216000</c:v>
                </c:pt>
                <c:pt idx="25">
                  <c:v>226000</c:v>
                </c:pt>
                <c:pt idx="26">
                  <c:v>276000</c:v>
                </c:pt>
                <c:pt idx="27">
                  <c:v>274000</c:v>
                </c:pt>
                <c:pt idx="28">
                  <c:v>224000</c:v>
                </c:pt>
                <c:pt idx="29">
                  <c:v>202000</c:v>
                </c:pt>
                <c:pt idx="30">
                  <c:v>184000</c:v>
                </c:pt>
                <c:pt idx="31">
                  <c:v>170000</c:v>
                </c:pt>
                <c:pt idx="32">
                  <c:v>111000</c:v>
                </c:pt>
                <c:pt idx="33">
                  <c:v>35000</c:v>
                </c:pt>
                <c:pt idx="34">
                  <c:v>93000</c:v>
                </c:pt>
                <c:pt idx="35">
                  <c:v>132000</c:v>
                </c:pt>
                <c:pt idx="36">
                  <c:v>254000</c:v>
                </c:pt>
                <c:pt idx="37">
                  <c:v>467000</c:v>
                </c:pt>
                <c:pt idx="38">
                  <c:v>484000</c:v>
                </c:pt>
                <c:pt idx="39">
                  <c:v>548000</c:v>
                </c:pt>
                <c:pt idx="40">
                  <c:v>634000</c:v>
                </c:pt>
                <c:pt idx="41">
                  <c:v>789000</c:v>
                </c:pt>
                <c:pt idx="42">
                  <c:v>872000</c:v>
                </c:pt>
                <c:pt idx="43">
                  <c:v>894000</c:v>
                </c:pt>
                <c:pt idx="44">
                  <c:v>906000</c:v>
                </c:pt>
                <c:pt idx="45">
                  <c:v>878000</c:v>
                </c:pt>
                <c:pt idx="46">
                  <c:v>866000</c:v>
                </c:pt>
                <c:pt idx="47">
                  <c:v>824000</c:v>
                </c:pt>
                <c:pt idx="48">
                  <c:v>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C-4B60-B48B-5C8FE1FFCBB4}"/>
            </c:ext>
          </c:extLst>
        </c:ser>
        <c:ser>
          <c:idx val="1"/>
          <c:order val="1"/>
          <c:tx>
            <c:strRef>
              <c:f>'Chart Data'!$AA$3</c:f>
              <c:strCache>
                <c:ptCount val="1"/>
                <c:pt idx="0">
                  <c:v>Previous estimate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Data'!$Y$4:$Y$52</c:f>
              <c:numCache>
                <c:formatCode>m/d/yyyy</c:formatCode>
                <c:ptCount val="4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44805</c:v>
                </c:pt>
                <c:pt idx="42">
                  <c:v>44896</c:v>
                </c:pt>
                <c:pt idx="43">
                  <c:v>44986</c:v>
                </c:pt>
                <c:pt idx="44">
                  <c:v>45078</c:v>
                </c:pt>
                <c:pt idx="45">
                  <c:v>45170</c:v>
                </c:pt>
                <c:pt idx="46">
                  <c:v>45261</c:v>
                </c:pt>
                <c:pt idx="47">
                  <c:v>45352</c:v>
                </c:pt>
                <c:pt idx="48">
                  <c:v>45444</c:v>
                </c:pt>
              </c:numCache>
            </c:numRef>
          </c:cat>
          <c:val>
            <c:numRef>
              <c:f>'Chart Data'!$AA$4:$AA$52</c:f>
              <c:numCache>
                <c:formatCode>#,##0</c:formatCode>
                <c:ptCount val="49"/>
                <c:pt idx="0">
                  <c:v>162000</c:v>
                </c:pt>
                <c:pt idx="1">
                  <c:v>157000</c:v>
                </c:pt>
                <c:pt idx="2">
                  <c:v>195000</c:v>
                </c:pt>
                <c:pt idx="3">
                  <c:v>204000</c:v>
                </c:pt>
                <c:pt idx="4">
                  <c:v>215000</c:v>
                </c:pt>
                <c:pt idx="5">
                  <c:v>259000</c:v>
                </c:pt>
                <c:pt idx="6">
                  <c:v>244000</c:v>
                </c:pt>
                <c:pt idx="7">
                  <c:v>256000</c:v>
                </c:pt>
                <c:pt idx="8">
                  <c:v>248000</c:v>
                </c:pt>
                <c:pt idx="9">
                  <c:v>264000</c:v>
                </c:pt>
                <c:pt idx="10">
                  <c:v>284000</c:v>
                </c:pt>
                <c:pt idx="11">
                  <c:v>296000</c:v>
                </c:pt>
                <c:pt idx="12">
                  <c:v>296000</c:v>
                </c:pt>
                <c:pt idx="13">
                  <c:v>293000</c:v>
                </c:pt>
                <c:pt idx="14">
                  <c:v>303000</c:v>
                </c:pt>
                <c:pt idx="15">
                  <c:v>298000</c:v>
                </c:pt>
                <c:pt idx="16">
                  <c:v>321000</c:v>
                </c:pt>
                <c:pt idx="17">
                  <c:v>290000</c:v>
                </c:pt>
                <c:pt idx="18">
                  <c:v>249000</c:v>
                </c:pt>
                <c:pt idx="19">
                  <c:v>240000</c:v>
                </c:pt>
                <c:pt idx="20">
                  <c:v>200000</c:v>
                </c:pt>
                <c:pt idx="21">
                  <c:v>205000</c:v>
                </c:pt>
                <c:pt idx="22">
                  <c:v>208000</c:v>
                </c:pt>
                <c:pt idx="23">
                  <c:v>193000</c:v>
                </c:pt>
                <c:pt idx="24">
                  <c:v>216000</c:v>
                </c:pt>
                <c:pt idx="25">
                  <c:v>226000</c:v>
                </c:pt>
                <c:pt idx="26">
                  <c:v>276000</c:v>
                </c:pt>
                <c:pt idx="27">
                  <c:v>274000</c:v>
                </c:pt>
                <c:pt idx="28">
                  <c:v>224000</c:v>
                </c:pt>
                <c:pt idx="29">
                  <c:v>202000</c:v>
                </c:pt>
                <c:pt idx="30">
                  <c:v>184000</c:v>
                </c:pt>
                <c:pt idx="31">
                  <c:v>170000</c:v>
                </c:pt>
                <c:pt idx="32">
                  <c:v>111000</c:v>
                </c:pt>
                <c:pt idx="33">
                  <c:v>35000</c:v>
                </c:pt>
                <c:pt idx="34">
                  <c:v>93000</c:v>
                </c:pt>
                <c:pt idx="35">
                  <c:v>132000</c:v>
                </c:pt>
                <c:pt idx="36">
                  <c:v>221000</c:v>
                </c:pt>
                <c:pt idx="37">
                  <c:v>443000</c:v>
                </c:pt>
                <c:pt idx="38">
                  <c:v>466000</c:v>
                </c:pt>
                <c:pt idx="39">
                  <c:v>526000</c:v>
                </c:pt>
                <c:pt idx="40">
                  <c:v>607000</c:v>
                </c:pt>
                <c:pt idx="41">
                  <c:v>718000</c:v>
                </c:pt>
                <c:pt idx="42">
                  <c:v>764000</c:v>
                </c:pt>
                <c:pt idx="43">
                  <c:v>750000</c:v>
                </c:pt>
                <c:pt idx="44">
                  <c:v>740000</c:v>
                </c:pt>
                <c:pt idx="45">
                  <c:v>724000</c:v>
                </c:pt>
                <c:pt idx="46">
                  <c:v>685000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C-4B60-B48B-5C8FE1FFCBB4}"/>
            </c:ext>
          </c:extLst>
        </c:ser>
        <c:ser>
          <c:idx val="2"/>
          <c:order val="2"/>
          <c:tx>
            <c:strRef>
              <c:f>'Chart Data'!$AB$3</c:f>
              <c:strCache>
                <c:ptCount val="1"/>
                <c:pt idx="0">
                  <c:v>January 2024 population projections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Data'!$Y$4:$Y$52</c:f>
              <c:numCache>
                <c:formatCode>m/d/yyyy</c:formatCode>
                <c:ptCount val="4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44805</c:v>
                </c:pt>
                <c:pt idx="42">
                  <c:v>44896</c:v>
                </c:pt>
                <c:pt idx="43">
                  <c:v>44986</c:v>
                </c:pt>
                <c:pt idx="44">
                  <c:v>45078</c:v>
                </c:pt>
                <c:pt idx="45">
                  <c:v>45170</c:v>
                </c:pt>
                <c:pt idx="46">
                  <c:v>45261</c:v>
                </c:pt>
                <c:pt idx="47">
                  <c:v>45352</c:v>
                </c:pt>
                <c:pt idx="48">
                  <c:v>45444</c:v>
                </c:pt>
              </c:numCache>
            </c:numRef>
          </c:cat>
          <c:val>
            <c:numRef>
              <c:f>'Chart Data'!$AB$4:$AB$52</c:f>
              <c:numCache>
                <c:formatCode>General</c:formatCode>
                <c:ptCount val="49"/>
                <c:pt idx="36">
                  <c:v>221500</c:v>
                </c:pt>
                <c:pt idx="40">
                  <c:v>595900</c:v>
                </c:pt>
                <c:pt idx="44">
                  <c:v>670200</c:v>
                </c:pt>
                <c:pt idx="48">
                  <c:v>599500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AC-4B60-B48B-5C8FE1FFC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8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660325933834542"/>
          <c:y val="0.10663756139393467"/>
          <c:w val="0.54782235271438529"/>
          <c:h val="0.165404076965626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8090816614024945"/>
          <c:h val="0.80830972615675167"/>
        </c:manualLayout>
      </c:layout>
      <c:areaChart>
        <c:grouping val="stacked"/>
        <c:varyColors val="0"/>
        <c:ser>
          <c:idx val="0"/>
          <c:order val="0"/>
          <c:tx>
            <c:strRef>
              <c:f>'Chart Data'!$F$3</c:f>
              <c:strCache>
                <c:ptCount val="1"/>
                <c:pt idx="0">
                  <c:v>Single month range - min</c:v>
                </c:pt>
              </c:strCache>
            </c:strRef>
          </c:tx>
          <c:spPr>
            <a:noFill/>
            <a:ln w="38100">
              <a:noFill/>
            </a:ln>
          </c:spPr>
          <c:cat>
            <c:numRef>
              <c:f>'Chart Data'!$E$4:$E$111</c:f>
              <c:numCache>
                <c:formatCode>mmm\-yy</c:formatCode>
                <c:ptCount val="10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</c:numCache>
            </c:numRef>
          </c:cat>
          <c:val>
            <c:numRef>
              <c:f>'Chart Data'!$F$4:$F$111</c:f>
              <c:numCache>
                <c:formatCode>General</c:formatCode>
                <c:ptCount val="108"/>
                <c:pt idx="0">
                  <c:v>4.9279999999999999</c:v>
                </c:pt>
                <c:pt idx="1">
                  <c:v>4.9279999999999999</c:v>
                </c:pt>
                <c:pt idx="2">
                  <c:v>4.7300000000000004</c:v>
                </c:pt>
                <c:pt idx="3">
                  <c:v>4.7300000000000004</c:v>
                </c:pt>
                <c:pt idx="4">
                  <c:v>4.7300000000000004</c:v>
                </c:pt>
                <c:pt idx="5">
                  <c:v>4.6589999999999998</c:v>
                </c:pt>
                <c:pt idx="6">
                  <c:v>4.6589999999999998</c:v>
                </c:pt>
                <c:pt idx="7">
                  <c:v>4.6589999999999998</c:v>
                </c:pt>
                <c:pt idx="8">
                  <c:v>4.66</c:v>
                </c:pt>
                <c:pt idx="9">
                  <c:v>4.66</c:v>
                </c:pt>
                <c:pt idx="10">
                  <c:v>4.5940000000000003</c:v>
                </c:pt>
                <c:pt idx="11">
                  <c:v>4.5940000000000003</c:v>
                </c:pt>
                <c:pt idx="12">
                  <c:v>4.5940000000000003</c:v>
                </c:pt>
                <c:pt idx="13">
                  <c:v>4.3710000000000004</c:v>
                </c:pt>
                <c:pt idx="14">
                  <c:v>4.3710000000000004</c:v>
                </c:pt>
                <c:pt idx="15">
                  <c:v>4.3710000000000004</c:v>
                </c:pt>
                <c:pt idx="16">
                  <c:v>4.3109999999999999</c:v>
                </c:pt>
                <c:pt idx="17">
                  <c:v>4.3109999999999999</c:v>
                </c:pt>
                <c:pt idx="18">
                  <c:v>4.3109999999999999</c:v>
                </c:pt>
                <c:pt idx="19">
                  <c:v>4.1340000000000003</c:v>
                </c:pt>
                <c:pt idx="20">
                  <c:v>4.1340000000000003</c:v>
                </c:pt>
                <c:pt idx="21">
                  <c:v>4.1340000000000003</c:v>
                </c:pt>
                <c:pt idx="22">
                  <c:v>4.2889999999999997</c:v>
                </c:pt>
                <c:pt idx="23">
                  <c:v>4.173</c:v>
                </c:pt>
                <c:pt idx="24">
                  <c:v>4.056</c:v>
                </c:pt>
                <c:pt idx="25">
                  <c:v>4.056</c:v>
                </c:pt>
                <c:pt idx="26">
                  <c:v>4.056</c:v>
                </c:pt>
                <c:pt idx="27">
                  <c:v>3.9359999999999999</c:v>
                </c:pt>
                <c:pt idx="28">
                  <c:v>3.9359999999999999</c:v>
                </c:pt>
                <c:pt idx="29">
                  <c:v>3.9359999999999999</c:v>
                </c:pt>
                <c:pt idx="30">
                  <c:v>3.9249999999999998</c:v>
                </c:pt>
                <c:pt idx="31">
                  <c:v>3.9249999999999998</c:v>
                </c:pt>
                <c:pt idx="32">
                  <c:v>3.9249999999999998</c:v>
                </c:pt>
                <c:pt idx="33">
                  <c:v>3.827</c:v>
                </c:pt>
                <c:pt idx="34">
                  <c:v>3.827</c:v>
                </c:pt>
                <c:pt idx="35">
                  <c:v>3.827</c:v>
                </c:pt>
                <c:pt idx="36">
                  <c:v>3.819</c:v>
                </c:pt>
                <c:pt idx="37">
                  <c:v>3.8159999999999998</c:v>
                </c:pt>
                <c:pt idx="38">
                  <c:v>3.8159999999999998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3.7709999999999999</c:v>
                </c:pt>
                <c:pt idx="43">
                  <c:v>3.7709999999999999</c:v>
                </c:pt>
                <c:pt idx="44">
                  <c:v>3.5510000000000002</c:v>
                </c:pt>
                <c:pt idx="45">
                  <c:v>3.5510000000000002</c:v>
                </c:pt>
                <c:pt idx="46">
                  <c:v>3.5510000000000002</c:v>
                </c:pt>
                <c:pt idx="47">
                  <c:v>3.8079999999999998</c:v>
                </c:pt>
                <c:pt idx="48">
                  <c:v>3.8079999999999998</c:v>
                </c:pt>
                <c:pt idx="49">
                  <c:v>3.996</c:v>
                </c:pt>
                <c:pt idx="50">
                  <c:v>3.9689999999999999</c:v>
                </c:pt>
                <c:pt idx="51">
                  <c:v>3.9689999999999999</c:v>
                </c:pt>
                <c:pt idx="52">
                  <c:v>3.9689999999999999</c:v>
                </c:pt>
                <c:pt idx="53">
                  <c:v>4.1189999999999998</c:v>
                </c:pt>
                <c:pt idx="54">
                  <c:v>4.1189999999999998</c:v>
                </c:pt>
                <c:pt idx="55">
                  <c:v>4.8120000000000003</c:v>
                </c:pt>
                <c:pt idx="56">
                  <c:v>4.9550000000000001</c:v>
                </c:pt>
                <c:pt idx="57">
                  <c:v>5.14</c:v>
                </c:pt>
                <c:pt idx="58">
                  <c:v>5.1630000000000003</c:v>
                </c:pt>
                <c:pt idx="59">
                  <c:v>5.056</c:v>
                </c:pt>
                <c:pt idx="60">
                  <c:v>4.8259999999999996</c:v>
                </c:pt>
                <c:pt idx="61">
                  <c:v>4.8259999999999996</c:v>
                </c:pt>
                <c:pt idx="62">
                  <c:v>4.7869999999999999</c:v>
                </c:pt>
                <c:pt idx="63">
                  <c:v>4.7480000000000002</c:v>
                </c:pt>
                <c:pt idx="64">
                  <c:v>4.4710000000000001</c:v>
                </c:pt>
                <c:pt idx="65">
                  <c:v>4.4710000000000001</c:v>
                </c:pt>
                <c:pt idx="66">
                  <c:v>4.4710000000000001</c:v>
                </c:pt>
                <c:pt idx="67">
                  <c:v>4.0750000000000002</c:v>
                </c:pt>
                <c:pt idx="68">
                  <c:v>4.0750000000000002</c:v>
                </c:pt>
                <c:pt idx="69">
                  <c:v>4.0750000000000002</c:v>
                </c:pt>
                <c:pt idx="70">
                  <c:v>3.9380000000000002</c:v>
                </c:pt>
                <c:pt idx="71">
                  <c:v>3.9380000000000002</c:v>
                </c:pt>
                <c:pt idx="72">
                  <c:v>3.87</c:v>
                </c:pt>
                <c:pt idx="73">
                  <c:v>3.4889999999999999</c:v>
                </c:pt>
                <c:pt idx="74">
                  <c:v>3.4889999999999999</c:v>
                </c:pt>
                <c:pt idx="75">
                  <c:v>3.4889999999999999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3.5609999999999999</c:v>
                </c:pt>
                <c:pt idx="79">
                  <c:v>3.5609999999999999</c:v>
                </c:pt>
                <c:pt idx="80">
                  <c:v>3.5609999999999999</c:v>
                </c:pt>
                <c:pt idx="81">
                  <c:v>3.6890000000000001</c:v>
                </c:pt>
                <c:pt idx="82">
                  <c:v>3.6890000000000001</c:v>
                </c:pt>
                <c:pt idx="83">
                  <c:v>3.6890000000000001</c:v>
                </c:pt>
                <c:pt idx="84">
                  <c:v>3.9710000000000001</c:v>
                </c:pt>
                <c:pt idx="85">
                  <c:v>3.9710000000000001</c:v>
                </c:pt>
                <c:pt idx="86">
                  <c:v>3.6970000000000001</c:v>
                </c:pt>
                <c:pt idx="87">
                  <c:v>3.6970000000000001</c:v>
                </c:pt>
                <c:pt idx="88">
                  <c:v>3.6970000000000001</c:v>
                </c:pt>
                <c:pt idx="89">
                  <c:v>4.0709999999999997</c:v>
                </c:pt>
                <c:pt idx="90">
                  <c:v>4.0709999999999997</c:v>
                </c:pt>
                <c:pt idx="91">
                  <c:v>4.0709999999999997</c:v>
                </c:pt>
                <c:pt idx="92">
                  <c:v>3.7789999999999999</c:v>
                </c:pt>
                <c:pt idx="93">
                  <c:v>3.7789999999999999</c:v>
                </c:pt>
                <c:pt idx="94">
                  <c:v>3.7789999999999999</c:v>
                </c:pt>
                <c:pt idx="95">
                  <c:v>3.9239999999999999</c:v>
                </c:pt>
                <c:pt idx="96">
                  <c:v>3.9470000000000001</c:v>
                </c:pt>
                <c:pt idx="97">
                  <c:v>4.3070000000000004</c:v>
                </c:pt>
                <c:pt idx="98">
                  <c:v>4.3070000000000004</c:v>
                </c:pt>
                <c:pt idx="99">
                  <c:v>4.3540000000000001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4.3259999999999996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Data'!$G$3</c:f>
              <c:strCache>
                <c:ptCount val="1"/>
                <c:pt idx="0">
                  <c:v>Range of single-month estimates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Data'!$E$4:$E$111</c:f>
              <c:numCache>
                <c:formatCode>mmm\-yy</c:formatCode>
                <c:ptCount val="10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</c:numCache>
            </c:numRef>
          </c:cat>
          <c:val>
            <c:numRef>
              <c:f>'Chart Data'!$G$4:$G$111</c:f>
              <c:numCache>
                <c:formatCode>0.000</c:formatCode>
                <c:ptCount val="108"/>
                <c:pt idx="0">
                  <c:v>0.32399999999999984</c:v>
                </c:pt>
                <c:pt idx="1">
                  <c:v>0.2370000000000001</c:v>
                </c:pt>
                <c:pt idx="2">
                  <c:v>0.43499999999999961</c:v>
                </c:pt>
                <c:pt idx="3">
                  <c:v>0.43499999999999961</c:v>
                </c:pt>
                <c:pt idx="4">
                  <c:v>0.41499999999999915</c:v>
                </c:pt>
                <c:pt idx="5">
                  <c:v>0.48599999999999977</c:v>
                </c:pt>
                <c:pt idx="6">
                  <c:v>0.48599999999999977</c:v>
                </c:pt>
                <c:pt idx="7">
                  <c:v>0.44500000000000028</c:v>
                </c:pt>
                <c:pt idx="8">
                  <c:v>0.44399999999999995</c:v>
                </c:pt>
                <c:pt idx="9">
                  <c:v>0.29099999999999948</c:v>
                </c:pt>
                <c:pt idx="10">
                  <c:v>0.35699999999999932</c:v>
                </c:pt>
                <c:pt idx="11">
                  <c:v>0.35699999999999932</c:v>
                </c:pt>
                <c:pt idx="12">
                  <c:v>0.11399999999999988</c:v>
                </c:pt>
                <c:pt idx="13">
                  <c:v>0.33699999999999974</c:v>
                </c:pt>
                <c:pt idx="14">
                  <c:v>0.33699999999999974</c:v>
                </c:pt>
                <c:pt idx="15">
                  <c:v>0.1899999999999995</c:v>
                </c:pt>
                <c:pt idx="16">
                  <c:v>0.25</c:v>
                </c:pt>
                <c:pt idx="17">
                  <c:v>7.8999999999999737E-2</c:v>
                </c:pt>
                <c:pt idx="18">
                  <c:v>2.0999999999999908E-2</c:v>
                </c:pt>
                <c:pt idx="19">
                  <c:v>0.19799999999999951</c:v>
                </c:pt>
                <c:pt idx="20">
                  <c:v>0.19599999999999973</c:v>
                </c:pt>
                <c:pt idx="21">
                  <c:v>0.24499999999999922</c:v>
                </c:pt>
                <c:pt idx="22">
                  <c:v>0.10599999999999987</c:v>
                </c:pt>
                <c:pt idx="23">
                  <c:v>0.22199999999999953</c:v>
                </c:pt>
                <c:pt idx="24">
                  <c:v>0.33899999999999952</c:v>
                </c:pt>
                <c:pt idx="25">
                  <c:v>0.32899999999999974</c:v>
                </c:pt>
                <c:pt idx="26">
                  <c:v>0.32899999999999974</c:v>
                </c:pt>
                <c:pt idx="27">
                  <c:v>0.44899999999999984</c:v>
                </c:pt>
                <c:pt idx="28">
                  <c:v>0.2240000000000002</c:v>
                </c:pt>
                <c:pt idx="29">
                  <c:v>0.19700000000000006</c:v>
                </c:pt>
                <c:pt idx="30">
                  <c:v>0.20800000000000018</c:v>
                </c:pt>
                <c:pt idx="31">
                  <c:v>0.26200000000000045</c:v>
                </c:pt>
                <c:pt idx="32">
                  <c:v>0.26200000000000045</c:v>
                </c:pt>
                <c:pt idx="33">
                  <c:v>0.36000000000000032</c:v>
                </c:pt>
                <c:pt idx="34">
                  <c:v>0.31799999999999962</c:v>
                </c:pt>
                <c:pt idx="35">
                  <c:v>0.31799999999999962</c:v>
                </c:pt>
                <c:pt idx="36">
                  <c:v>0.32599999999999962</c:v>
                </c:pt>
                <c:pt idx="37">
                  <c:v>4.8000000000000043E-2</c:v>
                </c:pt>
                <c:pt idx="38">
                  <c:v>7.2999999999999954E-2</c:v>
                </c:pt>
                <c:pt idx="39">
                  <c:v>0.20399999999999974</c:v>
                </c:pt>
                <c:pt idx="40">
                  <c:v>0.40100000000000025</c:v>
                </c:pt>
                <c:pt idx="41">
                  <c:v>0.40100000000000025</c:v>
                </c:pt>
                <c:pt idx="42">
                  <c:v>0.31500000000000039</c:v>
                </c:pt>
                <c:pt idx="43">
                  <c:v>0.30900000000000016</c:v>
                </c:pt>
                <c:pt idx="44">
                  <c:v>0.52899999999999991</c:v>
                </c:pt>
                <c:pt idx="45">
                  <c:v>0.52899999999999991</c:v>
                </c:pt>
                <c:pt idx="46">
                  <c:v>0.31299999999999972</c:v>
                </c:pt>
                <c:pt idx="47">
                  <c:v>0.18800000000000017</c:v>
                </c:pt>
                <c:pt idx="48">
                  <c:v>0.24199999999999999</c:v>
                </c:pt>
                <c:pt idx="49">
                  <c:v>0.26000000000000023</c:v>
                </c:pt>
                <c:pt idx="50">
                  <c:v>0.28700000000000037</c:v>
                </c:pt>
                <c:pt idx="51">
                  <c:v>0.28700000000000037</c:v>
                </c:pt>
                <c:pt idx="52">
                  <c:v>0.18300000000000027</c:v>
                </c:pt>
                <c:pt idx="53">
                  <c:v>0.6930000000000005</c:v>
                </c:pt>
                <c:pt idx="54">
                  <c:v>0.8360000000000003</c:v>
                </c:pt>
                <c:pt idx="55">
                  <c:v>0.3279999999999994</c:v>
                </c:pt>
                <c:pt idx="56">
                  <c:v>0.42600000000000016</c:v>
                </c:pt>
                <c:pt idx="57">
                  <c:v>0.24100000000000055</c:v>
                </c:pt>
                <c:pt idx="58">
                  <c:v>0.21799999999999997</c:v>
                </c:pt>
                <c:pt idx="59">
                  <c:v>0.2110000000000003</c:v>
                </c:pt>
                <c:pt idx="60">
                  <c:v>0.44100000000000072</c:v>
                </c:pt>
                <c:pt idx="61">
                  <c:v>0.23000000000000043</c:v>
                </c:pt>
                <c:pt idx="62">
                  <c:v>6.2999999999999723E-2</c:v>
                </c:pt>
                <c:pt idx="63">
                  <c:v>0.10199999999999942</c:v>
                </c:pt>
                <c:pt idx="64">
                  <c:v>0.31599999999999984</c:v>
                </c:pt>
                <c:pt idx="65">
                  <c:v>0.27700000000000014</c:v>
                </c:pt>
                <c:pt idx="66">
                  <c:v>0.11699999999999999</c:v>
                </c:pt>
                <c:pt idx="67">
                  <c:v>0.5129999999999999</c:v>
                </c:pt>
                <c:pt idx="68">
                  <c:v>0.5129999999999999</c:v>
                </c:pt>
                <c:pt idx="69">
                  <c:v>0.28200000000000003</c:v>
                </c:pt>
                <c:pt idx="70">
                  <c:v>0.41900000000000004</c:v>
                </c:pt>
                <c:pt idx="71">
                  <c:v>0.41900000000000004</c:v>
                </c:pt>
                <c:pt idx="72">
                  <c:v>0.11099999999999977</c:v>
                </c:pt>
                <c:pt idx="73">
                  <c:v>0.49199999999999999</c:v>
                </c:pt>
                <c:pt idx="74">
                  <c:v>0.59799999999999986</c:v>
                </c:pt>
                <c:pt idx="75">
                  <c:v>0.59799999999999986</c:v>
                </c:pt>
                <c:pt idx="76">
                  <c:v>0.5219999999999998</c:v>
                </c:pt>
                <c:pt idx="77">
                  <c:v>0.1120000000000001</c:v>
                </c:pt>
                <c:pt idx="78">
                  <c:v>0.1160000000000001</c:v>
                </c:pt>
                <c:pt idx="79">
                  <c:v>0.36799999999999988</c:v>
                </c:pt>
                <c:pt idx="80">
                  <c:v>0.51200000000000045</c:v>
                </c:pt>
                <c:pt idx="81">
                  <c:v>0.38400000000000034</c:v>
                </c:pt>
                <c:pt idx="82">
                  <c:v>0.38400000000000034</c:v>
                </c:pt>
                <c:pt idx="83">
                  <c:v>0.28699999999999992</c:v>
                </c:pt>
                <c:pt idx="84">
                  <c:v>1.1000000000000121E-2</c:v>
                </c:pt>
                <c:pt idx="85">
                  <c:v>1.5000000000000124E-2</c:v>
                </c:pt>
                <c:pt idx="86">
                  <c:v>0.28900000000000015</c:v>
                </c:pt>
                <c:pt idx="87">
                  <c:v>0.60700000000000021</c:v>
                </c:pt>
                <c:pt idx="88">
                  <c:v>0.94899999999999984</c:v>
                </c:pt>
                <c:pt idx="89">
                  <c:v>0.57500000000000018</c:v>
                </c:pt>
                <c:pt idx="90">
                  <c:v>0.57500000000000018</c:v>
                </c:pt>
                <c:pt idx="91">
                  <c:v>0.13700000000000045</c:v>
                </c:pt>
                <c:pt idx="92">
                  <c:v>0.42900000000000027</c:v>
                </c:pt>
                <c:pt idx="93">
                  <c:v>0.42900000000000027</c:v>
                </c:pt>
                <c:pt idx="94">
                  <c:v>0.16800000000000015</c:v>
                </c:pt>
                <c:pt idx="95">
                  <c:v>0.38800000000000034</c:v>
                </c:pt>
                <c:pt idx="96">
                  <c:v>0.36500000000000021</c:v>
                </c:pt>
                <c:pt idx="97">
                  <c:v>0.12399999999999967</c:v>
                </c:pt>
                <c:pt idx="98">
                  <c:v>0.12399999999999967</c:v>
                </c:pt>
                <c:pt idx="99">
                  <c:v>0.13199999999999967</c:v>
                </c:pt>
                <c:pt idx="100">
                  <c:v>0.71599999999999975</c:v>
                </c:pt>
                <c:pt idx="101">
                  <c:v>0.71599999999999975</c:v>
                </c:pt>
                <c:pt idx="102">
                  <c:v>0.58899999999999997</c:v>
                </c:pt>
                <c:pt idx="103">
                  <c:v>0.29100000000000037</c:v>
                </c:pt>
                <c:pt idx="104">
                  <c:v>0.29100000000000037</c:v>
                </c:pt>
                <c:pt idx="105">
                  <c:v>0.26300000000000079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2"/>
          <c:order val="2"/>
          <c:tx>
            <c:strRef>
              <c:f>'Chart Data'!$H$3</c:f>
              <c:strCache>
                <c:ptCount val="1"/>
                <c:pt idx="0">
                  <c:v>Three-month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Data'!$E$4:$E$111</c:f>
              <c:numCache>
                <c:formatCode>mmm\-yy</c:formatCode>
                <c:ptCount val="10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</c:numCache>
            </c:numRef>
          </c:cat>
          <c:val>
            <c:numRef>
              <c:f>'Chart Data'!$H$4:$H$111</c:f>
              <c:numCache>
                <c:formatCode>0.000</c:formatCode>
                <c:ptCount val="108"/>
                <c:pt idx="0">
                  <c:v>5.0999999999999996</c:v>
                </c:pt>
                <c:pt idx="1">
                  <c:v>5.0999999999999996</c:v>
                </c:pt>
                <c:pt idx="2">
                  <c:v>5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5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4.7</c:v>
                </c:pt>
                <c:pt idx="11">
                  <c:v>4.7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4.4000000000000004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4.2</c:v>
                </c:pt>
                <c:pt idx="21">
                  <c:v>4.3</c:v>
                </c:pt>
                <c:pt idx="22">
                  <c:v>4.4000000000000004</c:v>
                </c:pt>
                <c:pt idx="23">
                  <c:v>4.3</c:v>
                </c:pt>
                <c:pt idx="24">
                  <c:v>4.2</c:v>
                </c:pt>
                <c:pt idx="25">
                  <c:v>4.2</c:v>
                </c:pt>
                <c:pt idx="26">
                  <c:v>4.2</c:v>
                </c:pt>
                <c:pt idx="27">
                  <c:v>4.2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4.0999999999999996</c:v>
                </c:pt>
                <c:pt idx="32">
                  <c:v>4.0999999999999996</c:v>
                </c:pt>
                <c:pt idx="33">
                  <c:v>4</c:v>
                </c:pt>
                <c:pt idx="34">
                  <c:v>4</c:v>
                </c:pt>
                <c:pt idx="35">
                  <c:v>3.9</c:v>
                </c:pt>
                <c:pt idx="36">
                  <c:v>4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3.9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3.8</c:v>
                </c:pt>
                <c:pt idx="45">
                  <c:v>3.8</c:v>
                </c:pt>
                <c:pt idx="46">
                  <c:v>3.7</c:v>
                </c:pt>
                <c:pt idx="47">
                  <c:v>3.9</c:v>
                </c:pt>
                <c:pt idx="48">
                  <c:v>3.9</c:v>
                </c:pt>
                <c:pt idx="49">
                  <c:v>4.0999999999999996</c:v>
                </c:pt>
                <c:pt idx="50">
                  <c:v>4.0999999999999996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4.4000000000000004</c:v>
                </c:pt>
                <c:pt idx="54">
                  <c:v>4.5999999999999996</c:v>
                </c:pt>
                <c:pt idx="55">
                  <c:v>5</c:v>
                </c:pt>
                <c:pt idx="56">
                  <c:v>5.2</c:v>
                </c:pt>
                <c:pt idx="57">
                  <c:v>5.2</c:v>
                </c:pt>
                <c:pt idx="58">
                  <c:v>5.3</c:v>
                </c:pt>
                <c:pt idx="59">
                  <c:v>5.2</c:v>
                </c:pt>
                <c:pt idx="60">
                  <c:v>5</c:v>
                </c:pt>
                <c:pt idx="61">
                  <c:v>4.9000000000000004</c:v>
                </c:pt>
                <c:pt idx="62">
                  <c:v>4.8</c:v>
                </c:pt>
                <c:pt idx="63">
                  <c:v>4.8</c:v>
                </c:pt>
                <c:pt idx="64">
                  <c:v>4.7</c:v>
                </c:pt>
                <c:pt idx="65">
                  <c:v>4.5999999999999996</c:v>
                </c:pt>
                <c:pt idx="66">
                  <c:v>4.5</c:v>
                </c:pt>
                <c:pt idx="67">
                  <c:v>4.4000000000000004</c:v>
                </c:pt>
                <c:pt idx="68">
                  <c:v>4.3</c:v>
                </c:pt>
                <c:pt idx="69">
                  <c:v>4.2</c:v>
                </c:pt>
                <c:pt idx="70">
                  <c:v>4.2</c:v>
                </c:pt>
                <c:pt idx="71">
                  <c:v>4.0999999999999996</c:v>
                </c:pt>
                <c:pt idx="72">
                  <c:v>3.9</c:v>
                </c:pt>
                <c:pt idx="73">
                  <c:v>3.8</c:v>
                </c:pt>
                <c:pt idx="74">
                  <c:v>3.8</c:v>
                </c:pt>
                <c:pt idx="75">
                  <c:v>3.7</c:v>
                </c:pt>
                <c:pt idx="76">
                  <c:v>3.8</c:v>
                </c:pt>
                <c:pt idx="77">
                  <c:v>3.6</c:v>
                </c:pt>
                <c:pt idx="78">
                  <c:v>3.6</c:v>
                </c:pt>
                <c:pt idx="79">
                  <c:v>3.7</c:v>
                </c:pt>
                <c:pt idx="80">
                  <c:v>3.8</c:v>
                </c:pt>
                <c:pt idx="81">
                  <c:v>3.9</c:v>
                </c:pt>
                <c:pt idx="82">
                  <c:v>3.9</c:v>
                </c:pt>
                <c:pt idx="83">
                  <c:v>3.9</c:v>
                </c:pt>
                <c:pt idx="84">
                  <c:v>4</c:v>
                </c:pt>
                <c:pt idx="85">
                  <c:v>4</c:v>
                </c:pt>
                <c:pt idx="86">
                  <c:v>3.9</c:v>
                </c:pt>
                <c:pt idx="87">
                  <c:v>4</c:v>
                </c:pt>
                <c:pt idx="88">
                  <c:v>4.2</c:v>
                </c:pt>
                <c:pt idx="89">
                  <c:v>4.3</c:v>
                </c:pt>
                <c:pt idx="90">
                  <c:v>4.3</c:v>
                </c:pt>
                <c:pt idx="91">
                  <c:v>4.0999999999999996</c:v>
                </c:pt>
                <c:pt idx="92">
                  <c:v>4</c:v>
                </c:pt>
                <c:pt idx="93">
                  <c:v>4</c:v>
                </c:pt>
                <c:pt idx="94">
                  <c:v>3.9</c:v>
                </c:pt>
                <c:pt idx="95">
                  <c:v>4.0999999999999996</c:v>
                </c:pt>
                <c:pt idx="96">
                  <c:v>4.2</c:v>
                </c:pt>
                <c:pt idx="97">
                  <c:v>4.3</c:v>
                </c:pt>
                <c:pt idx="98">
                  <c:v>4.4000000000000004</c:v>
                </c:pt>
                <c:pt idx="99">
                  <c:v>4.4000000000000004</c:v>
                </c:pt>
                <c:pt idx="100">
                  <c:v>4.2</c:v>
                </c:pt>
                <c:pt idx="101">
                  <c:v>4.2</c:v>
                </c:pt>
                <c:pt idx="102">
                  <c:v>4.0999999999999996</c:v>
                </c:pt>
                <c:pt idx="103">
                  <c:v>4.3</c:v>
                </c:pt>
                <c:pt idx="104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6807313492593088"/>
          <c:y val="7.6446506509632473E-2"/>
          <c:w val="0.47521070035737056"/>
          <c:h val="0.1093692608537247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29DEFA-8BB6-4A5F-B385-FF1849A06EB6}">
  <sheetPr codeName="Chart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4567C3-99A1-4F4C-9338-22F776B106B9}">
  <sheetPr codeName="Chart3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2C008F-17D4-4981-B8B3-E7FF9DEA8102}">
  <sheetPr codeName="Chart4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960A74-E4DF-4143-A95E-F009D033335F}">
  <sheetPr codeName="Chart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5414A1-6396-4508-A8F7-E3BACA3AC124}">
  <sheetPr codeName="Chart19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480AC-BB6D-5EF7-C6E9-ABB07EA465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62A05C-63C0-96A5-E793-A6CDE27F976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ILO unemployment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76F1F50-FD3B-8BB5-85FA-E2D313199EF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0.12812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0A2324C-20FC-5577-9C0D-FC90F160C3F3}"/>
            </a:ext>
          </a:extLst>
        </cdr:cNvPr>
        <cdr:cNvSpPr txBox="1"/>
      </cdr:nvSpPr>
      <cdr:spPr>
        <a:xfrm xmlns:a="http://schemas.openxmlformats.org/drawingml/2006/main">
          <a:off x="0" y="507610"/>
          <a:ext cx="108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9F061-D078-CF56-2B07-5E6C43C1F0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025C10F-2673-181B-718F-01B9BCA722F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employees since 2019*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5A3D4D6-D931-372F-60C3-214BAF164F9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0.10169</cdr:x>
      <cdr:y>0.81854</cdr:y>
    </cdr:from>
    <cdr:to>
      <cdr:x>0.90466</cdr:x>
      <cdr:y>0.8978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BA7F798-0B80-051E-E9F1-7695792A7CF4}"/>
            </a:ext>
          </a:extLst>
        </cdr:cNvPr>
        <cdr:cNvSpPr txBox="1"/>
      </cdr:nvSpPr>
      <cdr:spPr>
        <a:xfrm xmlns:a="http://schemas.openxmlformats.org/drawingml/2006/main">
          <a:off x="857250" y="5508625"/>
          <a:ext cx="67691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LFS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and HMRC count people; Workforce jobs counts jobs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0.07124</cdr:y>
    </cdr:from>
    <cdr:to>
      <cdr:x>0.51071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149B028-AFC1-5FED-3DE9-A738BD865AB1}"/>
            </a:ext>
          </a:extLst>
        </cdr:cNvPr>
        <cdr:cNvSpPr txBox="1"/>
      </cdr:nvSpPr>
      <cdr:spPr>
        <a:xfrm xmlns:a="http://schemas.openxmlformats.org/drawingml/2006/main">
          <a:off x="0" y="479425"/>
          <a:ext cx="43053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000s, difference from 2019 average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F2EA1-24E5-54AB-8C60-855977F62B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61C7A0-2068-9393-325D-79ADD35CE02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LFS estimates of total employment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4CF8143-328C-25F5-A09A-C06B2D215BCB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0.00113</cdr:x>
      <cdr:y>0.06982</cdr:y>
    </cdr:from>
    <cdr:to>
      <cdr:x>0.21465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277A6A7-C15E-0DEE-CCF0-B9D0EFF455A2}"/>
            </a:ext>
          </a:extLst>
        </cdr:cNvPr>
        <cdr:cNvSpPr txBox="1"/>
      </cdr:nvSpPr>
      <cdr:spPr>
        <a:xfrm xmlns:a="http://schemas.openxmlformats.org/drawingml/2006/main">
          <a:off x="9525" y="4699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Millions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69AA6-6FB0-26F1-C5EF-3BA969441D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18081E-52A9-D8EA-B1D8-879317B8512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Long-term net inward migration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E415F6-DBBE-F27A-0ED0-91801B947E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0.77284</cdr:x>
      <cdr:y>0.92563</cdr:y>
    </cdr:from>
    <cdr:to>
      <cdr:x>0.99731</cdr:x>
      <cdr:y>0.98555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3177CAA-FA17-CE4E-D230-ABA72D709D91}"/>
            </a:ext>
          </a:extLst>
        </cdr:cNvPr>
        <cdr:cNvSpPr txBox="1"/>
      </cdr:nvSpPr>
      <cdr:spPr>
        <a:xfrm xmlns:a="http://schemas.openxmlformats.org/drawingml/2006/main">
          <a:off x="6515100" y="6229349"/>
          <a:ext cx="1892300" cy="403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Year ending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FA7DBDA-CD89-3C13-1EBE-2E9375835291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46781-C3D8-A25D-04AF-AAA6BB46AA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869C19-B71F-96D1-B0AC-88EAA4E3D16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ILO unemployment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0C9BA44-B53D-4CDC-A65B-B5BBF6733AAA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0.12812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8EDACB2-2A6F-F3C3-F723-723766F71FD5}"/>
            </a:ext>
          </a:extLst>
        </cdr:cNvPr>
        <cdr:cNvSpPr txBox="1"/>
      </cdr:nvSpPr>
      <cdr:spPr>
        <a:xfrm xmlns:a="http://schemas.openxmlformats.org/drawingml/2006/main">
          <a:off x="0" y="507610"/>
          <a:ext cx="108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658FB-2726-4395-8A26-287DA92A105C}" name="Table1" displayName="Table1" ref="A6:F153" totalsRowShown="0" headerRowDxfId="15" dataDxfId="14">
  <autoFilter ref="A6:F153" xr:uid="{A6067F5F-35E1-4CC1-B86E-A95E20C8F8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81CD405-6520-4EC3-8EB0-D1BDF7EA685F}" name="Flow_x000a_[note 2]" dataDxfId="13"/>
    <tableColumn id="2" xr3:uid="{9C55A206-DC3E-492A-B516-AE7A2269EC8A}" name="Period_x000a_[note 15]" dataDxfId="12"/>
    <tableColumn id="3" xr3:uid="{5E760E5D-F9BC-4212-9BAB-AE9852F43A1D}" name="All Nationalities_x000a_[note 1]" dataDxfId="11"/>
    <tableColumn id="4" xr3:uid="{9C38242E-30F8-418C-9BCD-4156DC46291F}" name="British_x000a_[definition 2]" dataDxfId="10"/>
    <tableColumn id="5" xr3:uid="{DEB46C27-1A3A-40FB-9CC2-5419A63CBFF0}" name="EU+_x000a_[definition 3]" dataDxfId="9"/>
    <tableColumn id="6" xr3:uid="{74FA28F1-B872-4CC5-95B6-F454FE9898AD}" name="Non-EU+_x000a_[definition 4]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25BE8-C5DF-4523-8F05-CC3C9DE65361}" name="Table13" displayName="Table13" ref="A5:F146" totalsRowShown="0" headerRowDxfId="7" dataDxfId="6">
  <autoFilter ref="A5:F146" xr:uid="{A6067F5F-35E1-4CC1-B86E-A95E20C8F8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46715A-ACBF-4B54-9FA6-654E5A393996}" name="Flow" dataDxfId="5"/>
    <tableColumn id="2" xr3:uid="{DB98D4B3-C342-44F8-B60A-1D31517B8483}" name="Period" dataDxfId="4"/>
    <tableColumn id="3" xr3:uid="{B51A4EDE-B7F1-4614-BDEC-1D2A5339763F}" name="All Nationalities" dataDxfId="3"/>
    <tableColumn id="4" xr3:uid="{9A45A395-6021-4BE9-9804-A8D2717D5DAE}" name="British" dataDxfId="2"/>
    <tableColumn id="5" xr3:uid="{456B28B9-7221-42ED-B674-1DA034DBA687}" name="EU" dataDxfId="1"/>
    <tableColumn id="6" xr3:uid="{FC0BDDC9-7658-47C7-B1AC-69A6CB5A7ACA}" name="Non-E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EF20-2EE1-4AAF-95A0-C3D58FE083D5}">
  <sheetPr codeName="Sheet1"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B309-B465-4211-8774-47A47FFC080A}">
  <sheetPr codeName="Sheet6">
    <tabColor rgb="FFC00000"/>
  </sheetPr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3909-17BB-4CC9-9417-D649AD463072}">
  <sheetPr codeName="Sheet7"/>
  <dimension ref="A1:AF111"/>
  <sheetViews>
    <sheetView tabSelected="1" workbookViewId="0">
      <pane ySplit="3" topLeftCell="A18" activePane="bottomLeft" state="frozen"/>
      <selection pane="bottomLeft" activeCell="W21" sqref="W21"/>
    </sheetView>
  </sheetViews>
  <sheetFormatPr defaultRowHeight="15" x14ac:dyDescent="0.25"/>
  <cols>
    <col min="1" max="1" width="10.7109375" bestFit="1" customWidth="1"/>
    <col min="4" max="4" width="2.7109375" customWidth="1"/>
    <col min="5" max="5" width="10.7109375" bestFit="1" customWidth="1"/>
    <col min="9" max="9" width="2.7109375" customWidth="1"/>
    <col min="11" max="11" width="2.7109375" customWidth="1"/>
    <col min="12" max="12" width="10.7109375" bestFit="1" customWidth="1"/>
    <col min="13" max="15" width="9.140625" customWidth="1"/>
    <col min="16" max="16" width="2.7109375" customWidth="1"/>
    <col min="17" max="17" width="11.85546875" customWidth="1"/>
    <col min="18" max="20" width="9.140625" customWidth="1"/>
    <col min="21" max="21" width="2.7109375" customWidth="1"/>
    <col min="22" max="23" width="9.140625" customWidth="1"/>
    <col min="24" max="24" width="2.7109375" customWidth="1"/>
    <col min="25" max="25" width="10.7109375" bestFit="1" customWidth="1"/>
  </cols>
  <sheetData>
    <row r="1" spans="1:31" x14ac:dyDescent="0.25">
      <c r="A1" s="6" t="s">
        <v>557</v>
      </c>
      <c r="E1" s="6" t="s">
        <v>558</v>
      </c>
      <c r="L1" s="6" t="s">
        <v>1427</v>
      </c>
      <c r="Q1" s="6" t="s">
        <v>1451</v>
      </c>
      <c r="Y1" s="6" t="s">
        <v>1421</v>
      </c>
    </row>
    <row r="2" spans="1:31" x14ac:dyDescent="0.25">
      <c r="A2" s="6"/>
      <c r="E2" s="6"/>
      <c r="L2" s="6"/>
      <c r="Y2" s="6"/>
    </row>
    <row r="3" spans="1:31" x14ac:dyDescent="0.25">
      <c r="B3" t="s">
        <v>555</v>
      </c>
      <c r="C3" t="s">
        <v>556</v>
      </c>
      <c r="F3" t="s">
        <v>554</v>
      </c>
      <c r="G3" t="s">
        <v>553</v>
      </c>
      <c r="H3" t="s">
        <v>556</v>
      </c>
      <c r="J3" t="s">
        <v>552</v>
      </c>
      <c r="M3" t="s">
        <v>1431</v>
      </c>
      <c r="N3" t="s">
        <v>1428</v>
      </c>
      <c r="O3" t="s">
        <v>1432</v>
      </c>
      <c r="R3" s="5">
        <v>45200</v>
      </c>
      <c r="S3" s="5">
        <v>45323</v>
      </c>
      <c r="T3" t="s">
        <v>1452</v>
      </c>
      <c r="V3" t="s">
        <v>1524</v>
      </c>
      <c r="W3" t="s">
        <v>1523</v>
      </c>
      <c r="Z3" t="s">
        <v>1422</v>
      </c>
      <c r="AA3" t="s">
        <v>1423</v>
      </c>
      <c r="AB3" t="s">
        <v>1424</v>
      </c>
      <c r="AD3" t="s">
        <v>1425</v>
      </c>
      <c r="AE3" t="s">
        <v>1426</v>
      </c>
    </row>
    <row r="4" spans="1:31" x14ac:dyDescent="0.25">
      <c r="A4" s="5">
        <v>42370</v>
      </c>
      <c r="B4">
        <f>HAVERM!C439</f>
        <v>4.9279999999999999</v>
      </c>
      <c r="C4" s="3">
        <f>HAVERM!B439</f>
        <v>5.0999999999999996</v>
      </c>
      <c r="E4" s="5">
        <v>42370</v>
      </c>
      <c r="F4">
        <f>MIN(HAVERM!C438:C440)</f>
        <v>4.9279999999999999</v>
      </c>
      <c r="G4" s="3">
        <f t="shared" ref="G4:G35" si="0">J4-F4</f>
        <v>0.32399999999999984</v>
      </c>
      <c r="H4" s="3">
        <f>HAVERM!B439</f>
        <v>5.0999999999999996</v>
      </c>
      <c r="J4">
        <f>MAX(HAVERM!C438:C440)</f>
        <v>5.2519999999999998</v>
      </c>
      <c r="L4" s="9">
        <v>43466</v>
      </c>
      <c r="M4" s="8">
        <f>HAVERQ!BC164-AVERAGE(HAVERQ!$BC$164:$BC$167)</f>
        <v>-88.25</v>
      </c>
      <c r="N4" s="8">
        <f>(HAVERQ!BD164-AVERAGE(HAVERQ!$BD$164:$BD$167))/1000</f>
        <v>-77.403166666664177</v>
      </c>
      <c r="O4" s="8">
        <f>HAVERQ!BE164-AVERAGE(HAVERQ!$BE$164:$BE$167)</f>
        <v>-111</v>
      </c>
      <c r="Q4" s="9">
        <v>43466</v>
      </c>
      <c r="R4">
        <f>DataQ!Q191</f>
        <v>32697</v>
      </c>
      <c r="S4">
        <f>DataQ!P191</f>
        <v>32721</v>
      </c>
      <c r="T4">
        <f>DataQ!O191</f>
        <v>32773</v>
      </c>
      <c r="V4">
        <f>T4-R4</f>
        <v>76</v>
      </c>
      <c r="W4" s="2">
        <f t="shared" ref="W4:W20" si="1">100*((T4/R4)-1)</f>
        <v>0.23243722665688971</v>
      </c>
      <c r="Y4" s="9">
        <v>41061</v>
      </c>
      <c r="Z4" s="43">
        <f>'LTIM ye Jun24 - Table 1'!C105</f>
        <v>162000</v>
      </c>
      <c r="AA4" s="43">
        <f>'LTIM ye Dec23 - Table 1'!C100</f>
        <v>162000</v>
      </c>
    </row>
    <row r="5" spans="1:31" x14ac:dyDescent="0.25">
      <c r="A5" s="5">
        <v>42401</v>
      </c>
      <c r="B5">
        <f>HAVERM!C440</f>
        <v>5.1159999999999997</v>
      </c>
      <c r="C5" s="3">
        <f>HAVERM!B440</f>
        <v>5.0999999999999996</v>
      </c>
      <c r="E5" s="5">
        <v>42401</v>
      </c>
      <c r="F5">
        <f>MIN(HAVERM!C439:C441)</f>
        <v>4.9279999999999999</v>
      </c>
      <c r="G5" s="3">
        <f t="shared" si="0"/>
        <v>0.2370000000000001</v>
      </c>
      <c r="H5" s="3">
        <f>HAVERM!B440</f>
        <v>5.0999999999999996</v>
      </c>
      <c r="J5">
        <f>MAX(HAVERM!C439:C441)</f>
        <v>5.165</v>
      </c>
      <c r="L5" s="9">
        <v>43556</v>
      </c>
      <c r="M5" s="8">
        <f>HAVERQ!BC165-AVERAGE(HAVERQ!$BC$164:$BC$167)</f>
        <v>31.75</v>
      </c>
      <c r="N5" s="8">
        <f>(HAVERQ!BD165-AVERAGE(HAVERQ!$BD$164:$BD$167))/1000</f>
        <v>-12.330499999996274</v>
      </c>
      <c r="O5" s="8">
        <f>HAVERQ!BE165-AVERAGE(HAVERQ!$BE$164:$BE$167)</f>
        <v>-38</v>
      </c>
      <c r="Q5" s="9">
        <v>43556</v>
      </c>
      <c r="R5">
        <f>DataQ!Q192</f>
        <v>32811</v>
      </c>
      <c r="S5">
        <f>DataQ!P192</f>
        <v>32839</v>
      </c>
      <c r="T5">
        <f>DataQ!O192</f>
        <v>32965</v>
      </c>
      <c r="V5">
        <f t="shared" ref="V5:V21" si="2">T5-R5</f>
        <v>154</v>
      </c>
      <c r="W5" s="2">
        <f t="shared" si="1"/>
        <v>0.46935478955227872</v>
      </c>
      <c r="Y5" s="9">
        <v>41153</v>
      </c>
      <c r="Z5" s="43">
        <f>'LTIM ye Jun24 - Table 1'!C106</f>
        <v>157000</v>
      </c>
      <c r="AA5" s="43">
        <f>'LTIM ye Dec23 - Table 1'!C101</f>
        <v>157000</v>
      </c>
    </row>
    <row r="6" spans="1:31" x14ac:dyDescent="0.25">
      <c r="A6" s="5">
        <v>42430</v>
      </c>
      <c r="B6">
        <f>HAVERM!C441</f>
        <v>5.165</v>
      </c>
      <c r="C6" s="3">
        <f>HAVERM!B441</f>
        <v>5</v>
      </c>
      <c r="E6" s="5">
        <v>42430</v>
      </c>
      <c r="F6">
        <f>MIN(HAVERM!C440:C442)</f>
        <v>4.7300000000000004</v>
      </c>
      <c r="G6" s="3">
        <f t="shared" si="0"/>
        <v>0.43499999999999961</v>
      </c>
      <c r="H6" s="3">
        <f>HAVERM!B441</f>
        <v>5</v>
      </c>
      <c r="J6">
        <f>MAX(HAVERM!C440:C442)</f>
        <v>5.165</v>
      </c>
      <c r="L6" s="9">
        <v>43647</v>
      </c>
      <c r="M6" s="8">
        <f>HAVERQ!BC166-AVERAGE(HAVERQ!$BC$164:$BC$167)</f>
        <v>-18.25</v>
      </c>
      <c r="N6" s="8">
        <f>(HAVERQ!BD166-AVERAGE(HAVERQ!$BD$164:$BD$167))/1000</f>
        <v>20.369833333335816</v>
      </c>
      <c r="O6" s="8">
        <f>HAVERQ!BE166-AVERAGE(HAVERQ!$BE$164:$BE$167)</f>
        <v>94</v>
      </c>
      <c r="Q6" s="9">
        <v>43647</v>
      </c>
      <c r="R6">
        <f>DataQ!Q193</f>
        <v>32753</v>
      </c>
      <c r="S6">
        <f>DataQ!P193</f>
        <v>32779</v>
      </c>
      <c r="T6">
        <f>DataQ!O193</f>
        <v>32894</v>
      </c>
      <c r="V6">
        <f t="shared" si="2"/>
        <v>141</v>
      </c>
      <c r="W6" s="2">
        <f t="shared" si="1"/>
        <v>0.43049491649620464</v>
      </c>
      <c r="Y6" s="9">
        <v>41244</v>
      </c>
      <c r="Z6" s="43">
        <f>'LTIM ye Jun24 - Table 1'!C107</f>
        <v>195000</v>
      </c>
      <c r="AA6" s="43">
        <f>'LTIM ye Dec23 - Table 1'!C102</f>
        <v>195000</v>
      </c>
    </row>
    <row r="7" spans="1:31" x14ac:dyDescent="0.25">
      <c r="A7" s="5">
        <v>42461</v>
      </c>
      <c r="B7">
        <f>HAVERM!C442</f>
        <v>4.7300000000000004</v>
      </c>
      <c r="C7" s="3">
        <f>HAVERM!B442</f>
        <v>4.9000000000000004</v>
      </c>
      <c r="E7" s="5">
        <v>42461</v>
      </c>
      <c r="F7">
        <f>MIN(HAVERM!C441:C443)</f>
        <v>4.7300000000000004</v>
      </c>
      <c r="G7" s="3">
        <f t="shared" si="0"/>
        <v>0.43499999999999961</v>
      </c>
      <c r="H7" s="3">
        <f>HAVERM!B442</f>
        <v>4.9000000000000004</v>
      </c>
      <c r="J7">
        <f>MAX(HAVERM!C441:C443)</f>
        <v>5.165</v>
      </c>
      <c r="L7" s="9">
        <v>43739</v>
      </c>
      <c r="M7" s="8">
        <f>HAVERQ!BC167-AVERAGE(HAVERQ!$BC$164:$BC$167)</f>
        <v>74.75</v>
      </c>
      <c r="N7" s="8">
        <f>(HAVERQ!BD167-AVERAGE(HAVERQ!$BD$164:$BD$167))/1000</f>
        <v>69.363833333335819</v>
      </c>
      <c r="O7" s="8">
        <f>HAVERQ!BE167-AVERAGE(HAVERQ!$BE$164:$BE$167)</f>
        <v>55</v>
      </c>
      <c r="Q7" s="9">
        <v>43739</v>
      </c>
      <c r="R7">
        <f>DataQ!Q194</f>
        <v>32934</v>
      </c>
      <c r="S7">
        <f>DataQ!P194</f>
        <v>32954</v>
      </c>
      <c r="T7">
        <f>DataQ!O194</f>
        <v>33055</v>
      </c>
      <c r="V7">
        <f t="shared" si="2"/>
        <v>121</v>
      </c>
      <c r="W7" s="2">
        <f t="shared" si="1"/>
        <v>0.36740146960587694</v>
      </c>
      <c r="Y7" s="9">
        <v>41334</v>
      </c>
      <c r="Z7" s="43">
        <f>'LTIM ye Jun24 - Table 1'!C108</f>
        <v>204000</v>
      </c>
      <c r="AA7" s="43">
        <f>'LTIM ye Dec23 - Table 1'!C103</f>
        <v>204000</v>
      </c>
    </row>
    <row r="8" spans="1:31" x14ac:dyDescent="0.25">
      <c r="A8" s="5">
        <v>42491</v>
      </c>
      <c r="B8">
        <f>HAVERM!C443</f>
        <v>4.88</v>
      </c>
      <c r="C8" s="3">
        <f>HAVERM!B443</f>
        <v>4.9000000000000004</v>
      </c>
      <c r="E8" s="5">
        <v>42491</v>
      </c>
      <c r="F8">
        <f>MIN(HAVERM!C442:C444)</f>
        <v>4.7300000000000004</v>
      </c>
      <c r="G8" s="3">
        <f t="shared" si="0"/>
        <v>0.41499999999999915</v>
      </c>
      <c r="H8" s="3">
        <f>HAVERM!B443</f>
        <v>4.9000000000000004</v>
      </c>
      <c r="J8">
        <f>MAX(HAVERM!C442:C444)</f>
        <v>5.1449999999999996</v>
      </c>
      <c r="L8" s="9">
        <v>43831</v>
      </c>
      <c r="M8" s="8">
        <f>HAVERQ!BC168-AVERAGE(HAVERQ!$BC$164:$BC$167)</f>
        <v>98.75</v>
      </c>
      <c r="N8" s="8">
        <f>(HAVERQ!BD168-AVERAGE(HAVERQ!$BD$164:$BD$167))/1000</f>
        <v>123.16416666667163</v>
      </c>
      <c r="O8" s="8">
        <f>HAVERQ!BE168-AVERAGE(HAVERQ!$BE$164:$BE$167)</f>
        <v>201</v>
      </c>
      <c r="Q8" s="9">
        <v>43831</v>
      </c>
      <c r="R8">
        <f>DataQ!Q195</f>
        <v>32984</v>
      </c>
      <c r="S8">
        <f>DataQ!P195</f>
        <v>33000</v>
      </c>
      <c r="T8">
        <f>DataQ!O195</f>
        <v>32972</v>
      </c>
      <c r="V8">
        <f t="shared" si="2"/>
        <v>-12</v>
      </c>
      <c r="W8" s="2">
        <f t="shared" si="1"/>
        <v>-3.6381275770069887E-2</v>
      </c>
      <c r="Y8" s="9">
        <v>41426</v>
      </c>
      <c r="Z8" s="43">
        <f>'LTIM ye Jun24 - Table 1'!C109</f>
        <v>215000</v>
      </c>
      <c r="AA8" s="43">
        <f>'LTIM ye Dec23 - Table 1'!C104</f>
        <v>215000</v>
      </c>
    </row>
    <row r="9" spans="1:31" x14ac:dyDescent="0.25">
      <c r="A9" s="5">
        <v>42522</v>
      </c>
      <c r="B9">
        <f>HAVERM!C444</f>
        <v>5.1449999999999996</v>
      </c>
      <c r="C9" s="3">
        <f>HAVERM!B444</f>
        <v>4.9000000000000004</v>
      </c>
      <c r="E9" s="5">
        <v>42522</v>
      </c>
      <c r="F9">
        <f>MIN(HAVERM!C443:C445)</f>
        <v>4.6589999999999998</v>
      </c>
      <c r="G9" s="3">
        <f t="shared" si="0"/>
        <v>0.48599999999999977</v>
      </c>
      <c r="H9" s="3">
        <f>HAVERM!B444</f>
        <v>4.9000000000000004</v>
      </c>
      <c r="J9">
        <f>MAX(HAVERM!C443:C445)</f>
        <v>5.1449999999999996</v>
      </c>
      <c r="L9" s="9">
        <v>43922</v>
      </c>
      <c r="M9" s="8">
        <f>HAVERQ!BC169-AVERAGE(HAVERQ!$BC$164:$BC$167)</f>
        <v>52.75</v>
      </c>
      <c r="N9" s="8">
        <f>(HAVERQ!BD169-AVERAGE(HAVERQ!$BD$164:$BD$167))/1000</f>
        <v>-470.39849999999626</v>
      </c>
      <c r="O9" s="8">
        <f>HAVERQ!BE169-AVERAGE(HAVERQ!$BE$164:$BE$167)</f>
        <v>-96</v>
      </c>
      <c r="Q9" s="9">
        <v>43922</v>
      </c>
      <c r="R9">
        <f>DataQ!Q196</f>
        <v>32560</v>
      </c>
      <c r="S9">
        <f>DataQ!P196</f>
        <v>32571</v>
      </c>
      <c r="T9">
        <f>DataQ!O196</f>
        <v>32636</v>
      </c>
      <c r="V9">
        <f t="shared" si="2"/>
        <v>76</v>
      </c>
      <c r="W9" s="2">
        <f t="shared" si="1"/>
        <v>0.23341523341522397</v>
      </c>
      <c r="Y9" s="9">
        <v>41518</v>
      </c>
      <c r="Z9" s="43">
        <f>'LTIM ye Jun24 - Table 1'!C110</f>
        <v>259000</v>
      </c>
      <c r="AA9" s="43">
        <f>'LTIM ye Dec23 - Table 1'!C105</f>
        <v>259000</v>
      </c>
    </row>
    <row r="10" spans="1:31" x14ac:dyDescent="0.25">
      <c r="A10" s="5">
        <v>42552</v>
      </c>
      <c r="B10">
        <f>HAVERM!C445</f>
        <v>4.6589999999999998</v>
      </c>
      <c r="C10" s="3">
        <f>HAVERM!B445</f>
        <v>5</v>
      </c>
      <c r="E10" s="5">
        <v>42552</v>
      </c>
      <c r="F10">
        <f>MIN(HAVERM!C444:C446)</f>
        <v>4.6589999999999998</v>
      </c>
      <c r="G10" s="3">
        <f t="shared" si="0"/>
        <v>0.48599999999999977</v>
      </c>
      <c r="H10" s="3">
        <f>HAVERM!B445</f>
        <v>5</v>
      </c>
      <c r="J10">
        <f>MAX(HAVERM!C444:C446)</f>
        <v>5.1449999999999996</v>
      </c>
      <c r="L10" s="9">
        <v>44013</v>
      </c>
      <c r="M10" s="8">
        <f>HAVERQ!BC170-AVERAGE(HAVERQ!$BC$164:$BC$167)</f>
        <v>18.75</v>
      </c>
      <c r="N10" s="8">
        <f>(HAVERQ!BD170-AVERAGE(HAVERQ!$BD$164:$BD$167))/1000</f>
        <v>-654.10749999999632</v>
      </c>
      <c r="O10" s="8">
        <f>HAVERQ!BE170-AVERAGE(HAVERQ!$BE$164:$BE$167)</f>
        <v>-502</v>
      </c>
      <c r="Q10" s="9">
        <v>44013</v>
      </c>
      <c r="R10">
        <f>DataQ!Q197</f>
        <v>32333</v>
      </c>
      <c r="S10">
        <f>DataQ!P197</f>
        <v>32354</v>
      </c>
      <c r="T10">
        <f>DataQ!O197</f>
        <v>32352</v>
      </c>
      <c r="V10">
        <f t="shared" si="2"/>
        <v>19</v>
      </c>
      <c r="W10" s="2">
        <f t="shared" si="1"/>
        <v>5.8763492407143403E-2</v>
      </c>
      <c r="Y10" s="9">
        <v>41609</v>
      </c>
      <c r="Z10" s="43">
        <f>'LTIM ye Jun24 - Table 1'!C111</f>
        <v>244000</v>
      </c>
      <c r="AA10" s="43">
        <f>'LTIM ye Dec23 - Table 1'!C106</f>
        <v>244000</v>
      </c>
    </row>
    <row r="11" spans="1:31" x14ac:dyDescent="0.25">
      <c r="A11" s="5">
        <v>42583</v>
      </c>
      <c r="B11">
        <f>HAVERM!C446</f>
        <v>5.1040000000000001</v>
      </c>
      <c r="C11" s="3">
        <f>HAVERM!B446</f>
        <v>4.8</v>
      </c>
      <c r="E11" s="5">
        <v>42583</v>
      </c>
      <c r="F11">
        <f>MIN(HAVERM!C445:C447)</f>
        <v>4.6589999999999998</v>
      </c>
      <c r="G11" s="3">
        <f t="shared" si="0"/>
        <v>0.44500000000000028</v>
      </c>
      <c r="H11" s="3">
        <f>HAVERM!B446</f>
        <v>4.8</v>
      </c>
      <c r="J11">
        <f>MAX(HAVERM!C445:C447)</f>
        <v>5.1040000000000001</v>
      </c>
      <c r="L11" s="9">
        <v>44105</v>
      </c>
      <c r="M11" s="8">
        <f>HAVERQ!BC171-AVERAGE(HAVERQ!$BC$164:$BC$167)</f>
        <v>64.75</v>
      </c>
      <c r="N11" s="8">
        <f>(HAVERQ!BD171-AVERAGE(HAVERQ!$BD$164:$BD$167))/1000</f>
        <v>-786.0388333333284</v>
      </c>
      <c r="O11" s="8">
        <f>HAVERQ!BE171-AVERAGE(HAVERQ!$BE$164:$BE$167)</f>
        <v>-507</v>
      </c>
      <c r="Q11" s="9">
        <v>44105</v>
      </c>
      <c r="R11">
        <f>DataQ!Q198</f>
        <v>32159</v>
      </c>
      <c r="S11">
        <f>DataQ!P198</f>
        <v>32198</v>
      </c>
      <c r="T11">
        <f>DataQ!O198</f>
        <v>32266</v>
      </c>
      <c r="V11">
        <f t="shared" si="2"/>
        <v>107</v>
      </c>
      <c r="W11" s="2">
        <f t="shared" si="1"/>
        <v>0.33272178861283308</v>
      </c>
      <c r="Y11" s="9">
        <v>41699</v>
      </c>
      <c r="Z11" s="43">
        <f>'LTIM ye Jun24 - Table 1'!C112</f>
        <v>256000</v>
      </c>
      <c r="AA11" s="43">
        <f>'LTIM ye Dec23 - Table 1'!C107</f>
        <v>256000</v>
      </c>
    </row>
    <row r="12" spans="1:31" x14ac:dyDescent="0.25">
      <c r="A12" s="5">
        <v>42614</v>
      </c>
      <c r="B12">
        <f>HAVERM!C447</f>
        <v>4.7359999999999998</v>
      </c>
      <c r="C12" s="3">
        <f>HAVERM!B447</f>
        <v>4.8</v>
      </c>
      <c r="E12" s="5">
        <v>42614</v>
      </c>
      <c r="F12">
        <f>MIN(HAVERM!C446:C448)</f>
        <v>4.66</v>
      </c>
      <c r="G12" s="3">
        <f t="shared" si="0"/>
        <v>0.44399999999999995</v>
      </c>
      <c r="H12" s="3">
        <f>HAVERM!B447</f>
        <v>4.8</v>
      </c>
      <c r="J12">
        <f>MAX(HAVERM!C446:C448)</f>
        <v>5.1040000000000001</v>
      </c>
      <c r="L12" s="9">
        <v>44197</v>
      </c>
      <c r="M12" s="8">
        <f>HAVERQ!BC172-AVERAGE(HAVERQ!$BC$164:$BC$167)</f>
        <v>164.75</v>
      </c>
      <c r="N12" s="8">
        <f>(HAVERQ!BD172-AVERAGE(HAVERQ!$BD$164:$BD$167))/1000</f>
        <v>-736.78816666666421</v>
      </c>
      <c r="O12" s="8">
        <f>HAVERQ!BE172-AVERAGE(HAVERQ!$BE$164:$BE$167)</f>
        <v>-318</v>
      </c>
      <c r="Q12" s="9">
        <v>44197</v>
      </c>
      <c r="R12">
        <f>DataQ!Q199</f>
        <v>32165</v>
      </c>
      <c r="S12">
        <f>DataQ!P199</f>
        <v>32221</v>
      </c>
      <c r="T12">
        <f>DataQ!O199</f>
        <v>32308</v>
      </c>
      <c r="V12">
        <f t="shared" si="2"/>
        <v>143</v>
      </c>
      <c r="W12" s="2">
        <f t="shared" si="1"/>
        <v>0.44458262086117806</v>
      </c>
      <c r="Y12" s="9">
        <v>41791</v>
      </c>
      <c r="Z12" s="43">
        <f>'LTIM ye Jun24 - Table 1'!C113</f>
        <v>248000</v>
      </c>
      <c r="AA12" s="43">
        <f>'LTIM ye Dec23 - Table 1'!C108</f>
        <v>248000</v>
      </c>
    </row>
    <row r="13" spans="1:31" x14ac:dyDescent="0.25">
      <c r="A13" s="5">
        <v>42644</v>
      </c>
      <c r="B13">
        <f>HAVERM!C448</f>
        <v>4.66</v>
      </c>
      <c r="C13" s="3">
        <f>HAVERM!B448</f>
        <v>4.8</v>
      </c>
      <c r="E13" s="5">
        <v>42644</v>
      </c>
      <c r="F13">
        <f>MIN(HAVERM!C447:C449)</f>
        <v>4.66</v>
      </c>
      <c r="G13" s="3">
        <f t="shared" si="0"/>
        <v>0.29099999999999948</v>
      </c>
      <c r="H13" s="3">
        <f>HAVERM!B448</f>
        <v>4.8</v>
      </c>
      <c r="J13">
        <f>MAX(HAVERM!C447:C449)</f>
        <v>4.9509999999999996</v>
      </c>
      <c r="L13" s="9">
        <v>44287</v>
      </c>
      <c r="M13" s="8">
        <f>HAVERQ!BC173-AVERAGE(HAVERQ!$BC$164:$BC$167)</f>
        <v>299.75</v>
      </c>
      <c r="N13" s="8">
        <f>(HAVERQ!BD173-AVERAGE(HAVERQ!$BD$164:$BD$167))/1000</f>
        <v>-405.62849999999628</v>
      </c>
      <c r="O13" s="8">
        <f>HAVERQ!BE173-AVERAGE(HAVERQ!$BE$164:$BE$167)</f>
        <v>-54</v>
      </c>
      <c r="Q13" s="9">
        <v>44287</v>
      </c>
      <c r="R13">
        <f>DataQ!Q200</f>
        <v>32303</v>
      </c>
      <c r="S13">
        <f>DataQ!P200</f>
        <v>32377</v>
      </c>
      <c r="T13">
        <f>DataQ!O200</f>
        <v>32454</v>
      </c>
      <c r="V13">
        <f t="shared" si="2"/>
        <v>151</v>
      </c>
      <c r="W13" s="2">
        <f t="shared" si="1"/>
        <v>0.46744884376064277</v>
      </c>
      <c r="Y13" s="9">
        <v>41883</v>
      </c>
      <c r="Z13" s="43">
        <f>'LTIM ye Jun24 - Table 1'!C114</f>
        <v>264000</v>
      </c>
      <c r="AA13" s="43">
        <f>'LTIM ye Dec23 - Table 1'!C109</f>
        <v>264000</v>
      </c>
    </row>
    <row r="14" spans="1:31" x14ac:dyDescent="0.25">
      <c r="A14" s="5">
        <v>42675</v>
      </c>
      <c r="B14">
        <f>HAVERM!C449</f>
        <v>4.9509999999999996</v>
      </c>
      <c r="C14" s="3">
        <f>HAVERM!B449</f>
        <v>4.7</v>
      </c>
      <c r="E14" s="5">
        <v>42675</v>
      </c>
      <c r="F14">
        <f>MIN(HAVERM!C448:C450)</f>
        <v>4.5940000000000003</v>
      </c>
      <c r="G14" s="3">
        <f t="shared" si="0"/>
        <v>0.35699999999999932</v>
      </c>
      <c r="H14" s="3">
        <f>HAVERM!B449</f>
        <v>4.7</v>
      </c>
      <c r="J14">
        <f>MAX(HAVERM!C448:C450)</f>
        <v>4.9509999999999996</v>
      </c>
      <c r="L14" s="9">
        <v>44378</v>
      </c>
      <c r="M14" s="8">
        <f>HAVERQ!BC174-AVERAGE(HAVERQ!$BC$164:$BC$167)</f>
        <v>547.75</v>
      </c>
      <c r="N14" s="8">
        <f>(HAVERQ!BD174-AVERAGE(HAVERQ!$BD$164:$BD$167))/1000</f>
        <v>18.338500000003727</v>
      </c>
      <c r="O14" s="8">
        <f>HAVERQ!BE174-AVERAGE(HAVERQ!$BE$164:$BE$167)</f>
        <v>279</v>
      </c>
      <c r="Q14" s="9">
        <v>44378</v>
      </c>
      <c r="R14">
        <f>DataQ!Q201</f>
        <v>32592</v>
      </c>
      <c r="S14">
        <f>DataQ!P201</f>
        <v>32687</v>
      </c>
      <c r="T14">
        <f>DataQ!O201</f>
        <v>32712</v>
      </c>
      <c r="V14">
        <f t="shared" si="2"/>
        <v>120</v>
      </c>
      <c r="W14" s="2">
        <f t="shared" si="1"/>
        <v>0.36818851251840812</v>
      </c>
      <c r="Y14" s="9">
        <v>41974</v>
      </c>
      <c r="Z14" s="43">
        <f>'LTIM ye Jun24 - Table 1'!C115</f>
        <v>284000</v>
      </c>
      <c r="AA14" s="43">
        <f>'LTIM ye Dec23 - Table 1'!C110</f>
        <v>284000</v>
      </c>
    </row>
    <row r="15" spans="1:31" x14ac:dyDescent="0.25">
      <c r="A15" s="5">
        <v>42705</v>
      </c>
      <c r="B15">
        <f>HAVERM!C450</f>
        <v>4.5940000000000003</v>
      </c>
      <c r="C15" s="3">
        <f>HAVERM!B450</f>
        <v>4.7</v>
      </c>
      <c r="E15" s="5">
        <v>42705</v>
      </c>
      <c r="F15">
        <f>MIN(HAVERM!C449:C451)</f>
        <v>4.5940000000000003</v>
      </c>
      <c r="G15" s="3">
        <f t="shared" si="0"/>
        <v>0.35699999999999932</v>
      </c>
      <c r="H15" s="3">
        <f>HAVERM!B450</f>
        <v>4.7</v>
      </c>
      <c r="J15">
        <f>MAX(HAVERM!C449:C451)</f>
        <v>4.9509999999999996</v>
      </c>
      <c r="L15" s="9">
        <v>44470</v>
      </c>
      <c r="M15" s="8">
        <f>HAVERQ!BC175-AVERAGE(HAVERQ!$BC$164:$BC$167)</f>
        <v>638.75</v>
      </c>
      <c r="N15" s="8">
        <f>(HAVERQ!BD175-AVERAGE(HAVERQ!$BD$164:$BD$167))/1000</f>
        <v>252.31150000000372</v>
      </c>
      <c r="O15" s="8">
        <f>HAVERQ!BE175-AVERAGE(HAVERQ!$BE$164:$BE$167)</f>
        <v>424</v>
      </c>
      <c r="Q15" s="9">
        <v>44470</v>
      </c>
      <c r="R15">
        <f>DataQ!Q202</f>
        <v>32567</v>
      </c>
      <c r="S15">
        <f>DataQ!P202</f>
        <v>32686</v>
      </c>
      <c r="T15">
        <f>DataQ!O202</f>
        <v>32729</v>
      </c>
      <c r="V15">
        <f t="shared" si="2"/>
        <v>162</v>
      </c>
      <c r="W15" s="2">
        <f t="shared" si="1"/>
        <v>0.49743605490220055</v>
      </c>
      <c r="Y15" s="9">
        <v>42064</v>
      </c>
      <c r="Z15" s="43">
        <f>'LTIM ye Jun24 - Table 1'!C116</f>
        <v>296000</v>
      </c>
      <c r="AA15" s="43">
        <f>'LTIM ye Dec23 - Table 1'!C111</f>
        <v>296000</v>
      </c>
    </row>
    <row r="16" spans="1:31" x14ac:dyDescent="0.25">
      <c r="A16" s="5">
        <v>42736</v>
      </c>
      <c r="B16">
        <f>HAVERM!C451</f>
        <v>4.5940000000000003</v>
      </c>
      <c r="C16" s="3">
        <f>HAVERM!B451</f>
        <v>4.5999999999999996</v>
      </c>
      <c r="E16" s="5">
        <v>42736</v>
      </c>
      <c r="F16">
        <f>MIN(HAVERM!C450:C452)</f>
        <v>4.5940000000000003</v>
      </c>
      <c r="G16" s="3">
        <f t="shared" si="0"/>
        <v>0.11399999999999988</v>
      </c>
      <c r="H16" s="3">
        <f>HAVERM!B451</f>
        <v>4.5999999999999996</v>
      </c>
      <c r="J16">
        <f>MAX(HAVERM!C450:C452)</f>
        <v>4.7080000000000002</v>
      </c>
      <c r="L16" s="9">
        <v>44562</v>
      </c>
      <c r="M16" s="8">
        <f>HAVERQ!BC176-AVERAGE(HAVERQ!$BC$164:$BC$167)</f>
        <v>643.75</v>
      </c>
      <c r="N16" s="8">
        <f>(HAVERQ!BD176-AVERAGE(HAVERQ!$BD$164:$BD$167))/1000</f>
        <v>495.78316666667166</v>
      </c>
      <c r="O16" s="8">
        <f>HAVERQ!BE176-AVERAGE(HAVERQ!$BE$164:$BE$167)</f>
        <v>680</v>
      </c>
      <c r="Q16" s="9">
        <v>44562</v>
      </c>
      <c r="R16">
        <f>DataQ!Q203</f>
        <v>32632</v>
      </c>
      <c r="S16">
        <f>DataQ!P203</f>
        <v>32775</v>
      </c>
      <c r="T16">
        <f>DataQ!O203</f>
        <v>32784</v>
      </c>
      <c r="V16">
        <f t="shared" si="2"/>
        <v>152</v>
      </c>
      <c r="W16" s="2">
        <f t="shared" si="1"/>
        <v>0.46580044128463616</v>
      </c>
      <c r="Y16" s="9">
        <v>42156</v>
      </c>
      <c r="Z16" s="43">
        <f>'LTIM ye Jun24 - Table 1'!C117</f>
        <v>296000</v>
      </c>
      <c r="AA16" s="43">
        <f>'LTIM ye Dec23 - Table 1'!C112</f>
        <v>296000</v>
      </c>
    </row>
    <row r="17" spans="1:27" x14ac:dyDescent="0.25">
      <c r="A17" s="5">
        <v>42767</v>
      </c>
      <c r="B17">
        <f>HAVERM!C452</f>
        <v>4.7080000000000002</v>
      </c>
      <c r="C17" s="3">
        <f>HAVERM!B452</f>
        <v>4.5999999999999996</v>
      </c>
      <c r="E17" s="5">
        <v>42767</v>
      </c>
      <c r="F17">
        <f>MIN(HAVERM!C451:C453)</f>
        <v>4.3710000000000004</v>
      </c>
      <c r="G17" s="3">
        <f t="shared" si="0"/>
        <v>0.33699999999999974</v>
      </c>
      <c r="H17" s="3">
        <f>HAVERM!B452</f>
        <v>4.5999999999999996</v>
      </c>
      <c r="J17">
        <f>MAX(HAVERM!C451:C453)</f>
        <v>4.7080000000000002</v>
      </c>
      <c r="L17" s="9">
        <v>44652</v>
      </c>
      <c r="M17" s="8">
        <f>HAVERQ!BC177-AVERAGE(HAVERQ!$BC$164:$BC$167)</f>
        <v>838.75</v>
      </c>
      <c r="N17" s="8">
        <f>(HAVERQ!BD177-AVERAGE(HAVERQ!$BD$164:$BD$167))/1000</f>
        <v>642.60750000000371</v>
      </c>
      <c r="O17" s="8">
        <f>HAVERQ!BE177-AVERAGE(HAVERQ!$BE$164:$BE$167)</f>
        <v>880</v>
      </c>
      <c r="Q17" s="9">
        <v>44652</v>
      </c>
      <c r="R17">
        <f>DataQ!Q204</f>
        <v>32792</v>
      </c>
      <c r="S17">
        <f>DataQ!P204</f>
        <v>32958</v>
      </c>
      <c r="T17">
        <f>DataQ!O204</f>
        <v>33007</v>
      </c>
      <c r="V17">
        <f t="shared" si="2"/>
        <v>215</v>
      </c>
      <c r="W17" s="2">
        <f t="shared" si="1"/>
        <v>0.65564771895583185</v>
      </c>
      <c r="Y17" s="9">
        <v>42248</v>
      </c>
      <c r="Z17" s="43">
        <f>'LTIM ye Jun24 - Table 1'!C118</f>
        <v>293000</v>
      </c>
      <c r="AA17" s="43">
        <f>'LTIM ye Dec23 - Table 1'!C113</f>
        <v>293000</v>
      </c>
    </row>
    <row r="18" spans="1:27" x14ac:dyDescent="0.25">
      <c r="A18" s="5">
        <v>42795</v>
      </c>
      <c r="B18">
        <f>HAVERM!C453</f>
        <v>4.3710000000000004</v>
      </c>
      <c r="C18" s="3">
        <f>HAVERM!B453</f>
        <v>4.5</v>
      </c>
      <c r="E18" s="5">
        <v>42795</v>
      </c>
      <c r="F18">
        <f>MIN(HAVERM!C452:C454)</f>
        <v>4.3710000000000004</v>
      </c>
      <c r="G18" s="3">
        <f t="shared" si="0"/>
        <v>0.33699999999999974</v>
      </c>
      <c r="H18" s="3">
        <f>HAVERM!B453</f>
        <v>4.5</v>
      </c>
      <c r="J18">
        <f>MAX(HAVERM!C452:C454)</f>
        <v>4.7080000000000002</v>
      </c>
      <c r="L18" s="9">
        <v>44743</v>
      </c>
      <c r="M18" s="8">
        <f>HAVERQ!BC178-AVERAGE(HAVERQ!$BC$164:$BC$167)</f>
        <v>741.75</v>
      </c>
      <c r="N18" s="8">
        <f>(HAVERQ!BD178-AVERAGE(HAVERQ!$BD$164:$BD$167))/1000</f>
        <v>795.1341666666716</v>
      </c>
      <c r="O18" s="8">
        <f>HAVERQ!BE178-AVERAGE(HAVERQ!$BE$164:$BE$167)</f>
        <v>974</v>
      </c>
      <c r="Q18" s="9">
        <v>44743</v>
      </c>
      <c r="R18">
        <f>DataQ!Q205</f>
        <v>32739</v>
      </c>
      <c r="S18">
        <f>DataQ!P205</f>
        <v>32916</v>
      </c>
      <c r="T18">
        <f>DataQ!O205</f>
        <v>32904</v>
      </c>
      <c r="V18">
        <f t="shared" si="2"/>
        <v>165</v>
      </c>
      <c r="W18" s="2">
        <f t="shared" si="1"/>
        <v>0.50398607165764719</v>
      </c>
      <c r="Y18" s="9">
        <v>42339</v>
      </c>
      <c r="Z18" s="43">
        <f>'LTIM ye Jun24 - Table 1'!C119</f>
        <v>303000</v>
      </c>
      <c r="AA18" s="43">
        <f>'LTIM ye Dec23 - Table 1'!C114</f>
        <v>303000</v>
      </c>
    </row>
    <row r="19" spans="1:27" x14ac:dyDescent="0.25">
      <c r="A19" s="5">
        <v>42826</v>
      </c>
      <c r="B19">
        <f>HAVERM!C454</f>
        <v>4.5609999999999999</v>
      </c>
      <c r="C19" s="3">
        <f>HAVERM!B454</f>
        <v>4.4000000000000004</v>
      </c>
      <c r="E19" s="5">
        <v>42826</v>
      </c>
      <c r="F19">
        <f>MIN(HAVERM!C453:C455)</f>
        <v>4.3710000000000004</v>
      </c>
      <c r="G19" s="3">
        <f t="shared" si="0"/>
        <v>0.1899999999999995</v>
      </c>
      <c r="H19" s="3">
        <f>HAVERM!B454</f>
        <v>4.4000000000000004</v>
      </c>
      <c r="J19">
        <f>MAX(HAVERM!C453:C455)</f>
        <v>4.5609999999999999</v>
      </c>
      <c r="L19" s="9">
        <v>44835</v>
      </c>
      <c r="M19" s="8">
        <f>HAVERQ!BC179-AVERAGE(HAVERQ!$BC$164:$BC$167)</f>
        <v>895.75</v>
      </c>
      <c r="N19" s="8">
        <f>(HAVERQ!BD179-AVERAGE(HAVERQ!$BD$164:$BD$167))/1000</f>
        <v>960.62283333333585</v>
      </c>
      <c r="O19" s="8">
        <f>HAVERQ!BE179-AVERAGE(HAVERQ!$BE$164:$BE$167)</f>
        <v>1091</v>
      </c>
      <c r="Q19" s="9">
        <v>44835</v>
      </c>
      <c r="R19">
        <f>DataQ!Q206</f>
        <v>32813</v>
      </c>
      <c r="S19">
        <f>DataQ!P206</f>
        <v>33067</v>
      </c>
      <c r="T19">
        <f>DataQ!O206</f>
        <v>33114</v>
      </c>
      <c r="V19">
        <f t="shared" si="2"/>
        <v>301</v>
      </c>
      <c r="W19" s="2">
        <f t="shared" si="1"/>
        <v>0.91731935513363894</v>
      </c>
      <c r="Y19" s="9">
        <v>42430</v>
      </c>
      <c r="Z19" s="43">
        <f>'LTIM ye Jun24 - Table 1'!C120</f>
        <v>298000</v>
      </c>
      <c r="AA19" s="43">
        <f>'LTIM ye Dec23 - Table 1'!C115</f>
        <v>298000</v>
      </c>
    </row>
    <row r="20" spans="1:27" x14ac:dyDescent="0.25">
      <c r="A20" s="5">
        <v>42856</v>
      </c>
      <c r="B20">
        <f>HAVERM!C455</f>
        <v>4.3899999999999997</v>
      </c>
      <c r="C20" s="3">
        <f>HAVERM!B455</f>
        <v>4.4000000000000004</v>
      </c>
      <c r="E20" s="5">
        <v>42856</v>
      </c>
      <c r="F20">
        <f>MIN(HAVERM!C454:C456)</f>
        <v>4.3109999999999999</v>
      </c>
      <c r="G20" s="3">
        <f t="shared" si="0"/>
        <v>0.25</v>
      </c>
      <c r="H20" s="3">
        <f>HAVERM!B455</f>
        <v>4.4000000000000004</v>
      </c>
      <c r="J20">
        <f>MAX(HAVERM!C454:C456)</f>
        <v>4.5609999999999999</v>
      </c>
      <c r="L20" s="9">
        <v>44927</v>
      </c>
      <c r="M20" s="8">
        <f>HAVERQ!BC180-AVERAGE(HAVERQ!$BC$164:$BC$167)</f>
        <v>985.75</v>
      </c>
      <c r="N20" s="8">
        <f>(HAVERQ!BD180-AVERAGE(HAVERQ!$BD$164:$BD$167))/1000</f>
        <v>1098.1041666666717</v>
      </c>
      <c r="O20" s="8">
        <f>HAVERQ!BE180-AVERAGE(HAVERQ!$BE$164:$BE$167)</f>
        <v>1316</v>
      </c>
      <c r="Q20" s="9">
        <v>44927</v>
      </c>
      <c r="R20">
        <f>DataQ!Q207</f>
        <v>32995</v>
      </c>
      <c r="S20">
        <f>DataQ!P207</f>
        <v>33201</v>
      </c>
      <c r="T20">
        <f>DataQ!O207</f>
        <v>33320</v>
      </c>
      <c r="V20">
        <f t="shared" si="2"/>
        <v>325</v>
      </c>
      <c r="W20" s="2">
        <f t="shared" si="1"/>
        <v>0.98499772692832721</v>
      </c>
      <c r="Y20" s="9">
        <v>42522</v>
      </c>
      <c r="Z20" s="43">
        <f>'LTIM ye Jun24 - Table 1'!C121</f>
        <v>321000</v>
      </c>
      <c r="AA20" s="43">
        <f>'LTIM ye Dec23 - Table 1'!C116</f>
        <v>321000</v>
      </c>
    </row>
    <row r="21" spans="1:27" x14ac:dyDescent="0.25">
      <c r="A21" s="5">
        <v>42887</v>
      </c>
      <c r="B21">
        <f>HAVERM!C456</f>
        <v>4.3109999999999999</v>
      </c>
      <c r="C21" s="3">
        <f>HAVERM!B456</f>
        <v>4.3</v>
      </c>
      <c r="E21" s="5">
        <v>42887</v>
      </c>
      <c r="F21">
        <f>MIN(HAVERM!C455:C457)</f>
        <v>4.3109999999999999</v>
      </c>
      <c r="G21" s="3">
        <f t="shared" si="0"/>
        <v>7.8999999999999737E-2</v>
      </c>
      <c r="H21" s="3">
        <f>HAVERM!B456</f>
        <v>4.3</v>
      </c>
      <c r="J21">
        <f>MAX(HAVERM!C455:C457)</f>
        <v>4.3899999999999997</v>
      </c>
      <c r="L21" s="9">
        <v>45017</v>
      </c>
      <c r="M21" s="8">
        <f>HAVERQ!BC181-AVERAGE(HAVERQ!$BC$164:$BC$167)</f>
        <v>1071.75</v>
      </c>
      <c r="N21" s="8">
        <f>(HAVERQ!BD181-AVERAGE(HAVERQ!$BD$164:$BD$167))/1000</f>
        <v>1227.6148333333358</v>
      </c>
      <c r="O21" s="8">
        <f>HAVERQ!BE181-AVERAGE(HAVERQ!$BE$164:$BE$167)</f>
        <v>1280</v>
      </c>
      <c r="Q21" s="9">
        <v>45017</v>
      </c>
      <c r="R21">
        <f>DataQ!Q208</f>
        <v>32929</v>
      </c>
      <c r="S21">
        <f>DataQ!P208</f>
        <v>33163</v>
      </c>
      <c r="T21">
        <f>DataQ!O208</f>
        <v>33356</v>
      </c>
      <c r="V21">
        <f t="shared" si="2"/>
        <v>427</v>
      </c>
      <c r="W21" s="2">
        <f>100*((T21/R21)-1)</f>
        <v>1.2967293267332813</v>
      </c>
      <c r="Y21" s="9">
        <v>42614</v>
      </c>
      <c r="Z21" s="43">
        <f>'LTIM ye Jun24 - Table 1'!C122</f>
        <v>290000</v>
      </c>
      <c r="AA21" s="43">
        <f>'LTIM ye Dec23 - Table 1'!C117</f>
        <v>290000</v>
      </c>
    </row>
    <row r="22" spans="1:27" x14ac:dyDescent="0.25">
      <c r="A22" s="5">
        <v>42917</v>
      </c>
      <c r="B22">
        <f>HAVERM!C457</f>
        <v>4.3319999999999999</v>
      </c>
      <c r="C22" s="3">
        <f>HAVERM!B457</f>
        <v>4.3</v>
      </c>
      <c r="E22" s="5">
        <v>42917</v>
      </c>
      <c r="F22">
        <f>MIN(HAVERM!C456:C458)</f>
        <v>4.3109999999999999</v>
      </c>
      <c r="G22" s="3">
        <f t="shared" si="0"/>
        <v>2.0999999999999908E-2</v>
      </c>
      <c r="H22" s="3">
        <f>HAVERM!B457</f>
        <v>4.3</v>
      </c>
      <c r="J22">
        <f>MAX(HAVERM!C456:C458)</f>
        <v>4.3319999999999999</v>
      </c>
      <c r="L22" s="9">
        <v>45108</v>
      </c>
      <c r="M22" s="8">
        <f>HAVERQ!BC182-AVERAGE(HAVERQ!$BC$164:$BC$167)</f>
        <v>1048.75</v>
      </c>
      <c r="N22" s="8">
        <f>(HAVERQ!BD182-AVERAGE(HAVERQ!$BD$164:$BD$167))/1000</f>
        <v>1290.1655000000037</v>
      </c>
      <c r="O22" s="8">
        <f>HAVERQ!BE182-AVERAGE(HAVERQ!$BE$164:$BE$167)</f>
        <v>1412</v>
      </c>
      <c r="Q22" s="9">
        <v>45108</v>
      </c>
      <c r="S22">
        <f>DataQ!P209</f>
        <v>33102</v>
      </c>
      <c r="T22">
        <f>DataQ!O209</f>
        <v>33326</v>
      </c>
      <c r="Y22" s="9">
        <v>42705</v>
      </c>
      <c r="Z22" s="43">
        <f>'LTIM ye Jun24 - Table 1'!C123</f>
        <v>249000</v>
      </c>
      <c r="AA22" s="43">
        <f>'LTIM ye Dec23 - Table 1'!C118</f>
        <v>249000</v>
      </c>
    </row>
    <row r="23" spans="1:27" x14ac:dyDescent="0.25">
      <c r="A23" s="5">
        <v>42948</v>
      </c>
      <c r="B23">
        <f>HAVERM!C458</f>
        <v>4.33</v>
      </c>
      <c r="C23" s="3">
        <f>HAVERM!B458</f>
        <v>4.3</v>
      </c>
      <c r="E23" s="5">
        <v>42948</v>
      </c>
      <c r="F23">
        <f>MIN(HAVERM!C457:C459)</f>
        <v>4.1340000000000003</v>
      </c>
      <c r="G23" s="3">
        <f t="shared" si="0"/>
        <v>0.19799999999999951</v>
      </c>
      <c r="H23" s="3">
        <f>HAVERM!B458</f>
        <v>4.3</v>
      </c>
      <c r="J23">
        <f>MAX(HAVERM!C457:C459)</f>
        <v>4.3319999999999999</v>
      </c>
      <c r="L23" s="9">
        <v>45200</v>
      </c>
      <c r="M23" s="8">
        <f>HAVERQ!BC183-AVERAGE(HAVERQ!$BC$164:$BC$167)</f>
        <v>1038.75</v>
      </c>
      <c r="N23" s="8">
        <f>(HAVERQ!BD183-AVERAGE(HAVERQ!$BD$164:$BD$167))/1000</f>
        <v>1389.6361666666717</v>
      </c>
      <c r="O23" s="8">
        <f>HAVERQ!BE183-AVERAGE(HAVERQ!$BE$164:$BE$167)</f>
        <v>1460</v>
      </c>
      <c r="Q23" s="9">
        <v>45200</v>
      </c>
      <c r="S23">
        <f>DataQ!P210</f>
        <v>33174</v>
      </c>
      <c r="T23">
        <f>DataQ!O210</f>
        <v>33377</v>
      </c>
      <c r="Y23" s="9">
        <v>42795</v>
      </c>
      <c r="Z23" s="43">
        <f>'LTIM ye Jun24 - Table 1'!C124</f>
        <v>240000</v>
      </c>
      <c r="AA23" s="43">
        <f>'LTIM ye Dec23 - Table 1'!C119</f>
        <v>240000</v>
      </c>
    </row>
    <row r="24" spans="1:27" x14ac:dyDescent="0.25">
      <c r="A24" s="5">
        <v>42979</v>
      </c>
      <c r="B24">
        <f>HAVERM!C459</f>
        <v>4.1340000000000003</v>
      </c>
      <c r="C24" s="3">
        <f>HAVERM!B459</f>
        <v>4.2</v>
      </c>
      <c r="E24" s="5">
        <v>42979</v>
      </c>
      <c r="F24">
        <f>MIN(HAVERM!C458:C460)</f>
        <v>4.1340000000000003</v>
      </c>
      <c r="G24" s="3">
        <f t="shared" si="0"/>
        <v>0.19599999999999973</v>
      </c>
      <c r="H24" s="3">
        <f>HAVERM!B459</f>
        <v>4.2</v>
      </c>
      <c r="J24">
        <f>MAX(HAVERM!C458:C460)</f>
        <v>4.33</v>
      </c>
      <c r="L24" s="9">
        <v>45292</v>
      </c>
      <c r="M24" s="8">
        <f>HAVERQ!BC184-AVERAGE(HAVERQ!$BC$164:$BC$167)</f>
        <v>1146.75</v>
      </c>
      <c r="N24" s="8">
        <f>(HAVERQ!BD184-AVERAGE(HAVERQ!$BD$164:$BD$167))/1000</f>
        <v>1457.8648333333358</v>
      </c>
      <c r="O24" s="8">
        <f>HAVERQ!BE184-AVERAGE(HAVERQ!$BE$164:$BE$167)</f>
        <v>1552</v>
      </c>
      <c r="Q24" s="9">
        <v>45292</v>
      </c>
      <c r="T24">
        <f>DataQ!O211</f>
        <v>33331</v>
      </c>
      <c r="Y24" s="9">
        <v>42887</v>
      </c>
      <c r="Z24" s="43">
        <f>'LTIM ye Jun24 - Table 1'!C125</f>
        <v>200000</v>
      </c>
      <c r="AA24" s="43">
        <f>'LTIM ye Dec23 - Table 1'!C120</f>
        <v>200000</v>
      </c>
    </row>
    <row r="25" spans="1:27" x14ac:dyDescent="0.25">
      <c r="A25" s="5">
        <v>43009</v>
      </c>
      <c r="B25">
        <f>HAVERM!C460</f>
        <v>4.2889999999999997</v>
      </c>
      <c r="C25" s="3">
        <f>HAVERM!B460</f>
        <v>4.3</v>
      </c>
      <c r="E25" s="5">
        <v>43009</v>
      </c>
      <c r="F25">
        <f>MIN(HAVERM!C459:C461)</f>
        <v>4.1340000000000003</v>
      </c>
      <c r="G25" s="3">
        <f t="shared" si="0"/>
        <v>0.24499999999999922</v>
      </c>
      <c r="H25" s="3">
        <f>HAVERM!B460</f>
        <v>4.3</v>
      </c>
      <c r="J25">
        <f>MAX(HAVERM!C459:C461)</f>
        <v>4.3789999999999996</v>
      </c>
      <c r="L25" s="9">
        <v>45383</v>
      </c>
      <c r="M25" s="8">
        <f>HAVERQ!BC185-AVERAGE(HAVERQ!$BC$164:$BC$167)</f>
        <v>1242.75</v>
      </c>
      <c r="N25" s="8">
        <f>(HAVERQ!BD185-AVERAGE(HAVERQ!$BD$164:$BD$167))/1000</f>
        <v>1491.8655000000037</v>
      </c>
      <c r="O25" s="8">
        <f>HAVERQ!BE185-AVERAGE(HAVERQ!$BE$164:$BE$167)</f>
        <v>1576</v>
      </c>
      <c r="Q25" s="9">
        <v>45383</v>
      </c>
      <c r="T25">
        <f>DataQ!O212</f>
        <v>33496</v>
      </c>
      <c r="Y25" s="9">
        <v>42979</v>
      </c>
      <c r="Z25" s="43">
        <f>'LTIM ye Jun24 - Table 1'!C126</f>
        <v>205000</v>
      </c>
      <c r="AA25" s="43">
        <f>'LTIM ye Dec23 - Table 1'!C121</f>
        <v>205000</v>
      </c>
    </row>
    <row r="26" spans="1:27" x14ac:dyDescent="0.25">
      <c r="A26" s="5">
        <v>43040</v>
      </c>
      <c r="B26">
        <f>HAVERM!C461</f>
        <v>4.3789999999999996</v>
      </c>
      <c r="C26" s="3">
        <f>HAVERM!B461</f>
        <v>4.4000000000000004</v>
      </c>
      <c r="E26" s="5">
        <v>43040</v>
      </c>
      <c r="F26">
        <f>MIN(HAVERM!C460:C462)</f>
        <v>4.2889999999999997</v>
      </c>
      <c r="G26" s="3">
        <f t="shared" si="0"/>
        <v>0.10599999999999987</v>
      </c>
      <c r="H26" s="3">
        <f>HAVERM!B461</f>
        <v>4.4000000000000004</v>
      </c>
      <c r="J26">
        <f>MAX(HAVERM!C460:C462)</f>
        <v>4.3949999999999996</v>
      </c>
      <c r="L26" s="9">
        <v>45474</v>
      </c>
      <c r="M26" s="8">
        <f>HAVERQ!BC186-AVERAGE(HAVERQ!$BC$164:$BC$167)</f>
        <v>1458.75</v>
      </c>
      <c r="N26" s="8">
        <f>(HAVERQ!BD186-AVERAGE(HAVERQ!$BD$164:$BD$167))/1000</f>
        <v>1487.0645000000038</v>
      </c>
      <c r="O26" s="8">
        <f>HAVERQ!BE186-AVERAGE(HAVERQ!$BE$164:$BE$167)</f>
        <v>1617</v>
      </c>
      <c r="Q26" s="9">
        <v>45474</v>
      </c>
      <c r="T26">
        <f>DataQ!O213</f>
        <v>33749</v>
      </c>
      <c r="Y26" s="9">
        <v>43070</v>
      </c>
      <c r="Z26" s="43">
        <f>'LTIM ye Jun24 - Table 1'!C127</f>
        <v>208000</v>
      </c>
      <c r="AA26" s="43">
        <f>'LTIM ye Dec23 - Table 1'!C122</f>
        <v>208000</v>
      </c>
    </row>
    <row r="27" spans="1:27" x14ac:dyDescent="0.25">
      <c r="A27" s="5">
        <v>43070</v>
      </c>
      <c r="B27">
        <f>HAVERM!C462</f>
        <v>4.3949999999999996</v>
      </c>
      <c r="C27" s="3">
        <f>HAVERM!B462</f>
        <v>4.3</v>
      </c>
      <c r="E27" s="5">
        <v>43070</v>
      </c>
      <c r="F27">
        <f>MIN(HAVERM!C461:C463)</f>
        <v>4.173</v>
      </c>
      <c r="G27" s="3">
        <f t="shared" si="0"/>
        <v>0.22199999999999953</v>
      </c>
      <c r="H27" s="3">
        <f>HAVERM!B462</f>
        <v>4.3</v>
      </c>
      <c r="J27">
        <f>MAX(HAVERM!C461:C463)</f>
        <v>4.3949999999999996</v>
      </c>
      <c r="L27" s="9">
        <v>45566</v>
      </c>
      <c r="M27" s="8"/>
      <c r="N27" s="8">
        <f>(HAVERQ!BD187-AVERAGE(HAVERQ!$BD$164:$BD$167))/1000</f>
        <v>1469.1911666666717</v>
      </c>
      <c r="O27" s="8"/>
      <c r="Q27" s="9">
        <v>45566</v>
      </c>
      <c r="Y27" s="9">
        <v>43160</v>
      </c>
      <c r="Z27" s="43">
        <f>'LTIM ye Jun24 - Table 1'!C128</f>
        <v>193000</v>
      </c>
      <c r="AA27" s="43">
        <f>'LTIM ye Dec23 - Table 1'!C123</f>
        <v>193000</v>
      </c>
    </row>
    <row r="28" spans="1:27" x14ac:dyDescent="0.25">
      <c r="A28" s="5">
        <v>43101</v>
      </c>
      <c r="B28">
        <f>HAVERM!C463</f>
        <v>4.173</v>
      </c>
      <c r="C28" s="3">
        <f>HAVERM!B463</f>
        <v>4.2</v>
      </c>
      <c r="E28" s="5">
        <v>43101</v>
      </c>
      <c r="F28">
        <f>MIN(HAVERM!C462:C464)</f>
        <v>4.056</v>
      </c>
      <c r="G28" s="3">
        <f t="shared" si="0"/>
        <v>0.33899999999999952</v>
      </c>
      <c r="H28" s="3">
        <f>HAVERM!B463</f>
        <v>4.2</v>
      </c>
      <c r="J28">
        <f>MAX(HAVERM!C462:C464)</f>
        <v>4.3949999999999996</v>
      </c>
      <c r="L28" s="9"/>
      <c r="Y28" s="9">
        <v>43252</v>
      </c>
      <c r="Z28" s="43">
        <f>'LTIM ye Jun24 - Table 1'!C129</f>
        <v>216000</v>
      </c>
      <c r="AA28" s="43">
        <f>'LTIM ye Dec23 - Table 1'!C124</f>
        <v>216000</v>
      </c>
    </row>
    <row r="29" spans="1:27" x14ac:dyDescent="0.25">
      <c r="A29" s="5">
        <v>43132</v>
      </c>
      <c r="B29">
        <f>HAVERM!C464</f>
        <v>4.056</v>
      </c>
      <c r="C29" s="3">
        <f>HAVERM!B464</f>
        <v>4.2</v>
      </c>
      <c r="E29" s="5">
        <v>43132</v>
      </c>
      <c r="F29">
        <f>MIN(HAVERM!C463:C465)</f>
        <v>4.056</v>
      </c>
      <c r="G29" s="3">
        <f t="shared" si="0"/>
        <v>0.32899999999999974</v>
      </c>
      <c r="H29" s="3">
        <f>HAVERM!B464</f>
        <v>4.2</v>
      </c>
      <c r="J29">
        <f>MAX(HAVERM!C463:C465)</f>
        <v>4.3849999999999998</v>
      </c>
      <c r="L29" s="9"/>
      <c r="R29" t="str">
        <f>DataQ!Q6</f>
        <v>202302</v>
      </c>
      <c r="S29" t="str">
        <f>DataQ!P6</f>
        <v>202304</v>
      </c>
      <c r="T29" t="str">
        <f>DataQ!O6</f>
        <v>202403</v>
      </c>
      <c r="Y29" s="9">
        <v>43344</v>
      </c>
      <c r="Z29" s="43">
        <f>'LTIM ye Jun24 - Table 1'!C130</f>
        <v>226000</v>
      </c>
      <c r="AA29" s="43">
        <f>'LTIM ye Dec23 - Table 1'!C125</f>
        <v>226000</v>
      </c>
    </row>
    <row r="30" spans="1:27" x14ac:dyDescent="0.25">
      <c r="A30" s="5">
        <v>43160</v>
      </c>
      <c r="B30">
        <f>HAVERM!C465</f>
        <v>4.3849999999999998</v>
      </c>
      <c r="C30" s="3">
        <f>HAVERM!B465</f>
        <v>4.2</v>
      </c>
      <c r="E30" s="5">
        <v>43160</v>
      </c>
      <c r="F30">
        <f>MIN(HAVERM!C464:C466)</f>
        <v>4.056</v>
      </c>
      <c r="G30" s="3">
        <f t="shared" si="0"/>
        <v>0.32899999999999974</v>
      </c>
      <c r="H30" s="3">
        <f>HAVERM!B465</f>
        <v>4.2</v>
      </c>
      <c r="J30">
        <f>MAX(HAVERM!C464:C466)</f>
        <v>4.3849999999999998</v>
      </c>
      <c r="L30" s="9"/>
      <c r="Y30" s="9">
        <v>43435</v>
      </c>
      <c r="Z30" s="43">
        <f>'LTIM ye Jun24 - Table 1'!C131</f>
        <v>276000</v>
      </c>
      <c r="AA30" s="43">
        <f>'LTIM ye Dec23 - Table 1'!C126</f>
        <v>276000</v>
      </c>
    </row>
    <row r="31" spans="1:27" x14ac:dyDescent="0.25">
      <c r="A31" s="5">
        <v>43191</v>
      </c>
      <c r="B31">
        <f>HAVERM!C466</f>
        <v>4.16</v>
      </c>
      <c r="C31" s="3">
        <f>HAVERM!B466</f>
        <v>4.2</v>
      </c>
      <c r="E31" s="5">
        <v>43191</v>
      </c>
      <c r="F31">
        <f>MIN(HAVERM!C465:C467)</f>
        <v>3.9359999999999999</v>
      </c>
      <c r="G31" s="3">
        <f t="shared" si="0"/>
        <v>0.44899999999999984</v>
      </c>
      <c r="H31" s="3">
        <f>HAVERM!B466</f>
        <v>4.2</v>
      </c>
      <c r="J31">
        <f>MAX(HAVERM!C465:C467)</f>
        <v>4.3849999999999998</v>
      </c>
      <c r="L31" s="9"/>
      <c r="Y31" s="9">
        <v>43525</v>
      </c>
      <c r="Z31" s="43">
        <f>'LTIM ye Jun24 - Table 1'!C132</f>
        <v>274000</v>
      </c>
      <c r="AA31" s="43">
        <f>'LTIM ye Dec23 - Table 1'!C127</f>
        <v>274000</v>
      </c>
    </row>
    <row r="32" spans="1:27" x14ac:dyDescent="0.25">
      <c r="A32" s="5">
        <v>43221</v>
      </c>
      <c r="B32">
        <f>HAVERM!C467</f>
        <v>3.9359999999999999</v>
      </c>
      <c r="C32" s="3">
        <f>HAVERM!B467</f>
        <v>4</v>
      </c>
      <c r="E32" s="5">
        <v>43221</v>
      </c>
      <c r="F32">
        <f>MIN(HAVERM!C466:C468)</f>
        <v>3.9359999999999999</v>
      </c>
      <c r="G32" s="3">
        <f t="shared" si="0"/>
        <v>0.2240000000000002</v>
      </c>
      <c r="H32" s="3">
        <f>HAVERM!B467</f>
        <v>4</v>
      </c>
      <c r="J32">
        <f>MAX(HAVERM!C466:C468)</f>
        <v>4.16</v>
      </c>
      <c r="L32" s="9"/>
      <c r="Y32" s="9">
        <v>43617</v>
      </c>
      <c r="Z32" s="43">
        <f>'LTIM ye Jun24 - Table 1'!C133</f>
        <v>224000</v>
      </c>
      <c r="AA32" s="43">
        <f>'LTIM ye Dec23 - Table 1'!C128</f>
        <v>224000</v>
      </c>
    </row>
    <row r="33" spans="1:31" x14ac:dyDescent="0.25">
      <c r="A33" s="5">
        <v>43252</v>
      </c>
      <c r="B33">
        <f>HAVERM!C468</f>
        <v>4.0369999999999999</v>
      </c>
      <c r="C33" s="3">
        <f>HAVERM!B468</f>
        <v>4</v>
      </c>
      <c r="E33" s="5">
        <v>43252</v>
      </c>
      <c r="F33">
        <f>MIN(HAVERM!C467:C469)</f>
        <v>3.9359999999999999</v>
      </c>
      <c r="G33" s="3">
        <f t="shared" si="0"/>
        <v>0.19700000000000006</v>
      </c>
      <c r="H33" s="3">
        <f>HAVERM!B468</f>
        <v>4</v>
      </c>
      <c r="J33">
        <f>MAX(HAVERM!C467:C469)</f>
        <v>4.133</v>
      </c>
      <c r="L33" s="9"/>
      <c r="Y33" s="9">
        <v>43709</v>
      </c>
      <c r="Z33" s="43">
        <f>'LTIM ye Jun24 - Table 1'!C134</f>
        <v>202000</v>
      </c>
      <c r="AA33" s="43">
        <f>'LTIM ye Dec23 - Table 1'!C129</f>
        <v>202000</v>
      </c>
    </row>
    <row r="34" spans="1:31" x14ac:dyDescent="0.25">
      <c r="A34" s="5">
        <v>43282</v>
      </c>
      <c r="B34">
        <f>HAVERM!C469</f>
        <v>4.133</v>
      </c>
      <c r="C34" s="3">
        <f>HAVERM!B469</f>
        <v>4</v>
      </c>
      <c r="E34" s="5">
        <v>43282</v>
      </c>
      <c r="F34">
        <f>MIN(HAVERM!C468:C470)</f>
        <v>3.9249999999999998</v>
      </c>
      <c r="G34" s="3">
        <f t="shared" si="0"/>
        <v>0.20800000000000018</v>
      </c>
      <c r="H34" s="3">
        <f>HAVERM!B469</f>
        <v>4</v>
      </c>
      <c r="J34">
        <f>MAX(HAVERM!C468:C470)</f>
        <v>4.133</v>
      </c>
      <c r="L34" s="9"/>
      <c r="Y34" s="9">
        <v>43800</v>
      </c>
      <c r="Z34" s="43">
        <f>'LTIM ye Jun24 - Table 1'!C135</f>
        <v>184000</v>
      </c>
      <c r="AA34" s="43">
        <f>'LTIM ye Dec23 - Table 1'!C130</f>
        <v>184000</v>
      </c>
    </row>
    <row r="35" spans="1:31" x14ac:dyDescent="0.25">
      <c r="A35" s="5">
        <v>43313</v>
      </c>
      <c r="B35">
        <f>HAVERM!C470</f>
        <v>3.9249999999999998</v>
      </c>
      <c r="C35" s="3">
        <f>HAVERM!B470</f>
        <v>4.0999999999999996</v>
      </c>
      <c r="E35" s="5">
        <v>43313</v>
      </c>
      <c r="F35">
        <f>MIN(HAVERM!C469:C471)</f>
        <v>3.9249999999999998</v>
      </c>
      <c r="G35" s="3">
        <f t="shared" si="0"/>
        <v>0.26200000000000045</v>
      </c>
      <c r="H35" s="3">
        <f>HAVERM!B470</f>
        <v>4.0999999999999996</v>
      </c>
      <c r="J35">
        <f>MAX(HAVERM!C469:C471)</f>
        <v>4.1870000000000003</v>
      </c>
      <c r="L35" s="9"/>
      <c r="Y35" s="9">
        <v>43891</v>
      </c>
      <c r="Z35" s="43">
        <f>'LTIM ye Jun24 - Table 1'!C136</f>
        <v>170000</v>
      </c>
      <c r="AA35" s="43">
        <f>'LTIM ye Dec23 - Table 1'!C131</f>
        <v>170000</v>
      </c>
    </row>
    <row r="36" spans="1:31" x14ac:dyDescent="0.25">
      <c r="A36" s="5">
        <v>43344</v>
      </c>
      <c r="B36">
        <f>HAVERM!C471</f>
        <v>4.1870000000000003</v>
      </c>
      <c r="C36" s="3">
        <f>HAVERM!B471</f>
        <v>4.0999999999999996</v>
      </c>
      <c r="E36" s="5">
        <v>43344</v>
      </c>
      <c r="F36">
        <f>MIN(HAVERM!C470:C472)</f>
        <v>3.9249999999999998</v>
      </c>
      <c r="G36" s="3">
        <f t="shared" ref="G36:G67" si="3">J36-F36</f>
        <v>0.26200000000000045</v>
      </c>
      <c r="H36" s="3">
        <f>HAVERM!B471</f>
        <v>4.0999999999999996</v>
      </c>
      <c r="J36">
        <f>MAX(HAVERM!C470:C472)</f>
        <v>4.1870000000000003</v>
      </c>
      <c r="L36" s="9"/>
      <c r="Y36" s="9">
        <v>43983</v>
      </c>
      <c r="Z36" s="43">
        <f>'LTIM ye Jun24 - Table 1'!C137</f>
        <v>111000</v>
      </c>
      <c r="AA36" s="43">
        <f>'LTIM ye Dec23 - Table 1'!C132</f>
        <v>111000</v>
      </c>
    </row>
    <row r="37" spans="1:31" x14ac:dyDescent="0.25">
      <c r="A37" s="5">
        <v>43374</v>
      </c>
      <c r="B37">
        <f>HAVERM!C472</f>
        <v>4.101</v>
      </c>
      <c r="C37" s="3">
        <f>HAVERM!B472</f>
        <v>4</v>
      </c>
      <c r="E37" s="5">
        <v>43374</v>
      </c>
      <c r="F37">
        <f>MIN(HAVERM!C471:C473)</f>
        <v>3.827</v>
      </c>
      <c r="G37" s="3">
        <f t="shared" si="3"/>
        <v>0.36000000000000032</v>
      </c>
      <c r="H37" s="3">
        <f>HAVERM!B472</f>
        <v>4</v>
      </c>
      <c r="J37">
        <f>MAX(HAVERM!C471:C473)</f>
        <v>4.1870000000000003</v>
      </c>
      <c r="Y37" s="9">
        <v>44075</v>
      </c>
      <c r="Z37" s="43">
        <f>'LTIM ye Jun24 - Table 1'!C138</f>
        <v>35000</v>
      </c>
      <c r="AA37" s="43">
        <f>'LTIM ye Dec23 - Table 1'!C133</f>
        <v>35000</v>
      </c>
    </row>
    <row r="38" spans="1:31" x14ac:dyDescent="0.25">
      <c r="A38" s="5">
        <v>43405</v>
      </c>
      <c r="B38">
        <f>HAVERM!C473</f>
        <v>3.827</v>
      </c>
      <c r="C38" s="3">
        <f>HAVERM!B473</f>
        <v>4</v>
      </c>
      <c r="E38" s="5">
        <v>43405</v>
      </c>
      <c r="F38">
        <f>MIN(HAVERM!C472:C474)</f>
        <v>3.827</v>
      </c>
      <c r="G38" s="3">
        <f t="shared" si="3"/>
        <v>0.31799999999999962</v>
      </c>
      <c r="H38" s="3">
        <f>HAVERM!B473</f>
        <v>4</v>
      </c>
      <c r="J38">
        <f>MAX(HAVERM!C472:C474)</f>
        <v>4.1449999999999996</v>
      </c>
      <c r="Y38" s="9">
        <v>44166</v>
      </c>
      <c r="Z38" s="43">
        <f>'LTIM ye Jun24 - Table 1'!C139</f>
        <v>93000</v>
      </c>
      <c r="AA38" s="43">
        <f>'LTIM ye Dec23 - Table 1'!C134</f>
        <v>93000</v>
      </c>
    </row>
    <row r="39" spans="1:31" x14ac:dyDescent="0.25">
      <c r="A39" s="5">
        <v>43435</v>
      </c>
      <c r="B39">
        <f>HAVERM!C474</f>
        <v>4.1449999999999996</v>
      </c>
      <c r="C39" s="3">
        <f>HAVERM!B474</f>
        <v>3.9</v>
      </c>
      <c r="E39" s="5">
        <v>43435</v>
      </c>
      <c r="F39">
        <f>MIN(HAVERM!C473:C475)</f>
        <v>3.827</v>
      </c>
      <c r="G39" s="3">
        <f t="shared" si="3"/>
        <v>0.31799999999999962</v>
      </c>
      <c r="H39" s="3">
        <f>HAVERM!B474</f>
        <v>3.9</v>
      </c>
      <c r="J39">
        <f>MAX(HAVERM!C473:C475)</f>
        <v>4.1449999999999996</v>
      </c>
      <c r="Y39" s="9">
        <v>44256</v>
      </c>
      <c r="Z39" s="43">
        <f>'LTIM ye Jun24 - Table 1'!C140</f>
        <v>132000</v>
      </c>
      <c r="AA39" s="43">
        <f>'LTIM ye Dec23 - Table 1'!C135</f>
        <v>132000</v>
      </c>
    </row>
    <row r="40" spans="1:31" x14ac:dyDescent="0.25">
      <c r="A40" s="5">
        <v>43466</v>
      </c>
      <c r="B40">
        <f>HAVERM!C475</f>
        <v>3.8639999999999999</v>
      </c>
      <c r="C40" s="3">
        <f>HAVERM!B475</f>
        <v>4</v>
      </c>
      <c r="E40" s="5">
        <v>43466</v>
      </c>
      <c r="F40">
        <f>MIN(HAVERM!C474:C476)</f>
        <v>3.819</v>
      </c>
      <c r="G40" s="3">
        <f t="shared" si="3"/>
        <v>0.32599999999999962</v>
      </c>
      <c r="H40" s="3">
        <f>HAVERM!B475</f>
        <v>4</v>
      </c>
      <c r="J40">
        <f>MAX(HAVERM!C474:C476)</f>
        <v>4.1449999999999996</v>
      </c>
      <c r="Y40" s="9">
        <v>44348</v>
      </c>
      <c r="Z40" s="43">
        <f>'LTIM ye Jun24 - Table 1'!C141</f>
        <v>254000</v>
      </c>
      <c r="AA40" s="43">
        <f>'LTIM ye Dec23 - Table 1'!C136</f>
        <v>221000</v>
      </c>
      <c r="AB40">
        <f>'Pproj - Jan24'!D12*1000</f>
        <v>221500</v>
      </c>
      <c r="AE40" s="43">
        <f>Z40-AB40</f>
        <v>32500</v>
      </c>
    </row>
    <row r="41" spans="1:31" x14ac:dyDescent="0.25">
      <c r="A41" s="5">
        <v>43497</v>
      </c>
      <c r="B41">
        <f>HAVERM!C476</f>
        <v>3.819</v>
      </c>
      <c r="C41" s="3">
        <f>HAVERM!B476</f>
        <v>3.8</v>
      </c>
      <c r="E41" s="5">
        <v>43497</v>
      </c>
      <c r="F41">
        <f>MIN(HAVERM!C475:C477)</f>
        <v>3.8159999999999998</v>
      </c>
      <c r="G41" s="3">
        <f t="shared" si="3"/>
        <v>4.8000000000000043E-2</v>
      </c>
      <c r="H41" s="3">
        <f>HAVERM!B476</f>
        <v>3.8</v>
      </c>
      <c r="J41">
        <f>MAX(HAVERM!C475:C477)</f>
        <v>3.8639999999999999</v>
      </c>
      <c r="Y41" s="9">
        <v>44440</v>
      </c>
      <c r="Z41" s="43">
        <f>'LTIM ye Jun24 - Table 1'!C142</f>
        <v>467000</v>
      </c>
      <c r="AA41" s="43">
        <f>'LTIM ye Dec23 - Table 1'!C137</f>
        <v>443000</v>
      </c>
    </row>
    <row r="42" spans="1:31" x14ac:dyDescent="0.25">
      <c r="A42" s="5">
        <v>43525</v>
      </c>
      <c r="B42">
        <f>HAVERM!C477</f>
        <v>3.8159999999999998</v>
      </c>
      <c r="C42" s="3">
        <f>HAVERM!B477</f>
        <v>3.8</v>
      </c>
      <c r="E42" s="5">
        <v>43525</v>
      </c>
      <c r="F42">
        <f>MIN(HAVERM!C476:C478)</f>
        <v>3.8159999999999998</v>
      </c>
      <c r="G42" s="3">
        <f t="shared" si="3"/>
        <v>7.2999999999999954E-2</v>
      </c>
      <c r="H42" s="3">
        <f>HAVERM!B477</f>
        <v>3.8</v>
      </c>
      <c r="J42">
        <f>MAX(HAVERM!C476:C478)</f>
        <v>3.8889999999999998</v>
      </c>
      <c r="Y42" s="9">
        <v>44531</v>
      </c>
      <c r="Z42" s="43">
        <f>'LTIM ye Jun24 - Table 1'!C143</f>
        <v>484000</v>
      </c>
      <c r="AA42" s="43">
        <f>'LTIM ye Dec23 - Table 1'!C138</f>
        <v>466000</v>
      </c>
    </row>
    <row r="43" spans="1:31" x14ac:dyDescent="0.25">
      <c r="A43" s="5">
        <v>43556</v>
      </c>
      <c r="B43">
        <f>HAVERM!C478</f>
        <v>3.8889999999999998</v>
      </c>
      <c r="C43" s="3">
        <f>HAVERM!B478</f>
        <v>3.8</v>
      </c>
      <c r="E43" s="5">
        <v>43556</v>
      </c>
      <c r="F43">
        <f>MIN(HAVERM!C477:C479)</f>
        <v>3.6850000000000001</v>
      </c>
      <c r="G43" s="3">
        <f t="shared" si="3"/>
        <v>0.20399999999999974</v>
      </c>
      <c r="H43" s="3">
        <f>HAVERM!B478</f>
        <v>3.8</v>
      </c>
      <c r="J43">
        <f>MAX(HAVERM!C477:C479)</f>
        <v>3.8889999999999998</v>
      </c>
      <c r="Y43" s="9">
        <v>44621</v>
      </c>
      <c r="Z43" s="43">
        <f>'LTIM ye Jun24 - Table 1'!C144</f>
        <v>548000</v>
      </c>
      <c r="AA43" s="43">
        <f>'LTIM ye Dec23 - Table 1'!C139</f>
        <v>526000</v>
      </c>
    </row>
    <row r="44" spans="1:31" x14ac:dyDescent="0.25">
      <c r="A44" s="5">
        <v>43586</v>
      </c>
      <c r="B44">
        <f>HAVERM!C479</f>
        <v>3.6850000000000001</v>
      </c>
      <c r="C44" s="3">
        <f>HAVERM!B479</f>
        <v>3.9</v>
      </c>
      <c r="E44" s="5">
        <v>43586</v>
      </c>
      <c r="F44">
        <f>MIN(HAVERM!C478:C480)</f>
        <v>3.6850000000000001</v>
      </c>
      <c r="G44" s="3">
        <f t="shared" si="3"/>
        <v>0.40100000000000025</v>
      </c>
      <c r="H44" s="3">
        <f>HAVERM!B479</f>
        <v>3.9</v>
      </c>
      <c r="J44">
        <f>MAX(HAVERM!C478:C480)</f>
        <v>4.0860000000000003</v>
      </c>
      <c r="Y44" s="9">
        <v>44713</v>
      </c>
      <c r="Z44" s="43">
        <f>'LTIM ye Jun24 - Table 1'!C145</f>
        <v>634000</v>
      </c>
      <c r="AA44" s="43">
        <f>'LTIM ye Dec23 - Table 1'!C140</f>
        <v>607000</v>
      </c>
      <c r="AB44">
        <f>'Pproj - Jan24'!D13*1000</f>
        <v>595900</v>
      </c>
      <c r="AD44" s="43">
        <f>Z44-AA44</f>
        <v>27000</v>
      </c>
      <c r="AE44" s="43">
        <f>Z44-AB44</f>
        <v>38100</v>
      </c>
    </row>
    <row r="45" spans="1:31" x14ac:dyDescent="0.25">
      <c r="A45" s="5">
        <v>43617</v>
      </c>
      <c r="B45">
        <f>HAVERM!C480</f>
        <v>4.0860000000000003</v>
      </c>
      <c r="C45" s="3">
        <f>HAVERM!B480</f>
        <v>3.9</v>
      </c>
      <c r="E45" s="5">
        <v>43617</v>
      </c>
      <c r="F45">
        <f>MIN(HAVERM!C479:C481)</f>
        <v>3.6850000000000001</v>
      </c>
      <c r="G45" s="3">
        <f t="shared" si="3"/>
        <v>0.40100000000000025</v>
      </c>
      <c r="H45" s="3">
        <f>HAVERM!B480</f>
        <v>3.9</v>
      </c>
      <c r="J45">
        <f>MAX(HAVERM!C479:C481)</f>
        <v>4.0860000000000003</v>
      </c>
      <c r="Y45" s="9">
        <v>44805</v>
      </c>
      <c r="Z45" s="43">
        <f>'LTIM ye Jun24 - Table 1'!C146</f>
        <v>789000</v>
      </c>
      <c r="AA45" s="43">
        <f>'LTIM ye Dec23 - Table 1'!C141</f>
        <v>718000</v>
      </c>
    </row>
    <row r="46" spans="1:31" x14ac:dyDescent="0.25">
      <c r="A46" s="5">
        <v>43647</v>
      </c>
      <c r="B46">
        <f>HAVERM!C481</f>
        <v>3.7829999999999999</v>
      </c>
      <c r="C46" s="3">
        <f>HAVERM!B481</f>
        <v>3.9</v>
      </c>
      <c r="E46" s="5">
        <v>43647</v>
      </c>
      <c r="F46">
        <f>MIN(HAVERM!C480:C482)</f>
        <v>3.7709999999999999</v>
      </c>
      <c r="G46" s="3">
        <f t="shared" si="3"/>
        <v>0.31500000000000039</v>
      </c>
      <c r="H46" s="3">
        <f>HAVERM!B481</f>
        <v>3.9</v>
      </c>
      <c r="J46">
        <f>MAX(HAVERM!C480:C482)</f>
        <v>4.0860000000000003</v>
      </c>
      <c r="Y46" s="9">
        <v>44896</v>
      </c>
      <c r="Z46" s="43">
        <f>'LTIM ye Jun24 - Table 1'!C147</f>
        <v>872000</v>
      </c>
      <c r="AA46" s="43">
        <f>'LTIM ye Dec23 - Table 1'!C142</f>
        <v>764000</v>
      </c>
    </row>
    <row r="47" spans="1:31" x14ac:dyDescent="0.25">
      <c r="A47" s="5">
        <v>43678</v>
      </c>
      <c r="B47">
        <f>HAVERM!C482</f>
        <v>3.7709999999999999</v>
      </c>
      <c r="C47" s="3">
        <f>HAVERM!B482</f>
        <v>3.9</v>
      </c>
      <c r="E47" s="5">
        <v>43678</v>
      </c>
      <c r="F47">
        <f>MIN(HAVERM!C481:C483)</f>
        <v>3.7709999999999999</v>
      </c>
      <c r="G47" s="3">
        <f t="shared" si="3"/>
        <v>0.30900000000000016</v>
      </c>
      <c r="H47" s="3">
        <f>HAVERM!B482</f>
        <v>3.9</v>
      </c>
      <c r="J47">
        <f>MAX(HAVERM!C481:C483)</f>
        <v>4.08</v>
      </c>
      <c r="Y47" s="9">
        <v>44986</v>
      </c>
      <c r="Z47" s="43">
        <f>'LTIM ye Jun24 - Table 1'!C148</f>
        <v>894000</v>
      </c>
      <c r="AA47" s="43">
        <f>'LTIM ye Dec23 - Table 1'!C143</f>
        <v>750000</v>
      </c>
    </row>
    <row r="48" spans="1:31" x14ac:dyDescent="0.25">
      <c r="A48" s="5">
        <v>43709</v>
      </c>
      <c r="B48">
        <f>HAVERM!C483</f>
        <v>4.08</v>
      </c>
      <c r="C48" s="3">
        <f>HAVERM!B483</f>
        <v>3.8</v>
      </c>
      <c r="E48" s="5">
        <v>43709</v>
      </c>
      <c r="F48">
        <f>MIN(HAVERM!C482:C484)</f>
        <v>3.5510000000000002</v>
      </c>
      <c r="G48" s="3">
        <f t="shared" si="3"/>
        <v>0.52899999999999991</v>
      </c>
      <c r="H48" s="3">
        <f>HAVERM!B483</f>
        <v>3.8</v>
      </c>
      <c r="J48">
        <f>MAX(HAVERM!C482:C484)</f>
        <v>4.08</v>
      </c>
      <c r="Y48" s="9">
        <v>45078</v>
      </c>
      <c r="Z48" s="43">
        <f>'LTIM ye Jun24 - Table 1'!C149</f>
        <v>906000</v>
      </c>
      <c r="AA48" s="43">
        <f>'LTIM ye Dec23 - Table 1'!C144</f>
        <v>740000</v>
      </c>
      <c r="AB48">
        <f>'Pproj - Jan24'!D14*1000</f>
        <v>670200</v>
      </c>
      <c r="AD48" s="43">
        <f>Z48-AA48</f>
        <v>166000</v>
      </c>
      <c r="AE48" s="43">
        <f>Z48-AB48</f>
        <v>235800</v>
      </c>
    </row>
    <row r="49" spans="1:32" x14ac:dyDescent="0.25">
      <c r="A49" s="5">
        <v>43739</v>
      </c>
      <c r="B49">
        <f>HAVERM!C484</f>
        <v>3.5510000000000002</v>
      </c>
      <c r="C49" s="3">
        <f>HAVERM!B484</f>
        <v>3.8</v>
      </c>
      <c r="E49" s="5">
        <v>43739</v>
      </c>
      <c r="F49">
        <f>MIN(HAVERM!C483:C485)</f>
        <v>3.5510000000000002</v>
      </c>
      <c r="G49" s="3">
        <f t="shared" si="3"/>
        <v>0.52899999999999991</v>
      </c>
      <c r="H49" s="3">
        <f>HAVERM!B484</f>
        <v>3.8</v>
      </c>
      <c r="J49">
        <f>MAX(HAVERM!C483:C485)</f>
        <v>4.08</v>
      </c>
      <c r="Y49" s="9">
        <v>45170</v>
      </c>
      <c r="Z49" s="43">
        <f>'LTIM ye Jun24 - Table 1'!C150</f>
        <v>878000</v>
      </c>
      <c r="AA49" s="43">
        <f>'LTIM ye Dec23 - Table 1'!C145</f>
        <v>724000</v>
      </c>
    </row>
    <row r="50" spans="1:32" x14ac:dyDescent="0.25">
      <c r="A50" s="5">
        <v>43770</v>
      </c>
      <c r="B50">
        <f>HAVERM!C485</f>
        <v>3.8639999999999999</v>
      </c>
      <c r="C50" s="3">
        <f>HAVERM!B485</f>
        <v>3.7</v>
      </c>
      <c r="E50" s="5">
        <v>43770</v>
      </c>
      <c r="F50">
        <f>MIN(HAVERM!C484:C486)</f>
        <v>3.5510000000000002</v>
      </c>
      <c r="G50" s="3">
        <f t="shared" si="3"/>
        <v>0.31299999999999972</v>
      </c>
      <c r="H50" s="3">
        <f>HAVERM!B485</f>
        <v>3.7</v>
      </c>
      <c r="J50">
        <f>MAX(HAVERM!C484:C486)</f>
        <v>3.8639999999999999</v>
      </c>
      <c r="Y50" s="9">
        <v>45261</v>
      </c>
      <c r="Z50" s="43">
        <f>'LTIM ye Jun24 - Table 1'!C151</f>
        <v>866000</v>
      </c>
      <c r="AA50" s="43">
        <f>'LTIM ye Dec23 - Table 1'!C146</f>
        <v>685000</v>
      </c>
      <c r="AD50" s="43">
        <f>Z50-AA50</f>
        <v>181000</v>
      </c>
    </row>
    <row r="51" spans="1:32" x14ac:dyDescent="0.25">
      <c r="A51" s="5">
        <v>43800</v>
      </c>
      <c r="B51">
        <f>HAVERM!C486</f>
        <v>3.8079999999999998</v>
      </c>
      <c r="C51" s="3">
        <f>HAVERM!B486</f>
        <v>3.9</v>
      </c>
      <c r="E51" s="5">
        <v>43800</v>
      </c>
      <c r="F51">
        <f>MIN(HAVERM!C485:C487)</f>
        <v>3.8079999999999998</v>
      </c>
      <c r="G51" s="3">
        <f t="shared" si="3"/>
        <v>0.18800000000000017</v>
      </c>
      <c r="H51" s="3">
        <f>HAVERM!B486</f>
        <v>3.9</v>
      </c>
      <c r="J51">
        <f>MAX(HAVERM!C485:C487)</f>
        <v>3.996</v>
      </c>
      <c r="Y51" s="9">
        <v>45352</v>
      </c>
      <c r="Z51" s="43">
        <f>'LTIM ye Jun24 - Table 1'!C152</f>
        <v>824000</v>
      </c>
      <c r="AA51" s="43"/>
    </row>
    <row r="52" spans="1:32" x14ac:dyDescent="0.25">
      <c r="A52" s="5">
        <v>43831</v>
      </c>
      <c r="B52">
        <f>HAVERM!C487</f>
        <v>3.996</v>
      </c>
      <c r="C52" s="3">
        <f>HAVERM!B487</f>
        <v>3.9</v>
      </c>
      <c r="E52" s="5">
        <v>43831</v>
      </c>
      <c r="F52">
        <f>MIN(HAVERM!C486:C488)</f>
        <v>3.8079999999999998</v>
      </c>
      <c r="G52" s="3">
        <f t="shared" si="3"/>
        <v>0.24199999999999999</v>
      </c>
      <c r="H52" s="3">
        <f>HAVERM!B487</f>
        <v>3.9</v>
      </c>
      <c r="J52">
        <f>MAX(HAVERM!C486:C488)</f>
        <v>4.05</v>
      </c>
      <c r="Y52" s="9">
        <v>45444</v>
      </c>
      <c r="Z52" s="43">
        <f>'LTIM ye Jun24 - Table 1'!C153</f>
        <v>728000</v>
      </c>
      <c r="AA52" s="43"/>
      <c r="AB52">
        <f>'Pproj - Jan24'!G15*1000</f>
        <v>599500</v>
      </c>
      <c r="AE52" s="43">
        <f>Z52-AB52</f>
        <v>128500</v>
      </c>
      <c r="AF52" s="43">
        <f>SUM(AE40:AE52)</f>
        <v>434900</v>
      </c>
    </row>
    <row r="53" spans="1:32" x14ac:dyDescent="0.25">
      <c r="A53" s="5">
        <v>43862</v>
      </c>
      <c r="B53">
        <f>HAVERM!C488</f>
        <v>4.05</v>
      </c>
      <c r="C53" s="3">
        <f>HAVERM!B488</f>
        <v>4.0999999999999996</v>
      </c>
      <c r="E53" s="5">
        <v>43862</v>
      </c>
      <c r="F53">
        <f>MIN(HAVERM!C487:C489)</f>
        <v>3.996</v>
      </c>
      <c r="G53" s="3">
        <f t="shared" si="3"/>
        <v>0.26000000000000023</v>
      </c>
      <c r="H53" s="3">
        <f>HAVERM!B488</f>
        <v>4.0999999999999996</v>
      </c>
      <c r="J53">
        <f>MAX(HAVERM!C487:C489)</f>
        <v>4.2560000000000002</v>
      </c>
    </row>
    <row r="54" spans="1:32" x14ac:dyDescent="0.25">
      <c r="A54" s="5">
        <v>43891</v>
      </c>
      <c r="B54">
        <f>HAVERM!C489</f>
        <v>4.2560000000000002</v>
      </c>
      <c r="C54" s="3">
        <f>HAVERM!B489</f>
        <v>4.0999999999999996</v>
      </c>
      <c r="E54" s="5">
        <v>43891</v>
      </c>
      <c r="F54">
        <f>MIN(HAVERM!C488:C490)</f>
        <v>3.9689999999999999</v>
      </c>
      <c r="G54" s="3">
        <f t="shared" si="3"/>
        <v>0.28700000000000037</v>
      </c>
      <c r="H54" s="3">
        <f>HAVERM!B489</f>
        <v>4.0999999999999996</v>
      </c>
      <c r="J54">
        <f>MAX(HAVERM!C488:C490)</f>
        <v>4.2560000000000002</v>
      </c>
    </row>
    <row r="55" spans="1:32" x14ac:dyDescent="0.25">
      <c r="A55" s="5">
        <v>43922</v>
      </c>
      <c r="B55">
        <f>HAVERM!C490</f>
        <v>3.9689999999999999</v>
      </c>
      <c r="C55" s="3">
        <f>HAVERM!B490</f>
        <v>4.0999999999999996</v>
      </c>
      <c r="E55" s="5">
        <v>43922</v>
      </c>
      <c r="F55">
        <f>MIN(HAVERM!C489:C491)</f>
        <v>3.9689999999999999</v>
      </c>
      <c r="G55" s="3">
        <f t="shared" si="3"/>
        <v>0.28700000000000037</v>
      </c>
      <c r="H55" s="3">
        <f>HAVERM!B490</f>
        <v>4.0999999999999996</v>
      </c>
      <c r="J55">
        <f>MAX(HAVERM!C489:C491)</f>
        <v>4.2560000000000002</v>
      </c>
    </row>
    <row r="56" spans="1:32" x14ac:dyDescent="0.25">
      <c r="A56" s="5">
        <v>43952</v>
      </c>
      <c r="B56">
        <f>HAVERM!C491</f>
        <v>4.1520000000000001</v>
      </c>
      <c r="C56" s="3">
        <f>HAVERM!B491</f>
        <v>4.0999999999999996</v>
      </c>
      <c r="E56" s="5">
        <v>43952</v>
      </c>
      <c r="F56">
        <f>MIN(HAVERM!C490:C492)</f>
        <v>3.9689999999999999</v>
      </c>
      <c r="G56" s="3">
        <f t="shared" si="3"/>
        <v>0.18300000000000027</v>
      </c>
      <c r="H56" s="3">
        <f>HAVERM!B491</f>
        <v>4.0999999999999996</v>
      </c>
      <c r="J56">
        <f>MAX(HAVERM!C490:C492)</f>
        <v>4.1520000000000001</v>
      </c>
    </row>
    <row r="57" spans="1:32" x14ac:dyDescent="0.25">
      <c r="A57" s="5">
        <v>43983</v>
      </c>
      <c r="B57">
        <f>HAVERM!C492</f>
        <v>4.1189999999999998</v>
      </c>
      <c r="C57" s="3">
        <f>HAVERM!B492</f>
        <v>4.4000000000000004</v>
      </c>
      <c r="E57" s="5">
        <v>43983</v>
      </c>
      <c r="F57">
        <f>MIN(HAVERM!C491:C493)</f>
        <v>4.1189999999999998</v>
      </c>
      <c r="G57" s="3">
        <f t="shared" si="3"/>
        <v>0.6930000000000005</v>
      </c>
      <c r="H57" s="3">
        <f>HAVERM!B492</f>
        <v>4.4000000000000004</v>
      </c>
      <c r="J57">
        <f>MAX(HAVERM!C491:C493)</f>
        <v>4.8120000000000003</v>
      </c>
    </row>
    <row r="58" spans="1:32" x14ac:dyDescent="0.25">
      <c r="A58" s="5">
        <v>44013</v>
      </c>
      <c r="B58">
        <f>HAVERM!C493</f>
        <v>4.8120000000000003</v>
      </c>
      <c r="C58" s="3">
        <f>HAVERM!B493</f>
        <v>4.5999999999999996</v>
      </c>
      <c r="E58" s="5">
        <v>44013</v>
      </c>
      <c r="F58">
        <f>MIN(HAVERM!C492:C494)</f>
        <v>4.1189999999999998</v>
      </c>
      <c r="G58" s="3">
        <f t="shared" si="3"/>
        <v>0.8360000000000003</v>
      </c>
      <c r="H58" s="3">
        <f>HAVERM!B493</f>
        <v>4.5999999999999996</v>
      </c>
      <c r="J58">
        <f>MAX(HAVERM!C492:C494)</f>
        <v>4.9550000000000001</v>
      </c>
    </row>
    <row r="59" spans="1:32" x14ac:dyDescent="0.25">
      <c r="A59" s="5">
        <v>44044</v>
      </c>
      <c r="B59">
        <f>HAVERM!C494</f>
        <v>4.9550000000000001</v>
      </c>
      <c r="C59" s="3">
        <f>HAVERM!B494</f>
        <v>5</v>
      </c>
      <c r="E59" s="5">
        <v>44044</v>
      </c>
      <c r="F59">
        <f>MIN(HAVERM!C493:C495)</f>
        <v>4.8120000000000003</v>
      </c>
      <c r="G59" s="3">
        <f t="shared" si="3"/>
        <v>0.3279999999999994</v>
      </c>
      <c r="H59" s="3">
        <f>HAVERM!B494</f>
        <v>5</v>
      </c>
      <c r="J59">
        <f>MAX(HAVERM!C493:C495)</f>
        <v>5.14</v>
      </c>
    </row>
    <row r="60" spans="1:32" x14ac:dyDescent="0.25">
      <c r="A60" s="5">
        <v>44075</v>
      </c>
      <c r="B60">
        <f>HAVERM!C495</f>
        <v>5.14</v>
      </c>
      <c r="C60" s="3">
        <f>HAVERM!B495</f>
        <v>5.2</v>
      </c>
      <c r="E60" s="5">
        <v>44075</v>
      </c>
      <c r="F60">
        <f>MIN(HAVERM!C494:C496)</f>
        <v>4.9550000000000001</v>
      </c>
      <c r="G60" s="3">
        <f t="shared" si="3"/>
        <v>0.42600000000000016</v>
      </c>
      <c r="H60" s="3">
        <f>HAVERM!B495</f>
        <v>5.2</v>
      </c>
      <c r="J60">
        <f>MAX(HAVERM!C494:C496)</f>
        <v>5.3810000000000002</v>
      </c>
    </row>
    <row r="61" spans="1:32" x14ac:dyDescent="0.25">
      <c r="A61" s="5">
        <v>44105</v>
      </c>
      <c r="B61">
        <f>HAVERM!C496</f>
        <v>5.3810000000000002</v>
      </c>
      <c r="C61" s="3">
        <f>HAVERM!B496</f>
        <v>5.2</v>
      </c>
      <c r="E61" s="5">
        <v>44105</v>
      </c>
      <c r="F61">
        <f>MIN(HAVERM!C495:C497)</f>
        <v>5.14</v>
      </c>
      <c r="G61" s="3">
        <f t="shared" si="3"/>
        <v>0.24100000000000055</v>
      </c>
      <c r="H61" s="3">
        <f>HAVERM!B496</f>
        <v>5.2</v>
      </c>
      <c r="J61">
        <f>MAX(HAVERM!C495:C497)</f>
        <v>5.3810000000000002</v>
      </c>
    </row>
    <row r="62" spans="1:32" x14ac:dyDescent="0.25">
      <c r="A62" s="5">
        <v>44136</v>
      </c>
      <c r="B62">
        <f>HAVERM!C497</f>
        <v>5.1630000000000003</v>
      </c>
      <c r="C62" s="3">
        <f>HAVERM!B497</f>
        <v>5.3</v>
      </c>
      <c r="E62" s="5">
        <v>44136</v>
      </c>
      <c r="F62">
        <f>MIN(HAVERM!C496:C498)</f>
        <v>5.1630000000000003</v>
      </c>
      <c r="G62" s="3">
        <f t="shared" si="3"/>
        <v>0.21799999999999997</v>
      </c>
      <c r="H62" s="3">
        <f>HAVERM!B497</f>
        <v>5.3</v>
      </c>
      <c r="J62">
        <f>MAX(HAVERM!C496:C498)</f>
        <v>5.3810000000000002</v>
      </c>
    </row>
    <row r="63" spans="1:32" x14ac:dyDescent="0.25">
      <c r="A63" s="5">
        <v>44166</v>
      </c>
      <c r="B63">
        <f>HAVERM!C498</f>
        <v>5.2670000000000003</v>
      </c>
      <c r="C63" s="3">
        <f>HAVERM!B498</f>
        <v>5.2</v>
      </c>
      <c r="E63" s="5">
        <v>44166</v>
      </c>
      <c r="F63">
        <f>MIN(HAVERM!C497:C499)</f>
        <v>5.056</v>
      </c>
      <c r="G63" s="3">
        <f t="shared" si="3"/>
        <v>0.2110000000000003</v>
      </c>
      <c r="H63" s="3">
        <f>HAVERM!B498</f>
        <v>5.2</v>
      </c>
      <c r="J63">
        <f>MAX(HAVERM!C497:C499)</f>
        <v>5.2670000000000003</v>
      </c>
    </row>
    <row r="64" spans="1:32" x14ac:dyDescent="0.25">
      <c r="A64" s="5">
        <v>44197</v>
      </c>
      <c r="B64">
        <f>HAVERM!C499</f>
        <v>5.056</v>
      </c>
      <c r="C64" s="3">
        <f>HAVERM!B499</f>
        <v>5</v>
      </c>
      <c r="E64" s="5">
        <v>44197</v>
      </c>
      <c r="F64">
        <f>MIN(HAVERM!C498:C500)</f>
        <v>4.8259999999999996</v>
      </c>
      <c r="G64" s="3">
        <f t="shared" si="3"/>
        <v>0.44100000000000072</v>
      </c>
      <c r="H64" s="3">
        <f>HAVERM!B499</f>
        <v>5</v>
      </c>
      <c r="J64">
        <f>MAX(HAVERM!C498:C500)</f>
        <v>5.2670000000000003</v>
      </c>
    </row>
    <row r="65" spans="1:10" x14ac:dyDescent="0.25">
      <c r="A65" s="5">
        <v>44228</v>
      </c>
      <c r="B65">
        <f>HAVERM!C500</f>
        <v>4.8259999999999996</v>
      </c>
      <c r="C65" s="3">
        <f>HAVERM!B500</f>
        <v>4.9000000000000004</v>
      </c>
      <c r="E65" s="5">
        <v>44228</v>
      </c>
      <c r="F65">
        <f>MIN(HAVERM!C499:C501)</f>
        <v>4.8259999999999996</v>
      </c>
      <c r="G65" s="3">
        <f t="shared" si="3"/>
        <v>0.23000000000000043</v>
      </c>
      <c r="H65" s="3">
        <f>HAVERM!B500</f>
        <v>4.9000000000000004</v>
      </c>
      <c r="J65">
        <f>MAX(HAVERM!C499:C501)</f>
        <v>5.056</v>
      </c>
    </row>
    <row r="66" spans="1:10" x14ac:dyDescent="0.25">
      <c r="A66" s="5">
        <v>44256</v>
      </c>
      <c r="B66">
        <f>HAVERM!C501</f>
        <v>4.8499999999999996</v>
      </c>
      <c r="C66" s="3">
        <f>HAVERM!B501</f>
        <v>4.8</v>
      </c>
      <c r="E66" s="5">
        <v>44256</v>
      </c>
      <c r="F66">
        <f>MIN(HAVERM!C500:C502)</f>
        <v>4.7869999999999999</v>
      </c>
      <c r="G66" s="3">
        <f t="shared" si="3"/>
        <v>6.2999999999999723E-2</v>
      </c>
      <c r="H66" s="3">
        <f>HAVERM!B501</f>
        <v>4.8</v>
      </c>
      <c r="J66">
        <f>MAX(HAVERM!C500:C502)</f>
        <v>4.8499999999999996</v>
      </c>
    </row>
    <row r="67" spans="1:10" x14ac:dyDescent="0.25">
      <c r="A67" s="5">
        <v>44287</v>
      </c>
      <c r="B67">
        <f>HAVERM!C502</f>
        <v>4.7869999999999999</v>
      </c>
      <c r="C67" s="3">
        <f>HAVERM!B502</f>
        <v>4.8</v>
      </c>
      <c r="E67" s="5">
        <v>44287</v>
      </c>
      <c r="F67">
        <f>MIN(HAVERM!C501:C503)</f>
        <v>4.7480000000000002</v>
      </c>
      <c r="G67" s="3">
        <f t="shared" si="3"/>
        <v>0.10199999999999942</v>
      </c>
      <c r="H67" s="3">
        <f>HAVERM!B502</f>
        <v>4.8</v>
      </c>
      <c r="J67">
        <f>MAX(HAVERM!C501:C503)</f>
        <v>4.8499999999999996</v>
      </c>
    </row>
    <row r="68" spans="1:10" x14ac:dyDescent="0.25">
      <c r="A68" s="5">
        <v>44317</v>
      </c>
      <c r="B68">
        <f>HAVERM!C503</f>
        <v>4.7480000000000002</v>
      </c>
      <c r="C68" s="3">
        <f>HAVERM!B503</f>
        <v>4.7</v>
      </c>
      <c r="E68" s="5">
        <v>44317</v>
      </c>
      <c r="F68">
        <f>MIN(HAVERM!C502:C504)</f>
        <v>4.4710000000000001</v>
      </c>
      <c r="G68" s="3">
        <f t="shared" ref="G68:G99" si="4">J68-F68</f>
        <v>0.31599999999999984</v>
      </c>
      <c r="H68" s="3">
        <f>HAVERM!B503</f>
        <v>4.7</v>
      </c>
      <c r="J68">
        <f>MAX(HAVERM!C502:C504)</f>
        <v>4.7869999999999999</v>
      </c>
    </row>
    <row r="69" spans="1:10" x14ac:dyDescent="0.25">
      <c r="A69" s="5">
        <v>44348</v>
      </c>
      <c r="B69">
        <f>HAVERM!C504</f>
        <v>4.4710000000000001</v>
      </c>
      <c r="C69" s="3">
        <f>HAVERM!B504</f>
        <v>4.5999999999999996</v>
      </c>
      <c r="E69" s="5">
        <v>44348</v>
      </c>
      <c r="F69">
        <f>MIN(HAVERM!C503:C505)</f>
        <v>4.4710000000000001</v>
      </c>
      <c r="G69" s="3">
        <f t="shared" si="4"/>
        <v>0.27700000000000014</v>
      </c>
      <c r="H69" s="3">
        <f>HAVERM!B504</f>
        <v>4.5999999999999996</v>
      </c>
      <c r="J69">
        <f>MAX(HAVERM!C503:C505)</f>
        <v>4.7480000000000002</v>
      </c>
    </row>
    <row r="70" spans="1:10" x14ac:dyDescent="0.25">
      <c r="A70" s="5">
        <v>44378</v>
      </c>
      <c r="B70">
        <f>HAVERM!C505</f>
        <v>4.4960000000000004</v>
      </c>
      <c r="C70" s="3">
        <f>HAVERM!B505</f>
        <v>4.5</v>
      </c>
      <c r="E70" s="5">
        <v>44378</v>
      </c>
      <c r="F70">
        <f>MIN(HAVERM!C504:C506)</f>
        <v>4.4710000000000001</v>
      </c>
      <c r="G70" s="3">
        <f t="shared" si="4"/>
        <v>0.11699999999999999</v>
      </c>
      <c r="H70" s="3">
        <f>HAVERM!B505</f>
        <v>4.5</v>
      </c>
      <c r="J70">
        <f>MAX(HAVERM!C504:C506)</f>
        <v>4.5880000000000001</v>
      </c>
    </row>
    <row r="71" spans="1:10" x14ac:dyDescent="0.25">
      <c r="A71" s="5">
        <v>44409</v>
      </c>
      <c r="B71">
        <f>HAVERM!C506</f>
        <v>4.5880000000000001</v>
      </c>
      <c r="C71" s="3">
        <f>HAVERM!B506</f>
        <v>4.4000000000000004</v>
      </c>
      <c r="E71" s="5">
        <v>44409</v>
      </c>
      <c r="F71">
        <f>MIN(HAVERM!C505:C507)</f>
        <v>4.0750000000000002</v>
      </c>
      <c r="G71" s="3">
        <f t="shared" si="4"/>
        <v>0.5129999999999999</v>
      </c>
      <c r="H71" s="3">
        <f>HAVERM!B506</f>
        <v>4.4000000000000004</v>
      </c>
      <c r="J71">
        <f>MAX(HAVERM!C505:C507)</f>
        <v>4.5880000000000001</v>
      </c>
    </row>
    <row r="72" spans="1:10" x14ac:dyDescent="0.25">
      <c r="A72" s="5">
        <v>44440</v>
      </c>
      <c r="B72">
        <f>HAVERM!C507</f>
        <v>4.0750000000000002</v>
      </c>
      <c r="C72" s="3">
        <f>HAVERM!B507</f>
        <v>4.3</v>
      </c>
      <c r="E72" s="5">
        <v>44440</v>
      </c>
      <c r="F72">
        <f>MIN(HAVERM!C506:C508)</f>
        <v>4.0750000000000002</v>
      </c>
      <c r="G72" s="3">
        <f t="shared" si="4"/>
        <v>0.5129999999999999</v>
      </c>
      <c r="H72" s="3">
        <f>HAVERM!B507</f>
        <v>4.3</v>
      </c>
      <c r="J72">
        <f>MAX(HAVERM!C506:C508)</f>
        <v>4.5880000000000001</v>
      </c>
    </row>
    <row r="73" spans="1:10" x14ac:dyDescent="0.25">
      <c r="A73" s="5">
        <v>44470</v>
      </c>
      <c r="B73">
        <f>HAVERM!C508</f>
        <v>4.258</v>
      </c>
      <c r="C73" s="3">
        <f>HAVERM!B508</f>
        <v>4.2</v>
      </c>
      <c r="E73" s="5">
        <v>44470</v>
      </c>
      <c r="F73">
        <f>MIN(HAVERM!C507:C509)</f>
        <v>4.0750000000000002</v>
      </c>
      <c r="G73" s="3">
        <f t="shared" si="4"/>
        <v>0.28200000000000003</v>
      </c>
      <c r="H73" s="3">
        <f>HAVERM!B508</f>
        <v>4.2</v>
      </c>
      <c r="J73">
        <f>MAX(HAVERM!C507:C509)</f>
        <v>4.3570000000000002</v>
      </c>
    </row>
    <row r="74" spans="1:10" x14ac:dyDescent="0.25">
      <c r="A74" s="5">
        <v>44501</v>
      </c>
      <c r="B74">
        <f>HAVERM!C509</f>
        <v>4.3570000000000002</v>
      </c>
      <c r="C74" s="3">
        <f>HAVERM!B509</f>
        <v>4.2</v>
      </c>
      <c r="E74" s="5">
        <v>44501</v>
      </c>
      <c r="F74">
        <f>MIN(HAVERM!C508:C510)</f>
        <v>3.9380000000000002</v>
      </c>
      <c r="G74" s="3">
        <f t="shared" si="4"/>
        <v>0.41900000000000004</v>
      </c>
      <c r="H74" s="3">
        <f>HAVERM!B509</f>
        <v>4.2</v>
      </c>
      <c r="J74">
        <f>MAX(HAVERM!C508:C510)</f>
        <v>4.3570000000000002</v>
      </c>
    </row>
    <row r="75" spans="1:10" x14ac:dyDescent="0.25">
      <c r="A75" s="5">
        <v>44531</v>
      </c>
      <c r="B75">
        <f>HAVERM!C510</f>
        <v>3.9380000000000002</v>
      </c>
      <c r="C75" s="3">
        <f>HAVERM!B510</f>
        <v>4.0999999999999996</v>
      </c>
      <c r="E75" s="5">
        <v>44531</v>
      </c>
      <c r="F75">
        <f>MIN(HAVERM!C509:C511)</f>
        <v>3.9380000000000002</v>
      </c>
      <c r="G75" s="3">
        <f t="shared" si="4"/>
        <v>0.41900000000000004</v>
      </c>
      <c r="H75" s="3">
        <f>HAVERM!B510</f>
        <v>4.0999999999999996</v>
      </c>
      <c r="J75">
        <f>MAX(HAVERM!C509:C511)</f>
        <v>4.3570000000000002</v>
      </c>
    </row>
    <row r="76" spans="1:10" x14ac:dyDescent="0.25">
      <c r="A76" s="5">
        <v>44562</v>
      </c>
      <c r="B76">
        <f>HAVERM!C511</f>
        <v>3.9809999999999999</v>
      </c>
      <c r="C76" s="3">
        <f>HAVERM!B511</f>
        <v>3.9</v>
      </c>
      <c r="E76" s="5">
        <v>44562</v>
      </c>
      <c r="F76">
        <f>MIN(HAVERM!C510:C512)</f>
        <v>3.87</v>
      </c>
      <c r="G76" s="3">
        <f t="shared" si="4"/>
        <v>0.11099999999999977</v>
      </c>
      <c r="H76" s="3">
        <f>HAVERM!B511</f>
        <v>3.9</v>
      </c>
      <c r="J76">
        <f>MAX(HAVERM!C510:C512)</f>
        <v>3.9809999999999999</v>
      </c>
    </row>
    <row r="77" spans="1:10" x14ac:dyDescent="0.25">
      <c r="A77" s="5">
        <v>44593</v>
      </c>
      <c r="B77">
        <f>HAVERM!C512</f>
        <v>3.87</v>
      </c>
      <c r="C77" s="3">
        <f>HAVERM!B512</f>
        <v>3.8</v>
      </c>
      <c r="E77" s="5">
        <v>44593</v>
      </c>
      <c r="F77">
        <f>MIN(HAVERM!C511:C513)</f>
        <v>3.4889999999999999</v>
      </c>
      <c r="G77" s="3">
        <f t="shared" si="4"/>
        <v>0.49199999999999999</v>
      </c>
      <c r="H77" s="3">
        <f>HAVERM!B512</f>
        <v>3.8</v>
      </c>
      <c r="J77">
        <f>MAX(HAVERM!C511:C513)</f>
        <v>3.9809999999999999</v>
      </c>
    </row>
    <row r="78" spans="1:10" x14ac:dyDescent="0.25">
      <c r="A78" s="5">
        <v>44621</v>
      </c>
      <c r="B78">
        <f>HAVERM!C513</f>
        <v>3.4889999999999999</v>
      </c>
      <c r="C78" s="3">
        <f>HAVERM!B513</f>
        <v>3.8</v>
      </c>
      <c r="E78" s="5">
        <v>44621</v>
      </c>
      <c r="F78">
        <f>MIN(HAVERM!C512:C514)</f>
        <v>3.4889999999999999</v>
      </c>
      <c r="G78" s="3">
        <f t="shared" si="4"/>
        <v>0.59799999999999986</v>
      </c>
      <c r="H78" s="3">
        <f>HAVERM!B513</f>
        <v>3.8</v>
      </c>
      <c r="J78">
        <f>MAX(HAVERM!C512:C514)</f>
        <v>4.0869999999999997</v>
      </c>
    </row>
    <row r="79" spans="1:10" x14ac:dyDescent="0.25">
      <c r="A79" s="5">
        <v>44652</v>
      </c>
      <c r="B79">
        <f>HAVERM!C514</f>
        <v>4.0869999999999997</v>
      </c>
      <c r="C79" s="3">
        <f>HAVERM!B514</f>
        <v>3.7</v>
      </c>
      <c r="E79" s="5">
        <v>44652</v>
      </c>
      <c r="F79">
        <f>MIN(HAVERM!C513:C515)</f>
        <v>3.4889999999999999</v>
      </c>
      <c r="G79" s="3">
        <f t="shared" si="4"/>
        <v>0.59799999999999986</v>
      </c>
      <c r="H79" s="3">
        <f>HAVERM!B514</f>
        <v>3.7</v>
      </c>
      <c r="J79">
        <f>MAX(HAVERM!C513:C515)</f>
        <v>4.0869999999999997</v>
      </c>
    </row>
    <row r="80" spans="1:10" x14ac:dyDescent="0.25">
      <c r="A80" s="5">
        <v>44682</v>
      </c>
      <c r="B80">
        <f>HAVERM!C515</f>
        <v>3.6429999999999998</v>
      </c>
      <c r="C80" s="3">
        <f>HAVERM!B515</f>
        <v>3.8</v>
      </c>
      <c r="E80" s="5">
        <v>44682</v>
      </c>
      <c r="F80">
        <f>MIN(HAVERM!C514:C516)</f>
        <v>3.5649999999999999</v>
      </c>
      <c r="G80" s="3">
        <f t="shared" si="4"/>
        <v>0.5219999999999998</v>
      </c>
      <c r="H80" s="3">
        <f>HAVERM!B515</f>
        <v>3.8</v>
      </c>
      <c r="J80">
        <f>MAX(HAVERM!C514:C516)</f>
        <v>4.0869999999999997</v>
      </c>
    </row>
    <row r="81" spans="1:10" x14ac:dyDescent="0.25">
      <c r="A81" s="5">
        <v>44713</v>
      </c>
      <c r="B81">
        <f>HAVERM!C516</f>
        <v>3.5649999999999999</v>
      </c>
      <c r="C81" s="3">
        <f>HAVERM!B516</f>
        <v>3.6</v>
      </c>
      <c r="E81" s="5">
        <v>44713</v>
      </c>
      <c r="F81">
        <f>MIN(HAVERM!C515:C517)</f>
        <v>3.5649999999999999</v>
      </c>
      <c r="G81" s="3">
        <f t="shared" si="4"/>
        <v>0.1120000000000001</v>
      </c>
      <c r="H81" s="3">
        <f>HAVERM!B516</f>
        <v>3.6</v>
      </c>
      <c r="J81">
        <f>MAX(HAVERM!C515:C517)</f>
        <v>3.677</v>
      </c>
    </row>
    <row r="82" spans="1:10" x14ac:dyDescent="0.25">
      <c r="A82" s="5">
        <v>44743</v>
      </c>
      <c r="B82">
        <f>HAVERM!C517</f>
        <v>3.677</v>
      </c>
      <c r="C82" s="3">
        <f>HAVERM!B517</f>
        <v>3.6</v>
      </c>
      <c r="E82" s="5">
        <v>44743</v>
      </c>
      <c r="F82">
        <f>MIN(HAVERM!C516:C518)</f>
        <v>3.5609999999999999</v>
      </c>
      <c r="G82" s="3">
        <f t="shared" si="4"/>
        <v>0.1160000000000001</v>
      </c>
      <c r="H82" s="3">
        <f>HAVERM!B517</f>
        <v>3.6</v>
      </c>
      <c r="J82">
        <f>MAX(HAVERM!C516:C518)</f>
        <v>3.677</v>
      </c>
    </row>
    <row r="83" spans="1:10" x14ac:dyDescent="0.25">
      <c r="A83" s="5">
        <v>44774</v>
      </c>
      <c r="B83">
        <f>HAVERM!C518</f>
        <v>3.5609999999999999</v>
      </c>
      <c r="C83" s="3">
        <f>HAVERM!B518</f>
        <v>3.7</v>
      </c>
      <c r="E83" s="5">
        <v>44774</v>
      </c>
      <c r="F83">
        <f>MIN(HAVERM!C517:C519)</f>
        <v>3.5609999999999999</v>
      </c>
      <c r="G83" s="3">
        <f t="shared" si="4"/>
        <v>0.36799999999999988</v>
      </c>
      <c r="H83" s="3">
        <f>HAVERM!B518</f>
        <v>3.7</v>
      </c>
      <c r="J83">
        <f>MAX(HAVERM!C517:C519)</f>
        <v>3.9289999999999998</v>
      </c>
    </row>
    <row r="84" spans="1:10" x14ac:dyDescent="0.25">
      <c r="A84" s="5">
        <v>44805</v>
      </c>
      <c r="B84">
        <f>HAVERM!C519</f>
        <v>3.9289999999999998</v>
      </c>
      <c r="C84" s="3">
        <f>HAVERM!B519</f>
        <v>3.8</v>
      </c>
      <c r="E84" s="5">
        <v>44805</v>
      </c>
      <c r="F84">
        <f>MIN(HAVERM!C518:C520)</f>
        <v>3.5609999999999999</v>
      </c>
      <c r="G84" s="3">
        <f t="shared" si="4"/>
        <v>0.51200000000000045</v>
      </c>
      <c r="H84" s="3">
        <f>HAVERM!B519</f>
        <v>3.8</v>
      </c>
      <c r="J84">
        <f>MAX(HAVERM!C518:C520)</f>
        <v>4.0730000000000004</v>
      </c>
    </row>
    <row r="85" spans="1:10" x14ac:dyDescent="0.25">
      <c r="A85" s="5">
        <v>44835</v>
      </c>
      <c r="B85">
        <f>HAVERM!C520</f>
        <v>4.0730000000000004</v>
      </c>
      <c r="C85" s="3">
        <f>HAVERM!B520</f>
        <v>3.9</v>
      </c>
      <c r="E85" s="5">
        <v>44835</v>
      </c>
      <c r="F85">
        <f>MIN(HAVERM!C519:C521)</f>
        <v>3.6890000000000001</v>
      </c>
      <c r="G85" s="3">
        <f t="shared" si="4"/>
        <v>0.38400000000000034</v>
      </c>
      <c r="H85" s="3">
        <f>HAVERM!B520</f>
        <v>3.9</v>
      </c>
      <c r="J85">
        <f>MAX(HAVERM!C519:C521)</f>
        <v>4.0730000000000004</v>
      </c>
    </row>
    <row r="86" spans="1:10" x14ac:dyDescent="0.25">
      <c r="A86" s="5">
        <v>44866</v>
      </c>
      <c r="B86">
        <f>HAVERM!C521</f>
        <v>3.6890000000000001</v>
      </c>
      <c r="C86" s="3">
        <f>HAVERM!B521</f>
        <v>3.9</v>
      </c>
      <c r="E86" s="5">
        <v>44866</v>
      </c>
      <c r="F86">
        <f>MIN(HAVERM!C520:C522)</f>
        <v>3.6890000000000001</v>
      </c>
      <c r="G86" s="3">
        <f t="shared" si="4"/>
        <v>0.38400000000000034</v>
      </c>
      <c r="H86" s="3">
        <f>HAVERM!B521</f>
        <v>3.9</v>
      </c>
      <c r="J86">
        <f>MAX(HAVERM!C520:C522)</f>
        <v>4.0730000000000004</v>
      </c>
    </row>
    <row r="87" spans="1:10" x14ac:dyDescent="0.25">
      <c r="A87" s="5">
        <v>44896</v>
      </c>
      <c r="B87">
        <f>HAVERM!C522</f>
        <v>3.976</v>
      </c>
      <c r="C87" s="3">
        <f>HAVERM!B522</f>
        <v>3.9</v>
      </c>
      <c r="E87" s="5">
        <v>44896</v>
      </c>
      <c r="F87">
        <f>MIN(HAVERM!C521:C523)</f>
        <v>3.6890000000000001</v>
      </c>
      <c r="G87" s="3">
        <f t="shared" si="4"/>
        <v>0.28699999999999992</v>
      </c>
      <c r="H87" s="3">
        <f>HAVERM!B522</f>
        <v>3.9</v>
      </c>
      <c r="J87">
        <f>MAX(HAVERM!C521:C523)</f>
        <v>3.976</v>
      </c>
    </row>
    <row r="88" spans="1:10" x14ac:dyDescent="0.25">
      <c r="A88" s="5">
        <v>44927</v>
      </c>
      <c r="B88">
        <f>HAVERM!C523</f>
        <v>3.9710000000000001</v>
      </c>
      <c r="C88" s="3">
        <f>HAVERM!B523</f>
        <v>4</v>
      </c>
      <c r="E88" s="5">
        <v>44927</v>
      </c>
      <c r="F88">
        <f>MIN(HAVERM!C522:C524)</f>
        <v>3.9710000000000001</v>
      </c>
      <c r="G88" s="3">
        <f t="shared" si="4"/>
        <v>1.1000000000000121E-2</v>
      </c>
      <c r="H88" s="3">
        <f>HAVERM!B523</f>
        <v>4</v>
      </c>
      <c r="J88">
        <f>MAX(HAVERM!C522:C524)</f>
        <v>3.9820000000000002</v>
      </c>
    </row>
    <row r="89" spans="1:10" x14ac:dyDescent="0.25">
      <c r="A89" s="5">
        <v>44958</v>
      </c>
      <c r="B89">
        <f>HAVERM!C524</f>
        <v>3.9820000000000002</v>
      </c>
      <c r="C89" s="3">
        <f>HAVERM!B524</f>
        <v>4</v>
      </c>
      <c r="E89" s="5">
        <v>44958</v>
      </c>
      <c r="F89">
        <f>MIN(HAVERM!C523:C525)</f>
        <v>3.9710000000000001</v>
      </c>
      <c r="G89" s="3">
        <f t="shared" si="4"/>
        <v>1.5000000000000124E-2</v>
      </c>
      <c r="H89" s="3">
        <f>HAVERM!B524</f>
        <v>4</v>
      </c>
      <c r="J89">
        <f>MAX(HAVERM!C523:C525)</f>
        <v>3.9860000000000002</v>
      </c>
    </row>
    <row r="90" spans="1:10" x14ac:dyDescent="0.25">
      <c r="A90" s="5">
        <v>44986</v>
      </c>
      <c r="B90">
        <f>HAVERM!C525</f>
        <v>3.9860000000000002</v>
      </c>
      <c r="C90" s="3">
        <f>HAVERM!B525</f>
        <v>3.9</v>
      </c>
      <c r="E90" s="5">
        <v>44986</v>
      </c>
      <c r="F90">
        <f>MIN(HAVERM!C524:C526)</f>
        <v>3.6970000000000001</v>
      </c>
      <c r="G90" s="3">
        <f t="shared" si="4"/>
        <v>0.28900000000000015</v>
      </c>
      <c r="H90" s="3">
        <f>HAVERM!B525</f>
        <v>3.9</v>
      </c>
      <c r="J90">
        <f>MAX(HAVERM!C524:C526)</f>
        <v>3.9860000000000002</v>
      </c>
    </row>
    <row r="91" spans="1:10" x14ac:dyDescent="0.25">
      <c r="A91" s="5">
        <v>45017</v>
      </c>
      <c r="B91">
        <f>HAVERM!C526</f>
        <v>3.6970000000000001</v>
      </c>
      <c r="C91" s="3">
        <f>HAVERM!B526</f>
        <v>4</v>
      </c>
      <c r="E91" s="5">
        <v>45017</v>
      </c>
      <c r="F91">
        <f>MIN(HAVERM!C525:C527)</f>
        <v>3.6970000000000001</v>
      </c>
      <c r="G91" s="3">
        <f t="shared" si="4"/>
        <v>0.60700000000000021</v>
      </c>
      <c r="H91" s="3">
        <f>HAVERM!B526</f>
        <v>4</v>
      </c>
      <c r="J91">
        <f>MAX(HAVERM!C525:C527)</f>
        <v>4.3040000000000003</v>
      </c>
    </row>
    <row r="92" spans="1:10" x14ac:dyDescent="0.25">
      <c r="A92" s="5">
        <v>45047</v>
      </c>
      <c r="B92">
        <f>HAVERM!C527</f>
        <v>4.3040000000000003</v>
      </c>
      <c r="C92" s="3">
        <f>HAVERM!B527</f>
        <v>4.2</v>
      </c>
      <c r="E92" s="5">
        <v>45047</v>
      </c>
      <c r="F92">
        <f>MIN(HAVERM!C526:C528)</f>
        <v>3.6970000000000001</v>
      </c>
      <c r="G92" s="3">
        <f t="shared" si="4"/>
        <v>0.94899999999999984</v>
      </c>
      <c r="H92" s="3">
        <f>HAVERM!B527</f>
        <v>4.2</v>
      </c>
      <c r="J92">
        <f>MAX(HAVERM!C526:C528)</f>
        <v>4.6459999999999999</v>
      </c>
    </row>
    <row r="93" spans="1:10" x14ac:dyDescent="0.25">
      <c r="A93" s="5">
        <v>45078</v>
      </c>
      <c r="B93">
        <f>HAVERM!C528</f>
        <v>4.6459999999999999</v>
      </c>
      <c r="C93" s="3">
        <f>HAVERM!B528</f>
        <v>4.3</v>
      </c>
      <c r="E93" s="5">
        <v>45078</v>
      </c>
      <c r="F93">
        <f>MIN(HAVERM!C527:C529)</f>
        <v>4.0709999999999997</v>
      </c>
      <c r="G93" s="3">
        <f t="shared" si="4"/>
        <v>0.57500000000000018</v>
      </c>
      <c r="H93" s="3">
        <f>HAVERM!B528</f>
        <v>4.3</v>
      </c>
      <c r="J93">
        <f>MAX(HAVERM!C527:C529)</f>
        <v>4.6459999999999999</v>
      </c>
    </row>
    <row r="94" spans="1:10" x14ac:dyDescent="0.25">
      <c r="A94" s="5">
        <v>45108</v>
      </c>
      <c r="B94">
        <f>HAVERM!C529</f>
        <v>4.0709999999999997</v>
      </c>
      <c r="C94" s="3">
        <f>HAVERM!B529</f>
        <v>4.3</v>
      </c>
      <c r="E94" s="5">
        <v>45108</v>
      </c>
      <c r="F94">
        <f>MIN(HAVERM!C528:C530)</f>
        <v>4.0709999999999997</v>
      </c>
      <c r="G94" s="3">
        <f t="shared" si="4"/>
        <v>0.57500000000000018</v>
      </c>
      <c r="H94" s="3">
        <f>HAVERM!B529</f>
        <v>4.3</v>
      </c>
      <c r="J94">
        <f>MAX(HAVERM!C528:C530)</f>
        <v>4.6459999999999999</v>
      </c>
    </row>
    <row r="95" spans="1:10" x14ac:dyDescent="0.25">
      <c r="A95" s="5">
        <v>45139</v>
      </c>
      <c r="B95">
        <f>HAVERM!C530</f>
        <v>4.0810000000000004</v>
      </c>
      <c r="C95" s="3">
        <f>HAVERM!B530</f>
        <v>4.0999999999999996</v>
      </c>
      <c r="E95" s="5">
        <v>45139</v>
      </c>
      <c r="F95">
        <f>MIN(HAVERM!C529:C531)</f>
        <v>4.0709999999999997</v>
      </c>
      <c r="G95" s="3">
        <f t="shared" si="4"/>
        <v>0.13700000000000045</v>
      </c>
      <c r="H95" s="3">
        <f>HAVERM!B530</f>
        <v>4.0999999999999996</v>
      </c>
      <c r="J95">
        <f>MAX(HAVERM!C529:C531)</f>
        <v>4.2080000000000002</v>
      </c>
    </row>
    <row r="96" spans="1:10" x14ac:dyDescent="0.25">
      <c r="A96" s="5">
        <v>45170</v>
      </c>
      <c r="B96">
        <f>HAVERM!C531</f>
        <v>4.2080000000000002</v>
      </c>
      <c r="C96" s="3">
        <f>HAVERM!B531</f>
        <v>4</v>
      </c>
      <c r="E96" s="5">
        <v>45170</v>
      </c>
      <c r="F96">
        <f>MIN(HAVERM!C530:C532)</f>
        <v>3.7789999999999999</v>
      </c>
      <c r="G96" s="3">
        <f t="shared" si="4"/>
        <v>0.42900000000000027</v>
      </c>
      <c r="H96" s="3">
        <f>HAVERM!B531</f>
        <v>4</v>
      </c>
      <c r="J96">
        <f>MAX(HAVERM!C530:C532)</f>
        <v>4.2080000000000002</v>
      </c>
    </row>
    <row r="97" spans="1:10" x14ac:dyDescent="0.25">
      <c r="A97" s="5">
        <v>45200</v>
      </c>
      <c r="B97">
        <f>HAVERM!C532</f>
        <v>3.7789999999999999</v>
      </c>
      <c r="C97" s="3">
        <f>HAVERM!B532</f>
        <v>4</v>
      </c>
      <c r="E97" s="5">
        <v>45200</v>
      </c>
      <c r="F97">
        <f>MIN(HAVERM!C531:C533)</f>
        <v>3.7789999999999999</v>
      </c>
      <c r="G97" s="3">
        <f t="shared" si="4"/>
        <v>0.42900000000000027</v>
      </c>
      <c r="H97" s="3">
        <f>HAVERM!B532</f>
        <v>4</v>
      </c>
      <c r="J97">
        <f>MAX(HAVERM!C531:C533)</f>
        <v>4.2080000000000002</v>
      </c>
    </row>
    <row r="98" spans="1:10" x14ac:dyDescent="0.25">
      <c r="A98" s="5">
        <v>45231</v>
      </c>
      <c r="B98">
        <f>HAVERM!C533</f>
        <v>3.9239999999999999</v>
      </c>
      <c r="C98" s="3">
        <f>HAVERM!B533</f>
        <v>3.9</v>
      </c>
      <c r="E98" s="5">
        <v>45231</v>
      </c>
      <c r="F98">
        <f>MIN(HAVERM!C532:C534)</f>
        <v>3.7789999999999999</v>
      </c>
      <c r="G98" s="3">
        <f t="shared" si="4"/>
        <v>0.16800000000000015</v>
      </c>
      <c r="H98" s="3">
        <f>HAVERM!B533</f>
        <v>3.9</v>
      </c>
      <c r="J98">
        <f>MAX(HAVERM!C532:C534)</f>
        <v>3.9470000000000001</v>
      </c>
    </row>
    <row r="99" spans="1:10" x14ac:dyDescent="0.25">
      <c r="A99" s="5">
        <v>45261</v>
      </c>
      <c r="B99">
        <f>HAVERM!C534</f>
        <v>3.9470000000000001</v>
      </c>
      <c r="C99" s="3">
        <f>HAVERM!B534</f>
        <v>4.0999999999999996</v>
      </c>
      <c r="E99" s="5">
        <v>45261</v>
      </c>
      <c r="F99">
        <f>MIN(HAVERM!C533:C535)</f>
        <v>3.9239999999999999</v>
      </c>
      <c r="G99" s="3">
        <f t="shared" si="4"/>
        <v>0.38800000000000034</v>
      </c>
      <c r="H99" s="3">
        <f>HAVERM!B534</f>
        <v>4.0999999999999996</v>
      </c>
      <c r="J99">
        <f>MAX(HAVERM!C533:C535)</f>
        <v>4.3120000000000003</v>
      </c>
    </row>
    <row r="100" spans="1:10" x14ac:dyDescent="0.25">
      <c r="A100" s="5">
        <v>45292</v>
      </c>
      <c r="B100">
        <f>HAVERM!C535</f>
        <v>4.3120000000000003</v>
      </c>
      <c r="C100" s="3">
        <f>HAVERM!B535</f>
        <v>4.2</v>
      </c>
      <c r="E100" s="5">
        <v>45292</v>
      </c>
      <c r="F100">
        <f>MIN(HAVERM!C534:C536)</f>
        <v>3.9470000000000001</v>
      </c>
      <c r="G100" s="3">
        <f t="shared" ref="G100:G109" si="5">J100-F100</f>
        <v>0.36500000000000021</v>
      </c>
      <c r="H100" s="3">
        <f>HAVERM!B535</f>
        <v>4.2</v>
      </c>
      <c r="J100">
        <f>MAX(HAVERM!C534:C536)</f>
        <v>4.3120000000000003</v>
      </c>
    </row>
    <row r="101" spans="1:10" x14ac:dyDescent="0.25">
      <c r="A101" s="5">
        <v>45323</v>
      </c>
      <c r="B101">
        <f>HAVERM!C536</f>
        <v>4.3070000000000004</v>
      </c>
      <c r="C101" s="3">
        <f>HAVERM!B536</f>
        <v>4.3</v>
      </c>
      <c r="E101" s="5">
        <v>45323</v>
      </c>
      <c r="F101">
        <f>MIN(HAVERM!C535:C537)</f>
        <v>4.3070000000000004</v>
      </c>
      <c r="G101" s="3">
        <f t="shared" si="5"/>
        <v>0.12399999999999967</v>
      </c>
      <c r="H101" s="3">
        <f>HAVERM!B536</f>
        <v>4.3</v>
      </c>
      <c r="J101">
        <f>MAX(HAVERM!C535:C537)</f>
        <v>4.431</v>
      </c>
    </row>
    <row r="102" spans="1:10" x14ac:dyDescent="0.25">
      <c r="A102" s="5">
        <v>45352</v>
      </c>
      <c r="B102">
        <f>HAVERM!C537</f>
        <v>4.431</v>
      </c>
      <c r="C102" s="3">
        <f>HAVERM!B537</f>
        <v>4.4000000000000004</v>
      </c>
      <c r="E102" s="5">
        <v>45352</v>
      </c>
      <c r="F102">
        <f>MIN(HAVERM!C536:C538)</f>
        <v>4.3070000000000004</v>
      </c>
      <c r="G102" s="3">
        <f t="shared" si="5"/>
        <v>0.12399999999999967</v>
      </c>
      <c r="H102" s="3">
        <f>HAVERM!B537</f>
        <v>4.4000000000000004</v>
      </c>
      <c r="J102">
        <f>MAX(HAVERM!C536:C538)</f>
        <v>4.431</v>
      </c>
    </row>
    <row r="103" spans="1:10" x14ac:dyDescent="0.25">
      <c r="A103" s="5">
        <v>45383</v>
      </c>
      <c r="B103">
        <f>HAVERM!C538</f>
        <v>4.3540000000000001</v>
      </c>
      <c r="C103" s="3">
        <f>HAVERM!B538</f>
        <v>4.4000000000000004</v>
      </c>
      <c r="E103" s="5">
        <v>45383</v>
      </c>
      <c r="F103">
        <f>MIN(HAVERM!C537:C539)</f>
        <v>4.3540000000000001</v>
      </c>
      <c r="G103" s="3">
        <f t="shared" si="5"/>
        <v>0.13199999999999967</v>
      </c>
      <c r="H103" s="3">
        <f>HAVERM!B538</f>
        <v>4.4000000000000004</v>
      </c>
      <c r="J103">
        <f>MAX(HAVERM!C537:C539)</f>
        <v>4.4859999999999998</v>
      </c>
    </row>
    <row r="104" spans="1:10" x14ac:dyDescent="0.25">
      <c r="A104" s="5">
        <v>45413</v>
      </c>
      <c r="B104">
        <f>HAVERM!C539</f>
        <v>4.4859999999999998</v>
      </c>
      <c r="C104" s="3">
        <f>HAVERM!B539</f>
        <v>4.2</v>
      </c>
      <c r="E104" s="5">
        <v>45413</v>
      </c>
      <c r="F104">
        <f>MIN(HAVERM!C538:C540)</f>
        <v>3.77</v>
      </c>
      <c r="G104" s="3">
        <f t="shared" si="5"/>
        <v>0.71599999999999975</v>
      </c>
      <c r="H104" s="3">
        <f>HAVERM!B539</f>
        <v>4.2</v>
      </c>
      <c r="J104">
        <f>MAX(HAVERM!C538:C540)</f>
        <v>4.4859999999999998</v>
      </c>
    </row>
    <row r="105" spans="1:10" x14ac:dyDescent="0.25">
      <c r="A105" s="5">
        <v>45444</v>
      </c>
      <c r="B105">
        <f>HAVERM!C540</f>
        <v>3.77</v>
      </c>
      <c r="C105" s="3">
        <f>HAVERM!B540</f>
        <v>4.2</v>
      </c>
      <c r="E105" s="5">
        <v>45444</v>
      </c>
      <c r="F105">
        <f>MIN(HAVERM!C539:C541)</f>
        <v>3.77</v>
      </c>
      <c r="G105" s="3">
        <f t="shared" si="5"/>
        <v>0.71599999999999975</v>
      </c>
      <c r="H105" s="3">
        <f>HAVERM!B540</f>
        <v>4.2</v>
      </c>
      <c r="J105">
        <f>MAX(HAVERM!C539:C541)</f>
        <v>4.4859999999999998</v>
      </c>
    </row>
    <row r="106" spans="1:10" x14ac:dyDescent="0.25">
      <c r="A106" s="5">
        <v>45474</v>
      </c>
      <c r="B106">
        <f>HAVERM!C541</f>
        <v>4.359</v>
      </c>
      <c r="C106" s="3">
        <f>HAVERM!B541</f>
        <v>4.0999999999999996</v>
      </c>
      <c r="E106" s="5">
        <v>45474</v>
      </c>
      <c r="F106">
        <f>MIN(HAVERM!C540:C542)</f>
        <v>3.77</v>
      </c>
      <c r="G106" s="3">
        <f t="shared" si="5"/>
        <v>0.58899999999999997</v>
      </c>
      <c r="H106" s="3">
        <f>HAVERM!B541</f>
        <v>4.0999999999999996</v>
      </c>
      <c r="J106">
        <f>MAX(HAVERM!C540:C542)</f>
        <v>4.359</v>
      </c>
    </row>
    <row r="107" spans="1:10" x14ac:dyDescent="0.25">
      <c r="A107" s="5">
        <v>45505</v>
      </c>
      <c r="B107">
        <f>HAVERM!C542</f>
        <v>4.0999999999999996</v>
      </c>
      <c r="C107" s="3">
        <f>HAVERM!B542</f>
        <v>4.3</v>
      </c>
      <c r="E107" s="5">
        <v>45505</v>
      </c>
      <c r="F107">
        <f>MIN(HAVERM!C541:C543)</f>
        <v>4.0999999999999996</v>
      </c>
      <c r="G107" s="3">
        <f t="shared" si="5"/>
        <v>0.29100000000000037</v>
      </c>
      <c r="H107" s="3">
        <f>HAVERM!B542</f>
        <v>4.3</v>
      </c>
      <c r="J107">
        <f>MAX(HAVERM!C541:C543)</f>
        <v>4.391</v>
      </c>
    </row>
    <row r="108" spans="1:10" x14ac:dyDescent="0.25">
      <c r="A108" s="5">
        <v>45536</v>
      </c>
      <c r="B108">
        <f>HAVERM!C543</f>
        <v>4.391</v>
      </c>
      <c r="C108" s="3">
        <f>HAVERM!B543</f>
        <v>4.3</v>
      </c>
      <c r="E108" s="5">
        <v>45536</v>
      </c>
      <c r="F108">
        <f>MIN(HAVERM!C542:C544)</f>
        <v>4.0999999999999996</v>
      </c>
      <c r="G108" s="3">
        <f t="shared" si="5"/>
        <v>0.29100000000000037</v>
      </c>
      <c r="H108" s="3">
        <f>HAVERM!B543</f>
        <v>4.3</v>
      </c>
      <c r="J108">
        <f>MAX(HAVERM!C542:C544)</f>
        <v>4.391</v>
      </c>
    </row>
    <row r="109" spans="1:10" x14ac:dyDescent="0.25">
      <c r="A109" s="5">
        <v>45566</v>
      </c>
      <c r="B109">
        <f>HAVERM!C544</f>
        <v>4.3259999999999996</v>
      </c>
      <c r="C109" s="3">
        <f>HAVERM!B544</f>
        <v>4.4000000000000004</v>
      </c>
      <c r="E109" s="5">
        <v>45566</v>
      </c>
      <c r="F109">
        <f>MIN(HAVERM!C543:C545)</f>
        <v>4.3259999999999996</v>
      </c>
      <c r="G109" s="3">
        <f t="shared" si="5"/>
        <v>0.26300000000000079</v>
      </c>
      <c r="H109" s="3"/>
      <c r="J109">
        <f>MAX(HAVERM!C543:C545)</f>
        <v>4.5890000000000004</v>
      </c>
    </row>
    <row r="110" spans="1:10" x14ac:dyDescent="0.25">
      <c r="A110" s="5">
        <v>45597</v>
      </c>
      <c r="B110">
        <f>HAVERM!C545</f>
        <v>4.5890000000000004</v>
      </c>
      <c r="C110" s="3"/>
      <c r="E110" s="5">
        <v>45597</v>
      </c>
      <c r="G110" s="3"/>
      <c r="H110" s="3"/>
    </row>
    <row r="111" spans="1:10" x14ac:dyDescent="0.25">
      <c r="A111" s="5">
        <v>45627</v>
      </c>
      <c r="C111" s="3"/>
      <c r="E111" s="5">
        <v>45627</v>
      </c>
      <c r="G111" s="3"/>
      <c r="H11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7EED-97ED-40AF-B6C6-DD68DCC80A49}">
  <sheetPr codeName="Sheet8"/>
  <dimension ref="A1:D561"/>
  <sheetViews>
    <sheetView workbookViewId="0">
      <pane xSplit="1" ySplit="6" topLeftCell="B538" activePane="bottomRight" state="frozen"/>
      <selection pane="topRight" activeCell="B1" sqref="B1"/>
      <selection pane="bottomLeft" activeCell="A7" sqref="A7"/>
      <selection pane="bottomRight" activeCell="G554" sqref="G554"/>
    </sheetView>
  </sheetViews>
  <sheetFormatPr defaultRowHeight="15" x14ac:dyDescent="0.25"/>
  <cols>
    <col min="2" max="7" width="15.7109375" customWidth="1"/>
  </cols>
  <sheetData>
    <row r="1" spans="1:4" x14ac:dyDescent="0.25">
      <c r="A1" s="1" t="s">
        <v>2</v>
      </c>
      <c r="B1" t="s">
        <v>0</v>
      </c>
      <c r="C1" t="s">
        <v>1</v>
      </c>
      <c r="D1" s="7" t="s">
        <v>1243</v>
      </c>
    </row>
    <row r="2" spans="1:4" s="4" customFormat="1" ht="75" x14ac:dyDescent="0.25">
      <c r="A2" s="4" t="s">
        <v>8</v>
      </c>
      <c r="B2" s="4" t="s">
        <v>11</v>
      </c>
      <c r="C2" s="4" t="s">
        <v>11</v>
      </c>
      <c r="D2" s="4" t="s">
        <v>1248</v>
      </c>
    </row>
    <row r="3" spans="1:4" x14ac:dyDescent="0.25">
      <c r="A3" t="s">
        <v>7</v>
      </c>
      <c r="B3" t="s">
        <v>10</v>
      </c>
      <c r="C3" t="s">
        <v>14</v>
      </c>
      <c r="D3" t="s">
        <v>1247</v>
      </c>
    </row>
    <row r="4" spans="1:4" x14ac:dyDescent="0.25">
      <c r="A4" t="s">
        <v>6</v>
      </c>
      <c r="B4" t="s">
        <v>13</v>
      </c>
      <c r="C4" t="s">
        <v>1527</v>
      </c>
      <c r="D4" t="s">
        <v>1246</v>
      </c>
    </row>
    <row r="5" spans="1:4" x14ac:dyDescent="0.25">
      <c r="A5" t="s">
        <v>5</v>
      </c>
      <c r="B5" t="s">
        <v>9</v>
      </c>
      <c r="C5" t="s">
        <v>9</v>
      </c>
      <c r="D5" t="s">
        <v>1245</v>
      </c>
    </row>
    <row r="6" spans="1:4" x14ac:dyDescent="0.25">
      <c r="A6" t="s">
        <v>4</v>
      </c>
      <c r="B6" t="s">
        <v>1525</v>
      </c>
      <c r="C6" t="s">
        <v>1526</v>
      </c>
      <c r="D6" t="s">
        <v>1244</v>
      </c>
    </row>
    <row r="7" spans="1:4" x14ac:dyDescent="0.25">
      <c r="A7" t="s">
        <v>3</v>
      </c>
      <c r="B7" s="2">
        <v>5.7</v>
      </c>
      <c r="C7" s="3" t="e">
        <v>#N/A</v>
      </c>
      <c r="D7" s="10" t="e">
        <v>#N/A</v>
      </c>
    </row>
    <row r="8" spans="1:4" x14ac:dyDescent="0.25">
      <c r="A8" t="s">
        <v>15</v>
      </c>
      <c r="B8" s="2">
        <v>5.8</v>
      </c>
      <c r="C8" s="3" t="e">
        <v>#N/A</v>
      </c>
      <c r="D8" s="10" t="e">
        <v>#N/A</v>
      </c>
    </row>
    <row r="9" spans="1:4" x14ac:dyDescent="0.25">
      <c r="A9" t="s">
        <v>16</v>
      </c>
      <c r="B9" s="2">
        <v>6</v>
      </c>
      <c r="C9" s="3" t="e">
        <v>#N/A</v>
      </c>
      <c r="D9" s="10" t="e">
        <v>#N/A</v>
      </c>
    </row>
    <row r="10" spans="1:4" x14ac:dyDescent="0.25">
      <c r="A10" t="s">
        <v>17</v>
      </c>
      <c r="B10" s="2">
        <v>6.1</v>
      </c>
      <c r="C10" s="3" t="e">
        <v>#N/A</v>
      </c>
      <c r="D10" s="10" t="e">
        <v>#N/A</v>
      </c>
    </row>
    <row r="11" spans="1:4" x14ac:dyDescent="0.25">
      <c r="A11" t="s">
        <v>18</v>
      </c>
      <c r="B11" s="2">
        <v>6.3</v>
      </c>
      <c r="C11" s="3" t="e">
        <v>#N/A</v>
      </c>
      <c r="D11" s="10" t="e">
        <v>#N/A</v>
      </c>
    </row>
    <row r="12" spans="1:4" x14ac:dyDescent="0.25">
      <c r="A12" t="s">
        <v>19</v>
      </c>
      <c r="B12" s="2">
        <v>6.5</v>
      </c>
      <c r="C12" s="3" t="e">
        <v>#N/A</v>
      </c>
      <c r="D12" s="10" t="e">
        <v>#N/A</v>
      </c>
    </row>
    <row r="13" spans="1:4" x14ac:dyDescent="0.25">
      <c r="A13" t="s">
        <v>20</v>
      </c>
      <c r="B13" s="2">
        <v>6.8</v>
      </c>
      <c r="C13" s="3" t="e">
        <v>#N/A</v>
      </c>
      <c r="D13" s="10" t="e">
        <v>#N/A</v>
      </c>
    </row>
    <row r="14" spans="1:4" x14ac:dyDescent="0.25">
      <c r="A14" t="s">
        <v>21</v>
      </c>
      <c r="B14" s="2">
        <v>7.1</v>
      </c>
      <c r="C14" s="3" t="e">
        <v>#N/A</v>
      </c>
      <c r="D14" s="10" t="e">
        <v>#N/A</v>
      </c>
    </row>
    <row r="15" spans="1:4" x14ac:dyDescent="0.25">
      <c r="A15" t="s">
        <v>22</v>
      </c>
      <c r="B15" s="2">
        <v>7.4</v>
      </c>
      <c r="C15" s="3" t="e">
        <v>#N/A</v>
      </c>
      <c r="D15" s="10" t="e">
        <v>#N/A</v>
      </c>
    </row>
    <row r="16" spans="1:4" x14ac:dyDescent="0.25">
      <c r="A16" t="s">
        <v>23</v>
      </c>
      <c r="B16" s="2">
        <v>7.7</v>
      </c>
      <c r="C16" s="3" t="e">
        <v>#N/A</v>
      </c>
      <c r="D16" s="10" t="e">
        <v>#N/A</v>
      </c>
    </row>
    <row r="17" spans="1:4" x14ac:dyDescent="0.25">
      <c r="A17" t="s">
        <v>24</v>
      </c>
      <c r="B17" s="2">
        <v>8</v>
      </c>
      <c r="C17" s="3" t="e">
        <v>#N/A</v>
      </c>
      <c r="D17" s="10" t="e">
        <v>#N/A</v>
      </c>
    </row>
    <row r="18" spans="1:4" x14ac:dyDescent="0.25">
      <c r="A18" t="s">
        <v>25</v>
      </c>
      <c r="B18" s="2">
        <v>8.3000000000000007</v>
      </c>
      <c r="C18" s="3" t="e">
        <v>#N/A</v>
      </c>
      <c r="D18" s="10" t="e">
        <v>#N/A</v>
      </c>
    </row>
    <row r="19" spans="1:4" x14ac:dyDescent="0.25">
      <c r="A19" t="s">
        <v>26</v>
      </c>
      <c r="B19" s="2">
        <v>8.6</v>
      </c>
      <c r="C19" s="3" t="e">
        <v>#N/A</v>
      </c>
      <c r="D19" s="10" t="e">
        <v>#N/A</v>
      </c>
    </row>
    <row r="20" spans="1:4" x14ac:dyDescent="0.25">
      <c r="A20" t="s">
        <v>27</v>
      </c>
      <c r="B20" s="2">
        <v>8.9</v>
      </c>
      <c r="C20" s="3" t="e">
        <v>#N/A</v>
      </c>
      <c r="D20" s="10" t="e">
        <v>#N/A</v>
      </c>
    </row>
    <row r="21" spans="1:4" x14ac:dyDescent="0.25">
      <c r="A21" t="s">
        <v>28</v>
      </c>
      <c r="B21" s="2">
        <v>9.1</v>
      </c>
      <c r="C21" s="3" t="e">
        <v>#N/A</v>
      </c>
      <c r="D21" s="10" t="e">
        <v>#N/A</v>
      </c>
    </row>
    <row r="22" spans="1:4" x14ac:dyDescent="0.25">
      <c r="A22" t="s">
        <v>29</v>
      </c>
      <c r="B22" s="2">
        <v>9.4</v>
      </c>
      <c r="C22" s="3" t="e">
        <v>#N/A</v>
      </c>
      <c r="D22" s="10" t="e">
        <v>#N/A</v>
      </c>
    </row>
    <row r="23" spans="1:4" x14ac:dyDescent="0.25">
      <c r="A23" t="s">
        <v>30</v>
      </c>
      <c r="B23" s="2">
        <v>9.6</v>
      </c>
      <c r="C23" s="3" t="e">
        <v>#N/A</v>
      </c>
      <c r="D23" s="10" t="e">
        <v>#N/A</v>
      </c>
    </row>
    <row r="24" spans="1:4" x14ac:dyDescent="0.25">
      <c r="A24" t="s">
        <v>31</v>
      </c>
      <c r="B24" s="2">
        <v>9.6999999999999993</v>
      </c>
      <c r="C24" s="3" t="e">
        <v>#N/A</v>
      </c>
      <c r="D24" s="10" t="e">
        <v>#N/A</v>
      </c>
    </row>
    <row r="25" spans="1:4" x14ac:dyDescent="0.25">
      <c r="A25" t="s">
        <v>32</v>
      </c>
      <c r="B25" s="2">
        <v>9.8000000000000007</v>
      </c>
      <c r="C25" s="3" t="e">
        <v>#N/A</v>
      </c>
      <c r="D25" s="10" t="e">
        <v>#N/A</v>
      </c>
    </row>
    <row r="26" spans="1:4" x14ac:dyDescent="0.25">
      <c r="A26" t="s">
        <v>33</v>
      </c>
      <c r="B26" s="2">
        <v>9.9</v>
      </c>
      <c r="C26" s="3" t="e">
        <v>#N/A</v>
      </c>
      <c r="D26" s="10" t="e">
        <v>#N/A</v>
      </c>
    </row>
    <row r="27" spans="1:4" x14ac:dyDescent="0.25">
      <c r="A27" t="s">
        <v>34</v>
      </c>
      <c r="B27" s="2">
        <v>10</v>
      </c>
      <c r="C27" s="3" t="e">
        <v>#N/A</v>
      </c>
      <c r="D27" s="10" t="e">
        <v>#N/A</v>
      </c>
    </row>
    <row r="28" spans="1:4" x14ac:dyDescent="0.25">
      <c r="A28" t="s">
        <v>35</v>
      </c>
      <c r="B28" s="2">
        <v>10.1</v>
      </c>
      <c r="C28" s="3" t="e">
        <v>#N/A</v>
      </c>
      <c r="D28" s="10" t="e">
        <v>#N/A</v>
      </c>
    </row>
    <row r="29" spans="1:4" x14ac:dyDescent="0.25">
      <c r="A29" t="s">
        <v>36</v>
      </c>
      <c r="B29" s="2">
        <v>10.199999999999999</v>
      </c>
      <c r="C29" s="3" t="e">
        <v>#N/A</v>
      </c>
      <c r="D29" s="10" t="e">
        <v>#N/A</v>
      </c>
    </row>
    <row r="30" spans="1:4" x14ac:dyDescent="0.25">
      <c r="A30" t="s">
        <v>37</v>
      </c>
      <c r="B30" s="2">
        <v>10.3</v>
      </c>
      <c r="C30" s="3" t="e">
        <v>#N/A</v>
      </c>
      <c r="D30" s="10" t="e">
        <v>#N/A</v>
      </c>
    </row>
    <row r="31" spans="1:4" x14ac:dyDescent="0.25">
      <c r="A31" t="s">
        <v>38</v>
      </c>
      <c r="B31" s="2">
        <v>10.4</v>
      </c>
      <c r="C31" s="3" t="e">
        <v>#N/A</v>
      </c>
      <c r="D31" s="10" t="e">
        <v>#N/A</v>
      </c>
    </row>
    <row r="32" spans="1:4" x14ac:dyDescent="0.25">
      <c r="A32" t="s">
        <v>39</v>
      </c>
      <c r="B32" s="2">
        <v>10.4</v>
      </c>
      <c r="C32" s="3" t="e">
        <v>#N/A</v>
      </c>
      <c r="D32" s="10" t="e">
        <v>#N/A</v>
      </c>
    </row>
    <row r="33" spans="1:4" x14ac:dyDescent="0.25">
      <c r="A33" t="s">
        <v>40</v>
      </c>
      <c r="B33" s="2">
        <v>10.5</v>
      </c>
      <c r="C33" s="3" t="e">
        <v>#N/A</v>
      </c>
      <c r="D33" s="10" t="e">
        <v>#N/A</v>
      </c>
    </row>
    <row r="34" spans="1:4" x14ac:dyDescent="0.25">
      <c r="A34" t="s">
        <v>41</v>
      </c>
      <c r="B34" s="2">
        <v>10.5</v>
      </c>
      <c r="C34" s="3" t="e">
        <v>#N/A</v>
      </c>
      <c r="D34" s="10" t="e">
        <v>#N/A</v>
      </c>
    </row>
    <row r="35" spans="1:4" x14ac:dyDescent="0.25">
      <c r="A35" t="s">
        <v>42</v>
      </c>
      <c r="B35" s="2">
        <v>10.6</v>
      </c>
      <c r="C35" s="3" t="e">
        <v>#N/A</v>
      </c>
      <c r="D35" s="10" t="e">
        <v>#N/A</v>
      </c>
    </row>
    <row r="36" spans="1:4" x14ac:dyDescent="0.25">
      <c r="A36" t="s">
        <v>43</v>
      </c>
      <c r="B36" s="2">
        <v>10.6</v>
      </c>
      <c r="C36" s="3" t="e">
        <v>#N/A</v>
      </c>
      <c r="D36" s="10" t="e">
        <v>#N/A</v>
      </c>
    </row>
    <row r="37" spans="1:4" x14ac:dyDescent="0.25">
      <c r="A37" t="s">
        <v>44</v>
      </c>
      <c r="B37" s="2">
        <v>10.7</v>
      </c>
      <c r="C37" s="3" t="e">
        <v>#N/A</v>
      </c>
      <c r="D37" s="10" t="e">
        <v>#N/A</v>
      </c>
    </row>
    <row r="38" spans="1:4" x14ac:dyDescent="0.25">
      <c r="A38" t="s">
        <v>45</v>
      </c>
      <c r="B38" s="2">
        <v>10.8</v>
      </c>
      <c r="C38" s="3" t="e">
        <v>#N/A</v>
      </c>
      <c r="D38" s="10" t="e">
        <v>#N/A</v>
      </c>
    </row>
    <row r="39" spans="1:4" x14ac:dyDescent="0.25">
      <c r="A39" t="s">
        <v>46</v>
      </c>
      <c r="B39" s="2">
        <v>10.9</v>
      </c>
      <c r="C39" s="3" t="e">
        <v>#N/A</v>
      </c>
      <c r="D39" s="10" t="e">
        <v>#N/A</v>
      </c>
    </row>
    <row r="40" spans="1:4" x14ac:dyDescent="0.25">
      <c r="A40" t="s">
        <v>47</v>
      </c>
      <c r="B40" s="2">
        <v>11</v>
      </c>
      <c r="C40" s="3" t="e">
        <v>#N/A</v>
      </c>
      <c r="D40" s="10" t="e">
        <v>#N/A</v>
      </c>
    </row>
    <row r="41" spans="1:4" x14ac:dyDescent="0.25">
      <c r="A41" t="s">
        <v>48</v>
      </c>
      <c r="B41" s="2">
        <v>11.1</v>
      </c>
      <c r="C41" s="3" t="e">
        <v>#N/A</v>
      </c>
      <c r="D41" s="10" t="e">
        <v>#N/A</v>
      </c>
    </row>
    <row r="42" spans="1:4" x14ac:dyDescent="0.25">
      <c r="A42" t="s">
        <v>49</v>
      </c>
      <c r="B42" s="2">
        <v>11.2</v>
      </c>
      <c r="C42" s="3" t="e">
        <v>#N/A</v>
      </c>
      <c r="D42" s="10" t="e">
        <v>#N/A</v>
      </c>
    </row>
    <row r="43" spans="1:4" x14ac:dyDescent="0.25">
      <c r="A43" t="s">
        <v>50</v>
      </c>
      <c r="B43" s="2">
        <v>11.2</v>
      </c>
      <c r="C43" s="3" t="e">
        <v>#N/A</v>
      </c>
      <c r="D43" s="10" t="e">
        <v>#N/A</v>
      </c>
    </row>
    <row r="44" spans="1:4" x14ac:dyDescent="0.25">
      <c r="A44" t="s">
        <v>51</v>
      </c>
      <c r="B44" s="2">
        <v>11.3</v>
      </c>
      <c r="C44" s="3" t="e">
        <v>#N/A</v>
      </c>
      <c r="D44" s="10" t="e">
        <v>#N/A</v>
      </c>
    </row>
    <row r="45" spans="1:4" x14ac:dyDescent="0.25">
      <c r="A45" t="s">
        <v>52</v>
      </c>
      <c r="B45" s="2">
        <v>11.3</v>
      </c>
      <c r="C45" s="3" t="e">
        <v>#N/A</v>
      </c>
      <c r="D45" s="10" t="e">
        <v>#N/A</v>
      </c>
    </row>
    <row r="46" spans="1:4" x14ac:dyDescent="0.25">
      <c r="A46" t="s">
        <v>53</v>
      </c>
      <c r="B46" s="2">
        <v>11.3</v>
      </c>
      <c r="C46" s="3" t="e">
        <v>#N/A</v>
      </c>
      <c r="D46" s="10" t="e">
        <v>#N/A</v>
      </c>
    </row>
    <row r="47" spans="1:4" x14ac:dyDescent="0.25">
      <c r="A47" t="s">
        <v>54</v>
      </c>
      <c r="B47" s="2">
        <v>11.4</v>
      </c>
      <c r="C47" s="3" t="e">
        <v>#N/A</v>
      </c>
      <c r="D47" s="10" t="e">
        <v>#N/A</v>
      </c>
    </row>
    <row r="48" spans="1:4" x14ac:dyDescent="0.25">
      <c r="A48" t="s">
        <v>55</v>
      </c>
      <c r="B48" s="2">
        <v>11.5</v>
      </c>
      <c r="C48" s="3" t="e">
        <v>#N/A</v>
      </c>
      <c r="D48" s="10" t="e">
        <v>#N/A</v>
      </c>
    </row>
    <row r="49" spans="1:4" x14ac:dyDescent="0.25">
      <c r="A49" t="s">
        <v>56</v>
      </c>
      <c r="B49" s="2">
        <v>11.5</v>
      </c>
      <c r="C49" s="3" t="e">
        <v>#N/A</v>
      </c>
      <c r="D49" s="10" t="e">
        <v>#N/A</v>
      </c>
    </row>
    <row r="50" spans="1:4" x14ac:dyDescent="0.25">
      <c r="A50" t="s">
        <v>57</v>
      </c>
      <c r="B50" s="2">
        <v>11.5</v>
      </c>
      <c r="C50" s="3" t="e">
        <v>#N/A</v>
      </c>
      <c r="D50" s="10" t="e">
        <v>#N/A</v>
      </c>
    </row>
    <row r="51" spans="1:4" x14ac:dyDescent="0.25">
      <c r="A51" t="s">
        <v>58</v>
      </c>
      <c r="B51" s="2">
        <v>11.6</v>
      </c>
      <c r="C51" s="3" t="e">
        <v>#N/A</v>
      </c>
      <c r="D51" s="10" t="e">
        <v>#N/A</v>
      </c>
    </row>
    <row r="52" spans="1:4" x14ac:dyDescent="0.25">
      <c r="A52" t="s">
        <v>59</v>
      </c>
      <c r="B52" s="2">
        <v>11.6</v>
      </c>
      <c r="C52" s="3" t="e">
        <v>#N/A</v>
      </c>
      <c r="D52" s="10" t="e">
        <v>#N/A</v>
      </c>
    </row>
    <row r="53" spans="1:4" x14ac:dyDescent="0.25">
      <c r="A53" t="s">
        <v>60</v>
      </c>
      <c r="B53" s="2">
        <v>11.7</v>
      </c>
      <c r="C53" s="3" t="e">
        <v>#N/A</v>
      </c>
      <c r="D53" s="10" t="e">
        <v>#N/A</v>
      </c>
    </row>
    <row r="54" spans="1:4" x14ac:dyDescent="0.25">
      <c r="A54" t="s">
        <v>61</v>
      </c>
      <c r="B54" s="2">
        <v>11.7</v>
      </c>
      <c r="C54" s="3" t="e">
        <v>#N/A</v>
      </c>
      <c r="D54" s="10" t="e">
        <v>#N/A</v>
      </c>
    </row>
    <row r="55" spans="1:4" x14ac:dyDescent="0.25">
      <c r="A55" t="s">
        <v>62</v>
      </c>
      <c r="B55" s="2">
        <v>11.8</v>
      </c>
      <c r="C55" s="3" t="e">
        <v>#N/A</v>
      </c>
      <c r="D55" s="10" t="e">
        <v>#N/A</v>
      </c>
    </row>
    <row r="56" spans="1:4" x14ac:dyDescent="0.25">
      <c r="A56" t="s">
        <v>63</v>
      </c>
      <c r="B56" s="2">
        <v>11.8</v>
      </c>
      <c r="C56" s="3" t="e">
        <v>#N/A</v>
      </c>
      <c r="D56" s="10" t="e">
        <v>#N/A</v>
      </c>
    </row>
    <row r="57" spans="1:4" x14ac:dyDescent="0.25">
      <c r="A57" t="s">
        <v>64</v>
      </c>
      <c r="B57" s="2">
        <v>11.9</v>
      </c>
      <c r="C57" s="3" t="e">
        <v>#N/A</v>
      </c>
      <c r="D57" s="10" t="e">
        <v>#N/A</v>
      </c>
    </row>
    <row r="58" spans="1:4" x14ac:dyDescent="0.25">
      <c r="A58" t="s">
        <v>65</v>
      </c>
      <c r="B58" s="2">
        <v>11.9</v>
      </c>
      <c r="C58" s="3" t="e">
        <v>#N/A</v>
      </c>
      <c r="D58" s="10" t="e">
        <v>#N/A</v>
      </c>
    </row>
    <row r="59" spans="1:4" x14ac:dyDescent="0.25">
      <c r="A59" t="s">
        <v>66</v>
      </c>
      <c r="B59" s="2">
        <v>11.9</v>
      </c>
      <c r="C59" s="3" t="e">
        <v>#N/A</v>
      </c>
      <c r="D59" s="10" t="e">
        <v>#N/A</v>
      </c>
    </row>
    <row r="60" spans="1:4" x14ac:dyDescent="0.25">
      <c r="A60" t="s">
        <v>67</v>
      </c>
      <c r="B60" s="2">
        <v>11.8</v>
      </c>
      <c r="C60" s="3" t="e">
        <v>#N/A</v>
      </c>
      <c r="D60" s="10" t="e">
        <v>#N/A</v>
      </c>
    </row>
    <row r="61" spans="1:4" x14ac:dyDescent="0.25">
      <c r="A61" t="s">
        <v>68</v>
      </c>
      <c r="B61" s="2">
        <v>11.8</v>
      </c>
      <c r="C61" s="3" t="e">
        <v>#N/A</v>
      </c>
      <c r="D61" s="10" t="e">
        <v>#N/A</v>
      </c>
    </row>
    <row r="62" spans="1:4" x14ac:dyDescent="0.25">
      <c r="A62" t="s">
        <v>69</v>
      </c>
      <c r="B62" s="2">
        <v>11.7</v>
      </c>
      <c r="C62" s="3" t="e">
        <v>#N/A</v>
      </c>
      <c r="D62" s="10" t="e">
        <v>#N/A</v>
      </c>
    </row>
    <row r="63" spans="1:4" x14ac:dyDescent="0.25">
      <c r="A63" t="s">
        <v>70</v>
      </c>
      <c r="B63" s="2">
        <v>11.7</v>
      </c>
      <c r="C63" s="3" t="e">
        <v>#N/A</v>
      </c>
      <c r="D63" s="10" t="e">
        <v>#N/A</v>
      </c>
    </row>
    <row r="64" spans="1:4" x14ac:dyDescent="0.25">
      <c r="A64" t="s">
        <v>71</v>
      </c>
      <c r="B64" s="2">
        <v>11.7</v>
      </c>
      <c r="C64" s="3" t="e">
        <v>#N/A</v>
      </c>
      <c r="D64" s="10" t="e">
        <v>#N/A</v>
      </c>
    </row>
    <row r="65" spans="1:4" x14ac:dyDescent="0.25">
      <c r="A65" t="s">
        <v>72</v>
      </c>
      <c r="B65" s="2">
        <v>11.6</v>
      </c>
      <c r="C65" s="3" t="e">
        <v>#N/A</v>
      </c>
      <c r="D65" s="10" t="e">
        <v>#N/A</v>
      </c>
    </row>
    <row r="66" spans="1:4" x14ac:dyDescent="0.25">
      <c r="A66" t="s">
        <v>73</v>
      </c>
      <c r="B66" s="2">
        <v>11.6</v>
      </c>
      <c r="C66" s="3" t="e">
        <v>#N/A</v>
      </c>
      <c r="D66" s="10" t="e">
        <v>#N/A</v>
      </c>
    </row>
    <row r="67" spans="1:4" x14ac:dyDescent="0.25">
      <c r="A67" t="s">
        <v>74</v>
      </c>
      <c r="B67" s="2">
        <v>11.5</v>
      </c>
      <c r="C67" s="3" t="e">
        <v>#N/A</v>
      </c>
      <c r="D67" s="10" t="e">
        <v>#N/A</v>
      </c>
    </row>
    <row r="68" spans="1:4" x14ac:dyDescent="0.25">
      <c r="A68" t="s">
        <v>75</v>
      </c>
      <c r="B68" s="2">
        <v>11.5</v>
      </c>
      <c r="C68" s="3" t="e">
        <v>#N/A</v>
      </c>
      <c r="D68" s="10" t="e">
        <v>#N/A</v>
      </c>
    </row>
    <row r="69" spans="1:4" x14ac:dyDescent="0.25">
      <c r="A69" t="s">
        <v>76</v>
      </c>
      <c r="B69" s="2">
        <v>11.4</v>
      </c>
      <c r="C69" s="3" t="e">
        <v>#N/A</v>
      </c>
      <c r="D69" s="10" t="e">
        <v>#N/A</v>
      </c>
    </row>
    <row r="70" spans="1:4" x14ac:dyDescent="0.25">
      <c r="A70" t="s">
        <v>77</v>
      </c>
      <c r="B70" s="2">
        <v>11.4</v>
      </c>
      <c r="C70" s="3" t="e">
        <v>#N/A</v>
      </c>
      <c r="D70" s="10" t="e">
        <v>#N/A</v>
      </c>
    </row>
    <row r="71" spans="1:4" x14ac:dyDescent="0.25">
      <c r="A71" t="s">
        <v>78</v>
      </c>
      <c r="B71" s="2">
        <v>11.4</v>
      </c>
      <c r="C71" s="3" t="e">
        <v>#N/A</v>
      </c>
      <c r="D71" s="10" t="e">
        <v>#N/A</v>
      </c>
    </row>
    <row r="72" spans="1:4" x14ac:dyDescent="0.25">
      <c r="A72" t="s">
        <v>79</v>
      </c>
      <c r="B72" s="2">
        <v>11.3</v>
      </c>
      <c r="C72" s="3" t="e">
        <v>#N/A</v>
      </c>
      <c r="D72" s="10" t="e">
        <v>#N/A</v>
      </c>
    </row>
    <row r="73" spans="1:4" x14ac:dyDescent="0.25">
      <c r="A73" t="s">
        <v>80</v>
      </c>
      <c r="B73" s="2">
        <v>11.3</v>
      </c>
      <c r="C73" s="3" t="e">
        <v>#N/A</v>
      </c>
      <c r="D73" s="10" t="e">
        <v>#N/A</v>
      </c>
    </row>
    <row r="74" spans="1:4" x14ac:dyDescent="0.25">
      <c r="A74" t="s">
        <v>81</v>
      </c>
      <c r="B74" s="2">
        <v>11.3</v>
      </c>
      <c r="C74" s="3" t="e">
        <v>#N/A</v>
      </c>
      <c r="D74" s="10" t="e">
        <v>#N/A</v>
      </c>
    </row>
    <row r="75" spans="1:4" x14ac:dyDescent="0.25">
      <c r="A75" t="s">
        <v>82</v>
      </c>
      <c r="B75" s="2">
        <v>11.3</v>
      </c>
      <c r="C75" s="3" t="e">
        <v>#N/A</v>
      </c>
      <c r="D75" s="10" t="e">
        <v>#N/A</v>
      </c>
    </row>
    <row r="76" spans="1:4" x14ac:dyDescent="0.25">
      <c r="A76" t="s">
        <v>83</v>
      </c>
      <c r="B76" s="2">
        <v>11.3</v>
      </c>
      <c r="C76" s="3" t="e">
        <v>#N/A</v>
      </c>
      <c r="D76" s="10" t="e">
        <v>#N/A</v>
      </c>
    </row>
    <row r="77" spans="1:4" x14ac:dyDescent="0.25">
      <c r="A77" t="s">
        <v>84</v>
      </c>
      <c r="B77" s="2">
        <v>11.3</v>
      </c>
      <c r="C77" s="3" t="e">
        <v>#N/A</v>
      </c>
      <c r="D77" s="10" t="e">
        <v>#N/A</v>
      </c>
    </row>
    <row r="78" spans="1:4" x14ac:dyDescent="0.25">
      <c r="A78" t="s">
        <v>85</v>
      </c>
      <c r="B78" s="2">
        <v>11.3</v>
      </c>
      <c r="C78" s="3" t="e">
        <v>#N/A</v>
      </c>
      <c r="D78" s="10" t="e">
        <v>#N/A</v>
      </c>
    </row>
    <row r="79" spans="1:4" x14ac:dyDescent="0.25">
      <c r="A79" t="s">
        <v>86</v>
      </c>
      <c r="B79" s="2">
        <v>11.3</v>
      </c>
      <c r="C79" s="3" t="e">
        <v>#N/A</v>
      </c>
      <c r="D79" s="10" t="e">
        <v>#N/A</v>
      </c>
    </row>
    <row r="80" spans="1:4" x14ac:dyDescent="0.25">
      <c r="A80" t="s">
        <v>87</v>
      </c>
      <c r="B80" s="2">
        <v>11.3</v>
      </c>
      <c r="C80" s="3" t="e">
        <v>#N/A</v>
      </c>
      <c r="D80" s="10" t="e">
        <v>#N/A</v>
      </c>
    </row>
    <row r="81" spans="1:4" x14ac:dyDescent="0.25">
      <c r="A81" t="s">
        <v>88</v>
      </c>
      <c r="B81" s="2">
        <v>11.3</v>
      </c>
      <c r="C81" s="3" t="e">
        <v>#N/A</v>
      </c>
      <c r="D81" s="10" t="e">
        <v>#N/A</v>
      </c>
    </row>
    <row r="82" spans="1:4" x14ac:dyDescent="0.25">
      <c r="A82" t="s">
        <v>89</v>
      </c>
      <c r="B82" s="2">
        <v>11.3</v>
      </c>
      <c r="C82" s="3" t="e">
        <v>#N/A</v>
      </c>
      <c r="D82" s="10" t="e">
        <v>#N/A</v>
      </c>
    </row>
    <row r="83" spans="1:4" x14ac:dyDescent="0.25">
      <c r="A83" t="s">
        <v>90</v>
      </c>
      <c r="B83" s="2">
        <v>11.3</v>
      </c>
      <c r="C83" s="3" t="e">
        <v>#N/A</v>
      </c>
      <c r="D83" s="10" t="e">
        <v>#N/A</v>
      </c>
    </row>
    <row r="84" spans="1:4" x14ac:dyDescent="0.25">
      <c r="A84" t="s">
        <v>91</v>
      </c>
      <c r="B84" s="2">
        <v>11.4</v>
      </c>
      <c r="C84" s="3" t="e">
        <v>#N/A</v>
      </c>
      <c r="D84" s="10" t="e">
        <v>#N/A</v>
      </c>
    </row>
    <row r="85" spans="1:4" x14ac:dyDescent="0.25">
      <c r="A85" t="s">
        <v>92</v>
      </c>
      <c r="B85" s="2">
        <v>11.4</v>
      </c>
      <c r="C85" s="3" t="e">
        <v>#N/A</v>
      </c>
      <c r="D85" s="10" t="e">
        <v>#N/A</v>
      </c>
    </row>
    <row r="86" spans="1:4" x14ac:dyDescent="0.25">
      <c r="A86" t="s">
        <v>93</v>
      </c>
      <c r="B86" s="2">
        <v>11.4</v>
      </c>
      <c r="C86" s="3" t="e">
        <v>#N/A</v>
      </c>
      <c r="D86" s="10" t="e">
        <v>#N/A</v>
      </c>
    </row>
    <row r="87" spans="1:4" x14ac:dyDescent="0.25">
      <c r="A87" t="s">
        <v>94</v>
      </c>
      <c r="B87" s="2">
        <v>11.3</v>
      </c>
      <c r="C87" s="3" t="e">
        <v>#N/A</v>
      </c>
      <c r="D87" s="10" t="e">
        <v>#N/A</v>
      </c>
    </row>
    <row r="88" spans="1:4" x14ac:dyDescent="0.25">
      <c r="A88" t="s">
        <v>95</v>
      </c>
      <c r="B88" s="2">
        <v>11.3</v>
      </c>
      <c r="C88" s="3" t="e">
        <v>#N/A</v>
      </c>
      <c r="D88" s="10" t="e">
        <v>#N/A</v>
      </c>
    </row>
    <row r="89" spans="1:4" x14ac:dyDescent="0.25">
      <c r="A89" t="s">
        <v>96</v>
      </c>
      <c r="B89" s="2">
        <v>11.3</v>
      </c>
      <c r="C89" s="3" t="e">
        <v>#N/A</v>
      </c>
      <c r="D89" s="10" t="e">
        <v>#N/A</v>
      </c>
    </row>
    <row r="90" spans="1:4" x14ac:dyDescent="0.25">
      <c r="A90" t="s">
        <v>97</v>
      </c>
      <c r="B90" s="2">
        <v>11.2</v>
      </c>
      <c r="C90" s="3" t="e">
        <v>#N/A</v>
      </c>
      <c r="D90" s="10" t="e">
        <v>#N/A</v>
      </c>
    </row>
    <row r="91" spans="1:4" x14ac:dyDescent="0.25">
      <c r="A91" t="s">
        <v>98</v>
      </c>
      <c r="B91" s="2">
        <v>11.2</v>
      </c>
      <c r="C91" s="3" t="e">
        <v>#N/A</v>
      </c>
      <c r="D91" s="10" t="e">
        <v>#N/A</v>
      </c>
    </row>
    <row r="92" spans="1:4" x14ac:dyDescent="0.25">
      <c r="A92" t="s">
        <v>99</v>
      </c>
      <c r="B92" s="2">
        <v>11.1</v>
      </c>
      <c r="C92" s="3" t="e">
        <v>#N/A</v>
      </c>
      <c r="D92" s="10" t="e">
        <v>#N/A</v>
      </c>
    </row>
    <row r="93" spans="1:4" x14ac:dyDescent="0.25">
      <c r="A93" t="s">
        <v>100</v>
      </c>
      <c r="B93" s="2">
        <v>11</v>
      </c>
      <c r="C93" s="3" t="e">
        <v>#N/A</v>
      </c>
      <c r="D93" s="10" t="e">
        <v>#N/A</v>
      </c>
    </row>
    <row r="94" spans="1:4" x14ac:dyDescent="0.25">
      <c r="A94" t="s">
        <v>101</v>
      </c>
      <c r="B94" s="2">
        <v>10.9</v>
      </c>
      <c r="C94" s="3" t="e">
        <v>#N/A</v>
      </c>
      <c r="D94" s="10" t="e">
        <v>#N/A</v>
      </c>
    </row>
    <row r="95" spans="1:4" x14ac:dyDescent="0.25">
      <c r="A95" t="s">
        <v>102</v>
      </c>
      <c r="B95" s="2">
        <v>10.7</v>
      </c>
      <c r="C95" s="3" t="e">
        <v>#N/A</v>
      </c>
      <c r="D95" s="10" t="e">
        <v>#N/A</v>
      </c>
    </row>
    <row r="96" spans="1:4" x14ac:dyDescent="0.25">
      <c r="A96" t="s">
        <v>103</v>
      </c>
      <c r="B96" s="2">
        <v>10.6</v>
      </c>
      <c r="C96" s="3" t="e">
        <v>#N/A</v>
      </c>
      <c r="D96" s="10" t="e">
        <v>#N/A</v>
      </c>
    </row>
    <row r="97" spans="1:4" x14ac:dyDescent="0.25">
      <c r="A97" t="s">
        <v>104</v>
      </c>
      <c r="B97" s="2">
        <v>10.4</v>
      </c>
      <c r="C97" s="3" t="e">
        <v>#N/A</v>
      </c>
      <c r="D97" s="10" t="e">
        <v>#N/A</v>
      </c>
    </row>
    <row r="98" spans="1:4" x14ac:dyDescent="0.25">
      <c r="A98" t="s">
        <v>105</v>
      </c>
      <c r="B98" s="2">
        <v>10.199999999999999</v>
      </c>
      <c r="C98" s="3" t="e">
        <v>#N/A</v>
      </c>
      <c r="D98" s="10" t="e">
        <v>#N/A</v>
      </c>
    </row>
    <row r="99" spans="1:4" x14ac:dyDescent="0.25">
      <c r="A99" t="s">
        <v>106</v>
      </c>
      <c r="B99" s="2">
        <v>10</v>
      </c>
      <c r="C99" s="3" t="e">
        <v>#N/A</v>
      </c>
      <c r="D99" s="10" t="e">
        <v>#N/A</v>
      </c>
    </row>
    <row r="100" spans="1:4" x14ac:dyDescent="0.25">
      <c r="A100" t="s">
        <v>107</v>
      </c>
      <c r="B100" s="2">
        <v>9.9</v>
      </c>
      <c r="C100" s="3" t="e">
        <v>#N/A</v>
      </c>
      <c r="D100" s="10" t="e">
        <v>#N/A</v>
      </c>
    </row>
    <row r="101" spans="1:4" x14ac:dyDescent="0.25">
      <c r="A101" t="s">
        <v>108</v>
      </c>
      <c r="B101" s="2">
        <v>9.6999999999999993</v>
      </c>
      <c r="C101" s="3" t="e">
        <v>#N/A</v>
      </c>
      <c r="D101" s="10" t="e">
        <v>#N/A</v>
      </c>
    </row>
    <row r="102" spans="1:4" x14ac:dyDescent="0.25">
      <c r="A102" t="s">
        <v>109</v>
      </c>
      <c r="B102" s="2">
        <v>9.5</v>
      </c>
      <c r="C102" s="3" t="e">
        <v>#N/A</v>
      </c>
      <c r="D102" s="10" t="e">
        <v>#N/A</v>
      </c>
    </row>
    <row r="103" spans="1:4" x14ac:dyDescent="0.25">
      <c r="A103" t="s">
        <v>110</v>
      </c>
      <c r="B103" s="2">
        <v>9.4</v>
      </c>
      <c r="C103" s="3" t="e">
        <v>#N/A</v>
      </c>
      <c r="D103" s="10" t="e">
        <v>#N/A</v>
      </c>
    </row>
    <row r="104" spans="1:4" x14ac:dyDescent="0.25">
      <c r="A104" t="s">
        <v>111</v>
      </c>
      <c r="B104" s="2">
        <v>9.1999999999999993</v>
      </c>
      <c r="C104" s="3" t="e">
        <v>#N/A</v>
      </c>
      <c r="D104" s="10" t="e">
        <v>#N/A</v>
      </c>
    </row>
    <row r="105" spans="1:4" x14ac:dyDescent="0.25">
      <c r="A105" t="s">
        <v>112</v>
      </c>
      <c r="B105" s="2">
        <v>9</v>
      </c>
      <c r="C105" s="3" t="e">
        <v>#N/A</v>
      </c>
      <c r="D105" s="10" t="e">
        <v>#N/A</v>
      </c>
    </row>
    <row r="106" spans="1:4" x14ac:dyDescent="0.25">
      <c r="A106" t="s">
        <v>113</v>
      </c>
      <c r="B106" s="2">
        <v>8.9</v>
      </c>
      <c r="C106" s="3" t="e">
        <v>#N/A</v>
      </c>
      <c r="D106" s="10" t="e">
        <v>#N/A</v>
      </c>
    </row>
    <row r="107" spans="1:4" x14ac:dyDescent="0.25">
      <c r="A107" t="s">
        <v>114</v>
      </c>
      <c r="B107" s="2">
        <v>8.6999999999999993</v>
      </c>
      <c r="C107" s="3" t="e">
        <v>#N/A</v>
      </c>
      <c r="D107" s="10" t="e">
        <v>#N/A</v>
      </c>
    </row>
    <row r="108" spans="1:4" x14ac:dyDescent="0.25">
      <c r="A108" t="s">
        <v>115</v>
      </c>
      <c r="B108" s="2">
        <v>8.6</v>
      </c>
      <c r="C108" s="3" t="e">
        <v>#N/A</v>
      </c>
      <c r="D108" s="10" t="e">
        <v>#N/A</v>
      </c>
    </row>
    <row r="109" spans="1:4" x14ac:dyDescent="0.25">
      <c r="A109" t="s">
        <v>116</v>
      </c>
      <c r="B109" s="2">
        <v>8.5</v>
      </c>
      <c r="C109" s="3" t="e">
        <v>#N/A</v>
      </c>
      <c r="D109" s="10" t="e">
        <v>#N/A</v>
      </c>
    </row>
    <row r="110" spans="1:4" x14ac:dyDescent="0.25">
      <c r="A110" t="s">
        <v>117</v>
      </c>
      <c r="B110" s="2">
        <v>8.4</v>
      </c>
      <c r="C110" s="3" t="e">
        <v>#N/A</v>
      </c>
      <c r="D110" s="10" t="e">
        <v>#N/A</v>
      </c>
    </row>
    <row r="111" spans="1:4" x14ac:dyDescent="0.25">
      <c r="A111" t="s">
        <v>118</v>
      </c>
      <c r="B111" s="2">
        <v>8.3000000000000007</v>
      </c>
      <c r="C111" s="3" t="e">
        <v>#N/A</v>
      </c>
      <c r="D111" s="10" t="e">
        <v>#N/A</v>
      </c>
    </row>
    <row r="112" spans="1:4" x14ac:dyDescent="0.25">
      <c r="A112" t="s">
        <v>119</v>
      </c>
      <c r="B112" s="2">
        <v>8.1999999999999993</v>
      </c>
      <c r="C112" s="3" t="e">
        <v>#N/A</v>
      </c>
      <c r="D112" s="10" t="e">
        <v>#N/A</v>
      </c>
    </row>
    <row r="113" spans="1:4" x14ac:dyDescent="0.25">
      <c r="A113" t="s">
        <v>120</v>
      </c>
      <c r="B113" s="2">
        <v>8</v>
      </c>
      <c r="C113" s="3" t="e">
        <v>#N/A</v>
      </c>
      <c r="D113" s="10" t="e">
        <v>#N/A</v>
      </c>
    </row>
    <row r="114" spans="1:4" x14ac:dyDescent="0.25">
      <c r="A114" t="s">
        <v>121</v>
      </c>
      <c r="B114" s="2">
        <v>7.9</v>
      </c>
      <c r="C114" s="3" t="e">
        <v>#N/A</v>
      </c>
      <c r="D114" s="10" t="e">
        <v>#N/A</v>
      </c>
    </row>
    <row r="115" spans="1:4" x14ac:dyDescent="0.25">
      <c r="A115" t="s">
        <v>122</v>
      </c>
      <c r="B115" s="2">
        <v>7.7</v>
      </c>
      <c r="C115" s="3" t="e">
        <v>#N/A</v>
      </c>
      <c r="D115" s="10" t="e">
        <v>#N/A</v>
      </c>
    </row>
    <row r="116" spans="1:4" x14ac:dyDescent="0.25">
      <c r="A116" t="s">
        <v>123</v>
      </c>
      <c r="B116" s="2">
        <v>7.6</v>
      </c>
      <c r="C116" s="3" t="e">
        <v>#N/A</v>
      </c>
      <c r="D116" s="10" t="e">
        <v>#N/A</v>
      </c>
    </row>
    <row r="117" spans="1:4" x14ac:dyDescent="0.25">
      <c r="A117" t="s">
        <v>124</v>
      </c>
      <c r="B117" s="2">
        <v>7.4</v>
      </c>
      <c r="C117" s="3" t="e">
        <v>#N/A</v>
      </c>
      <c r="D117" s="10" t="e">
        <v>#N/A</v>
      </c>
    </row>
    <row r="118" spans="1:4" x14ac:dyDescent="0.25">
      <c r="A118" t="s">
        <v>125</v>
      </c>
      <c r="B118" s="2">
        <v>7.3</v>
      </c>
      <c r="C118" s="3" t="e">
        <v>#N/A</v>
      </c>
      <c r="D118" s="10" t="e">
        <v>#N/A</v>
      </c>
    </row>
    <row r="119" spans="1:4" x14ac:dyDescent="0.25">
      <c r="A119" t="s">
        <v>126</v>
      </c>
      <c r="B119" s="2">
        <v>7.2</v>
      </c>
      <c r="C119" s="3" t="e">
        <v>#N/A</v>
      </c>
      <c r="D119" s="10" t="e">
        <v>#N/A</v>
      </c>
    </row>
    <row r="120" spans="1:4" x14ac:dyDescent="0.25">
      <c r="A120" t="s">
        <v>127</v>
      </c>
      <c r="B120" s="2">
        <v>7.2</v>
      </c>
      <c r="C120" s="3" t="e">
        <v>#N/A</v>
      </c>
      <c r="D120" s="10" t="e">
        <v>#N/A</v>
      </c>
    </row>
    <row r="121" spans="1:4" x14ac:dyDescent="0.25">
      <c r="A121" t="s">
        <v>128</v>
      </c>
      <c r="B121" s="2">
        <v>7.1</v>
      </c>
      <c r="C121" s="3" t="e">
        <v>#N/A</v>
      </c>
      <c r="D121" s="10" t="e">
        <v>#N/A</v>
      </c>
    </row>
    <row r="122" spans="1:4" x14ac:dyDescent="0.25">
      <c r="A122" t="s">
        <v>129</v>
      </c>
      <c r="B122" s="2">
        <v>7.1</v>
      </c>
      <c r="C122" s="3" t="e">
        <v>#N/A</v>
      </c>
      <c r="D122" s="10" t="e">
        <v>#N/A</v>
      </c>
    </row>
    <row r="123" spans="1:4" x14ac:dyDescent="0.25">
      <c r="A123" t="s">
        <v>130</v>
      </c>
      <c r="B123" s="2">
        <v>7.1</v>
      </c>
      <c r="C123" s="3" t="e">
        <v>#N/A</v>
      </c>
      <c r="D123" s="10" t="e">
        <v>#N/A</v>
      </c>
    </row>
    <row r="124" spans="1:4" x14ac:dyDescent="0.25">
      <c r="A124" t="s">
        <v>131</v>
      </c>
      <c r="B124" s="2">
        <v>7</v>
      </c>
      <c r="C124" s="3" t="e">
        <v>#N/A</v>
      </c>
      <c r="D124" s="10" t="e">
        <v>#N/A</v>
      </c>
    </row>
    <row r="125" spans="1:4" x14ac:dyDescent="0.25">
      <c r="A125" t="s">
        <v>132</v>
      </c>
      <c r="B125" s="2">
        <v>7</v>
      </c>
      <c r="C125" s="3" t="e">
        <v>#N/A</v>
      </c>
      <c r="D125" s="10" t="e">
        <v>#N/A</v>
      </c>
    </row>
    <row r="126" spans="1:4" x14ac:dyDescent="0.25">
      <c r="A126" t="s">
        <v>133</v>
      </c>
      <c r="B126" s="2">
        <v>7</v>
      </c>
      <c r="C126" s="3" t="e">
        <v>#N/A</v>
      </c>
      <c r="D126" s="10" t="e">
        <v>#N/A</v>
      </c>
    </row>
    <row r="127" spans="1:4" x14ac:dyDescent="0.25">
      <c r="A127" t="s">
        <v>134</v>
      </c>
      <c r="B127" s="2">
        <v>6.9</v>
      </c>
      <c r="C127" s="3" t="e">
        <v>#N/A</v>
      </c>
      <c r="D127" s="10" t="e">
        <v>#N/A</v>
      </c>
    </row>
    <row r="128" spans="1:4" x14ac:dyDescent="0.25">
      <c r="A128" t="s">
        <v>135</v>
      </c>
      <c r="B128" s="2">
        <v>6.9</v>
      </c>
      <c r="C128" s="3" t="e">
        <v>#N/A</v>
      </c>
      <c r="D128" s="10" t="e">
        <v>#N/A</v>
      </c>
    </row>
    <row r="129" spans="1:4" x14ac:dyDescent="0.25">
      <c r="A129" t="s">
        <v>136</v>
      </c>
      <c r="B129" s="2">
        <v>6.9</v>
      </c>
      <c r="C129" s="3" t="e">
        <v>#N/A</v>
      </c>
      <c r="D129" s="10" t="e">
        <v>#N/A</v>
      </c>
    </row>
    <row r="130" spans="1:4" x14ac:dyDescent="0.25">
      <c r="A130" t="s">
        <v>137</v>
      </c>
      <c r="B130" s="2">
        <v>6.9</v>
      </c>
      <c r="C130" s="3" t="e">
        <v>#N/A</v>
      </c>
      <c r="D130" s="10" t="e">
        <v>#N/A</v>
      </c>
    </row>
    <row r="131" spans="1:4" x14ac:dyDescent="0.25">
      <c r="A131" t="s">
        <v>138</v>
      </c>
      <c r="B131" s="2">
        <v>6.9</v>
      </c>
      <c r="C131" s="3" t="e">
        <v>#N/A</v>
      </c>
      <c r="D131" s="10" t="e">
        <v>#N/A</v>
      </c>
    </row>
    <row r="132" spans="1:4" x14ac:dyDescent="0.25">
      <c r="A132" t="s">
        <v>139</v>
      </c>
      <c r="B132" s="2">
        <v>6.9</v>
      </c>
      <c r="C132" s="3" t="e">
        <v>#N/A</v>
      </c>
      <c r="D132" s="10" t="e">
        <v>#N/A</v>
      </c>
    </row>
    <row r="133" spans="1:4" x14ac:dyDescent="0.25">
      <c r="A133" t="s">
        <v>140</v>
      </c>
      <c r="B133" s="2">
        <v>7</v>
      </c>
      <c r="C133" s="3" t="e">
        <v>#N/A</v>
      </c>
      <c r="D133" s="10" t="e">
        <v>#N/A</v>
      </c>
    </row>
    <row r="134" spans="1:4" x14ac:dyDescent="0.25">
      <c r="A134" t="s">
        <v>141</v>
      </c>
      <c r="B134" s="2">
        <v>7.1</v>
      </c>
      <c r="C134" s="3" t="e">
        <v>#N/A</v>
      </c>
      <c r="D134" s="10" t="e">
        <v>#N/A</v>
      </c>
    </row>
    <row r="135" spans="1:4" x14ac:dyDescent="0.25">
      <c r="A135" t="s">
        <v>142</v>
      </c>
      <c r="B135" s="2">
        <v>7.2</v>
      </c>
      <c r="C135" s="3" t="e">
        <v>#N/A</v>
      </c>
      <c r="D135" s="10" t="e">
        <v>#N/A</v>
      </c>
    </row>
    <row r="136" spans="1:4" x14ac:dyDescent="0.25">
      <c r="A136" t="s">
        <v>143</v>
      </c>
      <c r="B136" s="2">
        <v>7.3</v>
      </c>
      <c r="C136" s="3" t="e">
        <v>#N/A</v>
      </c>
      <c r="D136" s="10" t="e">
        <v>#N/A</v>
      </c>
    </row>
    <row r="137" spans="1:4" x14ac:dyDescent="0.25">
      <c r="A137" t="s">
        <v>144</v>
      </c>
      <c r="B137" s="2">
        <v>7.5</v>
      </c>
      <c r="C137" s="3" t="e">
        <v>#N/A</v>
      </c>
      <c r="D137" s="10" t="e">
        <v>#N/A</v>
      </c>
    </row>
    <row r="138" spans="1:4" x14ac:dyDescent="0.25">
      <c r="A138" t="s">
        <v>145</v>
      </c>
      <c r="B138" s="2">
        <v>7.6</v>
      </c>
      <c r="C138" s="3" t="e">
        <v>#N/A</v>
      </c>
      <c r="D138" s="10" t="e">
        <v>#N/A</v>
      </c>
    </row>
    <row r="139" spans="1:4" x14ac:dyDescent="0.25">
      <c r="A139" t="s">
        <v>146</v>
      </c>
      <c r="B139" s="2">
        <v>7.8</v>
      </c>
      <c r="C139" s="3" t="e">
        <v>#N/A</v>
      </c>
      <c r="D139" s="10" t="e">
        <v>#N/A</v>
      </c>
    </row>
    <row r="140" spans="1:4" x14ac:dyDescent="0.25">
      <c r="A140" t="s">
        <v>147</v>
      </c>
      <c r="B140" s="2">
        <v>8</v>
      </c>
      <c r="C140" s="3" t="e">
        <v>#N/A</v>
      </c>
      <c r="D140" s="10" t="e">
        <v>#N/A</v>
      </c>
    </row>
    <row r="141" spans="1:4" x14ac:dyDescent="0.25">
      <c r="A141" t="s">
        <v>148</v>
      </c>
      <c r="B141" s="2">
        <v>8.1999999999999993</v>
      </c>
      <c r="C141" s="3" t="e">
        <v>#N/A</v>
      </c>
      <c r="D141" s="10" t="e">
        <v>#N/A</v>
      </c>
    </row>
    <row r="142" spans="1:4" x14ac:dyDescent="0.25">
      <c r="A142" t="s">
        <v>149</v>
      </c>
      <c r="B142" s="2">
        <v>8.5</v>
      </c>
      <c r="C142" s="3" t="e">
        <v>#N/A</v>
      </c>
      <c r="D142" s="10" t="e">
        <v>#N/A</v>
      </c>
    </row>
    <row r="143" spans="1:4" x14ac:dyDescent="0.25">
      <c r="A143" t="s">
        <v>150</v>
      </c>
      <c r="B143" s="2">
        <v>8.6999999999999993</v>
      </c>
      <c r="C143" s="3" t="e">
        <v>#N/A</v>
      </c>
      <c r="D143" s="10" t="e">
        <v>#N/A</v>
      </c>
    </row>
    <row r="144" spans="1:4" x14ac:dyDescent="0.25">
      <c r="A144" t="s">
        <v>151</v>
      </c>
      <c r="B144" s="2">
        <v>8.8000000000000007</v>
      </c>
      <c r="C144" s="3" t="e">
        <v>#N/A</v>
      </c>
      <c r="D144" s="10" t="e">
        <v>#N/A</v>
      </c>
    </row>
    <row r="145" spans="1:4" x14ac:dyDescent="0.25">
      <c r="A145" t="s">
        <v>152</v>
      </c>
      <c r="B145" s="2">
        <v>9</v>
      </c>
      <c r="C145" s="3" t="e">
        <v>#N/A</v>
      </c>
      <c r="D145" s="10" t="e">
        <v>#N/A</v>
      </c>
    </row>
    <row r="146" spans="1:4" x14ac:dyDescent="0.25">
      <c r="A146" t="s">
        <v>153</v>
      </c>
      <c r="B146" s="2">
        <v>9.1999999999999993</v>
      </c>
      <c r="C146" s="3" t="e">
        <v>#N/A</v>
      </c>
      <c r="D146" s="10" t="e">
        <v>#N/A</v>
      </c>
    </row>
    <row r="147" spans="1:4" x14ac:dyDescent="0.25">
      <c r="A147" t="s">
        <v>154</v>
      </c>
      <c r="B147" s="2">
        <v>9.3000000000000007</v>
      </c>
      <c r="C147" s="3" t="e">
        <v>#N/A</v>
      </c>
      <c r="D147" s="10" t="e">
        <v>#N/A</v>
      </c>
    </row>
    <row r="148" spans="1:4" x14ac:dyDescent="0.25">
      <c r="A148" t="s">
        <v>155</v>
      </c>
      <c r="B148" s="2">
        <v>9.4</v>
      </c>
      <c r="C148" s="3" t="e">
        <v>#N/A</v>
      </c>
      <c r="D148" s="10" t="e">
        <v>#N/A</v>
      </c>
    </row>
    <row r="149" spans="1:4" x14ac:dyDescent="0.25">
      <c r="A149" t="s">
        <v>156</v>
      </c>
      <c r="B149" s="2">
        <v>9.5</v>
      </c>
      <c r="C149" s="3" t="e">
        <v>#N/A</v>
      </c>
      <c r="D149" s="10" t="e">
        <v>#N/A</v>
      </c>
    </row>
    <row r="150" spans="1:4" x14ac:dyDescent="0.25">
      <c r="A150" t="s">
        <v>157</v>
      </c>
      <c r="B150" s="2">
        <v>9.5</v>
      </c>
      <c r="C150" s="3" t="e">
        <v>#N/A</v>
      </c>
      <c r="D150" s="10" t="e">
        <v>#N/A</v>
      </c>
    </row>
    <row r="151" spans="1:4" x14ac:dyDescent="0.25">
      <c r="A151" t="s">
        <v>158</v>
      </c>
      <c r="B151" s="2">
        <v>9.6</v>
      </c>
      <c r="C151" s="3" t="e">
        <v>#N/A</v>
      </c>
      <c r="D151" s="10" t="e">
        <v>#N/A</v>
      </c>
    </row>
    <row r="152" spans="1:4" x14ac:dyDescent="0.25">
      <c r="A152" t="s">
        <v>159</v>
      </c>
      <c r="B152" s="2">
        <v>9.6999999999999993</v>
      </c>
      <c r="C152" s="3" t="e">
        <v>#N/A</v>
      </c>
      <c r="D152" s="10" t="e">
        <v>#N/A</v>
      </c>
    </row>
    <row r="153" spans="1:4" x14ac:dyDescent="0.25">
      <c r="A153" t="s">
        <v>160</v>
      </c>
      <c r="B153" s="2">
        <v>9.8000000000000007</v>
      </c>
      <c r="C153" s="3" t="e">
        <v>#N/A</v>
      </c>
      <c r="D153" s="10" t="e">
        <v>#N/A</v>
      </c>
    </row>
    <row r="154" spans="1:4" x14ac:dyDescent="0.25">
      <c r="A154" t="s">
        <v>161</v>
      </c>
      <c r="B154" s="2">
        <v>9.8000000000000007</v>
      </c>
      <c r="C154" s="3" t="e">
        <v>#N/A</v>
      </c>
      <c r="D154" s="10" t="e">
        <v>#N/A</v>
      </c>
    </row>
    <row r="155" spans="1:4" x14ac:dyDescent="0.25">
      <c r="A155" t="s">
        <v>162</v>
      </c>
      <c r="B155" s="2">
        <v>9.8000000000000007</v>
      </c>
      <c r="C155" s="3" t="e">
        <v>#N/A</v>
      </c>
      <c r="D155" s="10" t="e">
        <v>#N/A</v>
      </c>
    </row>
    <row r="156" spans="1:4" x14ac:dyDescent="0.25">
      <c r="A156" t="s">
        <v>163</v>
      </c>
      <c r="B156" s="2">
        <v>9.9</v>
      </c>
      <c r="C156" s="3">
        <v>9.9770000000000003</v>
      </c>
      <c r="D156" s="10" t="e">
        <v>#N/A</v>
      </c>
    </row>
    <row r="157" spans="1:4" x14ac:dyDescent="0.25">
      <c r="A157" t="s">
        <v>164</v>
      </c>
      <c r="B157" s="2">
        <v>9.9</v>
      </c>
      <c r="C157" s="3">
        <v>9.8650000000000002</v>
      </c>
      <c r="D157" s="10" t="e">
        <v>#N/A</v>
      </c>
    </row>
    <row r="158" spans="1:4" x14ac:dyDescent="0.25">
      <c r="A158" t="s">
        <v>165</v>
      </c>
      <c r="B158" s="2">
        <v>9.9</v>
      </c>
      <c r="C158" s="3">
        <v>9.9469999999999992</v>
      </c>
      <c r="D158" s="10" t="e">
        <v>#N/A</v>
      </c>
    </row>
    <row r="159" spans="1:4" x14ac:dyDescent="0.25">
      <c r="A159" t="s">
        <v>166</v>
      </c>
      <c r="B159" s="2">
        <v>10.1</v>
      </c>
      <c r="C159" s="3">
        <v>10.026999999999999</v>
      </c>
      <c r="D159" s="10" t="e">
        <v>#N/A</v>
      </c>
    </row>
    <row r="160" spans="1:4" x14ac:dyDescent="0.25">
      <c r="A160" t="s">
        <v>167</v>
      </c>
      <c r="B160" s="2">
        <v>10.199999999999999</v>
      </c>
      <c r="C160" s="3">
        <v>10.227</v>
      </c>
      <c r="D160" s="10" t="e">
        <v>#N/A</v>
      </c>
    </row>
    <row r="161" spans="1:4" x14ac:dyDescent="0.25">
      <c r="A161" t="s">
        <v>168</v>
      </c>
      <c r="B161" s="2">
        <v>10.4</v>
      </c>
      <c r="C161" s="3">
        <v>10.439</v>
      </c>
      <c r="D161" s="10" t="e">
        <v>#N/A</v>
      </c>
    </row>
    <row r="162" spans="1:4" x14ac:dyDescent="0.25">
      <c r="A162" t="s">
        <v>169</v>
      </c>
      <c r="B162" s="2">
        <v>10.5</v>
      </c>
      <c r="C162" s="3">
        <v>10.489000000000001</v>
      </c>
      <c r="D162" s="10" t="e">
        <v>#N/A</v>
      </c>
    </row>
    <row r="163" spans="1:4" x14ac:dyDescent="0.25">
      <c r="A163" t="s">
        <v>170</v>
      </c>
      <c r="B163" s="2">
        <v>10.7</v>
      </c>
      <c r="C163" s="3">
        <v>10.696</v>
      </c>
      <c r="D163" s="10" t="e">
        <v>#N/A</v>
      </c>
    </row>
    <row r="164" spans="1:4" x14ac:dyDescent="0.25">
      <c r="A164" t="s">
        <v>171</v>
      </c>
      <c r="B164" s="2">
        <v>10.6</v>
      </c>
      <c r="C164" s="3">
        <v>10.837</v>
      </c>
      <c r="D164" s="10" t="e">
        <v>#N/A</v>
      </c>
    </row>
    <row r="165" spans="1:4" x14ac:dyDescent="0.25">
      <c r="A165" t="s">
        <v>172</v>
      </c>
      <c r="B165" s="2">
        <v>10.6</v>
      </c>
      <c r="C165" s="3">
        <v>10.363</v>
      </c>
      <c r="D165" s="10" t="e">
        <v>#N/A</v>
      </c>
    </row>
    <row r="166" spans="1:4" x14ac:dyDescent="0.25">
      <c r="A166" t="s">
        <v>173</v>
      </c>
      <c r="B166" s="2">
        <v>10.5</v>
      </c>
      <c r="C166" s="3">
        <v>10.519</v>
      </c>
      <c r="D166" s="10" t="e">
        <v>#N/A</v>
      </c>
    </row>
    <row r="167" spans="1:4" x14ac:dyDescent="0.25">
      <c r="A167" t="s">
        <v>174</v>
      </c>
      <c r="B167" s="2">
        <v>10.4</v>
      </c>
      <c r="C167" s="3">
        <v>10.457000000000001</v>
      </c>
      <c r="D167" s="10" t="e">
        <v>#N/A</v>
      </c>
    </row>
    <row r="168" spans="1:4" x14ac:dyDescent="0.25">
      <c r="A168" t="s">
        <v>175</v>
      </c>
      <c r="B168" s="2">
        <v>10.4</v>
      </c>
      <c r="C168" s="3">
        <v>10.221</v>
      </c>
      <c r="D168" s="10" t="e">
        <v>#N/A</v>
      </c>
    </row>
    <row r="169" spans="1:4" x14ac:dyDescent="0.25">
      <c r="A169" t="s">
        <v>176</v>
      </c>
      <c r="B169" s="2">
        <v>10.3</v>
      </c>
      <c r="C169" s="3">
        <v>10.414</v>
      </c>
      <c r="D169" s="10" t="e">
        <v>#N/A</v>
      </c>
    </row>
    <row r="170" spans="1:4" x14ac:dyDescent="0.25">
      <c r="A170" t="s">
        <v>177</v>
      </c>
      <c r="B170" s="2">
        <v>10.199999999999999</v>
      </c>
      <c r="C170" s="3">
        <v>10.276999999999999</v>
      </c>
      <c r="D170" s="10" t="e">
        <v>#N/A</v>
      </c>
    </row>
    <row r="171" spans="1:4" x14ac:dyDescent="0.25">
      <c r="A171" t="s">
        <v>178</v>
      </c>
      <c r="B171" s="2">
        <v>10.3</v>
      </c>
      <c r="C171" s="3">
        <v>10.093999999999999</v>
      </c>
      <c r="D171" s="10" t="e">
        <v>#N/A</v>
      </c>
    </row>
    <row r="172" spans="1:4" x14ac:dyDescent="0.25">
      <c r="A172" t="s">
        <v>179</v>
      </c>
      <c r="B172" s="2">
        <v>10.199999999999999</v>
      </c>
      <c r="C172" s="3">
        <v>10.356</v>
      </c>
      <c r="D172" s="10" t="e">
        <v>#N/A</v>
      </c>
    </row>
    <row r="173" spans="1:4" x14ac:dyDescent="0.25">
      <c r="A173" t="s">
        <v>180</v>
      </c>
      <c r="B173" s="2">
        <v>10.3</v>
      </c>
      <c r="C173" s="3">
        <v>10.220000000000001</v>
      </c>
      <c r="D173" s="10" t="e">
        <v>#N/A</v>
      </c>
    </row>
    <row r="174" spans="1:4" x14ac:dyDescent="0.25">
      <c r="A174" t="s">
        <v>181</v>
      </c>
      <c r="B174" s="2">
        <v>10.3</v>
      </c>
      <c r="C174" s="3">
        <v>10.227</v>
      </c>
      <c r="D174" s="10" t="e">
        <v>#N/A</v>
      </c>
    </row>
    <row r="175" spans="1:4" x14ac:dyDescent="0.25">
      <c r="A175" t="s">
        <v>182</v>
      </c>
      <c r="B175" s="2">
        <v>10.1</v>
      </c>
      <c r="C175" s="3">
        <v>10.28</v>
      </c>
      <c r="D175" s="10" t="e">
        <v>#N/A</v>
      </c>
    </row>
    <row r="176" spans="1:4" x14ac:dyDescent="0.25">
      <c r="A176" t="s">
        <v>183</v>
      </c>
      <c r="B176" s="2">
        <v>9.9</v>
      </c>
      <c r="C176" s="3">
        <v>9.734</v>
      </c>
      <c r="D176" s="10" t="e">
        <v>#N/A</v>
      </c>
    </row>
    <row r="177" spans="1:4" x14ac:dyDescent="0.25">
      <c r="A177" t="s">
        <v>184</v>
      </c>
      <c r="B177" s="2">
        <v>9.8000000000000007</v>
      </c>
      <c r="C177" s="3">
        <v>9.8689999999999998</v>
      </c>
      <c r="D177" s="10" t="e">
        <v>#N/A</v>
      </c>
    </row>
    <row r="178" spans="1:4" x14ac:dyDescent="0.25">
      <c r="A178" t="s">
        <v>185</v>
      </c>
      <c r="B178" s="2">
        <v>9.6999999999999993</v>
      </c>
      <c r="C178" s="3">
        <v>9.8119999999999994</v>
      </c>
      <c r="D178" s="10" t="e">
        <v>#N/A</v>
      </c>
    </row>
    <row r="179" spans="1:4" x14ac:dyDescent="0.25">
      <c r="A179" t="s">
        <v>186</v>
      </c>
      <c r="B179" s="2">
        <v>9.6999999999999993</v>
      </c>
      <c r="C179" s="3">
        <v>9.5500000000000007</v>
      </c>
      <c r="D179" s="10" t="e">
        <v>#N/A</v>
      </c>
    </row>
    <row r="180" spans="1:4" x14ac:dyDescent="0.25">
      <c r="A180" t="s">
        <v>187</v>
      </c>
      <c r="B180" s="2">
        <v>9.6</v>
      </c>
      <c r="C180" s="3">
        <v>9.8000000000000007</v>
      </c>
      <c r="D180" s="10" t="e">
        <v>#N/A</v>
      </c>
    </row>
    <row r="181" spans="1:4" x14ac:dyDescent="0.25">
      <c r="A181" t="s">
        <v>188</v>
      </c>
      <c r="B181" s="2">
        <v>9.5</v>
      </c>
      <c r="C181" s="3">
        <v>9.3819999999999997</v>
      </c>
      <c r="D181" s="10" t="e">
        <v>#N/A</v>
      </c>
    </row>
    <row r="182" spans="1:4" x14ac:dyDescent="0.25">
      <c r="A182" t="s">
        <v>189</v>
      </c>
      <c r="B182" s="2">
        <v>9.4</v>
      </c>
      <c r="C182" s="3">
        <v>9.4220000000000006</v>
      </c>
      <c r="D182" s="10" t="e">
        <v>#N/A</v>
      </c>
    </row>
    <row r="183" spans="1:4" x14ac:dyDescent="0.25">
      <c r="A183" t="s">
        <v>190</v>
      </c>
      <c r="B183" s="2">
        <v>9.3000000000000007</v>
      </c>
      <c r="C183" s="3">
        <v>9.3190000000000008</v>
      </c>
      <c r="D183" s="10" t="e">
        <v>#N/A</v>
      </c>
    </row>
    <row r="184" spans="1:4" x14ac:dyDescent="0.25">
      <c r="A184" t="s">
        <v>191</v>
      </c>
      <c r="B184" s="2">
        <v>9.1</v>
      </c>
      <c r="C184" s="3">
        <v>9.0009999999999994</v>
      </c>
      <c r="D184" s="10" t="e">
        <v>#N/A</v>
      </c>
    </row>
    <row r="185" spans="1:4" x14ac:dyDescent="0.25">
      <c r="A185" t="s">
        <v>192</v>
      </c>
      <c r="B185" s="2">
        <v>9</v>
      </c>
      <c r="C185" s="3">
        <v>8.9019999999999992</v>
      </c>
      <c r="D185" s="10" t="e">
        <v>#N/A</v>
      </c>
    </row>
    <row r="186" spans="1:4" x14ac:dyDescent="0.25">
      <c r="A186" t="s">
        <v>193</v>
      </c>
      <c r="B186" s="2">
        <v>8.9</v>
      </c>
      <c r="C186" s="3">
        <v>9.032</v>
      </c>
      <c r="D186" s="10" t="e">
        <v>#N/A</v>
      </c>
    </row>
    <row r="187" spans="1:4" x14ac:dyDescent="0.25">
      <c r="A187" t="s">
        <v>194</v>
      </c>
      <c r="B187" s="2">
        <v>8.9</v>
      </c>
      <c r="C187" s="3">
        <v>8.7119999999999997</v>
      </c>
      <c r="D187" s="10" t="e">
        <v>#N/A</v>
      </c>
    </row>
    <row r="188" spans="1:4" x14ac:dyDescent="0.25">
      <c r="A188" t="s">
        <v>195</v>
      </c>
      <c r="B188" s="2">
        <v>8.9</v>
      </c>
      <c r="C188" s="3">
        <v>8.8569999999999993</v>
      </c>
      <c r="D188" s="10" t="e">
        <v>#N/A</v>
      </c>
    </row>
    <row r="189" spans="1:4" x14ac:dyDescent="0.25">
      <c r="A189" t="s">
        <v>196</v>
      </c>
      <c r="B189" s="2">
        <v>8.8000000000000007</v>
      </c>
      <c r="C189" s="3">
        <v>9.0719999999999992</v>
      </c>
      <c r="D189" s="10" t="e">
        <v>#N/A</v>
      </c>
    </row>
    <row r="190" spans="1:4" x14ac:dyDescent="0.25">
      <c r="A190" t="s">
        <v>197</v>
      </c>
      <c r="B190" s="2">
        <v>8.8000000000000007</v>
      </c>
      <c r="C190" s="3">
        <v>8.5299999999999994</v>
      </c>
      <c r="D190" s="10" t="e">
        <v>#N/A</v>
      </c>
    </row>
    <row r="191" spans="1:4" x14ac:dyDescent="0.25">
      <c r="A191" t="s">
        <v>198</v>
      </c>
      <c r="B191" s="2">
        <v>8.6999999999999993</v>
      </c>
      <c r="C191" s="3">
        <v>8.6820000000000004</v>
      </c>
      <c r="D191" s="10" t="e">
        <v>#N/A</v>
      </c>
    </row>
    <row r="192" spans="1:4" x14ac:dyDescent="0.25">
      <c r="A192" t="s">
        <v>199</v>
      </c>
      <c r="B192" s="2">
        <v>8.6999999999999993</v>
      </c>
      <c r="C192" s="3">
        <v>8.8249999999999993</v>
      </c>
      <c r="D192" s="10" t="e">
        <v>#N/A</v>
      </c>
    </row>
    <row r="193" spans="1:4" x14ac:dyDescent="0.25">
      <c r="A193" t="s">
        <v>200</v>
      </c>
      <c r="B193" s="2">
        <v>8.6</v>
      </c>
      <c r="C193" s="3">
        <v>8.4640000000000004</v>
      </c>
      <c r="D193" s="10" t="e">
        <v>#N/A</v>
      </c>
    </row>
    <row r="194" spans="1:4" x14ac:dyDescent="0.25">
      <c r="A194" t="s">
        <v>201</v>
      </c>
      <c r="B194" s="2">
        <v>8.6</v>
      </c>
      <c r="C194" s="3">
        <v>8.5709999999999997</v>
      </c>
      <c r="D194" s="10" t="e">
        <v>#N/A</v>
      </c>
    </row>
    <row r="195" spans="1:4" x14ac:dyDescent="0.25">
      <c r="A195" t="s">
        <v>202</v>
      </c>
      <c r="B195" s="2">
        <v>8.6</v>
      </c>
      <c r="C195" s="3">
        <v>8.9510000000000005</v>
      </c>
      <c r="D195" s="10" t="e">
        <v>#N/A</v>
      </c>
    </row>
    <row r="196" spans="1:4" x14ac:dyDescent="0.25">
      <c r="A196" t="s">
        <v>203</v>
      </c>
      <c r="B196" s="2">
        <v>8.6</v>
      </c>
      <c r="C196" s="3">
        <v>8.2759999999999998</v>
      </c>
      <c r="D196" s="10" t="e">
        <v>#N/A</v>
      </c>
    </row>
    <row r="197" spans="1:4" x14ac:dyDescent="0.25">
      <c r="A197" t="s">
        <v>204</v>
      </c>
      <c r="B197" s="2">
        <v>8.3000000000000007</v>
      </c>
      <c r="C197" s="3">
        <v>8.4239999999999995</v>
      </c>
      <c r="D197" s="10" t="e">
        <v>#N/A</v>
      </c>
    </row>
    <row r="198" spans="1:4" x14ac:dyDescent="0.25">
      <c r="A198" t="s">
        <v>205</v>
      </c>
      <c r="B198" s="2">
        <v>8.4</v>
      </c>
      <c r="C198" s="3">
        <v>8.2490000000000006</v>
      </c>
      <c r="D198" s="10" t="e">
        <v>#N/A</v>
      </c>
    </row>
    <row r="199" spans="1:4" x14ac:dyDescent="0.25">
      <c r="A199" t="s">
        <v>206</v>
      </c>
      <c r="B199" s="2">
        <v>8.3000000000000007</v>
      </c>
      <c r="C199" s="3">
        <v>8.4339999999999993</v>
      </c>
      <c r="D199" s="10" t="e">
        <v>#N/A</v>
      </c>
    </row>
    <row r="200" spans="1:4" x14ac:dyDescent="0.25">
      <c r="A200" t="s">
        <v>207</v>
      </c>
      <c r="B200" s="2">
        <v>8.1999999999999993</v>
      </c>
      <c r="C200" s="3">
        <v>8.266</v>
      </c>
      <c r="D200" s="10" t="e">
        <v>#N/A</v>
      </c>
    </row>
    <row r="201" spans="1:4" x14ac:dyDescent="0.25">
      <c r="A201" t="s">
        <v>208</v>
      </c>
      <c r="B201" s="2">
        <v>8.3000000000000007</v>
      </c>
      <c r="C201" s="3">
        <v>8.0389999999999997</v>
      </c>
      <c r="D201" s="10" t="e">
        <v>#N/A</v>
      </c>
    </row>
    <row r="202" spans="1:4" x14ac:dyDescent="0.25">
      <c r="A202" t="s">
        <v>209</v>
      </c>
      <c r="B202" s="2">
        <v>8.3000000000000007</v>
      </c>
      <c r="C202" s="3">
        <v>8.5459999999999994</v>
      </c>
      <c r="D202" s="10" t="e">
        <v>#N/A</v>
      </c>
    </row>
    <row r="203" spans="1:4" x14ac:dyDescent="0.25">
      <c r="A203" t="s">
        <v>210</v>
      </c>
      <c r="B203" s="2">
        <v>8.3000000000000007</v>
      </c>
      <c r="C203" s="3">
        <v>8.25</v>
      </c>
      <c r="D203" s="10" t="e">
        <v>#N/A</v>
      </c>
    </row>
    <row r="204" spans="1:4" x14ac:dyDescent="0.25">
      <c r="A204" t="s">
        <v>211</v>
      </c>
      <c r="B204" s="2">
        <v>8.1999999999999993</v>
      </c>
      <c r="C204" s="3">
        <v>8.0109999999999992</v>
      </c>
      <c r="D204" s="10" t="e">
        <v>#N/A</v>
      </c>
    </row>
    <row r="205" spans="1:4" x14ac:dyDescent="0.25">
      <c r="A205" t="s">
        <v>212</v>
      </c>
      <c r="B205" s="2">
        <v>8.1</v>
      </c>
      <c r="C205" s="3">
        <v>8.2149999999999999</v>
      </c>
      <c r="D205" s="10" t="e">
        <v>#N/A</v>
      </c>
    </row>
    <row r="206" spans="1:4" x14ac:dyDescent="0.25">
      <c r="A206" t="s">
        <v>213</v>
      </c>
      <c r="B206" s="2">
        <v>8.1</v>
      </c>
      <c r="C206" s="3">
        <v>7.9560000000000004</v>
      </c>
      <c r="D206" s="10" t="e">
        <v>#N/A</v>
      </c>
    </row>
    <row r="207" spans="1:4" x14ac:dyDescent="0.25">
      <c r="A207" t="s">
        <v>214</v>
      </c>
      <c r="B207" s="2">
        <v>8.1</v>
      </c>
      <c r="C207" s="3">
        <v>8.06</v>
      </c>
      <c r="D207" s="10" t="e">
        <v>#N/A</v>
      </c>
    </row>
    <row r="208" spans="1:4" x14ac:dyDescent="0.25">
      <c r="A208" t="s">
        <v>215</v>
      </c>
      <c r="B208" s="2">
        <v>8</v>
      </c>
      <c r="C208" s="3">
        <v>8.0909999999999993</v>
      </c>
      <c r="D208" s="10" t="e">
        <v>#N/A</v>
      </c>
    </row>
    <row r="209" spans="1:4" x14ac:dyDescent="0.25">
      <c r="A209" t="s">
        <v>216</v>
      </c>
      <c r="B209" s="2">
        <v>7.8</v>
      </c>
      <c r="C209" s="3">
        <v>7.718</v>
      </c>
      <c r="D209" s="10" t="e">
        <v>#N/A</v>
      </c>
    </row>
    <row r="210" spans="1:4" x14ac:dyDescent="0.25">
      <c r="A210" t="s">
        <v>217</v>
      </c>
      <c r="B210" s="2">
        <v>7.7</v>
      </c>
      <c r="C210" s="3">
        <v>7.7560000000000002</v>
      </c>
      <c r="D210" s="10" t="e">
        <v>#N/A</v>
      </c>
    </row>
    <row r="211" spans="1:4" x14ac:dyDescent="0.25">
      <c r="A211" t="s">
        <v>218</v>
      </c>
      <c r="B211" s="2">
        <v>7.5</v>
      </c>
      <c r="C211" s="3">
        <v>7.4930000000000003</v>
      </c>
      <c r="D211" s="10" t="e">
        <v>#N/A</v>
      </c>
    </row>
    <row r="212" spans="1:4" x14ac:dyDescent="0.25">
      <c r="A212" t="s">
        <v>219</v>
      </c>
      <c r="B212" s="2">
        <v>7.3</v>
      </c>
      <c r="C212" s="3">
        <v>7.2290000000000001</v>
      </c>
      <c r="D212" s="10" t="e">
        <v>#N/A</v>
      </c>
    </row>
    <row r="213" spans="1:4" x14ac:dyDescent="0.25">
      <c r="A213" t="s">
        <v>220</v>
      </c>
      <c r="B213" s="2">
        <v>7.2</v>
      </c>
      <c r="C213" s="3">
        <v>7.2839999999999998</v>
      </c>
      <c r="D213" s="10" t="e">
        <v>#N/A</v>
      </c>
    </row>
    <row r="214" spans="1:4" x14ac:dyDescent="0.25">
      <c r="A214" t="s">
        <v>221</v>
      </c>
      <c r="B214" s="2">
        <v>7.2</v>
      </c>
      <c r="C214" s="3">
        <v>7.0659999999999998</v>
      </c>
      <c r="D214" s="10" t="e">
        <v>#N/A</v>
      </c>
    </row>
    <row r="215" spans="1:4" x14ac:dyDescent="0.25">
      <c r="A215" t="s">
        <v>222</v>
      </c>
      <c r="B215" s="2">
        <v>7.2</v>
      </c>
      <c r="C215" s="3">
        <v>7.2050000000000001</v>
      </c>
      <c r="D215" s="10" t="e">
        <v>#N/A</v>
      </c>
    </row>
    <row r="216" spans="1:4" x14ac:dyDescent="0.25">
      <c r="A216" t="s">
        <v>223</v>
      </c>
      <c r="B216" s="2">
        <v>7.3</v>
      </c>
      <c r="C216" s="3">
        <v>7.306</v>
      </c>
      <c r="D216" s="10" t="e">
        <v>#N/A</v>
      </c>
    </row>
    <row r="217" spans="1:4" x14ac:dyDescent="0.25">
      <c r="A217" t="s">
        <v>224</v>
      </c>
      <c r="B217" s="2">
        <v>7.1</v>
      </c>
      <c r="C217" s="3">
        <v>7.3239999999999998</v>
      </c>
      <c r="D217" s="10" t="e">
        <v>#N/A</v>
      </c>
    </row>
    <row r="218" spans="1:4" x14ac:dyDescent="0.25">
      <c r="A218" t="s">
        <v>225</v>
      </c>
      <c r="B218" s="2">
        <v>6.8</v>
      </c>
      <c r="C218" s="3">
        <v>6.6269999999999998</v>
      </c>
      <c r="D218" s="10" t="e">
        <v>#N/A</v>
      </c>
    </row>
    <row r="219" spans="1:4" x14ac:dyDescent="0.25">
      <c r="A219" t="s">
        <v>226</v>
      </c>
      <c r="B219" s="2">
        <v>6.7</v>
      </c>
      <c r="C219" s="3">
        <v>6.609</v>
      </c>
      <c r="D219" s="10" t="e">
        <v>#N/A</v>
      </c>
    </row>
    <row r="220" spans="1:4" x14ac:dyDescent="0.25">
      <c r="A220" t="s">
        <v>227</v>
      </c>
      <c r="B220" s="2">
        <v>6.6</v>
      </c>
      <c r="C220" s="3">
        <v>6.8140000000000001</v>
      </c>
      <c r="D220" s="10" t="e">
        <v>#N/A</v>
      </c>
    </row>
    <row r="221" spans="1:4" x14ac:dyDescent="0.25">
      <c r="A221" t="s">
        <v>228</v>
      </c>
      <c r="B221" s="2">
        <v>6.5</v>
      </c>
      <c r="C221" s="3">
        <v>6.4249999999999998</v>
      </c>
      <c r="D221" s="10" t="e">
        <v>#N/A</v>
      </c>
    </row>
    <row r="222" spans="1:4" x14ac:dyDescent="0.25">
      <c r="A222" t="s">
        <v>229</v>
      </c>
      <c r="B222" s="2">
        <v>6.4</v>
      </c>
      <c r="C222" s="3">
        <v>6.4189999999999996</v>
      </c>
      <c r="D222" s="10" t="e">
        <v>#N/A</v>
      </c>
    </row>
    <row r="223" spans="1:4" x14ac:dyDescent="0.25">
      <c r="A223" t="s">
        <v>230</v>
      </c>
      <c r="B223" s="2">
        <v>6.4</v>
      </c>
      <c r="C223" s="3">
        <v>6.3330000000000002</v>
      </c>
      <c r="D223" s="10" t="e">
        <v>#N/A</v>
      </c>
    </row>
    <row r="224" spans="1:4" x14ac:dyDescent="0.25">
      <c r="A224" t="s">
        <v>231</v>
      </c>
      <c r="B224" s="2">
        <v>6.4</v>
      </c>
      <c r="C224" s="3">
        <v>6.37</v>
      </c>
      <c r="D224" s="10" t="e">
        <v>#N/A</v>
      </c>
    </row>
    <row r="225" spans="1:4" x14ac:dyDescent="0.25">
      <c r="A225" t="s">
        <v>232</v>
      </c>
      <c r="B225" s="2">
        <v>6.3</v>
      </c>
      <c r="C225" s="3">
        <v>6.42</v>
      </c>
      <c r="D225" s="10" t="e">
        <v>#N/A</v>
      </c>
    </row>
    <row r="226" spans="1:4" x14ac:dyDescent="0.25">
      <c r="A226" t="s">
        <v>233</v>
      </c>
      <c r="B226" s="2">
        <v>6.3</v>
      </c>
      <c r="C226" s="3">
        <v>6.1230000000000002</v>
      </c>
      <c r="D226" s="10" t="e">
        <v>#N/A</v>
      </c>
    </row>
    <row r="227" spans="1:4" x14ac:dyDescent="0.25">
      <c r="A227" t="s">
        <v>234</v>
      </c>
      <c r="B227" s="2">
        <v>6.3</v>
      </c>
      <c r="C227" s="3">
        <v>6.2560000000000002</v>
      </c>
      <c r="D227" s="10" t="e">
        <v>#N/A</v>
      </c>
    </row>
    <row r="228" spans="1:4" x14ac:dyDescent="0.25">
      <c r="A228" t="s">
        <v>235</v>
      </c>
      <c r="B228" s="2">
        <v>6.3</v>
      </c>
      <c r="C228" s="3">
        <v>6.4980000000000002</v>
      </c>
      <c r="D228" s="10" t="e">
        <v>#N/A</v>
      </c>
    </row>
    <row r="229" spans="1:4" x14ac:dyDescent="0.25">
      <c r="A229" t="s">
        <v>236</v>
      </c>
      <c r="B229" s="2">
        <v>6.3</v>
      </c>
      <c r="C229" s="3">
        <v>6.13</v>
      </c>
      <c r="D229" s="10" t="e">
        <v>#N/A</v>
      </c>
    </row>
    <row r="230" spans="1:4" x14ac:dyDescent="0.25">
      <c r="A230" t="s">
        <v>237</v>
      </c>
      <c r="B230" s="2">
        <v>6.2</v>
      </c>
      <c r="C230" s="3">
        <v>6.306</v>
      </c>
      <c r="D230" s="10" t="e">
        <v>#N/A</v>
      </c>
    </row>
    <row r="231" spans="1:4" x14ac:dyDescent="0.25">
      <c r="A231" t="s">
        <v>238</v>
      </c>
      <c r="B231" s="2">
        <v>6.2</v>
      </c>
      <c r="C231" s="3">
        <v>6.306</v>
      </c>
      <c r="D231" s="10" t="e">
        <v>#N/A</v>
      </c>
    </row>
    <row r="232" spans="1:4" x14ac:dyDescent="0.25">
      <c r="A232" t="s">
        <v>239</v>
      </c>
      <c r="B232" s="2">
        <v>6.2</v>
      </c>
      <c r="C232" s="3">
        <v>6.0209999999999999</v>
      </c>
      <c r="D232" s="10" t="e">
        <v>#N/A</v>
      </c>
    </row>
    <row r="233" spans="1:4" x14ac:dyDescent="0.25">
      <c r="A233" t="s">
        <v>240</v>
      </c>
      <c r="B233" s="2">
        <v>6.1</v>
      </c>
      <c r="C233" s="3">
        <v>6.1509999999999998</v>
      </c>
      <c r="D233" s="10" t="e">
        <v>#N/A</v>
      </c>
    </row>
    <row r="234" spans="1:4" x14ac:dyDescent="0.25">
      <c r="A234" t="s">
        <v>241</v>
      </c>
      <c r="B234" s="2">
        <v>6.2</v>
      </c>
      <c r="C234" s="3">
        <v>6.27</v>
      </c>
      <c r="D234" s="10" t="e">
        <v>#N/A</v>
      </c>
    </row>
    <row r="235" spans="1:4" x14ac:dyDescent="0.25">
      <c r="A235" t="s">
        <v>242</v>
      </c>
      <c r="B235" s="2">
        <v>6.2</v>
      </c>
      <c r="C235" s="3">
        <v>6.2190000000000003</v>
      </c>
      <c r="D235" s="10" t="e">
        <v>#N/A</v>
      </c>
    </row>
    <row r="236" spans="1:4" x14ac:dyDescent="0.25">
      <c r="A236" t="s">
        <v>243</v>
      </c>
      <c r="B236" s="2">
        <v>6.2</v>
      </c>
      <c r="C236" s="3">
        <v>6.1980000000000004</v>
      </c>
      <c r="D236" s="10" t="e">
        <v>#N/A</v>
      </c>
    </row>
    <row r="237" spans="1:4" x14ac:dyDescent="0.25">
      <c r="A237" t="s">
        <v>244</v>
      </c>
      <c r="B237" s="2">
        <v>6.2</v>
      </c>
      <c r="C237" s="3">
        <v>6.1150000000000002</v>
      </c>
      <c r="D237" s="10" t="e">
        <v>#N/A</v>
      </c>
    </row>
    <row r="238" spans="1:4" x14ac:dyDescent="0.25">
      <c r="A238" t="s">
        <v>245</v>
      </c>
      <c r="B238" s="2">
        <v>6.1</v>
      </c>
      <c r="C238" s="3">
        <v>6.1390000000000002</v>
      </c>
      <c r="D238" s="10">
        <v>3.6</v>
      </c>
    </row>
    <row r="239" spans="1:4" x14ac:dyDescent="0.25">
      <c r="A239" t="s">
        <v>246</v>
      </c>
      <c r="B239" s="2">
        <v>6</v>
      </c>
      <c r="C239" s="3">
        <v>6.0789999999999997</v>
      </c>
      <c r="D239" s="10">
        <v>3.6</v>
      </c>
    </row>
    <row r="240" spans="1:4" x14ac:dyDescent="0.25">
      <c r="A240" t="s">
        <v>247</v>
      </c>
      <c r="B240" s="2">
        <v>6</v>
      </c>
      <c r="C240" s="3">
        <v>5.915</v>
      </c>
      <c r="D240" s="10">
        <v>3.6</v>
      </c>
    </row>
    <row r="241" spans="1:4" x14ac:dyDescent="0.25">
      <c r="A241" t="s">
        <v>248</v>
      </c>
      <c r="B241" s="2">
        <v>5.9</v>
      </c>
      <c r="C241" s="3">
        <v>5.9219999999999997</v>
      </c>
      <c r="D241" s="10">
        <v>3.6</v>
      </c>
    </row>
    <row r="242" spans="1:4" x14ac:dyDescent="0.25">
      <c r="A242" t="s">
        <v>249</v>
      </c>
      <c r="B242" s="2">
        <v>5.9</v>
      </c>
      <c r="C242" s="3">
        <v>5.8869999999999996</v>
      </c>
      <c r="D242" s="10">
        <v>3.6</v>
      </c>
    </row>
    <row r="243" spans="1:4" x14ac:dyDescent="0.25">
      <c r="A243" t="s">
        <v>250</v>
      </c>
      <c r="B243" s="2">
        <v>5.8</v>
      </c>
      <c r="C243" s="3">
        <v>5.8449999999999998</v>
      </c>
      <c r="D243" s="10">
        <v>3.6</v>
      </c>
    </row>
    <row r="244" spans="1:4" x14ac:dyDescent="0.25">
      <c r="A244" t="s">
        <v>251</v>
      </c>
      <c r="B244" s="2">
        <v>5.8</v>
      </c>
      <c r="C244" s="3">
        <v>5.7729999999999997</v>
      </c>
      <c r="D244" s="10">
        <v>3.6</v>
      </c>
    </row>
    <row r="245" spans="1:4" x14ac:dyDescent="0.25">
      <c r="A245" t="s">
        <v>252</v>
      </c>
      <c r="B245" s="2">
        <v>5.8</v>
      </c>
      <c r="C245" s="3">
        <v>5.9370000000000003</v>
      </c>
      <c r="D245" s="10">
        <v>3.6</v>
      </c>
    </row>
    <row r="246" spans="1:4" x14ac:dyDescent="0.25">
      <c r="A246" t="s">
        <v>253</v>
      </c>
      <c r="B246" s="2">
        <v>5.9</v>
      </c>
      <c r="C246" s="3">
        <v>5.6959999999999997</v>
      </c>
      <c r="D246" s="10">
        <v>3.6</v>
      </c>
    </row>
    <row r="247" spans="1:4" x14ac:dyDescent="0.25">
      <c r="A247" t="s">
        <v>254</v>
      </c>
      <c r="B247" s="2">
        <v>5.8</v>
      </c>
      <c r="C247" s="3">
        <v>5.96</v>
      </c>
      <c r="D247" s="10">
        <v>3.6</v>
      </c>
    </row>
    <row r="248" spans="1:4" x14ac:dyDescent="0.25">
      <c r="A248" t="s">
        <v>255</v>
      </c>
      <c r="B248" s="2">
        <v>5.8</v>
      </c>
      <c r="C248" s="3">
        <v>5.7949999999999999</v>
      </c>
      <c r="D248" s="10">
        <v>3.6</v>
      </c>
    </row>
    <row r="249" spans="1:4" x14ac:dyDescent="0.25">
      <c r="A249" t="s">
        <v>256</v>
      </c>
      <c r="B249" s="2">
        <v>5.7</v>
      </c>
      <c r="C249" s="3">
        <v>5.6109999999999998</v>
      </c>
      <c r="D249" s="10">
        <v>3.6</v>
      </c>
    </row>
    <row r="250" spans="1:4" x14ac:dyDescent="0.25">
      <c r="A250" t="s">
        <v>257</v>
      </c>
      <c r="B250" s="2">
        <v>5.6</v>
      </c>
      <c r="C250" s="3">
        <v>5.673</v>
      </c>
      <c r="D250" s="10">
        <v>3.6</v>
      </c>
    </row>
    <row r="251" spans="1:4" x14ac:dyDescent="0.25">
      <c r="A251" t="s">
        <v>258</v>
      </c>
      <c r="B251" s="2">
        <v>5.5</v>
      </c>
      <c r="C251" s="3">
        <v>5.6520000000000001</v>
      </c>
      <c r="D251" s="10">
        <v>3.6</v>
      </c>
    </row>
    <row r="252" spans="1:4" x14ac:dyDescent="0.25">
      <c r="A252" t="s">
        <v>259</v>
      </c>
      <c r="B252" s="2">
        <v>5.3</v>
      </c>
      <c r="C252" s="3">
        <v>5.1630000000000003</v>
      </c>
      <c r="D252" s="10">
        <v>3.6</v>
      </c>
    </row>
    <row r="253" spans="1:4" x14ac:dyDescent="0.25">
      <c r="A253" t="s">
        <v>260</v>
      </c>
      <c r="B253" s="2">
        <v>5.3</v>
      </c>
      <c r="C253" s="3">
        <v>5.1829999999999998</v>
      </c>
      <c r="D253" s="10">
        <v>3.6</v>
      </c>
    </row>
    <row r="254" spans="1:4" x14ac:dyDescent="0.25">
      <c r="A254" t="s">
        <v>261</v>
      </c>
      <c r="B254" s="2">
        <v>5.3</v>
      </c>
      <c r="C254" s="3">
        <v>5.4390000000000001</v>
      </c>
      <c r="D254" s="10">
        <v>3.6</v>
      </c>
    </row>
    <row r="255" spans="1:4" x14ac:dyDescent="0.25">
      <c r="A255" t="s">
        <v>262</v>
      </c>
      <c r="B255" s="2">
        <v>5.4</v>
      </c>
      <c r="C255" s="3">
        <v>5.32</v>
      </c>
      <c r="D255" s="10">
        <v>3.6</v>
      </c>
    </row>
    <row r="256" spans="1:4" x14ac:dyDescent="0.25">
      <c r="A256" t="s">
        <v>263</v>
      </c>
      <c r="B256" s="2">
        <v>5.3</v>
      </c>
      <c r="C256" s="3">
        <v>5.4329999999999998</v>
      </c>
      <c r="D256" s="10">
        <v>3.7</v>
      </c>
    </row>
    <row r="257" spans="1:4" x14ac:dyDescent="0.25">
      <c r="A257" t="s">
        <v>264</v>
      </c>
      <c r="B257" s="2">
        <v>5.2</v>
      </c>
      <c r="C257" s="3">
        <v>5.1589999999999998</v>
      </c>
      <c r="D257" s="10">
        <v>3.7</v>
      </c>
    </row>
    <row r="258" spans="1:4" x14ac:dyDescent="0.25">
      <c r="A258" t="s">
        <v>265</v>
      </c>
      <c r="B258" s="2">
        <v>5.2</v>
      </c>
      <c r="C258" s="3">
        <v>5.08</v>
      </c>
      <c r="D258" s="10">
        <v>3.7</v>
      </c>
    </row>
    <row r="259" spans="1:4" x14ac:dyDescent="0.25">
      <c r="A259" t="s">
        <v>266</v>
      </c>
      <c r="B259" s="2">
        <v>5.2</v>
      </c>
      <c r="C259" s="3">
        <v>5.25</v>
      </c>
      <c r="D259" s="10">
        <v>3.7</v>
      </c>
    </row>
    <row r="260" spans="1:4" x14ac:dyDescent="0.25">
      <c r="A260" t="s">
        <v>267</v>
      </c>
      <c r="B260" s="2">
        <v>5.0999999999999996</v>
      </c>
      <c r="C260" s="3">
        <v>5.29</v>
      </c>
      <c r="D260" s="10">
        <v>3.7</v>
      </c>
    </row>
    <row r="261" spans="1:4" x14ac:dyDescent="0.25">
      <c r="A261" t="s">
        <v>268</v>
      </c>
      <c r="B261" s="2">
        <v>5</v>
      </c>
      <c r="C261" s="3">
        <v>4.72</v>
      </c>
      <c r="D261" s="10">
        <v>3.7</v>
      </c>
    </row>
    <row r="262" spans="1:4" x14ac:dyDescent="0.25">
      <c r="A262" t="s">
        <v>269</v>
      </c>
      <c r="B262" s="2">
        <v>4.9000000000000004</v>
      </c>
      <c r="C262" s="3">
        <v>5.0229999999999997</v>
      </c>
      <c r="D262" s="10">
        <v>3.7</v>
      </c>
    </row>
    <row r="263" spans="1:4" x14ac:dyDescent="0.25">
      <c r="A263" t="s">
        <v>270</v>
      </c>
      <c r="B263" s="2">
        <v>5</v>
      </c>
      <c r="C263" s="3">
        <v>4.9939999999999998</v>
      </c>
      <c r="D263" s="10">
        <v>3.7</v>
      </c>
    </row>
    <row r="264" spans="1:4" x14ac:dyDescent="0.25">
      <c r="A264" t="s">
        <v>271</v>
      </c>
      <c r="B264" s="2">
        <v>5</v>
      </c>
      <c r="C264" s="3">
        <v>5.0670000000000002</v>
      </c>
      <c r="D264" s="10">
        <v>3.7</v>
      </c>
    </row>
    <row r="265" spans="1:4" x14ac:dyDescent="0.25">
      <c r="A265" t="s">
        <v>272</v>
      </c>
      <c r="B265" s="2">
        <v>5.0999999999999996</v>
      </c>
      <c r="C265" s="3">
        <v>5.0830000000000002</v>
      </c>
      <c r="D265" s="10">
        <v>3.7</v>
      </c>
    </row>
    <row r="266" spans="1:4" x14ac:dyDescent="0.25">
      <c r="A266" t="s">
        <v>273</v>
      </c>
      <c r="B266" s="2">
        <v>5.0999999999999996</v>
      </c>
      <c r="C266" s="3">
        <v>5.0880000000000001</v>
      </c>
      <c r="D266" s="10">
        <v>3.7</v>
      </c>
    </row>
    <row r="267" spans="1:4" x14ac:dyDescent="0.25">
      <c r="A267" t="s">
        <v>274</v>
      </c>
      <c r="B267" s="2">
        <v>5.0999999999999996</v>
      </c>
      <c r="C267" s="3">
        <v>5.0940000000000003</v>
      </c>
      <c r="D267" s="10">
        <v>3.7</v>
      </c>
    </row>
    <row r="268" spans="1:4" x14ac:dyDescent="0.25">
      <c r="A268" t="s">
        <v>275</v>
      </c>
      <c r="B268" s="2">
        <v>5.0999999999999996</v>
      </c>
      <c r="C268" s="3">
        <v>5.0999999999999996</v>
      </c>
      <c r="D268" s="10">
        <v>4.0999999999999996</v>
      </c>
    </row>
    <row r="269" spans="1:4" x14ac:dyDescent="0.25">
      <c r="A269" t="s">
        <v>276</v>
      </c>
      <c r="B269" s="2">
        <v>5.2</v>
      </c>
      <c r="C269" s="3">
        <v>5.1280000000000001</v>
      </c>
      <c r="D269" s="10">
        <v>4.0999999999999996</v>
      </c>
    </row>
    <row r="270" spans="1:4" x14ac:dyDescent="0.25">
      <c r="A270" t="s">
        <v>277</v>
      </c>
      <c r="B270" s="2">
        <v>5.2</v>
      </c>
      <c r="C270" s="3">
        <v>5.3019999999999996</v>
      </c>
      <c r="D270" s="10">
        <v>4.0999999999999996</v>
      </c>
    </row>
    <row r="271" spans="1:4" x14ac:dyDescent="0.25">
      <c r="A271" t="s">
        <v>278</v>
      </c>
      <c r="B271" s="2">
        <v>5.0999999999999996</v>
      </c>
      <c r="C271" s="3">
        <v>5.141</v>
      </c>
      <c r="D271" s="10">
        <v>4.0999999999999996</v>
      </c>
    </row>
    <row r="272" spans="1:4" x14ac:dyDescent="0.25">
      <c r="A272" t="s">
        <v>279</v>
      </c>
      <c r="B272" s="2">
        <v>5.2</v>
      </c>
      <c r="C272" s="3">
        <v>4.9989999999999997</v>
      </c>
      <c r="D272" s="10">
        <v>4.0999999999999996</v>
      </c>
    </row>
    <row r="273" spans="1:4" x14ac:dyDescent="0.25">
      <c r="A273" t="s">
        <v>280</v>
      </c>
      <c r="B273" s="2">
        <v>5.2</v>
      </c>
      <c r="C273" s="3">
        <v>5.3470000000000004</v>
      </c>
      <c r="D273" s="10">
        <v>4.0999999999999996</v>
      </c>
    </row>
    <row r="274" spans="1:4" x14ac:dyDescent="0.25">
      <c r="A274" t="s">
        <v>281</v>
      </c>
      <c r="B274" s="2">
        <v>5.2</v>
      </c>
      <c r="C274" s="3">
        <v>5.22</v>
      </c>
      <c r="D274" s="10">
        <v>4.0999999999999996</v>
      </c>
    </row>
    <row r="275" spans="1:4" x14ac:dyDescent="0.25">
      <c r="A275" t="s">
        <v>282</v>
      </c>
      <c r="B275" s="2">
        <v>5.2</v>
      </c>
      <c r="C275" s="3">
        <v>5.1539999999999999</v>
      </c>
      <c r="D275" s="10">
        <v>4.0999999999999996</v>
      </c>
    </row>
    <row r="276" spans="1:4" x14ac:dyDescent="0.25">
      <c r="A276" t="s">
        <v>283</v>
      </c>
      <c r="B276" s="2">
        <v>5.2</v>
      </c>
      <c r="C276" s="3">
        <v>5.0839999999999996</v>
      </c>
      <c r="D276" s="10">
        <v>4.0999999999999996</v>
      </c>
    </row>
    <row r="277" spans="1:4" x14ac:dyDescent="0.25">
      <c r="A277" t="s">
        <v>284</v>
      </c>
      <c r="B277" s="2">
        <v>5.2</v>
      </c>
      <c r="C277" s="3">
        <v>5.3440000000000003</v>
      </c>
      <c r="D277" s="10">
        <v>4.0999999999999996</v>
      </c>
    </row>
    <row r="278" spans="1:4" x14ac:dyDescent="0.25">
      <c r="A278" t="s">
        <v>285</v>
      </c>
      <c r="B278" s="2">
        <v>5.3</v>
      </c>
      <c r="C278" s="3">
        <v>5.2279999999999998</v>
      </c>
      <c r="D278" s="10">
        <v>4.0999999999999996</v>
      </c>
    </row>
    <row r="279" spans="1:4" x14ac:dyDescent="0.25">
      <c r="A279" t="s">
        <v>286</v>
      </c>
      <c r="B279" s="2">
        <v>5.2</v>
      </c>
      <c r="C279" s="3">
        <v>5.3360000000000003</v>
      </c>
      <c r="D279" s="10">
        <v>4.0999999999999996</v>
      </c>
    </row>
    <row r="280" spans="1:4" x14ac:dyDescent="0.25">
      <c r="A280" t="s">
        <v>287</v>
      </c>
      <c r="B280" s="2">
        <v>5.2</v>
      </c>
      <c r="C280" s="3">
        <v>5.1379999999999999</v>
      </c>
      <c r="D280" s="10">
        <v>4.2</v>
      </c>
    </row>
    <row r="281" spans="1:4" x14ac:dyDescent="0.25">
      <c r="A281" t="s">
        <v>288</v>
      </c>
      <c r="B281" s="2">
        <v>5.0999999999999996</v>
      </c>
      <c r="C281" s="3">
        <v>5.0519999999999996</v>
      </c>
      <c r="D281" s="10">
        <v>4.2</v>
      </c>
    </row>
    <row r="282" spans="1:4" x14ac:dyDescent="0.25">
      <c r="A282" t="s">
        <v>289</v>
      </c>
      <c r="B282" s="2">
        <v>5</v>
      </c>
      <c r="C282" s="3">
        <v>5.1449999999999996</v>
      </c>
      <c r="D282" s="10">
        <v>4.2</v>
      </c>
    </row>
    <row r="283" spans="1:4" x14ac:dyDescent="0.25">
      <c r="A283" t="s">
        <v>290</v>
      </c>
      <c r="B283" s="2">
        <v>5.0999999999999996</v>
      </c>
      <c r="C283" s="3">
        <v>4.843</v>
      </c>
      <c r="D283" s="10">
        <v>4.2</v>
      </c>
    </row>
    <row r="284" spans="1:4" x14ac:dyDescent="0.25">
      <c r="A284" t="s">
        <v>291</v>
      </c>
      <c r="B284" s="2">
        <v>5.2</v>
      </c>
      <c r="C284" s="3">
        <v>5.391</v>
      </c>
      <c r="D284" s="10">
        <v>4.2</v>
      </c>
    </row>
    <row r="285" spans="1:4" x14ac:dyDescent="0.25">
      <c r="A285" t="s">
        <v>292</v>
      </c>
      <c r="B285" s="2">
        <v>5.0999999999999996</v>
      </c>
      <c r="C285" s="3">
        <v>5.2510000000000003</v>
      </c>
      <c r="D285" s="10">
        <v>4.2</v>
      </c>
    </row>
    <row r="286" spans="1:4" x14ac:dyDescent="0.25">
      <c r="A286" t="s">
        <v>293</v>
      </c>
      <c r="B286" s="2">
        <v>5</v>
      </c>
      <c r="C286" s="3">
        <v>4.7169999999999996</v>
      </c>
      <c r="D286" s="10">
        <v>4.2</v>
      </c>
    </row>
    <row r="287" spans="1:4" x14ac:dyDescent="0.25">
      <c r="A287" t="s">
        <v>294</v>
      </c>
      <c r="B287" s="2">
        <v>4.9000000000000004</v>
      </c>
      <c r="C287" s="3">
        <v>5.0469999999999997</v>
      </c>
      <c r="D287" s="10">
        <v>4.2</v>
      </c>
    </row>
    <row r="288" spans="1:4" x14ac:dyDescent="0.25">
      <c r="A288" t="s">
        <v>295</v>
      </c>
      <c r="B288" s="2">
        <v>5.0999999999999996</v>
      </c>
      <c r="C288" s="3">
        <v>5.0350000000000001</v>
      </c>
      <c r="D288" s="10">
        <v>4.2</v>
      </c>
    </row>
    <row r="289" spans="1:4" x14ac:dyDescent="0.25">
      <c r="A289" t="s">
        <v>296</v>
      </c>
      <c r="B289" s="2">
        <v>5.0999999999999996</v>
      </c>
      <c r="C289" s="3">
        <v>5.1260000000000003</v>
      </c>
      <c r="D289" s="10">
        <v>4.2</v>
      </c>
    </row>
    <row r="290" spans="1:4" x14ac:dyDescent="0.25">
      <c r="A290" t="s">
        <v>297</v>
      </c>
      <c r="B290" s="2">
        <v>5</v>
      </c>
      <c r="C290" s="3">
        <v>5.0170000000000003</v>
      </c>
      <c r="D290" s="10">
        <v>4.2</v>
      </c>
    </row>
    <row r="291" spans="1:4" x14ac:dyDescent="0.25">
      <c r="A291" t="s">
        <v>298</v>
      </c>
      <c r="B291" s="2">
        <v>5</v>
      </c>
      <c r="C291" s="3">
        <v>4.9790000000000001</v>
      </c>
      <c r="D291" s="10">
        <v>4.2</v>
      </c>
    </row>
    <row r="292" spans="1:4" x14ac:dyDescent="0.25">
      <c r="A292" t="s">
        <v>299</v>
      </c>
      <c r="B292" s="2">
        <v>4.9000000000000004</v>
      </c>
      <c r="C292" s="3">
        <v>4.8760000000000003</v>
      </c>
      <c r="D292" s="10">
        <v>4.5</v>
      </c>
    </row>
    <row r="293" spans="1:4" x14ac:dyDescent="0.25">
      <c r="A293" t="s">
        <v>300</v>
      </c>
      <c r="B293" s="2">
        <v>4.9000000000000004</v>
      </c>
      <c r="C293" s="3">
        <v>4.8780000000000001</v>
      </c>
      <c r="D293" s="10">
        <v>4.5</v>
      </c>
    </row>
    <row r="294" spans="1:4" x14ac:dyDescent="0.25">
      <c r="A294" t="s">
        <v>301</v>
      </c>
      <c r="B294" s="2">
        <v>4.8</v>
      </c>
      <c r="C294" s="3">
        <v>4.9130000000000003</v>
      </c>
      <c r="D294" s="10">
        <v>4.5</v>
      </c>
    </row>
    <row r="295" spans="1:4" x14ac:dyDescent="0.25">
      <c r="A295" t="s">
        <v>302</v>
      </c>
      <c r="B295" s="2">
        <v>4.8</v>
      </c>
      <c r="C295" s="3">
        <v>4.7229999999999999</v>
      </c>
      <c r="D295" s="10">
        <v>4.5</v>
      </c>
    </row>
    <row r="296" spans="1:4" x14ac:dyDescent="0.25">
      <c r="A296" t="s">
        <v>303</v>
      </c>
      <c r="B296" s="2">
        <v>4.8</v>
      </c>
      <c r="C296" s="3">
        <v>4.7859999999999996</v>
      </c>
      <c r="D296" s="10">
        <v>4.5</v>
      </c>
    </row>
    <row r="297" spans="1:4" x14ac:dyDescent="0.25">
      <c r="A297" t="s">
        <v>304</v>
      </c>
      <c r="B297" s="2">
        <v>4.8</v>
      </c>
      <c r="C297" s="3">
        <v>4.8650000000000002</v>
      </c>
      <c r="D297" s="10">
        <v>4.5</v>
      </c>
    </row>
    <row r="298" spans="1:4" x14ac:dyDescent="0.25">
      <c r="A298" t="s">
        <v>305</v>
      </c>
      <c r="B298" s="2">
        <v>4.8</v>
      </c>
      <c r="C298" s="3">
        <v>4.7939999999999996</v>
      </c>
      <c r="D298" s="10">
        <v>4.5</v>
      </c>
    </row>
    <row r="299" spans="1:4" x14ac:dyDescent="0.25">
      <c r="A299" t="s">
        <v>306</v>
      </c>
      <c r="B299" s="2">
        <v>4.8</v>
      </c>
      <c r="C299" s="3">
        <v>4.7370000000000001</v>
      </c>
      <c r="D299" s="10">
        <v>4.5</v>
      </c>
    </row>
    <row r="300" spans="1:4" x14ac:dyDescent="0.25">
      <c r="A300" t="s">
        <v>307</v>
      </c>
      <c r="B300" s="2">
        <v>4.8</v>
      </c>
      <c r="C300" s="3">
        <v>4.8650000000000002</v>
      </c>
      <c r="D300" s="10">
        <v>4.5</v>
      </c>
    </row>
    <row r="301" spans="1:4" x14ac:dyDescent="0.25">
      <c r="A301" t="s">
        <v>308</v>
      </c>
      <c r="B301" s="2">
        <v>4.7</v>
      </c>
      <c r="C301" s="3">
        <v>4.6970000000000001</v>
      </c>
      <c r="D301" s="10">
        <v>4.5</v>
      </c>
    </row>
    <row r="302" spans="1:4" x14ac:dyDescent="0.25">
      <c r="A302" t="s">
        <v>309</v>
      </c>
      <c r="B302" s="2">
        <v>4.7</v>
      </c>
      <c r="C302" s="3">
        <v>4.5449999999999999</v>
      </c>
      <c r="D302" s="10">
        <v>4.5</v>
      </c>
    </row>
    <row r="303" spans="1:4" x14ac:dyDescent="0.25">
      <c r="A303" t="s">
        <v>310</v>
      </c>
      <c r="B303" s="2">
        <v>4.7</v>
      </c>
      <c r="C303" s="3">
        <v>4.7850000000000001</v>
      </c>
      <c r="D303" s="10">
        <v>4.5</v>
      </c>
    </row>
    <row r="304" spans="1:4" x14ac:dyDescent="0.25">
      <c r="A304" t="s">
        <v>311</v>
      </c>
      <c r="B304" s="2">
        <v>4.7</v>
      </c>
      <c r="C304" s="3">
        <v>4.681</v>
      </c>
      <c r="D304" s="10">
        <v>4.8499999999999996</v>
      </c>
    </row>
    <row r="305" spans="1:4" x14ac:dyDescent="0.25">
      <c r="A305" t="s">
        <v>312</v>
      </c>
      <c r="B305" s="2">
        <v>4.7</v>
      </c>
      <c r="C305" s="3">
        <v>4.59</v>
      </c>
      <c r="D305" s="10">
        <v>4.8499999999999996</v>
      </c>
    </row>
    <row r="306" spans="1:4" x14ac:dyDescent="0.25">
      <c r="A306" t="s">
        <v>313</v>
      </c>
      <c r="B306" s="2">
        <v>4.7</v>
      </c>
      <c r="C306" s="3">
        <v>4.8929999999999998</v>
      </c>
      <c r="D306" s="10">
        <v>4.8499999999999996</v>
      </c>
    </row>
    <row r="307" spans="1:4" x14ac:dyDescent="0.25">
      <c r="A307" t="s">
        <v>314</v>
      </c>
      <c r="B307" s="2">
        <v>4.8</v>
      </c>
      <c r="C307" s="3">
        <v>4.718</v>
      </c>
      <c r="D307" s="10">
        <v>4.8499999999999996</v>
      </c>
    </row>
    <row r="308" spans="1:4" x14ac:dyDescent="0.25">
      <c r="A308" t="s">
        <v>315</v>
      </c>
      <c r="B308" s="2">
        <v>4.7</v>
      </c>
      <c r="C308" s="3">
        <v>4.7389999999999999</v>
      </c>
      <c r="D308" s="10">
        <v>4.8499999999999996</v>
      </c>
    </row>
    <row r="309" spans="1:4" x14ac:dyDescent="0.25">
      <c r="A309" t="s">
        <v>316</v>
      </c>
      <c r="B309" s="2">
        <v>4.7</v>
      </c>
      <c r="C309" s="3">
        <v>4.593</v>
      </c>
      <c r="D309" s="10">
        <v>4.8499999999999996</v>
      </c>
    </row>
    <row r="310" spans="1:4" x14ac:dyDescent="0.25">
      <c r="A310" t="s">
        <v>317</v>
      </c>
      <c r="B310" s="2">
        <v>4.8</v>
      </c>
      <c r="C310" s="3">
        <v>4.798</v>
      </c>
      <c r="D310" s="10">
        <v>4.8499999999999996</v>
      </c>
    </row>
    <row r="311" spans="1:4" x14ac:dyDescent="0.25">
      <c r="A311" t="s">
        <v>318</v>
      </c>
      <c r="B311" s="2">
        <v>4.8</v>
      </c>
      <c r="C311" s="3">
        <v>4.8600000000000003</v>
      </c>
      <c r="D311" s="10">
        <v>4.8499999999999996</v>
      </c>
    </row>
    <row r="312" spans="1:4" x14ac:dyDescent="0.25">
      <c r="A312" t="s">
        <v>319</v>
      </c>
      <c r="B312" s="2">
        <v>4.7</v>
      </c>
      <c r="C312" s="3">
        <v>4.5869999999999997</v>
      </c>
      <c r="D312" s="10">
        <v>4.8499999999999996</v>
      </c>
    </row>
    <row r="313" spans="1:4" x14ac:dyDescent="0.25">
      <c r="A313" t="s">
        <v>320</v>
      </c>
      <c r="B313" s="2">
        <v>4.7</v>
      </c>
      <c r="C313" s="3">
        <v>4.6760000000000002</v>
      </c>
      <c r="D313" s="10">
        <v>4.8499999999999996</v>
      </c>
    </row>
    <row r="314" spans="1:4" x14ac:dyDescent="0.25">
      <c r="A314" t="s">
        <v>321</v>
      </c>
      <c r="B314" s="2">
        <v>4.7</v>
      </c>
      <c r="C314" s="3">
        <v>4.7830000000000004</v>
      </c>
      <c r="D314" s="10">
        <v>4.8499999999999996</v>
      </c>
    </row>
    <row r="315" spans="1:4" x14ac:dyDescent="0.25">
      <c r="A315" t="s">
        <v>322</v>
      </c>
      <c r="B315" s="2">
        <v>4.9000000000000004</v>
      </c>
      <c r="C315" s="3">
        <v>4.7220000000000004</v>
      </c>
      <c r="D315" s="10">
        <v>4.8499999999999996</v>
      </c>
    </row>
    <row r="316" spans="1:4" x14ac:dyDescent="0.25">
      <c r="A316" t="s">
        <v>323</v>
      </c>
      <c r="B316" s="2">
        <v>5.0999999999999996</v>
      </c>
      <c r="C316" s="3">
        <v>5.3120000000000003</v>
      </c>
      <c r="D316" s="10">
        <v>5.05</v>
      </c>
    </row>
    <row r="317" spans="1:4" x14ac:dyDescent="0.25">
      <c r="A317" t="s">
        <v>324</v>
      </c>
      <c r="B317" s="2">
        <v>5.0999999999999996</v>
      </c>
      <c r="C317" s="3">
        <v>5.1219999999999999</v>
      </c>
      <c r="D317" s="10">
        <v>5.05</v>
      </c>
    </row>
    <row r="318" spans="1:4" x14ac:dyDescent="0.25">
      <c r="A318" t="s">
        <v>325</v>
      </c>
      <c r="B318" s="2">
        <v>5.0999999999999996</v>
      </c>
      <c r="C318" s="3">
        <v>4.9939999999999998</v>
      </c>
      <c r="D318" s="10">
        <v>5.05</v>
      </c>
    </row>
    <row r="319" spans="1:4" x14ac:dyDescent="0.25">
      <c r="A319" t="s">
        <v>326</v>
      </c>
      <c r="B319" s="2">
        <v>5.2</v>
      </c>
      <c r="C319" s="3">
        <v>5.1660000000000004</v>
      </c>
      <c r="D319" s="10">
        <v>5.05</v>
      </c>
    </row>
    <row r="320" spans="1:4" x14ac:dyDescent="0.25">
      <c r="A320" t="s">
        <v>327</v>
      </c>
      <c r="B320" s="2">
        <v>5.2</v>
      </c>
      <c r="C320" s="3">
        <v>5.37</v>
      </c>
      <c r="D320" s="10">
        <v>5.05</v>
      </c>
    </row>
    <row r="321" spans="1:4" x14ac:dyDescent="0.25">
      <c r="A321" t="s">
        <v>328</v>
      </c>
      <c r="B321" s="2">
        <v>5.3</v>
      </c>
      <c r="C321" s="3">
        <v>5.1580000000000004</v>
      </c>
      <c r="D321" s="10">
        <v>5.05</v>
      </c>
    </row>
    <row r="322" spans="1:4" x14ac:dyDescent="0.25">
      <c r="A322" t="s">
        <v>329</v>
      </c>
      <c r="B322" s="2">
        <v>5.4</v>
      </c>
      <c r="C322" s="3">
        <v>5.4349999999999996</v>
      </c>
      <c r="D322" s="10">
        <v>5.05</v>
      </c>
    </row>
    <row r="323" spans="1:4" x14ac:dyDescent="0.25">
      <c r="A323" t="s">
        <v>330</v>
      </c>
      <c r="B323" s="2">
        <v>5.5</v>
      </c>
      <c r="C323" s="3">
        <v>5.6509999999999998</v>
      </c>
      <c r="D323" s="10">
        <v>5.05</v>
      </c>
    </row>
    <row r="324" spans="1:4" x14ac:dyDescent="0.25">
      <c r="A324" t="s">
        <v>331</v>
      </c>
      <c r="B324" s="2">
        <v>5.5</v>
      </c>
      <c r="C324" s="3">
        <v>5.3239999999999998</v>
      </c>
      <c r="D324" s="10">
        <v>5.05</v>
      </c>
    </row>
    <row r="325" spans="1:4" x14ac:dyDescent="0.25">
      <c r="A325" t="s">
        <v>332</v>
      </c>
      <c r="B325" s="2">
        <v>5.5</v>
      </c>
      <c r="C325" s="3">
        <v>5.5490000000000004</v>
      </c>
      <c r="D325" s="10">
        <v>5.05</v>
      </c>
    </row>
    <row r="326" spans="1:4" x14ac:dyDescent="0.25">
      <c r="A326" t="s">
        <v>333</v>
      </c>
      <c r="B326" s="2">
        <v>5.5</v>
      </c>
      <c r="C326" s="3">
        <v>5.5350000000000001</v>
      </c>
      <c r="D326" s="10">
        <v>5.05</v>
      </c>
    </row>
    <row r="327" spans="1:4" x14ac:dyDescent="0.25">
      <c r="A327" t="s">
        <v>334</v>
      </c>
      <c r="B327" s="2">
        <v>5.5</v>
      </c>
      <c r="C327" s="3">
        <v>5.359</v>
      </c>
      <c r="D327" s="10">
        <v>5.05</v>
      </c>
    </row>
    <row r="328" spans="1:4" x14ac:dyDescent="0.25">
      <c r="A328" t="s">
        <v>335</v>
      </c>
      <c r="B328" s="2">
        <v>5.4</v>
      </c>
      <c r="C328" s="3">
        <v>5.53</v>
      </c>
      <c r="D328" s="10">
        <v>5.35</v>
      </c>
    </row>
    <row r="329" spans="1:4" x14ac:dyDescent="0.25">
      <c r="A329" t="s">
        <v>336</v>
      </c>
      <c r="B329" s="2">
        <v>5.5</v>
      </c>
      <c r="C329" s="3">
        <v>5.3890000000000002</v>
      </c>
      <c r="D329" s="10">
        <v>5.35</v>
      </c>
    </row>
    <row r="330" spans="1:4" x14ac:dyDescent="0.25">
      <c r="A330" t="s">
        <v>337</v>
      </c>
      <c r="B330" s="2">
        <v>5.5</v>
      </c>
      <c r="C330" s="3">
        <v>5.5730000000000004</v>
      </c>
      <c r="D330" s="10">
        <v>5.35</v>
      </c>
    </row>
    <row r="331" spans="1:4" x14ac:dyDescent="0.25">
      <c r="A331" t="s">
        <v>338</v>
      </c>
      <c r="B331" s="2">
        <v>5.5</v>
      </c>
      <c r="C331" s="3">
        <v>5.5549999999999997</v>
      </c>
      <c r="D331" s="10">
        <v>5.35</v>
      </c>
    </row>
    <row r="332" spans="1:4" x14ac:dyDescent="0.25">
      <c r="A332" t="s">
        <v>339</v>
      </c>
      <c r="B332" s="2">
        <v>5.5</v>
      </c>
      <c r="C332" s="3">
        <v>5.4880000000000004</v>
      </c>
      <c r="D332" s="10">
        <v>5.35</v>
      </c>
    </row>
    <row r="333" spans="1:4" x14ac:dyDescent="0.25">
      <c r="A333" t="s">
        <v>340</v>
      </c>
      <c r="B333" s="2">
        <v>5.5</v>
      </c>
      <c r="C333" s="3">
        <v>5.4880000000000004</v>
      </c>
      <c r="D333" s="10">
        <v>5.35</v>
      </c>
    </row>
    <row r="334" spans="1:4" x14ac:dyDescent="0.25">
      <c r="A334" t="s">
        <v>341</v>
      </c>
      <c r="B334" s="2">
        <v>5.4</v>
      </c>
      <c r="C334" s="3">
        <v>5.4210000000000003</v>
      </c>
      <c r="D334" s="10">
        <v>5.35</v>
      </c>
    </row>
    <row r="335" spans="1:4" x14ac:dyDescent="0.25">
      <c r="A335" t="s">
        <v>342</v>
      </c>
      <c r="B335" s="2">
        <v>5.4</v>
      </c>
      <c r="C335" s="3">
        <v>5.2919999999999998</v>
      </c>
      <c r="D335" s="10">
        <v>5.35</v>
      </c>
    </row>
    <row r="336" spans="1:4" x14ac:dyDescent="0.25">
      <c r="A336" t="s">
        <v>343</v>
      </c>
      <c r="B336" s="2">
        <v>5.3</v>
      </c>
      <c r="C336" s="3">
        <v>5.3250000000000002</v>
      </c>
      <c r="D336" s="10">
        <v>5.35</v>
      </c>
    </row>
    <row r="337" spans="1:4" x14ac:dyDescent="0.25">
      <c r="A337" t="s">
        <v>344</v>
      </c>
      <c r="B337" s="2">
        <v>5.3</v>
      </c>
      <c r="C337" s="3">
        <v>5.2809999999999997</v>
      </c>
      <c r="D337" s="10">
        <v>5.35</v>
      </c>
    </row>
    <row r="338" spans="1:4" x14ac:dyDescent="0.25">
      <c r="A338" t="s">
        <v>345</v>
      </c>
      <c r="B338" s="2">
        <v>5.3</v>
      </c>
      <c r="C338" s="3">
        <v>5.3319999999999999</v>
      </c>
      <c r="D338" s="10">
        <v>5.35</v>
      </c>
    </row>
    <row r="339" spans="1:4" x14ac:dyDescent="0.25">
      <c r="A339" t="s">
        <v>346</v>
      </c>
      <c r="B339" s="2">
        <v>5.2</v>
      </c>
      <c r="C339" s="3">
        <v>5.306</v>
      </c>
      <c r="D339" s="10">
        <v>5.35</v>
      </c>
    </row>
    <row r="340" spans="1:4" x14ac:dyDescent="0.25">
      <c r="A340" t="s">
        <v>347</v>
      </c>
      <c r="B340" s="2">
        <v>5.2</v>
      </c>
      <c r="C340" s="3">
        <v>5.0620000000000003</v>
      </c>
      <c r="D340" s="10">
        <v>5.52</v>
      </c>
    </row>
    <row r="341" spans="1:4" x14ac:dyDescent="0.25">
      <c r="A341" t="s">
        <v>348</v>
      </c>
      <c r="B341" s="2">
        <v>5.2</v>
      </c>
      <c r="C341" s="3">
        <v>5.3769999999999998</v>
      </c>
      <c r="D341" s="10">
        <v>5.52</v>
      </c>
    </row>
    <row r="342" spans="1:4" x14ac:dyDescent="0.25">
      <c r="A342" t="s">
        <v>349</v>
      </c>
      <c r="B342" s="2">
        <v>5.2</v>
      </c>
      <c r="C342" s="3">
        <v>5.0229999999999997</v>
      </c>
      <c r="D342" s="10">
        <v>5.52</v>
      </c>
    </row>
    <row r="343" spans="1:4" x14ac:dyDescent="0.25">
      <c r="A343" t="s">
        <v>350</v>
      </c>
      <c r="B343" s="2">
        <v>5.2</v>
      </c>
      <c r="C343" s="3">
        <v>5.1189999999999998</v>
      </c>
      <c r="D343" s="10">
        <v>5.52</v>
      </c>
    </row>
    <row r="344" spans="1:4" x14ac:dyDescent="0.25">
      <c r="A344" t="s">
        <v>351</v>
      </c>
      <c r="B344" s="2">
        <v>5.2</v>
      </c>
      <c r="C344" s="3">
        <v>5.4189999999999996</v>
      </c>
      <c r="D344" s="10">
        <v>5.52</v>
      </c>
    </row>
    <row r="345" spans="1:4" x14ac:dyDescent="0.25">
      <c r="A345" t="s">
        <v>352</v>
      </c>
      <c r="B345" s="2">
        <v>5.3</v>
      </c>
      <c r="C345" s="3">
        <v>5.0010000000000003</v>
      </c>
      <c r="D345" s="10">
        <v>5.52</v>
      </c>
    </row>
    <row r="346" spans="1:4" x14ac:dyDescent="0.25">
      <c r="A346" t="s">
        <v>353</v>
      </c>
      <c r="B346" s="2">
        <v>5.2</v>
      </c>
      <c r="C346" s="3">
        <v>5.516</v>
      </c>
      <c r="D346" s="10">
        <v>5.52</v>
      </c>
    </row>
    <row r="347" spans="1:4" x14ac:dyDescent="0.25">
      <c r="A347" t="s">
        <v>354</v>
      </c>
      <c r="B347" s="2">
        <v>5.4</v>
      </c>
      <c r="C347" s="3">
        <v>5.0259999999999998</v>
      </c>
      <c r="D347" s="10">
        <v>5.52</v>
      </c>
    </row>
    <row r="348" spans="1:4" x14ac:dyDescent="0.25">
      <c r="A348" t="s">
        <v>355</v>
      </c>
      <c r="B348" s="2">
        <v>5.5</v>
      </c>
      <c r="C348" s="3">
        <v>5.5</v>
      </c>
      <c r="D348" s="10">
        <v>5.52</v>
      </c>
    </row>
    <row r="349" spans="1:4" x14ac:dyDescent="0.25">
      <c r="A349" t="s">
        <v>356</v>
      </c>
      <c r="B349" s="2">
        <v>5.7</v>
      </c>
      <c r="C349" s="3">
        <v>5.9420000000000002</v>
      </c>
      <c r="D349" s="10">
        <v>5.52</v>
      </c>
    </row>
    <row r="350" spans="1:4" x14ac:dyDescent="0.25">
      <c r="A350" t="s">
        <v>357</v>
      </c>
      <c r="B350" s="2">
        <v>5.9</v>
      </c>
      <c r="C350" s="3">
        <v>5.6760000000000002</v>
      </c>
      <c r="D350" s="10">
        <v>5.52</v>
      </c>
    </row>
    <row r="351" spans="1:4" x14ac:dyDescent="0.25">
      <c r="A351" t="s">
        <v>358</v>
      </c>
      <c r="B351" s="2">
        <v>6</v>
      </c>
      <c r="C351" s="3">
        <v>5.9429999999999996</v>
      </c>
      <c r="D351" s="10">
        <v>5.52</v>
      </c>
    </row>
    <row r="352" spans="1:4" x14ac:dyDescent="0.25">
      <c r="A352" t="s">
        <v>359</v>
      </c>
      <c r="B352" s="2">
        <v>6.2</v>
      </c>
      <c r="C352" s="3">
        <v>6.3040000000000003</v>
      </c>
      <c r="D352" s="10">
        <v>5.73</v>
      </c>
    </row>
    <row r="353" spans="1:4" x14ac:dyDescent="0.25">
      <c r="A353" t="s">
        <v>360</v>
      </c>
      <c r="B353" s="2">
        <v>6.4</v>
      </c>
      <c r="C353" s="3">
        <v>6.2190000000000003</v>
      </c>
      <c r="D353" s="10">
        <v>5.73</v>
      </c>
    </row>
    <row r="354" spans="1:4" x14ac:dyDescent="0.25">
      <c r="A354" t="s">
        <v>361</v>
      </c>
      <c r="B354" s="2">
        <v>6.5</v>
      </c>
      <c r="C354" s="3">
        <v>6.5380000000000003</v>
      </c>
      <c r="D354" s="10">
        <v>5.73</v>
      </c>
    </row>
    <row r="355" spans="1:4" x14ac:dyDescent="0.25">
      <c r="A355" t="s">
        <v>362</v>
      </c>
      <c r="B355" s="2">
        <v>6.7</v>
      </c>
      <c r="C355" s="3">
        <v>6.7960000000000003</v>
      </c>
      <c r="D355" s="10">
        <v>5.73</v>
      </c>
    </row>
    <row r="356" spans="1:4" x14ac:dyDescent="0.25">
      <c r="A356" t="s">
        <v>363</v>
      </c>
      <c r="B356" s="2">
        <v>7.1</v>
      </c>
      <c r="C356" s="3">
        <v>6.8760000000000003</v>
      </c>
      <c r="D356" s="10">
        <v>5.73</v>
      </c>
    </row>
    <row r="357" spans="1:4" x14ac:dyDescent="0.25">
      <c r="A357" t="s">
        <v>364</v>
      </c>
      <c r="B357" s="2">
        <v>7.3</v>
      </c>
      <c r="C357" s="3">
        <v>7.5490000000000004</v>
      </c>
      <c r="D357" s="10">
        <v>5.73</v>
      </c>
    </row>
    <row r="358" spans="1:4" x14ac:dyDescent="0.25">
      <c r="A358" t="s">
        <v>365</v>
      </c>
      <c r="B358" s="2">
        <v>7.6</v>
      </c>
      <c r="C358" s="3">
        <v>7.4089999999999998</v>
      </c>
      <c r="D358" s="10">
        <v>5.73</v>
      </c>
    </row>
    <row r="359" spans="1:4" x14ac:dyDescent="0.25">
      <c r="A359" t="s">
        <v>366</v>
      </c>
      <c r="B359" s="2">
        <v>7.8</v>
      </c>
      <c r="C359" s="3">
        <v>7.798</v>
      </c>
      <c r="D359" s="10">
        <v>5.73</v>
      </c>
    </row>
    <row r="360" spans="1:4" x14ac:dyDescent="0.25">
      <c r="A360" t="s">
        <v>367</v>
      </c>
      <c r="B360" s="2">
        <v>7.9</v>
      </c>
      <c r="C360" s="3">
        <v>8.0879999999999992</v>
      </c>
      <c r="D360" s="10">
        <v>5.73</v>
      </c>
    </row>
    <row r="361" spans="1:4" x14ac:dyDescent="0.25">
      <c r="A361" t="s">
        <v>368</v>
      </c>
      <c r="B361" s="2">
        <v>7.9</v>
      </c>
      <c r="C361" s="3">
        <v>7.7279999999999998</v>
      </c>
      <c r="D361" s="10">
        <v>5.73</v>
      </c>
    </row>
    <row r="362" spans="1:4" x14ac:dyDescent="0.25">
      <c r="A362" t="s">
        <v>369</v>
      </c>
      <c r="B362" s="2">
        <v>7.8</v>
      </c>
      <c r="C362" s="3">
        <v>7.79</v>
      </c>
      <c r="D362" s="10">
        <v>5.73</v>
      </c>
    </row>
    <row r="363" spans="1:4" x14ac:dyDescent="0.25">
      <c r="A363" t="s">
        <v>370</v>
      </c>
      <c r="B363" s="2">
        <v>7.9</v>
      </c>
      <c r="C363" s="3">
        <v>8.0169999999999995</v>
      </c>
      <c r="D363" s="10">
        <v>5.73</v>
      </c>
    </row>
    <row r="364" spans="1:4" x14ac:dyDescent="0.25">
      <c r="A364" t="s">
        <v>371</v>
      </c>
      <c r="B364" s="2">
        <v>7.8</v>
      </c>
      <c r="C364" s="3">
        <v>7.806</v>
      </c>
      <c r="D364" s="10">
        <v>5.8</v>
      </c>
    </row>
    <row r="365" spans="1:4" x14ac:dyDescent="0.25">
      <c r="A365" t="s">
        <v>372</v>
      </c>
      <c r="B365" s="2">
        <v>7.8</v>
      </c>
      <c r="C365" s="3">
        <v>7.5270000000000001</v>
      </c>
      <c r="D365" s="10">
        <v>5.8</v>
      </c>
    </row>
    <row r="366" spans="1:4" x14ac:dyDescent="0.25">
      <c r="A366" t="s">
        <v>373</v>
      </c>
      <c r="B366" s="2">
        <v>7.7</v>
      </c>
      <c r="C366" s="3">
        <v>7.9660000000000002</v>
      </c>
      <c r="D366" s="10">
        <v>5.8</v>
      </c>
    </row>
    <row r="367" spans="1:4" x14ac:dyDescent="0.25">
      <c r="A367" t="s">
        <v>374</v>
      </c>
      <c r="B367" s="2">
        <v>7.9</v>
      </c>
      <c r="C367" s="3">
        <v>7.702</v>
      </c>
      <c r="D367" s="10">
        <v>5.8</v>
      </c>
    </row>
    <row r="368" spans="1:4" x14ac:dyDescent="0.25">
      <c r="A368" t="s">
        <v>375</v>
      </c>
      <c r="B368" s="2">
        <v>8</v>
      </c>
      <c r="C368" s="3">
        <v>8.1059999999999999</v>
      </c>
      <c r="D368" s="10">
        <v>5.8</v>
      </c>
    </row>
    <row r="369" spans="1:4" x14ac:dyDescent="0.25">
      <c r="A369" t="s">
        <v>376</v>
      </c>
      <c r="B369" s="2">
        <v>8</v>
      </c>
      <c r="C369" s="3">
        <v>8.1929999999999996</v>
      </c>
      <c r="D369" s="10">
        <v>5.8</v>
      </c>
    </row>
    <row r="370" spans="1:4" x14ac:dyDescent="0.25">
      <c r="A370" t="s">
        <v>377</v>
      </c>
      <c r="B370" s="2">
        <v>7.9</v>
      </c>
      <c r="C370" s="3">
        <v>7.5640000000000001</v>
      </c>
      <c r="D370" s="10">
        <v>5.8</v>
      </c>
    </row>
    <row r="371" spans="1:4" x14ac:dyDescent="0.25">
      <c r="A371" t="s">
        <v>378</v>
      </c>
      <c r="B371" s="2">
        <v>7.9</v>
      </c>
      <c r="C371" s="3">
        <v>8.0329999999999995</v>
      </c>
      <c r="D371" s="10">
        <v>5.8</v>
      </c>
    </row>
    <row r="372" spans="1:4" x14ac:dyDescent="0.25">
      <c r="A372" t="s">
        <v>379</v>
      </c>
      <c r="B372" s="2">
        <v>7.8</v>
      </c>
      <c r="C372" s="3">
        <v>7.93</v>
      </c>
      <c r="D372" s="10">
        <v>5.8</v>
      </c>
    </row>
    <row r="373" spans="1:4" x14ac:dyDescent="0.25">
      <c r="A373" t="s">
        <v>380</v>
      </c>
      <c r="B373" s="2">
        <v>7.8</v>
      </c>
      <c r="C373" s="3">
        <v>7.5069999999999997</v>
      </c>
      <c r="D373" s="10">
        <v>5.8</v>
      </c>
    </row>
    <row r="374" spans="1:4" x14ac:dyDescent="0.25">
      <c r="A374" t="s">
        <v>381</v>
      </c>
      <c r="B374" s="2">
        <v>7.8</v>
      </c>
      <c r="C374" s="3">
        <v>7.9279999999999999</v>
      </c>
      <c r="D374" s="10">
        <v>5.8</v>
      </c>
    </row>
    <row r="375" spans="1:4" x14ac:dyDescent="0.25">
      <c r="A375" t="s">
        <v>382</v>
      </c>
      <c r="B375" s="2">
        <v>7.9</v>
      </c>
      <c r="C375" s="3">
        <v>7.8109999999999999</v>
      </c>
      <c r="D375" s="10">
        <v>5.8</v>
      </c>
    </row>
    <row r="376" spans="1:4" x14ac:dyDescent="0.25">
      <c r="A376" t="s">
        <v>383</v>
      </c>
      <c r="B376" s="2">
        <v>7.9</v>
      </c>
      <c r="C376" s="3">
        <v>7.9580000000000002</v>
      </c>
      <c r="D376" s="10">
        <v>5.93</v>
      </c>
    </row>
    <row r="377" spans="1:4" x14ac:dyDescent="0.25">
      <c r="A377" t="s">
        <v>384</v>
      </c>
      <c r="B377" s="2">
        <v>7.9</v>
      </c>
      <c r="C377" s="3">
        <v>7.851</v>
      </c>
      <c r="D377" s="10">
        <v>5.93</v>
      </c>
    </row>
    <row r="378" spans="1:4" x14ac:dyDescent="0.25">
      <c r="A378" t="s">
        <v>385</v>
      </c>
      <c r="B378" s="2">
        <v>7.9</v>
      </c>
      <c r="C378" s="3">
        <v>7.774</v>
      </c>
      <c r="D378" s="10">
        <v>5.93</v>
      </c>
    </row>
    <row r="379" spans="1:4" x14ac:dyDescent="0.25">
      <c r="A379" t="s">
        <v>386</v>
      </c>
      <c r="B379" s="2">
        <v>7.8</v>
      </c>
      <c r="C379" s="3">
        <v>8.1039999999999992</v>
      </c>
      <c r="D379" s="10">
        <v>5.93</v>
      </c>
    </row>
    <row r="380" spans="1:4" x14ac:dyDescent="0.25">
      <c r="A380" t="s">
        <v>387</v>
      </c>
      <c r="B380" s="2">
        <v>7.8</v>
      </c>
      <c r="C380" s="3">
        <v>7.5229999999999997</v>
      </c>
      <c r="D380" s="10">
        <v>5.93</v>
      </c>
    </row>
    <row r="381" spans="1:4" x14ac:dyDescent="0.25">
      <c r="A381" t="s">
        <v>388</v>
      </c>
      <c r="B381" s="2">
        <v>7.7</v>
      </c>
      <c r="C381" s="3">
        <v>7.7050000000000001</v>
      </c>
      <c r="D381" s="10">
        <v>5.93</v>
      </c>
    </row>
    <row r="382" spans="1:4" x14ac:dyDescent="0.25">
      <c r="A382" t="s">
        <v>389</v>
      </c>
      <c r="B382" s="2">
        <v>7.8</v>
      </c>
      <c r="C382" s="3">
        <v>7.9260000000000002</v>
      </c>
      <c r="D382" s="10">
        <v>5.93</v>
      </c>
    </row>
    <row r="383" spans="1:4" x14ac:dyDescent="0.25">
      <c r="A383" t="s">
        <v>390</v>
      </c>
      <c r="B383" s="2">
        <v>7.9</v>
      </c>
      <c r="C383" s="3">
        <v>7.8239999999999998</v>
      </c>
      <c r="D383" s="10">
        <v>5.93</v>
      </c>
    </row>
    <row r="384" spans="1:4" x14ac:dyDescent="0.25">
      <c r="A384" t="s">
        <v>391</v>
      </c>
      <c r="B384" s="2">
        <v>8</v>
      </c>
      <c r="C384" s="3">
        <v>8.077</v>
      </c>
      <c r="D384" s="10">
        <v>5.93</v>
      </c>
    </row>
    <row r="385" spans="1:4" x14ac:dyDescent="0.25">
      <c r="A385" t="s">
        <v>392</v>
      </c>
      <c r="B385" s="2">
        <v>8.1999999999999993</v>
      </c>
      <c r="C385" s="3">
        <v>8.1430000000000007</v>
      </c>
      <c r="D385" s="10">
        <v>5.93</v>
      </c>
    </row>
    <row r="386" spans="1:4" x14ac:dyDescent="0.25">
      <c r="A386" t="s">
        <v>393</v>
      </c>
      <c r="B386" s="2">
        <v>8.3000000000000007</v>
      </c>
      <c r="C386" s="3">
        <v>8.3070000000000004</v>
      </c>
      <c r="D386" s="10">
        <v>5.93</v>
      </c>
    </row>
    <row r="387" spans="1:4" x14ac:dyDescent="0.25">
      <c r="A387" t="s">
        <v>394</v>
      </c>
      <c r="B387" s="2">
        <v>8.4</v>
      </c>
      <c r="C387" s="3">
        <v>8.5519999999999996</v>
      </c>
      <c r="D387" s="10">
        <v>5.93</v>
      </c>
    </row>
    <row r="388" spans="1:4" x14ac:dyDescent="0.25">
      <c r="A388" t="s">
        <v>395</v>
      </c>
      <c r="B388" s="2">
        <v>8.5</v>
      </c>
      <c r="C388" s="3">
        <v>8.2460000000000004</v>
      </c>
      <c r="D388" s="10">
        <v>6.08</v>
      </c>
    </row>
    <row r="389" spans="1:4" x14ac:dyDescent="0.25">
      <c r="A389" t="s">
        <v>396</v>
      </c>
      <c r="B389" s="2">
        <v>8.4</v>
      </c>
      <c r="C389" s="3">
        <v>8.5830000000000002</v>
      </c>
      <c r="D389" s="10">
        <v>6.08</v>
      </c>
    </row>
    <row r="390" spans="1:4" x14ac:dyDescent="0.25">
      <c r="A390" t="s">
        <v>397</v>
      </c>
      <c r="B390" s="2">
        <v>8.3000000000000007</v>
      </c>
      <c r="C390" s="3">
        <v>8.35</v>
      </c>
      <c r="D390" s="10">
        <v>6.08</v>
      </c>
    </row>
    <row r="391" spans="1:4" x14ac:dyDescent="0.25">
      <c r="A391" t="s">
        <v>398</v>
      </c>
      <c r="B391" s="2">
        <v>8.3000000000000007</v>
      </c>
      <c r="C391" s="3">
        <v>8.0960000000000001</v>
      </c>
      <c r="D391" s="10">
        <v>6.08</v>
      </c>
    </row>
    <row r="392" spans="1:4" x14ac:dyDescent="0.25">
      <c r="A392" t="s">
        <v>399</v>
      </c>
      <c r="B392" s="2">
        <v>8.1999999999999993</v>
      </c>
      <c r="C392" s="3">
        <v>8.4009999999999998</v>
      </c>
      <c r="D392" s="10">
        <v>6.08</v>
      </c>
    </row>
    <row r="393" spans="1:4" x14ac:dyDescent="0.25">
      <c r="A393" t="s">
        <v>400</v>
      </c>
      <c r="B393" s="2">
        <v>8.1999999999999993</v>
      </c>
      <c r="C393" s="3">
        <v>8.1199999999999992</v>
      </c>
      <c r="D393" s="10">
        <v>6.08</v>
      </c>
    </row>
    <row r="394" spans="1:4" x14ac:dyDescent="0.25">
      <c r="A394" t="s">
        <v>401</v>
      </c>
      <c r="B394" s="2">
        <v>8.1</v>
      </c>
      <c r="C394" s="3">
        <v>7.9649999999999999</v>
      </c>
      <c r="D394" s="10">
        <v>6.08</v>
      </c>
    </row>
    <row r="395" spans="1:4" x14ac:dyDescent="0.25">
      <c r="A395" t="s">
        <v>402</v>
      </c>
      <c r="B395" s="2">
        <v>8</v>
      </c>
      <c r="C395" s="3">
        <v>8.1370000000000005</v>
      </c>
      <c r="D395" s="10">
        <v>6.08</v>
      </c>
    </row>
    <row r="396" spans="1:4" x14ac:dyDescent="0.25">
      <c r="A396" t="s">
        <v>403</v>
      </c>
      <c r="B396" s="2">
        <v>8</v>
      </c>
      <c r="C396" s="3">
        <v>7.8490000000000002</v>
      </c>
      <c r="D396" s="10">
        <v>6.08</v>
      </c>
    </row>
    <row r="397" spans="1:4" x14ac:dyDescent="0.25">
      <c r="A397" t="s">
        <v>404</v>
      </c>
      <c r="B397" s="2">
        <v>7.9</v>
      </c>
      <c r="C397" s="3">
        <v>8.0879999999999992</v>
      </c>
      <c r="D397" s="10">
        <v>6.08</v>
      </c>
    </row>
    <row r="398" spans="1:4" x14ac:dyDescent="0.25">
      <c r="A398" t="s">
        <v>405</v>
      </c>
      <c r="B398" s="2">
        <v>7.8</v>
      </c>
      <c r="C398" s="3">
        <v>7.7089999999999996</v>
      </c>
      <c r="D398" s="10">
        <v>6.08</v>
      </c>
    </row>
    <row r="399" spans="1:4" x14ac:dyDescent="0.25">
      <c r="A399" t="s">
        <v>406</v>
      </c>
      <c r="B399" s="2">
        <v>7.8</v>
      </c>
      <c r="C399" s="3">
        <v>7.7480000000000002</v>
      </c>
      <c r="D399" s="10">
        <v>6.08</v>
      </c>
    </row>
    <row r="400" spans="1:4" x14ac:dyDescent="0.25">
      <c r="A400" t="s">
        <v>407</v>
      </c>
      <c r="B400" s="2">
        <v>7.8</v>
      </c>
      <c r="C400" s="3">
        <v>8.0649999999999995</v>
      </c>
      <c r="D400" s="10">
        <v>6.19</v>
      </c>
    </row>
    <row r="401" spans="1:4" x14ac:dyDescent="0.25">
      <c r="A401" t="s">
        <v>408</v>
      </c>
      <c r="B401" s="2">
        <v>7.8</v>
      </c>
      <c r="C401" s="3">
        <v>7.6230000000000002</v>
      </c>
      <c r="D401" s="10">
        <v>6.19</v>
      </c>
    </row>
    <row r="402" spans="1:4" x14ac:dyDescent="0.25">
      <c r="A402" t="s">
        <v>409</v>
      </c>
      <c r="B402" s="2">
        <v>7.8</v>
      </c>
      <c r="C402" s="3">
        <v>7.7140000000000004</v>
      </c>
      <c r="D402" s="10">
        <v>6.19</v>
      </c>
    </row>
    <row r="403" spans="1:4" x14ac:dyDescent="0.25">
      <c r="A403" t="s">
        <v>410</v>
      </c>
      <c r="B403" s="2">
        <v>8</v>
      </c>
      <c r="C403" s="3">
        <v>8.1050000000000004</v>
      </c>
      <c r="D403" s="10">
        <v>6.19</v>
      </c>
    </row>
    <row r="404" spans="1:4" x14ac:dyDescent="0.25">
      <c r="A404" t="s">
        <v>411</v>
      </c>
      <c r="B404" s="2">
        <v>7.8</v>
      </c>
      <c r="C404" s="3">
        <v>8.0820000000000007</v>
      </c>
      <c r="D404" s="10">
        <v>6.19</v>
      </c>
    </row>
    <row r="405" spans="1:4" x14ac:dyDescent="0.25">
      <c r="A405" t="s">
        <v>412</v>
      </c>
      <c r="B405" s="2">
        <v>7.8</v>
      </c>
      <c r="C405" s="3">
        <v>7.3</v>
      </c>
      <c r="D405" s="10">
        <v>6.19</v>
      </c>
    </row>
    <row r="406" spans="1:4" x14ac:dyDescent="0.25">
      <c r="A406" t="s">
        <v>413</v>
      </c>
      <c r="B406" s="2">
        <v>7.7</v>
      </c>
      <c r="C406" s="3">
        <v>7.9660000000000002</v>
      </c>
      <c r="D406" s="10">
        <v>6.19</v>
      </c>
    </row>
    <row r="407" spans="1:4" x14ac:dyDescent="0.25">
      <c r="A407" t="s">
        <v>414</v>
      </c>
      <c r="B407" s="2">
        <v>7.7</v>
      </c>
      <c r="C407" s="3">
        <v>7.9880000000000004</v>
      </c>
      <c r="D407" s="10">
        <v>6.19</v>
      </c>
    </row>
    <row r="408" spans="1:4" x14ac:dyDescent="0.25">
      <c r="A408" t="s">
        <v>415</v>
      </c>
      <c r="B408" s="2">
        <v>7.7</v>
      </c>
      <c r="C408" s="3">
        <v>7.2450000000000001</v>
      </c>
      <c r="D408" s="10">
        <v>6.19</v>
      </c>
    </row>
    <row r="409" spans="1:4" x14ac:dyDescent="0.25">
      <c r="A409" t="s">
        <v>416</v>
      </c>
      <c r="B409" s="2">
        <v>7.7</v>
      </c>
      <c r="C409" s="3">
        <v>7.7469999999999999</v>
      </c>
      <c r="D409" s="10">
        <v>6.19</v>
      </c>
    </row>
    <row r="410" spans="1:4" x14ac:dyDescent="0.25">
      <c r="A410" t="s">
        <v>417</v>
      </c>
      <c r="B410" s="2">
        <v>7.6</v>
      </c>
      <c r="C410" s="3">
        <v>8.09</v>
      </c>
      <c r="D410" s="10">
        <v>6.19</v>
      </c>
    </row>
    <row r="411" spans="1:4" x14ac:dyDescent="0.25">
      <c r="A411" t="s">
        <v>418</v>
      </c>
      <c r="B411" s="2">
        <v>7.4</v>
      </c>
      <c r="C411" s="3">
        <v>6.9720000000000004</v>
      </c>
      <c r="D411" s="10">
        <v>6.19</v>
      </c>
    </row>
    <row r="412" spans="1:4" x14ac:dyDescent="0.25">
      <c r="A412" t="s">
        <v>419</v>
      </c>
      <c r="B412" s="2">
        <v>7.2</v>
      </c>
      <c r="C412" s="3">
        <v>7.0060000000000002</v>
      </c>
      <c r="D412" s="10">
        <v>6.31</v>
      </c>
    </row>
    <row r="413" spans="1:4" x14ac:dyDescent="0.25">
      <c r="A413" t="s">
        <v>420</v>
      </c>
      <c r="B413" s="2">
        <v>7.2</v>
      </c>
      <c r="C413" s="3">
        <v>7.5229999999999997</v>
      </c>
      <c r="D413" s="10">
        <v>6.31</v>
      </c>
    </row>
    <row r="414" spans="1:4" x14ac:dyDescent="0.25">
      <c r="A414" t="s">
        <v>421</v>
      </c>
      <c r="B414" s="2">
        <v>7.1</v>
      </c>
      <c r="C414" s="3">
        <v>7.0880000000000001</v>
      </c>
      <c r="D414" s="10">
        <v>6.31</v>
      </c>
    </row>
    <row r="415" spans="1:4" x14ac:dyDescent="0.25">
      <c r="A415" t="s">
        <v>422</v>
      </c>
      <c r="B415" s="2">
        <v>6.9</v>
      </c>
      <c r="C415" s="3">
        <v>6.8280000000000003</v>
      </c>
      <c r="D415" s="10">
        <v>6.31</v>
      </c>
    </row>
    <row r="416" spans="1:4" x14ac:dyDescent="0.25">
      <c r="A416" t="s">
        <v>423</v>
      </c>
      <c r="B416" s="2">
        <v>6.7</v>
      </c>
      <c r="C416" s="3">
        <v>6.7370000000000001</v>
      </c>
      <c r="D416" s="10">
        <v>6.31</v>
      </c>
    </row>
    <row r="417" spans="1:4" x14ac:dyDescent="0.25">
      <c r="A417" t="s">
        <v>424</v>
      </c>
      <c r="B417" s="2">
        <v>6.6</v>
      </c>
      <c r="C417" s="3">
        <v>6.6539999999999999</v>
      </c>
      <c r="D417" s="10">
        <v>6.31</v>
      </c>
    </row>
    <row r="418" spans="1:4" x14ac:dyDescent="0.25">
      <c r="A418" t="s">
        <v>425</v>
      </c>
      <c r="B418" s="2">
        <v>6.4</v>
      </c>
      <c r="C418" s="3">
        <v>6.3319999999999999</v>
      </c>
      <c r="D418" s="10">
        <v>6.31</v>
      </c>
    </row>
    <row r="419" spans="1:4" x14ac:dyDescent="0.25">
      <c r="A419" t="s">
        <v>426</v>
      </c>
      <c r="B419" s="2">
        <v>6.3</v>
      </c>
      <c r="C419" s="3">
        <v>6.2770000000000001</v>
      </c>
      <c r="D419" s="10">
        <v>6.31</v>
      </c>
    </row>
    <row r="420" spans="1:4" x14ac:dyDescent="0.25">
      <c r="A420" t="s">
        <v>427</v>
      </c>
      <c r="B420" s="2">
        <v>6.1</v>
      </c>
      <c r="C420" s="3">
        <v>6.2140000000000004</v>
      </c>
      <c r="D420" s="10">
        <v>6.31</v>
      </c>
    </row>
    <row r="421" spans="1:4" x14ac:dyDescent="0.25">
      <c r="A421" t="s">
        <v>428</v>
      </c>
      <c r="B421" s="2">
        <v>6</v>
      </c>
      <c r="C421" s="3">
        <v>5.907</v>
      </c>
      <c r="D421" s="10">
        <v>6.31</v>
      </c>
    </row>
    <row r="422" spans="1:4" x14ac:dyDescent="0.25">
      <c r="A422" t="s">
        <v>429</v>
      </c>
      <c r="B422" s="2">
        <v>6</v>
      </c>
      <c r="C422" s="3">
        <v>5.9059999999999997</v>
      </c>
      <c r="D422" s="10">
        <v>6.31</v>
      </c>
    </row>
    <row r="423" spans="1:4" x14ac:dyDescent="0.25">
      <c r="A423" t="s">
        <v>430</v>
      </c>
      <c r="B423" s="2">
        <v>5.9</v>
      </c>
      <c r="C423" s="3">
        <v>6.0890000000000004</v>
      </c>
      <c r="D423" s="10">
        <v>6.31</v>
      </c>
    </row>
    <row r="424" spans="1:4" x14ac:dyDescent="0.25">
      <c r="A424" t="s">
        <v>431</v>
      </c>
      <c r="B424" s="2">
        <v>5.9</v>
      </c>
      <c r="C424" s="3">
        <v>5.85</v>
      </c>
      <c r="D424" s="10">
        <v>6.5</v>
      </c>
    </row>
    <row r="425" spans="1:4" x14ac:dyDescent="0.25">
      <c r="A425" t="s">
        <v>432</v>
      </c>
      <c r="B425" s="2">
        <v>5.7</v>
      </c>
      <c r="C425" s="3">
        <v>5.6349999999999998</v>
      </c>
      <c r="D425" s="10">
        <v>6.5</v>
      </c>
    </row>
    <row r="426" spans="1:4" x14ac:dyDescent="0.25">
      <c r="A426" t="s">
        <v>433</v>
      </c>
      <c r="B426" s="2">
        <v>5.6</v>
      </c>
      <c r="C426" s="3">
        <v>5.5730000000000004</v>
      </c>
      <c r="D426" s="10">
        <v>6.5</v>
      </c>
    </row>
    <row r="427" spans="1:4" x14ac:dyDescent="0.25">
      <c r="A427" t="s">
        <v>434</v>
      </c>
      <c r="B427" s="2">
        <v>5.6</v>
      </c>
      <c r="C427" s="3">
        <v>5.7359999999999998</v>
      </c>
      <c r="D427" s="10">
        <v>6.5</v>
      </c>
    </row>
    <row r="428" spans="1:4" x14ac:dyDescent="0.25">
      <c r="A428" t="s">
        <v>435</v>
      </c>
      <c r="B428" s="2">
        <v>5.5</v>
      </c>
      <c r="C428" s="3">
        <v>5.3959999999999999</v>
      </c>
      <c r="D428" s="10">
        <v>6.5</v>
      </c>
    </row>
    <row r="429" spans="1:4" x14ac:dyDescent="0.25">
      <c r="A429" t="s">
        <v>436</v>
      </c>
      <c r="B429" s="2">
        <v>5.5</v>
      </c>
      <c r="C429" s="3">
        <v>5.4409999999999998</v>
      </c>
      <c r="D429" s="10">
        <v>6.5</v>
      </c>
    </row>
    <row r="430" spans="1:4" x14ac:dyDescent="0.25">
      <c r="A430" t="s">
        <v>437</v>
      </c>
      <c r="B430" s="2">
        <v>5.6</v>
      </c>
      <c r="C430" s="3">
        <v>5.6559999999999997</v>
      </c>
      <c r="D430" s="10">
        <v>6.5</v>
      </c>
    </row>
    <row r="431" spans="1:4" x14ac:dyDescent="0.25">
      <c r="A431" t="s">
        <v>438</v>
      </c>
      <c r="B431" s="2">
        <v>5.6</v>
      </c>
      <c r="C431" s="3">
        <v>5.7089999999999996</v>
      </c>
      <c r="D431" s="10">
        <v>6.5</v>
      </c>
    </row>
    <row r="432" spans="1:4" x14ac:dyDescent="0.25">
      <c r="A432" t="s">
        <v>439</v>
      </c>
      <c r="B432" s="2">
        <v>5.5</v>
      </c>
      <c r="C432" s="3">
        <v>5.4269999999999996</v>
      </c>
      <c r="D432" s="10">
        <v>6.5</v>
      </c>
    </row>
    <row r="433" spans="1:4" x14ac:dyDescent="0.25">
      <c r="A433" t="s">
        <v>440</v>
      </c>
      <c r="B433" s="2">
        <v>5.4</v>
      </c>
      <c r="C433" s="3">
        <v>5.3970000000000002</v>
      </c>
      <c r="D433" s="10">
        <v>6.5</v>
      </c>
    </row>
    <row r="434" spans="1:4" x14ac:dyDescent="0.25">
      <c r="A434" t="s">
        <v>441</v>
      </c>
      <c r="B434" s="2">
        <v>5.3</v>
      </c>
      <c r="C434" s="3">
        <v>5.3090000000000002</v>
      </c>
      <c r="D434" s="10">
        <v>6.5</v>
      </c>
    </row>
    <row r="435" spans="1:4" x14ac:dyDescent="0.25">
      <c r="A435" t="s">
        <v>442</v>
      </c>
      <c r="B435" s="2">
        <v>5.2</v>
      </c>
      <c r="C435" s="3">
        <v>5.23</v>
      </c>
      <c r="D435" s="10">
        <v>6.5</v>
      </c>
    </row>
    <row r="436" spans="1:4" x14ac:dyDescent="0.25">
      <c r="A436" t="s">
        <v>443</v>
      </c>
      <c r="B436" s="2">
        <v>5.0999999999999996</v>
      </c>
      <c r="C436" s="3">
        <v>4.9649999999999999</v>
      </c>
      <c r="D436" s="10">
        <v>6.7</v>
      </c>
    </row>
    <row r="437" spans="1:4" x14ac:dyDescent="0.25">
      <c r="A437" t="s">
        <v>444</v>
      </c>
      <c r="B437" s="2">
        <v>5.0999999999999996</v>
      </c>
      <c r="C437" s="3">
        <v>5.008</v>
      </c>
      <c r="D437" s="10">
        <v>6.7</v>
      </c>
    </row>
    <row r="438" spans="1:4" x14ac:dyDescent="0.25">
      <c r="A438" t="s">
        <v>445</v>
      </c>
      <c r="B438" s="2">
        <v>5.0999999999999996</v>
      </c>
      <c r="C438" s="3">
        <v>5.2519999999999998</v>
      </c>
      <c r="D438" s="10">
        <v>6.7</v>
      </c>
    </row>
    <row r="439" spans="1:4" x14ac:dyDescent="0.25">
      <c r="A439" t="s">
        <v>446</v>
      </c>
      <c r="B439" s="2">
        <v>5.0999999999999996</v>
      </c>
      <c r="C439" s="3">
        <v>4.9279999999999999</v>
      </c>
      <c r="D439" s="10">
        <v>6.7</v>
      </c>
    </row>
    <row r="440" spans="1:4" x14ac:dyDescent="0.25">
      <c r="A440" t="s">
        <v>447</v>
      </c>
      <c r="B440" s="2">
        <v>5.0999999999999996</v>
      </c>
      <c r="C440" s="3">
        <v>5.1159999999999997</v>
      </c>
      <c r="D440" s="10">
        <v>6.7</v>
      </c>
    </row>
    <row r="441" spans="1:4" x14ac:dyDescent="0.25">
      <c r="A441" t="s">
        <v>448</v>
      </c>
      <c r="B441" s="2">
        <v>5</v>
      </c>
      <c r="C441" s="3">
        <v>5.165</v>
      </c>
      <c r="D441" s="10">
        <v>6.7</v>
      </c>
    </row>
    <row r="442" spans="1:4" x14ac:dyDescent="0.25">
      <c r="A442" t="s">
        <v>449</v>
      </c>
      <c r="B442" s="2">
        <v>4.9000000000000004</v>
      </c>
      <c r="C442" s="3">
        <v>4.7300000000000004</v>
      </c>
      <c r="D442" s="10">
        <v>7.2</v>
      </c>
    </row>
    <row r="443" spans="1:4" x14ac:dyDescent="0.25">
      <c r="A443" t="s">
        <v>450</v>
      </c>
      <c r="B443" s="2">
        <v>4.9000000000000004</v>
      </c>
      <c r="C443" s="3">
        <v>4.88</v>
      </c>
      <c r="D443" s="10">
        <v>7.2</v>
      </c>
    </row>
    <row r="444" spans="1:4" x14ac:dyDescent="0.25">
      <c r="A444" t="s">
        <v>451</v>
      </c>
      <c r="B444" s="2">
        <v>4.9000000000000004</v>
      </c>
      <c r="C444" s="3">
        <v>5.1449999999999996</v>
      </c>
      <c r="D444" s="10">
        <v>7.2</v>
      </c>
    </row>
    <row r="445" spans="1:4" x14ac:dyDescent="0.25">
      <c r="A445" t="s">
        <v>452</v>
      </c>
      <c r="B445" s="2">
        <v>5</v>
      </c>
      <c r="C445" s="3">
        <v>4.6589999999999998</v>
      </c>
      <c r="D445" s="10">
        <v>7.2</v>
      </c>
    </row>
    <row r="446" spans="1:4" x14ac:dyDescent="0.25">
      <c r="A446" t="s">
        <v>453</v>
      </c>
      <c r="B446" s="2">
        <v>4.8</v>
      </c>
      <c r="C446" s="3">
        <v>5.1040000000000001</v>
      </c>
      <c r="D446" s="10">
        <v>7.2</v>
      </c>
    </row>
    <row r="447" spans="1:4" x14ac:dyDescent="0.25">
      <c r="A447" t="s">
        <v>454</v>
      </c>
      <c r="B447" s="2">
        <v>4.8</v>
      </c>
      <c r="C447" s="3">
        <v>4.7359999999999998</v>
      </c>
      <c r="D447" s="10">
        <v>7.2</v>
      </c>
    </row>
    <row r="448" spans="1:4" x14ac:dyDescent="0.25">
      <c r="A448" t="s">
        <v>455</v>
      </c>
      <c r="B448" s="2">
        <v>4.8</v>
      </c>
      <c r="C448" s="3">
        <v>4.66</v>
      </c>
      <c r="D448" s="10">
        <v>7.2</v>
      </c>
    </row>
    <row r="449" spans="1:4" x14ac:dyDescent="0.25">
      <c r="A449" t="s">
        <v>456</v>
      </c>
      <c r="B449" s="2">
        <v>4.7</v>
      </c>
      <c r="C449" s="3">
        <v>4.9509999999999996</v>
      </c>
      <c r="D449" s="10">
        <v>7.2</v>
      </c>
    </row>
    <row r="450" spans="1:4" x14ac:dyDescent="0.25">
      <c r="A450" t="s">
        <v>457</v>
      </c>
      <c r="B450" s="2">
        <v>4.7</v>
      </c>
      <c r="C450" s="3">
        <v>4.5940000000000003</v>
      </c>
      <c r="D450" s="10">
        <v>7.2</v>
      </c>
    </row>
    <row r="451" spans="1:4" x14ac:dyDescent="0.25">
      <c r="A451" t="s">
        <v>458</v>
      </c>
      <c r="B451" s="2">
        <v>4.5999999999999996</v>
      </c>
      <c r="C451" s="3">
        <v>4.5940000000000003</v>
      </c>
      <c r="D451" s="10">
        <v>7.2</v>
      </c>
    </row>
    <row r="452" spans="1:4" x14ac:dyDescent="0.25">
      <c r="A452" t="s">
        <v>459</v>
      </c>
      <c r="B452" s="2">
        <v>4.5999999999999996</v>
      </c>
      <c r="C452" s="3">
        <v>4.7080000000000002</v>
      </c>
      <c r="D452" s="10">
        <v>7.2</v>
      </c>
    </row>
    <row r="453" spans="1:4" x14ac:dyDescent="0.25">
      <c r="A453" t="s">
        <v>460</v>
      </c>
      <c r="B453" s="2">
        <v>4.5</v>
      </c>
      <c r="C453" s="3">
        <v>4.3710000000000004</v>
      </c>
      <c r="D453" s="10">
        <v>7.2</v>
      </c>
    </row>
    <row r="454" spans="1:4" x14ac:dyDescent="0.25">
      <c r="A454" t="s">
        <v>461</v>
      </c>
      <c r="B454" s="2">
        <v>4.4000000000000004</v>
      </c>
      <c r="C454" s="3">
        <v>4.5609999999999999</v>
      </c>
      <c r="D454" s="10">
        <v>7.5</v>
      </c>
    </row>
    <row r="455" spans="1:4" x14ac:dyDescent="0.25">
      <c r="A455" t="s">
        <v>462</v>
      </c>
      <c r="B455" s="2">
        <v>4.4000000000000004</v>
      </c>
      <c r="C455" s="3">
        <v>4.3899999999999997</v>
      </c>
      <c r="D455" s="10">
        <v>7.5</v>
      </c>
    </row>
    <row r="456" spans="1:4" x14ac:dyDescent="0.25">
      <c r="A456" t="s">
        <v>463</v>
      </c>
      <c r="B456" s="2">
        <v>4.3</v>
      </c>
      <c r="C456" s="3">
        <v>4.3109999999999999</v>
      </c>
      <c r="D456" s="10">
        <v>7.5</v>
      </c>
    </row>
    <row r="457" spans="1:4" x14ac:dyDescent="0.25">
      <c r="A457" t="s">
        <v>464</v>
      </c>
      <c r="B457" s="2">
        <v>4.3</v>
      </c>
      <c r="C457" s="3">
        <v>4.3319999999999999</v>
      </c>
      <c r="D457" s="10">
        <v>7.5</v>
      </c>
    </row>
    <row r="458" spans="1:4" x14ac:dyDescent="0.25">
      <c r="A458" t="s">
        <v>465</v>
      </c>
      <c r="B458" s="2">
        <v>4.3</v>
      </c>
      <c r="C458" s="3">
        <v>4.33</v>
      </c>
      <c r="D458" s="10">
        <v>7.5</v>
      </c>
    </row>
    <row r="459" spans="1:4" x14ac:dyDescent="0.25">
      <c r="A459" t="s">
        <v>466</v>
      </c>
      <c r="B459" s="2">
        <v>4.2</v>
      </c>
      <c r="C459" s="3">
        <v>4.1340000000000003</v>
      </c>
      <c r="D459" s="10">
        <v>7.5</v>
      </c>
    </row>
    <row r="460" spans="1:4" x14ac:dyDescent="0.25">
      <c r="A460" t="s">
        <v>467</v>
      </c>
      <c r="B460" s="2">
        <v>4.3</v>
      </c>
      <c r="C460" s="3">
        <v>4.2889999999999997</v>
      </c>
      <c r="D460" s="10">
        <v>7.5</v>
      </c>
    </row>
    <row r="461" spans="1:4" x14ac:dyDescent="0.25">
      <c r="A461" t="s">
        <v>468</v>
      </c>
      <c r="B461" s="2">
        <v>4.4000000000000004</v>
      </c>
      <c r="C461" s="3">
        <v>4.3789999999999996</v>
      </c>
      <c r="D461" s="10">
        <v>7.5</v>
      </c>
    </row>
    <row r="462" spans="1:4" x14ac:dyDescent="0.25">
      <c r="A462" t="s">
        <v>469</v>
      </c>
      <c r="B462" s="2">
        <v>4.3</v>
      </c>
      <c r="C462" s="3">
        <v>4.3949999999999996</v>
      </c>
      <c r="D462" s="10">
        <v>7.5</v>
      </c>
    </row>
    <row r="463" spans="1:4" x14ac:dyDescent="0.25">
      <c r="A463" t="s">
        <v>470</v>
      </c>
      <c r="B463" s="2">
        <v>4.2</v>
      </c>
      <c r="C463" s="3">
        <v>4.173</v>
      </c>
      <c r="D463" s="10">
        <v>7.5</v>
      </c>
    </row>
    <row r="464" spans="1:4" x14ac:dyDescent="0.25">
      <c r="A464" t="s">
        <v>471</v>
      </c>
      <c r="B464" s="2">
        <v>4.2</v>
      </c>
      <c r="C464" s="3">
        <v>4.056</v>
      </c>
      <c r="D464" s="10">
        <v>7.5</v>
      </c>
    </row>
    <row r="465" spans="1:4" x14ac:dyDescent="0.25">
      <c r="A465" t="s">
        <v>472</v>
      </c>
      <c r="B465" s="2">
        <v>4.2</v>
      </c>
      <c r="C465" s="3">
        <v>4.3849999999999998</v>
      </c>
      <c r="D465" s="10">
        <v>7.5</v>
      </c>
    </row>
    <row r="466" spans="1:4" x14ac:dyDescent="0.25">
      <c r="A466" t="s">
        <v>473</v>
      </c>
      <c r="B466" s="2">
        <v>4.2</v>
      </c>
      <c r="C466" s="3">
        <v>4.16</v>
      </c>
      <c r="D466" s="10">
        <v>7.83</v>
      </c>
    </row>
    <row r="467" spans="1:4" x14ac:dyDescent="0.25">
      <c r="A467" t="s">
        <v>474</v>
      </c>
      <c r="B467" s="2">
        <v>4</v>
      </c>
      <c r="C467" s="3">
        <v>3.9359999999999999</v>
      </c>
      <c r="D467" s="10">
        <v>7.83</v>
      </c>
    </row>
    <row r="468" spans="1:4" x14ac:dyDescent="0.25">
      <c r="A468" t="s">
        <v>475</v>
      </c>
      <c r="B468" s="2">
        <v>4</v>
      </c>
      <c r="C468" s="3">
        <v>4.0369999999999999</v>
      </c>
      <c r="D468" s="10">
        <v>7.83</v>
      </c>
    </row>
    <row r="469" spans="1:4" x14ac:dyDescent="0.25">
      <c r="A469" t="s">
        <v>476</v>
      </c>
      <c r="B469" s="2">
        <v>4</v>
      </c>
      <c r="C469" s="3">
        <v>4.133</v>
      </c>
      <c r="D469" s="10">
        <v>7.83</v>
      </c>
    </row>
    <row r="470" spans="1:4" x14ac:dyDescent="0.25">
      <c r="A470" t="s">
        <v>477</v>
      </c>
      <c r="B470" s="2">
        <v>4.0999999999999996</v>
      </c>
      <c r="C470" s="3">
        <v>3.9249999999999998</v>
      </c>
      <c r="D470" s="10">
        <v>7.83</v>
      </c>
    </row>
    <row r="471" spans="1:4" x14ac:dyDescent="0.25">
      <c r="A471" t="s">
        <v>478</v>
      </c>
      <c r="B471" s="2">
        <v>4.0999999999999996</v>
      </c>
      <c r="C471" s="3">
        <v>4.1870000000000003</v>
      </c>
      <c r="D471" s="10">
        <v>7.83</v>
      </c>
    </row>
    <row r="472" spans="1:4" x14ac:dyDescent="0.25">
      <c r="A472" t="s">
        <v>479</v>
      </c>
      <c r="B472" s="2">
        <v>4</v>
      </c>
      <c r="C472" s="3">
        <v>4.101</v>
      </c>
      <c r="D472" s="10">
        <v>7.83</v>
      </c>
    </row>
    <row r="473" spans="1:4" x14ac:dyDescent="0.25">
      <c r="A473" t="s">
        <v>480</v>
      </c>
      <c r="B473" s="2">
        <v>4</v>
      </c>
      <c r="C473" s="3">
        <v>3.827</v>
      </c>
      <c r="D473" s="10">
        <v>7.83</v>
      </c>
    </row>
    <row r="474" spans="1:4" x14ac:dyDescent="0.25">
      <c r="A474" t="s">
        <v>481</v>
      </c>
      <c r="B474" s="2">
        <v>3.9</v>
      </c>
      <c r="C474" s="3">
        <v>4.1449999999999996</v>
      </c>
      <c r="D474" s="10">
        <v>7.83</v>
      </c>
    </row>
    <row r="475" spans="1:4" x14ac:dyDescent="0.25">
      <c r="A475" t="s">
        <v>482</v>
      </c>
      <c r="B475" s="2">
        <v>4</v>
      </c>
      <c r="C475" s="3">
        <v>3.8639999999999999</v>
      </c>
      <c r="D475" s="10">
        <v>7.83</v>
      </c>
    </row>
    <row r="476" spans="1:4" x14ac:dyDescent="0.25">
      <c r="A476" t="s">
        <v>483</v>
      </c>
      <c r="B476" s="2">
        <v>3.8</v>
      </c>
      <c r="C476" s="3">
        <v>3.819</v>
      </c>
      <c r="D476" s="10">
        <v>7.83</v>
      </c>
    </row>
    <row r="477" spans="1:4" x14ac:dyDescent="0.25">
      <c r="A477" t="s">
        <v>484</v>
      </c>
      <c r="B477" s="2">
        <v>3.8</v>
      </c>
      <c r="C477" s="3">
        <v>3.8159999999999998</v>
      </c>
      <c r="D477" s="10">
        <v>7.83</v>
      </c>
    </row>
    <row r="478" spans="1:4" x14ac:dyDescent="0.25">
      <c r="A478" t="s">
        <v>485</v>
      </c>
      <c r="B478" s="2">
        <v>3.8</v>
      </c>
      <c r="C478" s="3">
        <v>3.8889999999999998</v>
      </c>
      <c r="D478" s="10">
        <v>8.2100000000000009</v>
      </c>
    </row>
    <row r="479" spans="1:4" x14ac:dyDescent="0.25">
      <c r="A479" t="s">
        <v>486</v>
      </c>
      <c r="B479" s="2">
        <v>3.9</v>
      </c>
      <c r="C479" s="3">
        <v>3.6850000000000001</v>
      </c>
      <c r="D479" s="10">
        <v>8.2100000000000009</v>
      </c>
    </row>
    <row r="480" spans="1:4" x14ac:dyDescent="0.25">
      <c r="A480" t="s">
        <v>487</v>
      </c>
      <c r="B480" s="2">
        <v>3.9</v>
      </c>
      <c r="C480" s="3">
        <v>4.0860000000000003</v>
      </c>
      <c r="D480" s="10">
        <v>8.2100000000000009</v>
      </c>
    </row>
    <row r="481" spans="1:4" x14ac:dyDescent="0.25">
      <c r="A481" t="s">
        <v>488</v>
      </c>
      <c r="B481" s="2">
        <v>3.9</v>
      </c>
      <c r="C481" s="3">
        <v>3.7829999999999999</v>
      </c>
      <c r="D481" s="10">
        <v>8.2100000000000009</v>
      </c>
    </row>
    <row r="482" spans="1:4" x14ac:dyDescent="0.25">
      <c r="A482" t="s">
        <v>489</v>
      </c>
      <c r="B482" s="2">
        <v>3.9</v>
      </c>
      <c r="C482" s="3">
        <v>3.7709999999999999</v>
      </c>
      <c r="D482" s="10">
        <v>8.2100000000000009</v>
      </c>
    </row>
    <row r="483" spans="1:4" x14ac:dyDescent="0.25">
      <c r="A483" t="s">
        <v>490</v>
      </c>
      <c r="B483" s="2">
        <v>3.8</v>
      </c>
      <c r="C483" s="3">
        <v>4.08</v>
      </c>
      <c r="D483" s="10">
        <v>8.2100000000000009</v>
      </c>
    </row>
    <row r="484" spans="1:4" x14ac:dyDescent="0.25">
      <c r="A484" t="s">
        <v>491</v>
      </c>
      <c r="B484" s="2">
        <v>3.8</v>
      </c>
      <c r="C484" s="3">
        <v>3.5510000000000002</v>
      </c>
      <c r="D484" s="10">
        <v>8.2100000000000009</v>
      </c>
    </row>
    <row r="485" spans="1:4" x14ac:dyDescent="0.25">
      <c r="A485" t="s">
        <v>492</v>
      </c>
      <c r="B485" s="2">
        <v>3.7</v>
      </c>
      <c r="C485" s="3">
        <v>3.8639999999999999</v>
      </c>
      <c r="D485" s="10">
        <v>8.2100000000000009</v>
      </c>
    </row>
    <row r="486" spans="1:4" x14ac:dyDescent="0.25">
      <c r="A486" t="s">
        <v>493</v>
      </c>
      <c r="B486" s="2">
        <v>3.9</v>
      </c>
      <c r="C486" s="3">
        <v>3.8079999999999998</v>
      </c>
      <c r="D486" s="10">
        <v>8.2100000000000009</v>
      </c>
    </row>
    <row r="487" spans="1:4" x14ac:dyDescent="0.25">
      <c r="A487" t="s">
        <v>494</v>
      </c>
      <c r="B487" s="2">
        <v>3.9</v>
      </c>
      <c r="C487" s="3">
        <v>3.996</v>
      </c>
      <c r="D487" s="10">
        <v>8.2100000000000009</v>
      </c>
    </row>
    <row r="488" spans="1:4" x14ac:dyDescent="0.25">
      <c r="A488" t="s">
        <v>495</v>
      </c>
      <c r="B488" s="2">
        <v>4.0999999999999996</v>
      </c>
      <c r="C488" s="3">
        <v>4.05</v>
      </c>
      <c r="D488" s="10">
        <v>8.2100000000000009</v>
      </c>
    </row>
    <row r="489" spans="1:4" x14ac:dyDescent="0.25">
      <c r="A489" t="s">
        <v>496</v>
      </c>
      <c r="B489" s="2">
        <v>4.0999999999999996</v>
      </c>
      <c r="C489" s="3">
        <v>4.2560000000000002</v>
      </c>
      <c r="D489" s="10">
        <v>8.2100000000000009</v>
      </c>
    </row>
    <row r="490" spans="1:4" x14ac:dyDescent="0.25">
      <c r="A490" t="s">
        <v>497</v>
      </c>
      <c r="B490" s="2">
        <v>4.0999999999999996</v>
      </c>
      <c r="C490" s="3">
        <v>3.9689999999999999</v>
      </c>
      <c r="D490" s="10">
        <v>8.7200000000000006</v>
      </c>
    </row>
    <row r="491" spans="1:4" x14ac:dyDescent="0.25">
      <c r="A491" t="s">
        <v>498</v>
      </c>
      <c r="B491" s="2">
        <v>4.0999999999999996</v>
      </c>
      <c r="C491" s="3">
        <v>4.1520000000000001</v>
      </c>
      <c r="D491" s="10">
        <v>8.7200000000000006</v>
      </c>
    </row>
    <row r="492" spans="1:4" x14ac:dyDescent="0.25">
      <c r="A492" t="s">
        <v>499</v>
      </c>
      <c r="B492" s="2">
        <v>4.4000000000000004</v>
      </c>
      <c r="C492" s="3">
        <v>4.1189999999999998</v>
      </c>
      <c r="D492" s="10">
        <v>8.7200000000000006</v>
      </c>
    </row>
    <row r="493" spans="1:4" x14ac:dyDescent="0.25">
      <c r="A493" t="s">
        <v>500</v>
      </c>
      <c r="B493" s="2">
        <v>4.5999999999999996</v>
      </c>
      <c r="C493" s="3">
        <v>4.8120000000000003</v>
      </c>
      <c r="D493" s="10">
        <v>8.7200000000000006</v>
      </c>
    </row>
    <row r="494" spans="1:4" x14ac:dyDescent="0.25">
      <c r="A494" t="s">
        <v>501</v>
      </c>
      <c r="B494" s="2">
        <v>5</v>
      </c>
      <c r="C494" s="3">
        <v>4.9550000000000001</v>
      </c>
      <c r="D494" s="10">
        <v>8.7200000000000006</v>
      </c>
    </row>
    <row r="495" spans="1:4" x14ac:dyDescent="0.25">
      <c r="A495" t="s">
        <v>502</v>
      </c>
      <c r="B495" s="2">
        <v>5.2</v>
      </c>
      <c r="C495" s="3">
        <v>5.14</v>
      </c>
      <c r="D495" s="10">
        <v>8.7200000000000006</v>
      </c>
    </row>
    <row r="496" spans="1:4" x14ac:dyDescent="0.25">
      <c r="A496" t="s">
        <v>503</v>
      </c>
      <c r="B496" s="2">
        <v>5.2</v>
      </c>
      <c r="C496" s="3">
        <v>5.3810000000000002</v>
      </c>
      <c r="D496" s="10">
        <v>8.7200000000000006</v>
      </c>
    </row>
    <row r="497" spans="1:4" x14ac:dyDescent="0.25">
      <c r="A497" t="s">
        <v>504</v>
      </c>
      <c r="B497" s="2">
        <v>5.3</v>
      </c>
      <c r="C497" s="3">
        <v>5.1630000000000003</v>
      </c>
      <c r="D497" s="10">
        <v>8.7200000000000006</v>
      </c>
    </row>
    <row r="498" spans="1:4" x14ac:dyDescent="0.25">
      <c r="A498" t="s">
        <v>505</v>
      </c>
      <c r="B498" s="2">
        <v>5.2</v>
      </c>
      <c r="C498" s="3">
        <v>5.2670000000000003</v>
      </c>
      <c r="D498" s="10">
        <v>8.7200000000000006</v>
      </c>
    </row>
    <row r="499" spans="1:4" x14ac:dyDescent="0.25">
      <c r="A499" t="s">
        <v>506</v>
      </c>
      <c r="B499" s="2">
        <v>5</v>
      </c>
      <c r="C499" s="3">
        <v>5.056</v>
      </c>
      <c r="D499" s="10">
        <v>8.7200000000000006</v>
      </c>
    </row>
    <row r="500" spans="1:4" x14ac:dyDescent="0.25">
      <c r="A500" t="s">
        <v>507</v>
      </c>
      <c r="B500" s="2">
        <v>4.9000000000000004</v>
      </c>
      <c r="C500" s="3">
        <v>4.8259999999999996</v>
      </c>
      <c r="D500" s="10">
        <v>8.7200000000000006</v>
      </c>
    </row>
    <row r="501" spans="1:4" x14ac:dyDescent="0.25">
      <c r="A501" t="s">
        <v>508</v>
      </c>
      <c r="B501" s="2">
        <v>4.8</v>
      </c>
      <c r="C501" s="3">
        <v>4.8499999999999996</v>
      </c>
      <c r="D501" s="10">
        <v>8.7200000000000006</v>
      </c>
    </row>
    <row r="502" spans="1:4" x14ac:dyDescent="0.25">
      <c r="A502" t="s">
        <v>509</v>
      </c>
      <c r="B502" s="2">
        <v>4.8</v>
      </c>
      <c r="C502" s="3">
        <v>4.7869999999999999</v>
      </c>
      <c r="D502" s="10">
        <v>8.91</v>
      </c>
    </row>
    <row r="503" spans="1:4" x14ac:dyDescent="0.25">
      <c r="A503" t="s">
        <v>510</v>
      </c>
      <c r="B503" s="2">
        <v>4.7</v>
      </c>
      <c r="C503" s="3">
        <v>4.7480000000000002</v>
      </c>
      <c r="D503" s="10">
        <v>8.91</v>
      </c>
    </row>
    <row r="504" spans="1:4" x14ac:dyDescent="0.25">
      <c r="A504" t="s">
        <v>511</v>
      </c>
      <c r="B504" s="2">
        <v>4.5999999999999996</v>
      </c>
      <c r="C504" s="3">
        <v>4.4710000000000001</v>
      </c>
      <c r="D504" s="10">
        <v>8.91</v>
      </c>
    </row>
    <row r="505" spans="1:4" x14ac:dyDescent="0.25">
      <c r="A505" t="s">
        <v>512</v>
      </c>
      <c r="B505" s="2">
        <v>4.5</v>
      </c>
      <c r="C505" s="3">
        <v>4.4960000000000004</v>
      </c>
      <c r="D505" s="10">
        <v>8.91</v>
      </c>
    </row>
    <row r="506" spans="1:4" x14ac:dyDescent="0.25">
      <c r="A506" t="s">
        <v>513</v>
      </c>
      <c r="B506" s="2">
        <v>4.4000000000000004</v>
      </c>
      <c r="C506" s="3">
        <v>4.5880000000000001</v>
      </c>
      <c r="D506" s="10">
        <v>8.91</v>
      </c>
    </row>
    <row r="507" spans="1:4" x14ac:dyDescent="0.25">
      <c r="A507" t="s">
        <v>514</v>
      </c>
      <c r="B507" s="2">
        <v>4.3</v>
      </c>
      <c r="C507" s="3">
        <v>4.0750000000000002</v>
      </c>
      <c r="D507" s="10">
        <v>8.91</v>
      </c>
    </row>
    <row r="508" spans="1:4" x14ac:dyDescent="0.25">
      <c r="A508" t="s">
        <v>515</v>
      </c>
      <c r="B508" s="2">
        <v>4.2</v>
      </c>
      <c r="C508" s="3">
        <v>4.258</v>
      </c>
      <c r="D508" s="10">
        <v>8.91</v>
      </c>
    </row>
    <row r="509" spans="1:4" x14ac:dyDescent="0.25">
      <c r="A509" t="s">
        <v>516</v>
      </c>
      <c r="B509" s="2">
        <v>4.2</v>
      </c>
      <c r="C509" s="3">
        <v>4.3570000000000002</v>
      </c>
      <c r="D509" s="10">
        <v>8.91</v>
      </c>
    </row>
    <row r="510" spans="1:4" x14ac:dyDescent="0.25">
      <c r="A510" t="s">
        <v>517</v>
      </c>
      <c r="B510" s="2">
        <v>4.0999999999999996</v>
      </c>
      <c r="C510" s="3">
        <v>3.9380000000000002</v>
      </c>
      <c r="D510" s="10">
        <v>8.91</v>
      </c>
    </row>
    <row r="511" spans="1:4" x14ac:dyDescent="0.25">
      <c r="A511" t="s">
        <v>518</v>
      </c>
      <c r="B511" s="2">
        <v>3.9</v>
      </c>
      <c r="C511" s="3">
        <v>3.9809999999999999</v>
      </c>
      <c r="D511" s="10">
        <v>8.91</v>
      </c>
    </row>
    <row r="512" spans="1:4" x14ac:dyDescent="0.25">
      <c r="A512" t="s">
        <v>519</v>
      </c>
      <c r="B512" s="2">
        <v>3.8</v>
      </c>
      <c r="C512" s="3">
        <v>3.87</v>
      </c>
      <c r="D512" s="10">
        <v>8.91</v>
      </c>
    </row>
    <row r="513" spans="1:4" x14ac:dyDescent="0.25">
      <c r="A513" t="s">
        <v>520</v>
      </c>
      <c r="B513" s="2">
        <v>3.8</v>
      </c>
      <c r="C513" s="3">
        <v>3.4889999999999999</v>
      </c>
      <c r="D513" s="10">
        <v>8.91</v>
      </c>
    </row>
    <row r="514" spans="1:4" x14ac:dyDescent="0.25">
      <c r="A514" t="s">
        <v>521</v>
      </c>
      <c r="B514" s="2">
        <v>3.7</v>
      </c>
      <c r="C514" s="3">
        <v>4.0869999999999997</v>
      </c>
      <c r="D514" s="10">
        <v>9.5</v>
      </c>
    </row>
    <row r="515" spans="1:4" x14ac:dyDescent="0.25">
      <c r="A515" t="s">
        <v>522</v>
      </c>
      <c r="B515" s="2">
        <v>3.8</v>
      </c>
      <c r="C515" s="3">
        <v>3.6429999999999998</v>
      </c>
      <c r="D515" s="10">
        <v>9.5</v>
      </c>
    </row>
    <row r="516" spans="1:4" x14ac:dyDescent="0.25">
      <c r="A516" t="s">
        <v>523</v>
      </c>
      <c r="B516" s="2">
        <v>3.6</v>
      </c>
      <c r="C516" s="3">
        <v>3.5649999999999999</v>
      </c>
      <c r="D516" s="10">
        <v>9.5</v>
      </c>
    </row>
    <row r="517" spans="1:4" x14ac:dyDescent="0.25">
      <c r="A517" t="s">
        <v>524</v>
      </c>
      <c r="B517" s="2">
        <v>3.6</v>
      </c>
      <c r="C517" s="3">
        <v>3.677</v>
      </c>
      <c r="D517" s="10">
        <v>9.5</v>
      </c>
    </row>
    <row r="518" spans="1:4" x14ac:dyDescent="0.25">
      <c r="A518" t="s">
        <v>525</v>
      </c>
      <c r="B518" s="2">
        <v>3.7</v>
      </c>
      <c r="C518" s="3">
        <v>3.5609999999999999</v>
      </c>
      <c r="D518" s="10">
        <v>9.5</v>
      </c>
    </row>
    <row r="519" spans="1:4" x14ac:dyDescent="0.25">
      <c r="A519" t="s">
        <v>526</v>
      </c>
      <c r="B519" s="2">
        <v>3.8</v>
      </c>
      <c r="C519" s="3">
        <v>3.9289999999999998</v>
      </c>
      <c r="D519" s="10">
        <v>9.5</v>
      </c>
    </row>
    <row r="520" spans="1:4" x14ac:dyDescent="0.25">
      <c r="A520" t="s">
        <v>527</v>
      </c>
      <c r="B520" s="2">
        <v>3.9</v>
      </c>
      <c r="C520" s="3">
        <v>4.0730000000000004</v>
      </c>
      <c r="D520" s="10">
        <v>9.5</v>
      </c>
    </row>
    <row r="521" spans="1:4" x14ac:dyDescent="0.25">
      <c r="A521" t="s">
        <v>528</v>
      </c>
      <c r="B521" s="2">
        <v>3.9</v>
      </c>
      <c r="C521" s="3">
        <v>3.6890000000000001</v>
      </c>
      <c r="D521" s="10">
        <v>9.5</v>
      </c>
    </row>
    <row r="522" spans="1:4" x14ac:dyDescent="0.25">
      <c r="A522" t="s">
        <v>529</v>
      </c>
      <c r="B522" s="2">
        <v>3.9</v>
      </c>
      <c r="C522" s="3">
        <v>3.976</v>
      </c>
      <c r="D522" s="10">
        <v>9.5</v>
      </c>
    </row>
    <row r="523" spans="1:4" x14ac:dyDescent="0.25">
      <c r="A523" t="s">
        <v>530</v>
      </c>
      <c r="B523" s="2">
        <v>4</v>
      </c>
      <c r="C523" s="3">
        <v>3.9710000000000001</v>
      </c>
      <c r="D523" s="10">
        <v>9.5</v>
      </c>
    </row>
    <row r="524" spans="1:4" x14ac:dyDescent="0.25">
      <c r="A524" t="s">
        <v>531</v>
      </c>
      <c r="B524" s="2">
        <v>4</v>
      </c>
      <c r="C524" s="3">
        <v>3.9820000000000002</v>
      </c>
      <c r="D524" s="10">
        <v>9.5</v>
      </c>
    </row>
    <row r="525" spans="1:4" x14ac:dyDescent="0.25">
      <c r="A525" t="s">
        <v>532</v>
      </c>
      <c r="B525" s="2">
        <v>3.9</v>
      </c>
      <c r="C525" s="3">
        <v>3.9860000000000002</v>
      </c>
      <c r="D525" s="10">
        <v>9.5</v>
      </c>
    </row>
    <row r="526" spans="1:4" x14ac:dyDescent="0.25">
      <c r="A526" t="s">
        <v>533</v>
      </c>
      <c r="B526" s="2">
        <v>4</v>
      </c>
      <c r="C526" s="3">
        <v>3.6970000000000001</v>
      </c>
      <c r="D526" s="10">
        <v>10.42</v>
      </c>
    </row>
    <row r="527" spans="1:4" x14ac:dyDescent="0.25">
      <c r="A527" t="s">
        <v>534</v>
      </c>
      <c r="B527" s="2">
        <v>4.2</v>
      </c>
      <c r="C527" s="3">
        <v>4.3040000000000003</v>
      </c>
      <c r="D527" s="10">
        <v>10.42</v>
      </c>
    </row>
    <row r="528" spans="1:4" x14ac:dyDescent="0.25">
      <c r="A528" t="s">
        <v>535</v>
      </c>
      <c r="B528" s="2">
        <v>4.3</v>
      </c>
      <c r="C528" s="3">
        <v>4.6459999999999999</v>
      </c>
      <c r="D528" s="10">
        <v>10.42</v>
      </c>
    </row>
    <row r="529" spans="1:4" x14ac:dyDescent="0.25">
      <c r="A529" t="s">
        <v>536</v>
      </c>
      <c r="B529" s="2">
        <v>4.3</v>
      </c>
      <c r="C529" s="3">
        <v>4.0709999999999997</v>
      </c>
      <c r="D529" s="10">
        <v>10.42</v>
      </c>
    </row>
    <row r="530" spans="1:4" x14ac:dyDescent="0.25">
      <c r="A530" t="s">
        <v>537</v>
      </c>
      <c r="B530" s="2">
        <v>4.0999999999999996</v>
      </c>
      <c r="C530" s="3">
        <v>4.0810000000000004</v>
      </c>
      <c r="D530" s="10">
        <v>10.42</v>
      </c>
    </row>
    <row r="531" spans="1:4" x14ac:dyDescent="0.25">
      <c r="A531" t="s">
        <v>538</v>
      </c>
      <c r="B531" s="2">
        <v>4</v>
      </c>
      <c r="C531" s="3">
        <v>4.2080000000000002</v>
      </c>
      <c r="D531" s="10">
        <v>10.42</v>
      </c>
    </row>
    <row r="532" spans="1:4" x14ac:dyDescent="0.25">
      <c r="A532" t="s">
        <v>539</v>
      </c>
      <c r="B532" s="2">
        <v>4</v>
      </c>
      <c r="C532" s="3">
        <v>3.7789999999999999</v>
      </c>
      <c r="D532" s="10">
        <v>10.42</v>
      </c>
    </row>
    <row r="533" spans="1:4" x14ac:dyDescent="0.25">
      <c r="A533" t="s">
        <v>540</v>
      </c>
      <c r="B533" s="2">
        <v>3.9</v>
      </c>
      <c r="C533" s="3">
        <v>3.9239999999999999</v>
      </c>
      <c r="D533" s="10">
        <v>10.42</v>
      </c>
    </row>
    <row r="534" spans="1:4" x14ac:dyDescent="0.25">
      <c r="A534" t="s">
        <v>541</v>
      </c>
      <c r="B534" s="2">
        <v>4.0999999999999996</v>
      </c>
      <c r="C534" s="3">
        <v>3.9470000000000001</v>
      </c>
      <c r="D534" s="10">
        <v>10.42</v>
      </c>
    </row>
    <row r="535" spans="1:4" x14ac:dyDescent="0.25">
      <c r="A535" t="s">
        <v>542</v>
      </c>
      <c r="B535" s="2">
        <v>4.2</v>
      </c>
      <c r="C535" s="3">
        <v>4.3120000000000003</v>
      </c>
      <c r="D535" s="10">
        <v>10.42</v>
      </c>
    </row>
    <row r="536" spans="1:4" x14ac:dyDescent="0.25">
      <c r="A536" t="s">
        <v>543</v>
      </c>
      <c r="B536" s="2">
        <v>4.3</v>
      </c>
      <c r="C536" s="3">
        <v>4.3070000000000004</v>
      </c>
      <c r="D536" s="10">
        <v>10.42</v>
      </c>
    </row>
    <row r="537" spans="1:4" x14ac:dyDescent="0.25">
      <c r="A537" t="s">
        <v>544</v>
      </c>
      <c r="B537" s="2">
        <v>4.4000000000000004</v>
      </c>
      <c r="C537" s="3">
        <v>4.431</v>
      </c>
      <c r="D537" s="10">
        <v>10.42</v>
      </c>
    </row>
    <row r="538" spans="1:4" x14ac:dyDescent="0.25">
      <c r="A538" t="s">
        <v>545</v>
      </c>
      <c r="B538" s="2">
        <v>4.4000000000000004</v>
      </c>
      <c r="C538" s="3">
        <v>4.3540000000000001</v>
      </c>
      <c r="D538" s="10">
        <v>11.44</v>
      </c>
    </row>
    <row r="539" spans="1:4" x14ac:dyDescent="0.25">
      <c r="A539" t="s">
        <v>546</v>
      </c>
      <c r="B539" s="2">
        <v>4.2</v>
      </c>
      <c r="C539" s="3">
        <v>4.4859999999999998</v>
      </c>
      <c r="D539" s="10">
        <v>11.44</v>
      </c>
    </row>
    <row r="540" spans="1:4" x14ac:dyDescent="0.25">
      <c r="A540" t="s">
        <v>547</v>
      </c>
      <c r="B540" s="2">
        <v>4.2</v>
      </c>
      <c r="C540" s="3">
        <v>3.77</v>
      </c>
      <c r="D540" s="10">
        <v>11.44</v>
      </c>
    </row>
    <row r="541" spans="1:4" x14ac:dyDescent="0.25">
      <c r="A541" t="s">
        <v>548</v>
      </c>
      <c r="B541" s="2">
        <v>4.0999999999999996</v>
      </c>
      <c r="C541" s="3">
        <v>4.359</v>
      </c>
      <c r="D541" s="10">
        <v>11.44</v>
      </c>
    </row>
    <row r="542" spans="1:4" x14ac:dyDescent="0.25">
      <c r="A542" t="s">
        <v>549</v>
      </c>
      <c r="B542" s="2">
        <v>4.3</v>
      </c>
      <c r="C542" s="3">
        <v>4.0999999999999996</v>
      </c>
      <c r="D542" s="10">
        <v>11.44</v>
      </c>
    </row>
    <row r="543" spans="1:4" x14ac:dyDescent="0.25">
      <c r="A543" t="s">
        <v>550</v>
      </c>
      <c r="B543" s="2">
        <v>4.3</v>
      </c>
      <c r="C543" s="3">
        <v>4.391</v>
      </c>
      <c r="D543" s="10">
        <v>11.44</v>
      </c>
    </row>
    <row r="544" spans="1:4" x14ac:dyDescent="0.25">
      <c r="A544" t="s">
        <v>551</v>
      </c>
      <c r="B544" s="2">
        <v>4.4000000000000004</v>
      </c>
      <c r="C544" s="3">
        <v>4.3259999999999996</v>
      </c>
      <c r="D544" s="10">
        <v>11.44</v>
      </c>
    </row>
    <row r="545" spans="1:4" x14ac:dyDescent="0.25">
      <c r="A545" t="s">
        <v>1249</v>
      </c>
      <c r="C545" s="3">
        <v>4.5890000000000004</v>
      </c>
      <c r="D545" s="10">
        <v>11.44</v>
      </c>
    </row>
    <row r="546" spans="1:4" x14ac:dyDescent="0.25">
      <c r="A546" t="s">
        <v>1250</v>
      </c>
      <c r="D546" s="10">
        <v>11.44</v>
      </c>
    </row>
    <row r="547" spans="1:4" x14ac:dyDescent="0.25">
      <c r="A547" t="s">
        <v>1251</v>
      </c>
      <c r="D547" s="10">
        <v>11.44</v>
      </c>
    </row>
    <row r="548" spans="1:4" x14ac:dyDescent="0.25">
      <c r="A548" t="s">
        <v>1252</v>
      </c>
      <c r="D548" s="10">
        <v>11.44</v>
      </c>
    </row>
    <row r="549" spans="1:4" x14ac:dyDescent="0.25">
      <c r="A549" t="s">
        <v>1253</v>
      </c>
      <c r="D549" s="10">
        <v>11.44</v>
      </c>
    </row>
    <row r="550" spans="1:4" x14ac:dyDescent="0.25">
      <c r="A550" t="s">
        <v>1254</v>
      </c>
      <c r="D550" s="10">
        <v>12.21</v>
      </c>
    </row>
    <row r="551" spans="1:4" x14ac:dyDescent="0.25">
      <c r="A551" t="s">
        <v>1255</v>
      </c>
      <c r="D551" s="10">
        <v>12.21</v>
      </c>
    </row>
    <row r="552" spans="1:4" x14ac:dyDescent="0.25">
      <c r="A552" t="s">
        <v>1256</v>
      </c>
      <c r="D552" s="10">
        <v>12.21</v>
      </c>
    </row>
    <row r="553" spans="1:4" x14ac:dyDescent="0.25">
      <c r="A553" t="s">
        <v>1257</v>
      </c>
      <c r="D553" s="10">
        <v>12.21</v>
      </c>
    </row>
    <row r="554" spans="1:4" x14ac:dyDescent="0.25">
      <c r="A554" t="s">
        <v>1258</v>
      </c>
      <c r="D554" s="10">
        <v>12.21</v>
      </c>
    </row>
    <row r="555" spans="1:4" x14ac:dyDescent="0.25">
      <c r="A555" t="s">
        <v>1259</v>
      </c>
      <c r="D555" s="10">
        <v>12.21</v>
      </c>
    </row>
    <row r="556" spans="1:4" x14ac:dyDescent="0.25">
      <c r="A556" t="s">
        <v>1260</v>
      </c>
      <c r="D556" s="10">
        <v>12.21</v>
      </c>
    </row>
    <row r="557" spans="1:4" x14ac:dyDescent="0.25">
      <c r="A557" t="s">
        <v>1261</v>
      </c>
      <c r="D557" s="10">
        <v>12.21</v>
      </c>
    </row>
    <row r="558" spans="1:4" x14ac:dyDescent="0.25">
      <c r="A558" t="s">
        <v>1262</v>
      </c>
      <c r="D558" s="10">
        <v>12.21</v>
      </c>
    </row>
    <row r="559" spans="1:4" x14ac:dyDescent="0.25">
      <c r="A559" t="s">
        <v>1263</v>
      </c>
      <c r="D559" s="10">
        <v>12.21</v>
      </c>
    </row>
    <row r="560" spans="1:4" x14ac:dyDescent="0.25">
      <c r="A560" t="s">
        <v>1264</v>
      </c>
      <c r="D560" s="10">
        <v>12.21</v>
      </c>
    </row>
    <row r="561" spans="1:4" x14ac:dyDescent="0.25">
      <c r="A561" t="s">
        <v>1265</v>
      </c>
      <c r="D561" s="10">
        <v>12.21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0AF0-4B61-46EA-879B-333619947148}">
  <sheetPr codeName="Sheet9"/>
  <dimension ref="A1:BH187"/>
  <sheetViews>
    <sheetView workbookViewId="0">
      <pane xSplit="1" ySplit="7" topLeftCell="AQ169" activePane="bottomRight" state="frozen"/>
      <selection pane="topRight" activeCell="B1" sqref="B1"/>
      <selection pane="bottomLeft" activeCell="A7" sqref="A7"/>
      <selection pane="bottomRight" activeCell="BD187" sqref="BD187"/>
    </sheetView>
  </sheetViews>
  <sheetFormatPr defaultRowHeight="15" x14ac:dyDescent="0.25"/>
  <cols>
    <col min="2" max="60" width="15.85546875" customWidth="1"/>
  </cols>
  <sheetData>
    <row r="1" spans="1:60" x14ac:dyDescent="0.25">
      <c r="V1" s="8">
        <f>AVERAGE(V$180:V$183)</f>
        <v>2596.75</v>
      </c>
      <c r="AN1" s="8">
        <f>AVERAGE(AN$180:AN$183)</f>
        <v>30807.75</v>
      </c>
      <c r="AT1" s="10">
        <f>V1/(V1+AN1)</f>
        <v>7.7736532503105873E-2</v>
      </c>
      <c r="AU1" s="10">
        <f>1-AT1</f>
        <v>0.92226346749689414</v>
      </c>
    </row>
    <row r="2" spans="1:60" x14ac:dyDescent="0.25">
      <c r="A2" s="1" t="s">
        <v>564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753</v>
      </c>
      <c r="G2" s="7" t="s">
        <v>755</v>
      </c>
      <c r="H2" s="7" t="s">
        <v>756</v>
      </c>
      <c r="I2" s="7" t="s">
        <v>757</v>
      </c>
      <c r="J2" s="7" t="s">
        <v>563</v>
      </c>
      <c r="K2" t="s">
        <v>761</v>
      </c>
      <c r="L2" t="s">
        <v>762</v>
      </c>
      <c r="M2" t="s">
        <v>763</v>
      </c>
      <c r="N2" t="s">
        <v>764</v>
      </c>
      <c r="O2" t="s">
        <v>765</v>
      </c>
      <c r="P2" t="s">
        <v>766</v>
      </c>
      <c r="Q2" t="s">
        <v>767</v>
      </c>
      <c r="R2" t="s">
        <v>768</v>
      </c>
      <c r="S2" t="s">
        <v>778</v>
      </c>
      <c r="T2" t="s">
        <v>779</v>
      </c>
      <c r="U2" t="s">
        <v>780</v>
      </c>
      <c r="V2" t="s">
        <v>781</v>
      </c>
      <c r="W2" t="s">
        <v>782</v>
      </c>
      <c r="X2" t="s">
        <v>783</v>
      </c>
      <c r="Y2" t="s">
        <v>784</v>
      </c>
      <c r="Z2" t="s">
        <v>786</v>
      </c>
      <c r="AA2" t="s">
        <v>787</v>
      </c>
      <c r="AB2" t="s">
        <v>788</v>
      </c>
      <c r="AC2" t="s">
        <v>789</v>
      </c>
      <c r="AD2" t="s">
        <v>790</v>
      </c>
      <c r="AE2" t="s">
        <v>791</v>
      </c>
      <c r="AF2" t="s">
        <v>792</v>
      </c>
      <c r="AG2" t="s">
        <v>793</v>
      </c>
      <c r="AH2" t="s">
        <v>794</v>
      </c>
      <c r="AI2" t="s">
        <v>795</v>
      </c>
      <c r="AJ2" t="s">
        <v>796</v>
      </c>
      <c r="AK2" t="s">
        <v>797</v>
      </c>
      <c r="AL2" t="s">
        <v>819</v>
      </c>
      <c r="AM2" t="s">
        <v>820</v>
      </c>
      <c r="AN2" t="s">
        <v>785</v>
      </c>
      <c r="AO2" t="s">
        <v>1266</v>
      </c>
      <c r="AP2" t="s">
        <v>1268</v>
      </c>
      <c r="AQ2" s="7" t="s">
        <v>1291</v>
      </c>
      <c r="AR2" t="s">
        <v>1267</v>
      </c>
      <c r="AS2" t="s">
        <v>1269</v>
      </c>
      <c r="AT2" t="s">
        <v>1270</v>
      </c>
      <c r="AU2" t="s">
        <v>1271</v>
      </c>
      <c r="AV2" t="s">
        <v>1292</v>
      </c>
      <c r="AW2" s="7" t="s">
        <v>1295</v>
      </c>
      <c r="AX2" s="7" t="s">
        <v>1298</v>
      </c>
      <c r="AY2" s="7" t="s">
        <v>1299</v>
      </c>
      <c r="AZ2" s="7" t="s">
        <v>1301</v>
      </c>
      <c r="BA2" s="7" t="s">
        <v>1303</v>
      </c>
      <c r="BB2" s="7" t="s">
        <v>1307</v>
      </c>
      <c r="BC2" s="7" t="s">
        <v>1311</v>
      </c>
      <c r="BD2" s="7" t="s">
        <v>1308</v>
      </c>
      <c r="BE2" s="7" t="s">
        <v>1429</v>
      </c>
      <c r="BF2" s="7" t="s">
        <v>1316</v>
      </c>
      <c r="BG2" s="7" t="s">
        <v>1315</v>
      </c>
      <c r="BH2" s="7" t="s">
        <v>1268</v>
      </c>
    </row>
    <row r="3" spans="1:60" s="4" customFormat="1" ht="105" x14ac:dyDescent="0.25">
      <c r="A3" s="4" t="s">
        <v>8</v>
      </c>
      <c r="B3" s="4" t="s">
        <v>569</v>
      </c>
      <c r="C3" s="4" t="s">
        <v>571</v>
      </c>
      <c r="D3" s="4" t="s">
        <v>572</v>
      </c>
      <c r="E3" s="4" t="s">
        <v>573</v>
      </c>
      <c r="F3" s="4" t="s">
        <v>754</v>
      </c>
      <c r="G3" s="4" t="s">
        <v>758</v>
      </c>
      <c r="H3" s="4" t="s">
        <v>759</v>
      </c>
      <c r="I3" s="4" t="s">
        <v>760</v>
      </c>
      <c r="J3" s="4" t="s">
        <v>574</v>
      </c>
      <c r="K3" s="4" t="s">
        <v>769</v>
      </c>
      <c r="L3" s="4" t="s">
        <v>770</v>
      </c>
      <c r="M3" s="4" t="s">
        <v>771</v>
      </c>
      <c r="N3" s="4" t="s">
        <v>772</v>
      </c>
      <c r="O3" s="4" t="s">
        <v>773</v>
      </c>
      <c r="P3" s="4" t="s">
        <v>774</v>
      </c>
      <c r="Q3" s="4" t="s">
        <v>775</v>
      </c>
      <c r="R3" s="4" t="s">
        <v>776</v>
      </c>
      <c r="S3" s="4" t="s">
        <v>799</v>
      </c>
      <c r="T3" s="4" t="s">
        <v>800</v>
      </c>
      <c r="U3" s="4" t="s">
        <v>801</v>
      </c>
      <c r="V3" s="4" t="s">
        <v>802</v>
      </c>
      <c r="W3" s="4" t="s">
        <v>803</v>
      </c>
      <c r="X3" s="4" t="s">
        <v>804</v>
      </c>
      <c r="Y3" s="4" t="s">
        <v>805</v>
      </c>
      <c r="Z3" s="4" t="s">
        <v>807</v>
      </c>
      <c r="AA3" s="4" t="s">
        <v>808</v>
      </c>
      <c r="AB3" s="4" t="s">
        <v>809</v>
      </c>
      <c r="AC3" s="4" t="s">
        <v>810</v>
      </c>
      <c r="AD3" s="4" t="s">
        <v>811</v>
      </c>
      <c r="AE3" s="4" t="s">
        <v>812</v>
      </c>
      <c r="AF3" s="4" t="s">
        <v>813</v>
      </c>
      <c r="AG3" s="4" t="s">
        <v>814</v>
      </c>
      <c r="AH3" s="4" t="s">
        <v>815</v>
      </c>
      <c r="AI3" s="4" t="s">
        <v>816</v>
      </c>
      <c r="AJ3" s="4" t="s">
        <v>817</v>
      </c>
      <c r="AK3" s="4" t="s">
        <v>818</v>
      </c>
      <c r="AL3" s="4" t="s">
        <v>821</v>
      </c>
      <c r="AM3" s="4" t="s">
        <v>822</v>
      </c>
      <c r="AN3" s="4" t="s">
        <v>806</v>
      </c>
      <c r="AO3" s="4" t="s">
        <v>1274</v>
      </c>
      <c r="AP3" s="4" t="s">
        <v>1277</v>
      </c>
      <c r="AQ3" s="4" t="s">
        <v>11</v>
      </c>
      <c r="AR3" s="4" t="s">
        <v>1279</v>
      </c>
      <c r="AS3" s="4" t="s">
        <v>1283</v>
      </c>
      <c r="AT3" s="4" t="s">
        <v>1288</v>
      </c>
      <c r="AU3" s="4" t="s">
        <v>1289</v>
      </c>
      <c r="AV3" s="4" t="s">
        <v>1294</v>
      </c>
      <c r="AW3" s="4" t="s">
        <v>1296</v>
      </c>
      <c r="AX3" s="4" t="s">
        <v>1297</v>
      </c>
      <c r="AY3" s="4" t="s">
        <v>1300</v>
      </c>
      <c r="AZ3" s="4" t="s">
        <v>1302</v>
      </c>
      <c r="BA3" s="4" t="s">
        <v>1305</v>
      </c>
      <c r="BB3" s="4" t="s">
        <v>1306</v>
      </c>
      <c r="BC3" s="4" t="s">
        <v>1312</v>
      </c>
      <c r="BD3" s="4" t="s">
        <v>1310</v>
      </c>
      <c r="BE3" s="4" t="s">
        <v>1430</v>
      </c>
      <c r="BF3" s="4" t="s">
        <v>1313</v>
      </c>
      <c r="BG3" s="4" t="s">
        <v>1314</v>
      </c>
      <c r="BH3" s="4" t="s">
        <v>1277</v>
      </c>
    </row>
    <row r="4" spans="1:60" x14ac:dyDescent="0.25">
      <c r="A4" t="s">
        <v>7</v>
      </c>
      <c r="B4" t="s">
        <v>568</v>
      </c>
      <c r="C4" t="s">
        <v>570</v>
      </c>
      <c r="D4" t="s">
        <v>570</v>
      </c>
      <c r="E4" t="s">
        <v>570</v>
      </c>
      <c r="F4" t="s">
        <v>570</v>
      </c>
      <c r="G4" t="s">
        <v>570</v>
      </c>
      <c r="H4" t="s">
        <v>570</v>
      </c>
      <c r="I4" t="s">
        <v>570</v>
      </c>
      <c r="J4" t="s">
        <v>570</v>
      </c>
      <c r="K4" t="s">
        <v>570</v>
      </c>
      <c r="L4" t="s">
        <v>570</v>
      </c>
      <c r="M4" t="s">
        <v>570</v>
      </c>
      <c r="N4" t="s">
        <v>570</v>
      </c>
      <c r="O4" t="s">
        <v>570</v>
      </c>
      <c r="P4" t="s">
        <v>570</v>
      </c>
      <c r="Q4" t="s">
        <v>570</v>
      </c>
      <c r="R4" t="s">
        <v>570</v>
      </c>
      <c r="S4" t="s">
        <v>798</v>
      </c>
      <c r="T4" t="s">
        <v>777</v>
      </c>
      <c r="U4" t="s">
        <v>777</v>
      </c>
      <c r="V4" t="s">
        <v>777</v>
      </c>
      <c r="W4" t="s">
        <v>777</v>
      </c>
      <c r="X4" t="s">
        <v>777</v>
      </c>
      <c r="Y4" t="s">
        <v>777</v>
      </c>
      <c r="Z4" t="s">
        <v>777</v>
      </c>
      <c r="AA4" t="s">
        <v>777</v>
      </c>
      <c r="AB4" t="s">
        <v>777</v>
      </c>
      <c r="AC4" t="s">
        <v>777</v>
      </c>
      <c r="AD4" t="s">
        <v>777</v>
      </c>
      <c r="AE4" t="s">
        <v>777</v>
      </c>
      <c r="AF4" t="s">
        <v>777</v>
      </c>
      <c r="AG4" t="s">
        <v>777</v>
      </c>
      <c r="AH4" t="s">
        <v>777</v>
      </c>
      <c r="AI4" t="s">
        <v>777</v>
      </c>
      <c r="AJ4" t="s">
        <v>777</v>
      </c>
      <c r="AK4" t="s">
        <v>777</v>
      </c>
      <c r="AL4" t="s">
        <v>777</v>
      </c>
      <c r="AM4" t="s">
        <v>777</v>
      </c>
      <c r="AN4" t="s">
        <v>777</v>
      </c>
      <c r="AO4" t="s">
        <v>1273</v>
      </c>
      <c r="AP4" t="s">
        <v>1276</v>
      </c>
      <c r="AQ4" t="s">
        <v>1276</v>
      </c>
      <c r="AR4" t="s">
        <v>1278</v>
      </c>
      <c r="AS4" t="s">
        <v>1282</v>
      </c>
      <c r="AT4" t="s">
        <v>1287</v>
      </c>
      <c r="AU4" t="s">
        <v>1287</v>
      </c>
      <c r="AV4" t="s">
        <v>1293</v>
      </c>
      <c r="AW4" t="s">
        <v>1276</v>
      </c>
      <c r="AX4" t="s">
        <v>1276</v>
      </c>
      <c r="AY4" t="s">
        <v>1276</v>
      </c>
      <c r="AZ4" t="s">
        <v>1293</v>
      </c>
      <c r="BA4" t="s">
        <v>1304</v>
      </c>
      <c r="BB4" t="s">
        <v>1276</v>
      </c>
      <c r="BC4" t="s">
        <v>1293</v>
      </c>
      <c r="BD4" t="s">
        <v>1309</v>
      </c>
      <c r="BE4" t="s">
        <v>798</v>
      </c>
      <c r="BF4" t="s">
        <v>1293</v>
      </c>
      <c r="BG4" t="s">
        <v>1293</v>
      </c>
      <c r="BH4" t="s">
        <v>1276</v>
      </c>
    </row>
    <row r="5" spans="1:60" x14ac:dyDescent="0.25">
      <c r="A5" t="s">
        <v>6</v>
      </c>
      <c r="B5" t="s">
        <v>567</v>
      </c>
      <c r="C5" t="s">
        <v>567</v>
      </c>
      <c r="D5" t="s">
        <v>567</v>
      </c>
      <c r="E5" t="s">
        <v>567</v>
      </c>
      <c r="F5" t="s">
        <v>567</v>
      </c>
      <c r="G5" t="s">
        <v>567</v>
      </c>
      <c r="H5" t="s">
        <v>567</v>
      </c>
      <c r="I5" t="s">
        <v>567</v>
      </c>
      <c r="J5" t="s">
        <v>567</v>
      </c>
      <c r="K5" t="s">
        <v>567</v>
      </c>
      <c r="L5" t="s">
        <v>567</v>
      </c>
      <c r="M5" t="s">
        <v>567</v>
      </c>
      <c r="N5" t="s">
        <v>567</v>
      </c>
      <c r="O5" t="s">
        <v>567</v>
      </c>
      <c r="P5" t="s">
        <v>567</v>
      </c>
      <c r="Q5" t="s">
        <v>567</v>
      </c>
      <c r="R5" t="s">
        <v>567</v>
      </c>
      <c r="S5" t="s">
        <v>567</v>
      </c>
      <c r="T5" t="s">
        <v>567</v>
      </c>
      <c r="U5" t="s">
        <v>567</v>
      </c>
      <c r="V5" t="s">
        <v>567</v>
      </c>
      <c r="W5" t="s">
        <v>567</v>
      </c>
      <c r="X5" t="s">
        <v>567</v>
      </c>
      <c r="Y5" t="s">
        <v>567</v>
      </c>
      <c r="Z5" t="s">
        <v>567</v>
      </c>
      <c r="AA5" t="s">
        <v>567</v>
      </c>
      <c r="AB5" t="s">
        <v>567</v>
      </c>
      <c r="AC5" t="s">
        <v>567</v>
      </c>
      <c r="AD5" t="s">
        <v>567</v>
      </c>
      <c r="AE5" t="s">
        <v>567</v>
      </c>
      <c r="AF5" t="s">
        <v>567</v>
      </c>
      <c r="AG5" t="s">
        <v>567</v>
      </c>
      <c r="AH5" t="s">
        <v>567</v>
      </c>
      <c r="AI5" t="s">
        <v>567</v>
      </c>
      <c r="AJ5" t="s">
        <v>567</v>
      </c>
      <c r="AK5" t="s">
        <v>567</v>
      </c>
      <c r="AL5" t="s">
        <v>567</v>
      </c>
      <c r="AM5" t="s">
        <v>567</v>
      </c>
      <c r="AN5" t="s">
        <v>567</v>
      </c>
      <c r="AO5" t="s">
        <v>1529</v>
      </c>
      <c r="AP5" t="s">
        <v>567</v>
      </c>
      <c r="AQ5" t="s">
        <v>567</v>
      </c>
      <c r="AR5" t="s">
        <v>567</v>
      </c>
      <c r="AS5" t="s">
        <v>1272</v>
      </c>
      <c r="AT5" t="s">
        <v>1286</v>
      </c>
      <c r="AU5" t="s">
        <v>1286</v>
      </c>
      <c r="AV5" t="s">
        <v>567</v>
      </c>
      <c r="AW5" t="s">
        <v>567</v>
      </c>
      <c r="AX5" t="s">
        <v>567</v>
      </c>
      <c r="AY5" t="s">
        <v>567</v>
      </c>
      <c r="AZ5" t="s">
        <v>567</v>
      </c>
      <c r="BA5" t="s">
        <v>1272</v>
      </c>
      <c r="BB5" t="s">
        <v>567</v>
      </c>
      <c r="BC5" t="s">
        <v>567</v>
      </c>
      <c r="BD5" t="s">
        <v>1529</v>
      </c>
      <c r="BE5" t="s">
        <v>567</v>
      </c>
      <c r="BF5" t="s">
        <v>567</v>
      </c>
      <c r="BG5" t="s">
        <v>567</v>
      </c>
      <c r="BH5" t="s">
        <v>567</v>
      </c>
    </row>
    <row r="6" spans="1:60" x14ac:dyDescent="0.25">
      <c r="A6" t="s">
        <v>5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9</v>
      </c>
      <c r="AO6" t="s">
        <v>9</v>
      </c>
      <c r="AP6" t="s">
        <v>9</v>
      </c>
      <c r="AQ6" t="s">
        <v>9</v>
      </c>
      <c r="AR6" t="s">
        <v>9</v>
      </c>
      <c r="AS6" t="s">
        <v>1281</v>
      </c>
      <c r="AT6" t="s">
        <v>1285</v>
      </c>
      <c r="AU6" t="s">
        <v>1285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  <c r="BD6" t="s">
        <v>9</v>
      </c>
      <c r="BE6" t="s">
        <v>9</v>
      </c>
      <c r="BF6" t="s">
        <v>9</v>
      </c>
      <c r="BG6" t="s">
        <v>9</v>
      </c>
      <c r="BH6" t="s">
        <v>9</v>
      </c>
    </row>
    <row r="7" spans="1:60" x14ac:dyDescent="0.25">
      <c r="A7" t="s">
        <v>4</v>
      </c>
      <c r="B7" t="s">
        <v>566</v>
      </c>
      <c r="C7" t="s">
        <v>566</v>
      </c>
      <c r="D7" t="s">
        <v>566</v>
      </c>
      <c r="E7" t="s">
        <v>566</v>
      </c>
      <c r="F7" t="s">
        <v>566</v>
      </c>
      <c r="G7" t="s">
        <v>566</v>
      </c>
      <c r="H7" t="s">
        <v>566</v>
      </c>
      <c r="I7" t="s">
        <v>566</v>
      </c>
      <c r="J7" t="s">
        <v>566</v>
      </c>
      <c r="K7" t="s">
        <v>566</v>
      </c>
      <c r="L7" t="s">
        <v>566</v>
      </c>
      <c r="M7" t="s">
        <v>12</v>
      </c>
      <c r="N7" t="s">
        <v>566</v>
      </c>
      <c r="O7" t="s">
        <v>566</v>
      </c>
      <c r="P7" t="s">
        <v>566</v>
      </c>
      <c r="Q7" t="s">
        <v>566</v>
      </c>
      <c r="R7" t="s">
        <v>566</v>
      </c>
      <c r="S7" t="s">
        <v>566</v>
      </c>
      <c r="T7" t="s">
        <v>566</v>
      </c>
      <c r="U7" t="s">
        <v>566</v>
      </c>
      <c r="V7" t="s">
        <v>566</v>
      </c>
      <c r="W7" t="s">
        <v>566</v>
      </c>
      <c r="X7" t="s">
        <v>566</v>
      </c>
      <c r="Y7" t="s">
        <v>566</v>
      </c>
      <c r="Z7" t="s">
        <v>566</v>
      </c>
      <c r="AA7" t="s">
        <v>566</v>
      </c>
      <c r="AB7" t="s">
        <v>566</v>
      </c>
      <c r="AC7" t="s">
        <v>566</v>
      </c>
      <c r="AD7" t="s">
        <v>566</v>
      </c>
      <c r="AE7" t="s">
        <v>566</v>
      </c>
      <c r="AF7" t="s">
        <v>566</v>
      </c>
      <c r="AG7" t="s">
        <v>566</v>
      </c>
      <c r="AH7" t="s">
        <v>566</v>
      </c>
      <c r="AI7" t="s">
        <v>566</v>
      </c>
      <c r="AJ7" t="s">
        <v>566</v>
      </c>
      <c r="AK7" t="s">
        <v>566</v>
      </c>
      <c r="AL7" t="s">
        <v>566</v>
      </c>
      <c r="AM7" t="s">
        <v>566</v>
      </c>
      <c r="AN7" t="s">
        <v>566</v>
      </c>
      <c r="AO7" t="s">
        <v>1528</v>
      </c>
      <c r="AP7" t="s">
        <v>1275</v>
      </c>
      <c r="AQ7" t="s">
        <v>566</v>
      </c>
      <c r="AR7" t="s">
        <v>566</v>
      </c>
      <c r="AS7" t="s">
        <v>1280</v>
      </c>
      <c r="AT7" t="s">
        <v>1284</v>
      </c>
      <c r="AU7" t="s">
        <v>1284</v>
      </c>
      <c r="AV7" t="s">
        <v>566</v>
      </c>
      <c r="AW7" t="s">
        <v>566</v>
      </c>
      <c r="AX7" t="s">
        <v>566</v>
      </c>
      <c r="AY7" t="s">
        <v>566</v>
      </c>
      <c r="AZ7" t="s">
        <v>566</v>
      </c>
      <c r="BA7" t="s">
        <v>1530</v>
      </c>
      <c r="BB7" t="s">
        <v>566</v>
      </c>
      <c r="BC7" t="s">
        <v>566</v>
      </c>
      <c r="BD7" t="s">
        <v>1528</v>
      </c>
      <c r="BE7" t="s">
        <v>566</v>
      </c>
      <c r="BF7" t="s">
        <v>566</v>
      </c>
      <c r="BG7" t="s">
        <v>566</v>
      </c>
      <c r="BH7" t="s">
        <v>1275</v>
      </c>
    </row>
    <row r="8" spans="1:60" x14ac:dyDescent="0.25">
      <c r="A8" t="s">
        <v>565</v>
      </c>
      <c r="B8" s="8" t="e">
        <v>#N/A</v>
      </c>
      <c r="C8" s="8" t="e">
        <v>#N/A</v>
      </c>
      <c r="D8" s="8" t="e">
        <v>#N/A</v>
      </c>
      <c r="E8" s="8" t="e">
        <v>#N/A</v>
      </c>
      <c r="F8" s="8" t="e">
        <v>#N/A</v>
      </c>
      <c r="G8" s="2" t="e">
        <v>#N/A</v>
      </c>
      <c r="H8" s="2" t="e">
        <v>#N/A</v>
      </c>
      <c r="I8" s="2" t="e">
        <v>#N/A</v>
      </c>
      <c r="J8" s="2" t="e">
        <v>#N/A</v>
      </c>
      <c r="K8" s="8" t="e">
        <v>#N/A</v>
      </c>
      <c r="L8" s="8" t="e">
        <v>#N/A</v>
      </c>
      <c r="M8" s="8" t="e">
        <v>#N/A</v>
      </c>
      <c r="N8" s="8" t="e">
        <v>#N/A</v>
      </c>
      <c r="O8" s="8" t="e">
        <v>#N/A</v>
      </c>
      <c r="P8" s="8" t="e">
        <v>#N/A</v>
      </c>
      <c r="Q8" s="8" t="e">
        <v>#N/A</v>
      </c>
      <c r="R8" s="8" t="e">
        <v>#N/A</v>
      </c>
      <c r="S8" s="8">
        <v>27465</v>
      </c>
      <c r="T8" s="8">
        <v>509</v>
      </c>
      <c r="U8" s="8">
        <v>373</v>
      </c>
      <c r="V8" s="8">
        <v>6541</v>
      </c>
      <c r="W8" s="8">
        <v>259</v>
      </c>
      <c r="X8" s="8">
        <v>156</v>
      </c>
      <c r="Y8" s="8">
        <v>1962</v>
      </c>
      <c r="Z8" s="8">
        <v>4153</v>
      </c>
      <c r="AA8" s="8">
        <v>1408</v>
      </c>
      <c r="AB8" s="8">
        <v>1257</v>
      </c>
      <c r="AC8" s="8">
        <v>791</v>
      </c>
      <c r="AD8" s="8">
        <v>853</v>
      </c>
      <c r="AE8" s="8">
        <v>176</v>
      </c>
      <c r="AF8" s="8">
        <v>1023</v>
      </c>
      <c r="AG8" s="8">
        <v>1120</v>
      </c>
      <c r="AH8" s="8">
        <v>1992</v>
      </c>
      <c r="AI8" s="8">
        <v>1747</v>
      </c>
      <c r="AJ8" s="8">
        <v>2025</v>
      </c>
      <c r="AK8" s="8">
        <v>510</v>
      </c>
      <c r="AL8" s="8">
        <v>610</v>
      </c>
      <c r="AM8" s="8">
        <v>0</v>
      </c>
      <c r="AN8" s="8">
        <v>17664</v>
      </c>
      <c r="AO8" s="8" t="e">
        <v>#N/A</v>
      </c>
      <c r="AP8" s="8">
        <v>1558</v>
      </c>
      <c r="AQ8" s="2">
        <v>5.8</v>
      </c>
      <c r="AR8" s="2" t="e">
        <v>#N/A</v>
      </c>
      <c r="AS8" s="2" t="e">
        <v>#N/A</v>
      </c>
      <c r="AT8" s="8" t="e">
        <v>#N/A</v>
      </c>
      <c r="AU8" s="8" t="e">
        <v>#N/A</v>
      </c>
      <c r="AV8" s="8" t="e">
        <v>#N/A</v>
      </c>
      <c r="AW8" s="8">
        <v>42610</v>
      </c>
      <c r="AX8" s="2">
        <v>62.9</v>
      </c>
      <c r="AY8" s="2">
        <v>71.5</v>
      </c>
      <c r="AZ8" s="2" t="e">
        <v>#N/A</v>
      </c>
      <c r="BA8" s="8" t="e">
        <v>#N/A</v>
      </c>
      <c r="BB8" s="8">
        <v>25250</v>
      </c>
      <c r="BC8" s="8" t="e">
        <v>#N/A</v>
      </c>
      <c r="BD8" s="8" t="e">
        <v>#N/A</v>
      </c>
      <c r="BE8" s="8">
        <v>25010</v>
      </c>
      <c r="BF8" s="8" t="e">
        <v>#N/A</v>
      </c>
      <c r="BG8" s="8" t="e">
        <v>#N/A</v>
      </c>
      <c r="BH8" s="8">
        <v>1558</v>
      </c>
    </row>
    <row r="9" spans="1:60" x14ac:dyDescent="0.25">
      <c r="A9" t="s">
        <v>575</v>
      </c>
      <c r="B9" s="8" t="e">
        <v>#N/A</v>
      </c>
      <c r="C9" s="8" t="e">
        <v>#N/A</v>
      </c>
      <c r="D9" s="8" t="e">
        <v>#N/A</v>
      </c>
      <c r="E9" s="8" t="e">
        <v>#N/A</v>
      </c>
      <c r="F9" s="8" t="e">
        <v>#N/A</v>
      </c>
      <c r="G9" s="2" t="e">
        <v>#N/A</v>
      </c>
      <c r="H9" s="2" t="e">
        <v>#N/A</v>
      </c>
      <c r="I9" s="2" t="e">
        <v>#N/A</v>
      </c>
      <c r="J9" s="2" t="e">
        <v>#N/A</v>
      </c>
      <c r="K9" s="8" t="e">
        <v>#N/A</v>
      </c>
      <c r="L9" s="8" t="e">
        <v>#N/A</v>
      </c>
      <c r="M9" s="8" t="e">
        <v>#N/A</v>
      </c>
      <c r="N9" s="8" t="e">
        <v>#N/A</v>
      </c>
      <c r="O9" s="8" t="e">
        <v>#N/A</v>
      </c>
      <c r="P9" s="8" t="e">
        <v>#N/A</v>
      </c>
      <c r="Q9" s="8" t="e">
        <v>#N/A</v>
      </c>
      <c r="R9" s="8" t="e">
        <v>#N/A</v>
      </c>
      <c r="S9" s="8">
        <v>27369</v>
      </c>
      <c r="T9" s="8">
        <v>510</v>
      </c>
      <c r="U9" s="8">
        <v>368</v>
      </c>
      <c r="V9" s="8">
        <v>6423</v>
      </c>
      <c r="W9" s="8">
        <v>260</v>
      </c>
      <c r="X9" s="8">
        <v>155</v>
      </c>
      <c r="Y9" s="8">
        <v>1962</v>
      </c>
      <c r="Z9" s="8">
        <v>4151</v>
      </c>
      <c r="AA9" s="8">
        <v>1406</v>
      </c>
      <c r="AB9" s="8">
        <v>1265</v>
      </c>
      <c r="AC9" s="8">
        <v>787</v>
      </c>
      <c r="AD9" s="8">
        <v>860</v>
      </c>
      <c r="AE9" s="8">
        <v>177</v>
      </c>
      <c r="AF9" s="8">
        <v>1031</v>
      </c>
      <c r="AG9" s="8">
        <v>1126</v>
      </c>
      <c r="AH9" s="8">
        <v>1983</v>
      </c>
      <c r="AI9" s="8">
        <v>1740</v>
      </c>
      <c r="AJ9" s="8">
        <v>2044</v>
      </c>
      <c r="AK9" s="8">
        <v>510</v>
      </c>
      <c r="AL9" s="8">
        <v>611</v>
      </c>
      <c r="AM9" s="8">
        <v>0</v>
      </c>
      <c r="AN9" s="8">
        <v>17691</v>
      </c>
      <c r="AO9" s="8" t="e">
        <v>#N/A</v>
      </c>
      <c r="AP9" s="8">
        <v>1700</v>
      </c>
      <c r="AQ9" s="2">
        <v>6.3</v>
      </c>
      <c r="AR9" s="2" t="e">
        <v>#N/A</v>
      </c>
      <c r="AS9" s="2" t="e">
        <v>#N/A</v>
      </c>
      <c r="AT9" s="8" t="e">
        <v>#N/A</v>
      </c>
      <c r="AU9" s="8" t="e">
        <v>#N/A</v>
      </c>
      <c r="AV9" s="8" t="e">
        <v>#N/A</v>
      </c>
      <c r="AW9" s="8">
        <v>42699</v>
      </c>
      <c r="AX9" s="2">
        <v>63</v>
      </c>
      <c r="AY9" s="2">
        <v>71.2</v>
      </c>
      <c r="AZ9" s="2" t="e">
        <v>#N/A</v>
      </c>
      <c r="BA9" s="8" t="e">
        <v>#N/A</v>
      </c>
      <c r="BB9" s="8">
        <v>25190</v>
      </c>
      <c r="BC9" s="8" t="e">
        <v>#N/A</v>
      </c>
      <c r="BD9" s="8" t="e">
        <v>#N/A</v>
      </c>
      <c r="BE9" s="8">
        <v>24879</v>
      </c>
      <c r="BF9" s="8" t="e">
        <v>#N/A</v>
      </c>
      <c r="BG9" s="8" t="e">
        <v>#N/A</v>
      </c>
      <c r="BH9" s="8">
        <v>1700</v>
      </c>
    </row>
    <row r="10" spans="1:60" x14ac:dyDescent="0.25">
      <c r="A10" t="s">
        <v>576</v>
      </c>
      <c r="B10" s="8" t="e">
        <v>#N/A</v>
      </c>
      <c r="C10" s="8" t="e">
        <v>#N/A</v>
      </c>
      <c r="D10" s="8" t="e">
        <v>#N/A</v>
      </c>
      <c r="E10" s="8" t="e">
        <v>#N/A</v>
      </c>
      <c r="F10" s="8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8" t="e">
        <v>#N/A</v>
      </c>
      <c r="L10" s="8" t="e">
        <v>#N/A</v>
      </c>
      <c r="M10" s="8" t="e">
        <v>#N/A</v>
      </c>
      <c r="N10" s="8" t="e">
        <v>#N/A</v>
      </c>
      <c r="O10" s="8" t="e">
        <v>#N/A</v>
      </c>
      <c r="P10" s="8" t="e">
        <v>#N/A</v>
      </c>
      <c r="Q10" s="8" t="e">
        <v>#N/A</v>
      </c>
      <c r="R10" s="8" t="e">
        <v>#N/A</v>
      </c>
      <c r="S10" s="8">
        <v>27108</v>
      </c>
      <c r="T10" s="8">
        <v>513</v>
      </c>
      <c r="U10" s="8">
        <v>365</v>
      </c>
      <c r="V10" s="8">
        <v>6228</v>
      </c>
      <c r="W10" s="8">
        <v>262</v>
      </c>
      <c r="X10" s="8">
        <v>155</v>
      </c>
      <c r="Y10" s="8">
        <v>1951</v>
      </c>
      <c r="Z10" s="8">
        <v>4096</v>
      </c>
      <c r="AA10" s="8">
        <v>1398</v>
      </c>
      <c r="AB10" s="8">
        <v>1258</v>
      </c>
      <c r="AC10" s="8">
        <v>777</v>
      </c>
      <c r="AD10" s="8">
        <v>874</v>
      </c>
      <c r="AE10" s="8">
        <v>177</v>
      </c>
      <c r="AF10" s="8">
        <v>1029</v>
      </c>
      <c r="AG10" s="8">
        <v>1122</v>
      </c>
      <c r="AH10" s="8">
        <v>1984</v>
      </c>
      <c r="AI10" s="8">
        <v>1740</v>
      </c>
      <c r="AJ10" s="8">
        <v>2058</v>
      </c>
      <c r="AK10" s="8">
        <v>510</v>
      </c>
      <c r="AL10" s="8">
        <v>611</v>
      </c>
      <c r="AM10" s="8">
        <v>0</v>
      </c>
      <c r="AN10" s="8">
        <v>17634</v>
      </c>
      <c r="AO10" s="8" t="e">
        <v>#N/A</v>
      </c>
      <c r="AP10" s="8">
        <v>1905</v>
      </c>
      <c r="AQ10" s="2">
        <v>7.1</v>
      </c>
      <c r="AR10" s="2" t="e">
        <v>#N/A</v>
      </c>
      <c r="AS10" s="2" t="e">
        <v>#N/A</v>
      </c>
      <c r="AT10" s="8" t="e">
        <v>#N/A</v>
      </c>
      <c r="AU10" s="8" t="e">
        <v>#N/A</v>
      </c>
      <c r="AV10" s="8" t="e">
        <v>#N/A</v>
      </c>
      <c r="AW10" s="8">
        <v>42784</v>
      </c>
      <c r="AX10" s="2">
        <v>63</v>
      </c>
      <c r="AY10" s="2">
        <v>70.7</v>
      </c>
      <c r="AZ10" s="2" t="e">
        <v>#N/A</v>
      </c>
      <c r="BA10" s="8" t="e">
        <v>#N/A</v>
      </c>
      <c r="BB10" s="8">
        <v>25050</v>
      </c>
      <c r="BC10" s="8" t="e">
        <v>#N/A</v>
      </c>
      <c r="BD10" s="8" t="e">
        <v>#N/A</v>
      </c>
      <c r="BE10" s="8">
        <v>24581</v>
      </c>
      <c r="BF10" s="8" t="e">
        <v>#N/A</v>
      </c>
      <c r="BG10" s="8" t="e">
        <v>#N/A</v>
      </c>
      <c r="BH10" s="8">
        <v>1905</v>
      </c>
    </row>
    <row r="11" spans="1:60" x14ac:dyDescent="0.25">
      <c r="A11" t="s">
        <v>577</v>
      </c>
      <c r="B11" s="8" t="e">
        <v>#N/A</v>
      </c>
      <c r="C11" s="8" t="e">
        <v>#N/A</v>
      </c>
      <c r="D11" s="8" t="e">
        <v>#N/A</v>
      </c>
      <c r="E11" s="8" t="e">
        <v>#N/A</v>
      </c>
      <c r="F11" s="8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8" t="e">
        <v>#N/A</v>
      </c>
      <c r="L11" s="8" t="e">
        <v>#N/A</v>
      </c>
      <c r="M11" s="8" t="e">
        <v>#N/A</v>
      </c>
      <c r="N11" s="8" t="e">
        <v>#N/A</v>
      </c>
      <c r="O11" s="8" t="e">
        <v>#N/A</v>
      </c>
      <c r="P11" s="8" t="e">
        <v>#N/A</v>
      </c>
      <c r="Q11" s="8" t="e">
        <v>#N/A</v>
      </c>
      <c r="R11" s="8" t="e">
        <v>#N/A</v>
      </c>
      <c r="S11" s="8">
        <v>26813</v>
      </c>
      <c r="T11" s="8">
        <v>503</v>
      </c>
      <c r="U11" s="8">
        <v>359</v>
      </c>
      <c r="V11" s="8">
        <v>6045</v>
      </c>
      <c r="W11" s="8">
        <v>261</v>
      </c>
      <c r="X11" s="8">
        <v>154</v>
      </c>
      <c r="Y11" s="8">
        <v>1921</v>
      </c>
      <c r="Z11" s="8">
        <v>4055</v>
      </c>
      <c r="AA11" s="8">
        <v>1384</v>
      </c>
      <c r="AB11" s="8">
        <v>1261</v>
      </c>
      <c r="AC11" s="8">
        <v>767</v>
      </c>
      <c r="AD11" s="8">
        <v>876</v>
      </c>
      <c r="AE11" s="8">
        <v>177</v>
      </c>
      <c r="AF11" s="8">
        <v>1027</v>
      </c>
      <c r="AG11" s="8">
        <v>1114</v>
      </c>
      <c r="AH11" s="8">
        <v>1979</v>
      </c>
      <c r="AI11" s="8">
        <v>1723</v>
      </c>
      <c r="AJ11" s="8">
        <v>2077</v>
      </c>
      <c r="AK11" s="8">
        <v>514</v>
      </c>
      <c r="AL11" s="8">
        <v>615</v>
      </c>
      <c r="AM11" s="8">
        <v>0</v>
      </c>
      <c r="AN11" s="8">
        <v>17570</v>
      </c>
      <c r="AO11" s="8" t="e">
        <v>#N/A</v>
      </c>
      <c r="AP11" s="8">
        <v>2169</v>
      </c>
      <c r="AQ11" s="2">
        <v>8</v>
      </c>
      <c r="AR11" s="2" t="e">
        <v>#N/A</v>
      </c>
      <c r="AS11" s="2" t="e">
        <v>#N/A</v>
      </c>
      <c r="AT11" s="8" t="e">
        <v>#N/A</v>
      </c>
      <c r="AU11" s="8" t="e">
        <v>#N/A</v>
      </c>
      <c r="AV11" s="8" t="e">
        <v>#N/A</v>
      </c>
      <c r="AW11" s="8">
        <v>42862</v>
      </c>
      <c r="AX11" s="2">
        <v>63.1</v>
      </c>
      <c r="AY11" s="2">
        <v>69.900000000000006</v>
      </c>
      <c r="AZ11" s="2" t="e">
        <v>#N/A</v>
      </c>
      <c r="BA11" s="8" t="e">
        <v>#N/A</v>
      </c>
      <c r="BB11" s="8">
        <v>24855</v>
      </c>
      <c r="BC11" s="8" t="e">
        <v>#N/A</v>
      </c>
      <c r="BD11" s="8" t="e">
        <v>#N/A</v>
      </c>
      <c r="BE11" s="8">
        <v>24254</v>
      </c>
      <c r="BF11" s="8" t="e">
        <v>#N/A</v>
      </c>
      <c r="BG11" s="8" t="e">
        <v>#N/A</v>
      </c>
      <c r="BH11" s="8">
        <v>2169</v>
      </c>
    </row>
    <row r="12" spans="1:60" x14ac:dyDescent="0.25">
      <c r="A12" t="s">
        <v>578</v>
      </c>
      <c r="B12" s="8" t="e">
        <v>#N/A</v>
      </c>
      <c r="C12" s="8" t="e">
        <v>#N/A</v>
      </c>
      <c r="D12" s="8" t="e">
        <v>#N/A</v>
      </c>
      <c r="E12" s="8" t="e">
        <v>#N/A</v>
      </c>
      <c r="F12" s="8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8" t="e">
        <v>#N/A</v>
      </c>
      <c r="L12" s="8" t="e">
        <v>#N/A</v>
      </c>
      <c r="M12" s="8" t="e">
        <v>#N/A</v>
      </c>
      <c r="N12" s="8" t="e">
        <v>#N/A</v>
      </c>
      <c r="O12" s="8" t="e">
        <v>#N/A</v>
      </c>
      <c r="P12" s="8" t="e">
        <v>#N/A</v>
      </c>
      <c r="Q12" s="8" t="e">
        <v>#N/A</v>
      </c>
      <c r="R12" s="8" t="e">
        <v>#N/A</v>
      </c>
      <c r="S12" s="8">
        <v>26551</v>
      </c>
      <c r="T12" s="8">
        <v>503</v>
      </c>
      <c r="U12" s="8">
        <v>349</v>
      </c>
      <c r="V12" s="8">
        <v>5901</v>
      </c>
      <c r="W12" s="8">
        <v>259</v>
      </c>
      <c r="X12" s="8">
        <v>152</v>
      </c>
      <c r="Y12" s="8">
        <v>1893</v>
      </c>
      <c r="Z12" s="8">
        <v>4038</v>
      </c>
      <c r="AA12" s="8">
        <v>1369</v>
      </c>
      <c r="AB12" s="8">
        <v>1250</v>
      </c>
      <c r="AC12" s="8">
        <v>757</v>
      </c>
      <c r="AD12" s="8">
        <v>879</v>
      </c>
      <c r="AE12" s="8">
        <v>177</v>
      </c>
      <c r="AF12" s="8">
        <v>1024</v>
      </c>
      <c r="AG12" s="8">
        <v>1107</v>
      </c>
      <c r="AH12" s="8">
        <v>1968</v>
      </c>
      <c r="AI12" s="8">
        <v>1712</v>
      </c>
      <c r="AJ12" s="8">
        <v>2090</v>
      </c>
      <c r="AK12" s="8">
        <v>511</v>
      </c>
      <c r="AL12" s="8">
        <v>613</v>
      </c>
      <c r="AM12" s="8">
        <v>0</v>
      </c>
      <c r="AN12" s="8">
        <v>17494</v>
      </c>
      <c r="AO12" s="8" t="e">
        <v>#N/A</v>
      </c>
      <c r="AP12" s="8">
        <v>2403</v>
      </c>
      <c r="AQ12" s="2">
        <v>8.9</v>
      </c>
      <c r="AR12" s="2" t="e">
        <v>#N/A</v>
      </c>
      <c r="AS12" s="2" t="e">
        <v>#N/A</v>
      </c>
      <c r="AT12" s="8" t="e">
        <v>#N/A</v>
      </c>
      <c r="AU12" s="8" t="e">
        <v>#N/A</v>
      </c>
      <c r="AV12" s="8" t="e">
        <v>#N/A</v>
      </c>
      <c r="AW12" s="8">
        <v>42940</v>
      </c>
      <c r="AX12" s="2">
        <v>63</v>
      </c>
      <c r="AY12" s="2">
        <v>69.3</v>
      </c>
      <c r="AZ12" s="2" t="e">
        <v>#N/A</v>
      </c>
      <c r="BA12" s="8" t="e">
        <v>#N/A</v>
      </c>
      <c r="BB12" s="8">
        <v>24661</v>
      </c>
      <c r="BC12" s="8" t="e">
        <v>#N/A</v>
      </c>
      <c r="BD12" s="8" t="e">
        <v>#N/A</v>
      </c>
      <c r="BE12" s="8">
        <v>23962</v>
      </c>
      <c r="BF12" s="8" t="e">
        <v>#N/A</v>
      </c>
      <c r="BG12" s="8" t="e">
        <v>#N/A</v>
      </c>
      <c r="BH12" s="8">
        <v>2403</v>
      </c>
    </row>
    <row r="13" spans="1:60" x14ac:dyDescent="0.25">
      <c r="A13" t="s">
        <v>579</v>
      </c>
      <c r="B13" s="8" t="e">
        <v>#N/A</v>
      </c>
      <c r="C13" s="8" t="e">
        <v>#N/A</v>
      </c>
      <c r="D13" s="8" t="e">
        <v>#N/A</v>
      </c>
      <c r="E13" s="8" t="e">
        <v>#N/A</v>
      </c>
      <c r="F13" s="8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8" t="e">
        <v>#N/A</v>
      </c>
      <c r="L13" s="8" t="e">
        <v>#N/A</v>
      </c>
      <c r="M13" s="8" t="e">
        <v>#N/A</v>
      </c>
      <c r="N13" s="8" t="e">
        <v>#N/A</v>
      </c>
      <c r="O13" s="8" t="e">
        <v>#N/A</v>
      </c>
      <c r="P13" s="8" t="e">
        <v>#N/A</v>
      </c>
      <c r="Q13" s="8" t="e">
        <v>#N/A</v>
      </c>
      <c r="R13" s="8" t="e">
        <v>#N/A</v>
      </c>
      <c r="S13" s="8">
        <v>26348</v>
      </c>
      <c r="T13" s="8">
        <v>492</v>
      </c>
      <c r="U13" s="8">
        <v>347</v>
      </c>
      <c r="V13" s="8">
        <v>5789</v>
      </c>
      <c r="W13" s="8">
        <v>257</v>
      </c>
      <c r="X13" s="8">
        <v>150</v>
      </c>
      <c r="Y13" s="8">
        <v>1863</v>
      </c>
      <c r="Z13" s="8">
        <v>4035</v>
      </c>
      <c r="AA13" s="8">
        <v>1359</v>
      </c>
      <c r="AB13" s="8">
        <v>1234</v>
      </c>
      <c r="AC13" s="8">
        <v>751</v>
      </c>
      <c r="AD13" s="8">
        <v>878</v>
      </c>
      <c r="AE13" s="8">
        <v>177</v>
      </c>
      <c r="AF13" s="8">
        <v>1025</v>
      </c>
      <c r="AG13" s="8">
        <v>1101</v>
      </c>
      <c r="AH13" s="8">
        <v>1958</v>
      </c>
      <c r="AI13" s="8">
        <v>1715</v>
      </c>
      <c r="AJ13" s="8">
        <v>2098</v>
      </c>
      <c r="AK13" s="8">
        <v>508</v>
      </c>
      <c r="AL13" s="8">
        <v>611</v>
      </c>
      <c r="AM13" s="8">
        <v>0</v>
      </c>
      <c r="AN13" s="8">
        <v>17450</v>
      </c>
      <c r="AO13" s="8" t="e">
        <v>#N/A</v>
      </c>
      <c r="AP13" s="8">
        <v>2588</v>
      </c>
      <c r="AQ13" s="2">
        <v>9.6</v>
      </c>
      <c r="AR13" s="2" t="e">
        <v>#N/A</v>
      </c>
      <c r="AS13" s="2" t="e">
        <v>#N/A</v>
      </c>
      <c r="AT13" s="8" t="e">
        <v>#N/A</v>
      </c>
      <c r="AU13" s="8" t="e">
        <v>#N/A</v>
      </c>
      <c r="AV13" s="8" t="e">
        <v>#N/A</v>
      </c>
      <c r="AW13" s="8">
        <v>43017</v>
      </c>
      <c r="AX13" s="2">
        <v>63</v>
      </c>
      <c r="AY13" s="2">
        <v>68.7</v>
      </c>
      <c r="AZ13" s="2" t="e">
        <v>#N/A</v>
      </c>
      <c r="BA13" s="8" t="e">
        <v>#N/A</v>
      </c>
      <c r="BB13" s="8">
        <v>24495</v>
      </c>
      <c r="BC13" s="8" t="e">
        <v>#N/A</v>
      </c>
      <c r="BD13" s="8" t="e">
        <v>#N/A</v>
      </c>
      <c r="BE13" s="8">
        <v>23728</v>
      </c>
      <c r="BF13" s="8" t="e">
        <v>#N/A</v>
      </c>
      <c r="BG13" s="8" t="e">
        <v>#N/A</v>
      </c>
      <c r="BH13" s="8">
        <v>2588</v>
      </c>
    </row>
    <row r="14" spans="1:60" x14ac:dyDescent="0.25">
      <c r="A14" t="s">
        <v>580</v>
      </c>
      <c r="B14" s="8" t="e">
        <v>#N/A</v>
      </c>
      <c r="C14" s="8" t="e">
        <v>#N/A</v>
      </c>
      <c r="D14" s="8" t="e">
        <v>#N/A</v>
      </c>
      <c r="E14" s="8" t="e">
        <v>#N/A</v>
      </c>
      <c r="F14" s="8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8" t="e">
        <v>#N/A</v>
      </c>
      <c r="L14" s="8" t="e">
        <v>#N/A</v>
      </c>
      <c r="M14" s="8" t="e">
        <v>#N/A</v>
      </c>
      <c r="N14" s="8" t="e">
        <v>#N/A</v>
      </c>
      <c r="O14" s="8" t="e">
        <v>#N/A</v>
      </c>
      <c r="P14" s="8" t="e">
        <v>#N/A</v>
      </c>
      <c r="Q14" s="8" t="e">
        <v>#N/A</v>
      </c>
      <c r="R14" s="8" t="e">
        <v>#N/A</v>
      </c>
      <c r="S14" s="8">
        <v>26240</v>
      </c>
      <c r="T14" s="8">
        <v>485</v>
      </c>
      <c r="U14" s="8">
        <v>343</v>
      </c>
      <c r="V14" s="8">
        <v>5714</v>
      </c>
      <c r="W14" s="8">
        <v>257</v>
      </c>
      <c r="X14" s="8">
        <v>149</v>
      </c>
      <c r="Y14" s="8">
        <v>1829</v>
      </c>
      <c r="Z14" s="8">
        <v>4040</v>
      </c>
      <c r="AA14" s="8">
        <v>1352</v>
      </c>
      <c r="AB14" s="8">
        <v>1244</v>
      </c>
      <c r="AC14" s="8">
        <v>745</v>
      </c>
      <c r="AD14" s="8">
        <v>874</v>
      </c>
      <c r="AE14" s="8">
        <v>178</v>
      </c>
      <c r="AF14" s="8">
        <v>1033</v>
      </c>
      <c r="AG14" s="8">
        <v>1106</v>
      </c>
      <c r="AH14" s="8">
        <v>1947</v>
      </c>
      <c r="AI14" s="8">
        <v>1715</v>
      </c>
      <c r="AJ14" s="8">
        <v>2111</v>
      </c>
      <c r="AK14" s="8">
        <v>508</v>
      </c>
      <c r="AL14" s="8">
        <v>610</v>
      </c>
      <c r="AM14" s="8">
        <v>0</v>
      </c>
      <c r="AN14" s="8">
        <v>17463</v>
      </c>
      <c r="AO14" s="8" t="e">
        <v>#N/A</v>
      </c>
      <c r="AP14" s="8">
        <v>2684</v>
      </c>
      <c r="AQ14" s="2">
        <v>9.9</v>
      </c>
      <c r="AR14" s="2" t="e">
        <v>#N/A</v>
      </c>
      <c r="AS14" s="2" t="e">
        <v>#N/A</v>
      </c>
      <c r="AT14" s="8" t="e">
        <v>#N/A</v>
      </c>
      <c r="AU14" s="8" t="e">
        <v>#N/A</v>
      </c>
      <c r="AV14" s="8" t="e">
        <v>#N/A</v>
      </c>
      <c r="AW14" s="8">
        <v>43084</v>
      </c>
      <c r="AX14" s="2">
        <v>62.8</v>
      </c>
      <c r="AY14" s="2">
        <v>68.2</v>
      </c>
      <c r="AZ14" s="2" t="e">
        <v>#N/A</v>
      </c>
      <c r="BA14" s="8" t="e">
        <v>#N/A</v>
      </c>
      <c r="BB14" s="8">
        <v>24355</v>
      </c>
      <c r="BC14" s="8" t="e">
        <v>#N/A</v>
      </c>
      <c r="BD14" s="8" t="e">
        <v>#N/A</v>
      </c>
      <c r="BE14" s="8">
        <v>23605</v>
      </c>
      <c r="BF14" s="8" t="e">
        <v>#N/A</v>
      </c>
      <c r="BG14" s="8" t="e">
        <v>#N/A</v>
      </c>
      <c r="BH14" s="8">
        <v>2684</v>
      </c>
    </row>
    <row r="15" spans="1:60" x14ac:dyDescent="0.25">
      <c r="A15" t="s">
        <v>581</v>
      </c>
      <c r="B15" s="8" t="e">
        <v>#N/A</v>
      </c>
      <c r="C15" s="8" t="e">
        <v>#N/A</v>
      </c>
      <c r="D15" s="8" t="e">
        <v>#N/A</v>
      </c>
      <c r="E15" s="8" t="e">
        <v>#N/A</v>
      </c>
      <c r="F15" s="8" t="e">
        <v>#N/A</v>
      </c>
      <c r="G15" s="2" t="e">
        <v>#N/A</v>
      </c>
      <c r="H15" s="2" t="e">
        <v>#N/A</v>
      </c>
      <c r="I15" s="2" t="e">
        <v>#N/A</v>
      </c>
      <c r="J15" s="2" t="e">
        <v>#N/A</v>
      </c>
      <c r="K15" s="8" t="e">
        <v>#N/A</v>
      </c>
      <c r="L15" s="8" t="e">
        <v>#N/A</v>
      </c>
      <c r="M15" s="8" t="e">
        <v>#N/A</v>
      </c>
      <c r="N15" s="8" t="e">
        <v>#N/A</v>
      </c>
      <c r="O15" s="8" t="e">
        <v>#N/A</v>
      </c>
      <c r="P15" s="8" t="e">
        <v>#N/A</v>
      </c>
      <c r="Q15" s="8" t="e">
        <v>#N/A</v>
      </c>
      <c r="R15" s="8" t="e">
        <v>#N/A</v>
      </c>
      <c r="S15" s="8">
        <v>26046</v>
      </c>
      <c r="T15" s="8">
        <v>484</v>
      </c>
      <c r="U15" s="8">
        <v>338</v>
      </c>
      <c r="V15" s="8">
        <v>5628</v>
      </c>
      <c r="W15" s="8">
        <v>254</v>
      </c>
      <c r="X15" s="8">
        <v>148</v>
      </c>
      <c r="Y15" s="8">
        <v>1801</v>
      </c>
      <c r="Z15" s="8">
        <v>3993</v>
      </c>
      <c r="AA15" s="8">
        <v>1339</v>
      </c>
      <c r="AB15" s="8">
        <v>1260</v>
      </c>
      <c r="AC15" s="8">
        <v>742</v>
      </c>
      <c r="AD15" s="8">
        <v>875</v>
      </c>
      <c r="AE15" s="8">
        <v>178</v>
      </c>
      <c r="AF15" s="8">
        <v>1031</v>
      </c>
      <c r="AG15" s="8">
        <v>1106</v>
      </c>
      <c r="AH15" s="8">
        <v>1938</v>
      </c>
      <c r="AI15" s="8">
        <v>1708</v>
      </c>
      <c r="AJ15" s="8">
        <v>2103</v>
      </c>
      <c r="AK15" s="8">
        <v>510</v>
      </c>
      <c r="AL15" s="8">
        <v>612</v>
      </c>
      <c r="AM15" s="8">
        <v>0</v>
      </c>
      <c r="AN15" s="8">
        <v>17394</v>
      </c>
      <c r="AO15" s="8" t="e">
        <v>#N/A</v>
      </c>
      <c r="AP15" s="8">
        <v>2761</v>
      </c>
      <c r="AQ15" s="2">
        <v>10.199999999999999</v>
      </c>
      <c r="AR15" s="2" t="e">
        <v>#N/A</v>
      </c>
      <c r="AS15" s="2" t="e">
        <v>#N/A</v>
      </c>
      <c r="AT15" s="8" t="e">
        <v>#N/A</v>
      </c>
      <c r="AU15" s="8" t="e">
        <v>#N/A</v>
      </c>
      <c r="AV15" s="8" t="e">
        <v>#N/A</v>
      </c>
      <c r="AW15" s="8">
        <v>43130</v>
      </c>
      <c r="AX15" s="2">
        <v>62.5</v>
      </c>
      <c r="AY15" s="2">
        <v>67.7</v>
      </c>
      <c r="AZ15" s="2" t="e">
        <v>#N/A</v>
      </c>
      <c r="BA15" s="8" t="e">
        <v>#N/A</v>
      </c>
      <c r="BB15" s="8">
        <v>24209</v>
      </c>
      <c r="BC15" s="8" t="e">
        <v>#N/A</v>
      </c>
      <c r="BD15" s="8" t="e">
        <v>#N/A</v>
      </c>
      <c r="BE15" s="8">
        <v>23402</v>
      </c>
      <c r="BF15" s="8" t="e">
        <v>#N/A</v>
      </c>
      <c r="BG15" s="8" t="e">
        <v>#N/A</v>
      </c>
      <c r="BH15" s="8">
        <v>2761</v>
      </c>
    </row>
    <row r="16" spans="1:60" x14ac:dyDescent="0.25">
      <c r="A16" t="s">
        <v>582</v>
      </c>
      <c r="B16" s="8" t="e">
        <v>#N/A</v>
      </c>
      <c r="C16" s="8" t="e">
        <v>#N/A</v>
      </c>
      <c r="D16" s="8" t="e">
        <v>#N/A</v>
      </c>
      <c r="E16" s="8" t="e">
        <v>#N/A</v>
      </c>
      <c r="F16" s="8" t="e">
        <v>#N/A</v>
      </c>
      <c r="G16" s="2" t="e">
        <v>#N/A</v>
      </c>
      <c r="H16" s="2" t="e">
        <v>#N/A</v>
      </c>
      <c r="I16" s="2" t="e">
        <v>#N/A</v>
      </c>
      <c r="J16" s="2" t="e">
        <v>#N/A</v>
      </c>
      <c r="K16" s="8" t="e">
        <v>#N/A</v>
      </c>
      <c r="L16" s="8" t="e">
        <v>#N/A</v>
      </c>
      <c r="M16" s="8" t="e">
        <v>#N/A</v>
      </c>
      <c r="N16" s="8" t="e">
        <v>#N/A</v>
      </c>
      <c r="O16" s="8" t="e">
        <v>#N/A</v>
      </c>
      <c r="P16" s="8" t="e">
        <v>#N/A</v>
      </c>
      <c r="Q16" s="8" t="e">
        <v>#N/A</v>
      </c>
      <c r="R16" s="8" t="e">
        <v>#N/A</v>
      </c>
      <c r="S16" s="8">
        <v>25997</v>
      </c>
      <c r="T16" s="8">
        <v>484</v>
      </c>
      <c r="U16" s="8">
        <v>334</v>
      </c>
      <c r="V16" s="8">
        <v>5570</v>
      </c>
      <c r="W16" s="8">
        <v>250</v>
      </c>
      <c r="X16" s="8">
        <v>148</v>
      </c>
      <c r="Y16" s="8">
        <v>1800</v>
      </c>
      <c r="Z16" s="8">
        <v>3989</v>
      </c>
      <c r="AA16" s="8">
        <v>1333</v>
      </c>
      <c r="AB16" s="8">
        <v>1271</v>
      </c>
      <c r="AC16" s="8">
        <v>740</v>
      </c>
      <c r="AD16" s="8">
        <v>874</v>
      </c>
      <c r="AE16" s="8">
        <v>179</v>
      </c>
      <c r="AF16" s="8">
        <v>1034</v>
      </c>
      <c r="AG16" s="8">
        <v>1111</v>
      </c>
      <c r="AH16" s="8">
        <v>1921</v>
      </c>
      <c r="AI16" s="8">
        <v>1707</v>
      </c>
      <c r="AJ16" s="8">
        <v>2122</v>
      </c>
      <c r="AK16" s="8">
        <v>514</v>
      </c>
      <c r="AL16" s="8">
        <v>616</v>
      </c>
      <c r="AM16" s="8">
        <v>0</v>
      </c>
      <c r="AN16" s="8">
        <v>17411</v>
      </c>
      <c r="AO16" s="8" t="e">
        <v>#N/A</v>
      </c>
      <c r="AP16" s="8">
        <v>2803</v>
      </c>
      <c r="AQ16" s="2">
        <v>10.4</v>
      </c>
      <c r="AR16" s="2" t="e">
        <v>#N/A</v>
      </c>
      <c r="AS16" s="2" t="e">
        <v>#N/A</v>
      </c>
      <c r="AT16" s="8" t="e">
        <v>#N/A</v>
      </c>
      <c r="AU16" s="8" t="e">
        <v>#N/A</v>
      </c>
      <c r="AV16" s="8" t="e">
        <v>#N/A</v>
      </c>
      <c r="AW16" s="8">
        <v>43176</v>
      </c>
      <c r="AX16" s="2">
        <v>62.4</v>
      </c>
      <c r="AY16" s="2">
        <v>67.400000000000006</v>
      </c>
      <c r="AZ16" s="2" t="e">
        <v>#N/A</v>
      </c>
      <c r="BA16" s="8" t="e">
        <v>#N/A</v>
      </c>
      <c r="BB16" s="8">
        <v>24120</v>
      </c>
      <c r="BC16" s="8" t="e">
        <v>#N/A</v>
      </c>
      <c r="BD16" s="8" t="e">
        <v>#N/A</v>
      </c>
      <c r="BE16" s="8">
        <v>23343</v>
      </c>
      <c r="BF16" s="8" t="e">
        <v>#N/A</v>
      </c>
      <c r="BG16" s="8" t="e">
        <v>#N/A</v>
      </c>
      <c r="BH16" s="8">
        <v>2803</v>
      </c>
    </row>
    <row r="17" spans="1:60" x14ac:dyDescent="0.25">
      <c r="A17" t="s">
        <v>583</v>
      </c>
      <c r="B17" s="8" t="e">
        <v>#N/A</v>
      </c>
      <c r="C17" s="8" t="e">
        <v>#N/A</v>
      </c>
      <c r="D17" s="8" t="e">
        <v>#N/A</v>
      </c>
      <c r="E17" s="8" t="e">
        <v>#N/A</v>
      </c>
      <c r="F17" s="8" t="e">
        <v>#N/A</v>
      </c>
      <c r="G17" s="2" t="e">
        <v>#N/A</v>
      </c>
      <c r="H17" s="2" t="e">
        <v>#N/A</v>
      </c>
      <c r="I17" s="2" t="e">
        <v>#N/A</v>
      </c>
      <c r="J17" s="2" t="e">
        <v>#N/A</v>
      </c>
      <c r="K17" s="8" t="e">
        <v>#N/A</v>
      </c>
      <c r="L17" s="8" t="e">
        <v>#N/A</v>
      </c>
      <c r="M17" s="8" t="e">
        <v>#N/A</v>
      </c>
      <c r="N17" s="8" t="e">
        <v>#N/A</v>
      </c>
      <c r="O17" s="8" t="e">
        <v>#N/A</v>
      </c>
      <c r="P17" s="8" t="e">
        <v>#N/A</v>
      </c>
      <c r="Q17" s="8" t="e">
        <v>#N/A</v>
      </c>
      <c r="R17" s="8" t="e">
        <v>#N/A</v>
      </c>
      <c r="S17" s="8">
        <v>25900</v>
      </c>
      <c r="T17" s="8">
        <v>488</v>
      </c>
      <c r="U17" s="8">
        <v>329</v>
      </c>
      <c r="V17" s="8">
        <v>5472</v>
      </c>
      <c r="W17" s="8">
        <v>248</v>
      </c>
      <c r="X17" s="8">
        <v>146</v>
      </c>
      <c r="Y17" s="8">
        <v>1809</v>
      </c>
      <c r="Z17" s="8">
        <v>3975</v>
      </c>
      <c r="AA17" s="8">
        <v>1325</v>
      </c>
      <c r="AB17" s="8">
        <v>1268</v>
      </c>
      <c r="AC17" s="8">
        <v>739</v>
      </c>
      <c r="AD17" s="8">
        <v>873</v>
      </c>
      <c r="AE17" s="8">
        <v>181</v>
      </c>
      <c r="AF17" s="8">
        <v>1048</v>
      </c>
      <c r="AG17" s="8">
        <v>1119</v>
      </c>
      <c r="AH17" s="8">
        <v>1916</v>
      </c>
      <c r="AI17" s="8">
        <v>1706</v>
      </c>
      <c r="AJ17" s="8">
        <v>2129</v>
      </c>
      <c r="AK17" s="8">
        <v>514</v>
      </c>
      <c r="AL17" s="8">
        <v>617</v>
      </c>
      <c r="AM17" s="8">
        <v>0</v>
      </c>
      <c r="AN17" s="8">
        <v>17409</v>
      </c>
      <c r="AO17" s="8" t="e">
        <v>#N/A</v>
      </c>
      <c r="AP17" s="8">
        <v>2841</v>
      </c>
      <c r="AQ17" s="2">
        <v>10.6</v>
      </c>
      <c r="AR17" s="2" t="e">
        <v>#N/A</v>
      </c>
      <c r="AS17" s="2" t="e">
        <v>#N/A</v>
      </c>
      <c r="AT17" s="8" t="e">
        <v>#N/A</v>
      </c>
      <c r="AU17" s="8" t="e">
        <v>#N/A</v>
      </c>
      <c r="AV17" s="8" t="e">
        <v>#N/A</v>
      </c>
      <c r="AW17" s="8">
        <v>43222</v>
      </c>
      <c r="AX17" s="2">
        <v>62.2</v>
      </c>
      <c r="AY17" s="2">
        <v>67.099999999999994</v>
      </c>
      <c r="AZ17" s="2" t="e">
        <v>#N/A</v>
      </c>
      <c r="BA17" s="8" t="e">
        <v>#N/A</v>
      </c>
      <c r="BB17" s="8">
        <v>24027</v>
      </c>
      <c r="BC17" s="8" t="e">
        <v>#N/A</v>
      </c>
      <c r="BD17" s="8" t="e">
        <v>#N/A</v>
      </c>
      <c r="BE17" s="8">
        <v>23237</v>
      </c>
      <c r="BF17" s="8" t="e">
        <v>#N/A</v>
      </c>
      <c r="BG17" s="8" t="e">
        <v>#N/A</v>
      </c>
      <c r="BH17" s="8">
        <v>2841</v>
      </c>
    </row>
    <row r="18" spans="1:60" x14ac:dyDescent="0.25">
      <c r="A18" t="s">
        <v>584</v>
      </c>
      <c r="B18" s="8" t="e">
        <v>#N/A</v>
      </c>
      <c r="C18" s="8" t="e">
        <v>#N/A</v>
      </c>
      <c r="D18" s="8" t="e">
        <v>#N/A</v>
      </c>
      <c r="E18" s="8" t="e">
        <v>#N/A</v>
      </c>
      <c r="F18" s="8" t="e">
        <v>#N/A</v>
      </c>
      <c r="G18" s="2" t="e">
        <v>#N/A</v>
      </c>
      <c r="H18" s="2" t="e">
        <v>#N/A</v>
      </c>
      <c r="I18" s="2" t="e">
        <v>#N/A</v>
      </c>
      <c r="J18" s="2" t="e">
        <v>#N/A</v>
      </c>
      <c r="K18" s="8" t="e">
        <v>#N/A</v>
      </c>
      <c r="L18" s="8" t="e">
        <v>#N/A</v>
      </c>
      <c r="M18" s="8" t="e">
        <v>#N/A</v>
      </c>
      <c r="N18" s="8" t="e">
        <v>#N/A</v>
      </c>
      <c r="O18" s="8" t="e">
        <v>#N/A</v>
      </c>
      <c r="P18" s="8" t="e">
        <v>#N/A</v>
      </c>
      <c r="Q18" s="8" t="e">
        <v>#N/A</v>
      </c>
      <c r="R18" s="8" t="e">
        <v>#N/A</v>
      </c>
      <c r="S18" s="8">
        <v>25779</v>
      </c>
      <c r="T18" s="8">
        <v>485</v>
      </c>
      <c r="U18" s="8">
        <v>325</v>
      </c>
      <c r="V18" s="8">
        <v>5381</v>
      </c>
      <c r="W18" s="8">
        <v>246</v>
      </c>
      <c r="X18" s="8">
        <v>145</v>
      </c>
      <c r="Y18" s="8">
        <v>1803</v>
      </c>
      <c r="Z18" s="8">
        <v>3952</v>
      </c>
      <c r="AA18" s="8">
        <v>1312</v>
      </c>
      <c r="AB18" s="8">
        <v>1256</v>
      </c>
      <c r="AC18" s="8">
        <v>730</v>
      </c>
      <c r="AD18" s="8">
        <v>884</v>
      </c>
      <c r="AE18" s="8">
        <v>181</v>
      </c>
      <c r="AF18" s="8">
        <v>1049</v>
      </c>
      <c r="AG18" s="8">
        <v>1116</v>
      </c>
      <c r="AH18" s="8">
        <v>1910</v>
      </c>
      <c r="AI18" s="8">
        <v>1710</v>
      </c>
      <c r="AJ18" s="8">
        <v>2168</v>
      </c>
      <c r="AK18" s="8">
        <v>513</v>
      </c>
      <c r="AL18" s="8">
        <v>614</v>
      </c>
      <c r="AM18" s="8">
        <v>0</v>
      </c>
      <c r="AN18" s="8">
        <v>17394</v>
      </c>
      <c r="AO18" s="8" t="e">
        <v>#N/A</v>
      </c>
      <c r="AP18" s="8">
        <v>2897</v>
      </c>
      <c r="AQ18" s="2">
        <v>10.8</v>
      </c>
      <c r="AR18" s="2" t="e">
        <v>#N/A</v>
      </c>
      <c r="AS18" s="2" t="e">
        <v>#N/A</v>
      </c>
      <c r="AT18" s="8" t="e">
        <v>#N/A</v>
      </c>
      <c r="AU18" s="8" t="e">
        <v>#N/A</v>
      </c>
      <c r="AV18" s="8" t="e">
        <v>#N/A</v>
      </c>
      <c r="AW18" s="8">
        <v>43274</v>
      </c>
      <c r="AX18" s="2">
        <v>61.9</v>
      </c>
      <c r="AY18" s="2">
        <v>66.599999999999994</v>
      </c>
      <c r="AZ18" s="2" t="e">
        <v>#N/A</v>
      </c>
      <c r="BA18" s="8" t="e">
        <v>#N/A</v>
      </c>
      <c r="BB18" s="8">
        <v>23901</v>
      </c>
      <c r="BC18" s="8" t="e">
        <v>#N/A</v>
      </c>
      <c r="BD18" s="8" t="e">
        <v>#N/A</v>
      </c>
      <c r="BE18" s="8">
        <v>23105</v>
      </c>
      <c r="BF18" s="8" t="e">
        <v>#N/A</v>
      </c>
      <c r="BG18" s="8" t="e">
        <v>#N/A</v>
      </c>
      <c r="BH18" s="8">
        <v>2897</v>
      </c>
    </row>
    <row r="19" spans="1:60" x14ac:dyDescent="0.25">
      <c r="A19" t="s">
        <v>585</v>
      </c>
      <c r="B19" s="8" t="e">
        <v>#N/A</v>
      </c>
      <c r="C19" s="8" t="e">
        <v>#N/A</v>
      </c>
      <c r="D19" s="8" t="e">
        <v>#N/A</v>
      </c>
      <c r="E19" s="8" t="e">
        <v>#N/A</v>
      </c>
      <c r="F19" s="8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8" t="e">
        <v>#N/A</v>
      </c>
      <c r="L19" s="8" t="e">
        <v>#N/A</v>
      </c>
      <c r="M19" s="8" t="e">
        <v>#N/A</v>
      </c>
      <c r="N19" s="8" t="e">
        <v>#N/A</v>
      </c>
      <c r="O19" s="8" t="e">
        <v>#N/A</v>
      </c>
      <c r="P19" s="8" t="e">
        <v>#N/A</v>
      </c>
      <c r="Q19" s="8" t="e">
        <v>#N/A</v>
      </c>
      <c r="R19" s="8" t="e">
        <v>#N/A</v>
      </c>
      <c r="S19" s="8">
        <v>25588</v>
      </c>
      <c r="T19" s="8">
        <v>493</v>
      </c>
      <c r="U19" s="8">
        <v>320</v>
      </c>
      <c r="V19" s="8">
        <v>5287</v>
      </c>
      <c r="W19" s="8">
        <v>243</v>
      </c>
      <c r="X19" s="8">
        <v>144</v>
      </c>
      <c r="Y19" s="8">
        <v>1800</v>
      </c>
      <c r="Z19" s="8">
        <v>3914</v>
      </c>
      <c r="AA19" s="8">
        <v>1307</v>
      </c>
      <c r="AB19" s="8">
        <v>1231</v>
      </c>
      <c r="AC19" s="8">
        <v>729</v>
      </c>
      <c r="AD19" s="8">
        <v>888</v>
      </c>
      <c r="AE19" s="8">
        <v>181</v>
      </c>
      <c r="AF19" s="8">
        <v>1049</v>
      </c>
      <c r="AG19" s="8">
        <v>1122</v>
      </c>
      <c r="AH19" s="8">
        <v>1907</v>
      </c>
      <c r="AI19" s="8">
        <v>1706</v>
      </c>
      <c r="AJ19" s="8">
        <v>2136</v>
      </c>
      <c r="AK19" s="8">
        <v>515</v>
      </c>
      <c r="AL19" s="8">
        <v>617</v>
      </c>
      <c r="AM19" s="8">
        <v>0</v>
      </c>
      <c r="AN19" s="8">
        <v>17301</v>
      </c>
      <c r="AO19" s="8" t="e">
        <v>#N/A</v>
      </c>
      <c r="AP19" s="8">
        <v>2960</v>
      </c>
      <c r="AQ19" s="2">
        <v>11.1</v>
      </c>
      <c r="AR19" s="2" t="e">
        <v>#N/A</v>
      </c>
      <c r="AS19" s="2" t="e">
        <v>#N/A</v>
      </c>
      <c r="AT19" s="8" t="e">
        <v>#N/A</v>
      </c>
      <c r="AU19" s="8" t="e">
        <v>#N/A</v>
      </c>
      <c r="AV19" s="8" t="e">
        <v>#N/A</v>
      </c>
      <c r="AW19" s="8">
        <v>43337</v>
      </c>
      <c r="AX19" s="2">
        <v>61.6</v>
      </c>
      <c r="AY19" s="2">
        <v>66.099999999999994</v>
      </c>
      <c r="AZ19" s="2" t="e">
        <v>#N/A</v>
      </c>
      <c r="BA19" s="8" t="e">
        <v>#N/A</v>
      </c>
      <c r="BB19" s="8">
        <v>23755</v>
      </c>
      <c r="BC19" s="8" t="e">
        <v>#N/A</v>
      </c>
      <c r="BD19" s="8" t="e">
        <v>#N/A</v>
      </c>
      <c r="BE19" s="8">
        <v>22903</v>
      </c>
      <c r="BF19" s="8" t="e">
        <v>#N/A</v>
      </c>
      <c r="BG19" s="8" t="e">
        <v>#N/A</v>
      </c>
      <c r="BH19" s="8">
        <v>2960</v>
      </c>
    </row>
    <row r="20" spans="1:60" x14ac:dyDescent="0.25">
      <c r="A20" t="s">
        <v>586</v>
      </c>
      <c r="B20" s="8" t="e">
        <v>#N/A</v>
      </c>
      <c r="C20" s="8" t="e">
        <v>#N/A</v>
      </c>
      <c r="D20" s="8" t="e">
        <v>#N/A</v>
      </c>
      <c r="E20" s="8" t="e">
        <v>#N/A</v>
      </c>
      <c r="F20" s="8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8" t="e">
        <v>#N/A</v>
      </c>
      <c r="L20" s="8" t="e">
        <v>#N/A</v>
      </c>
      <c r="M20" s="8" t="e">
        <v>#N/A</v>
      </c>
      <c r="N20" s="8" t="e">
        <v>#N/A</v>
      </c>
      <c r="O20" s="8" t="e">
        <v>#N/A</v>
      </c>
      <c r="P20" s="8" t="e">
        <v>#N/A</v>
      </c>
      <c r="Q20" s="8" t="e">
        <v>#N/A</v>
      </c>
      <c r="R20" s="8" t="e">
        <v>#N/A</v>
      </c>
      <c r="S20" s="8">
        <v>25528</v>
      </c>
      <c r="T20" s="8">
        <v>485</v>
      </c>
      <c r="U20" s="8">
        <v>315</v>
      </c>
      <c r="V20" s="8">
        <v>5226</v>
      </c>
      <c r="W20" s="8">
        <v>240</v>
      </c>
      <c r="X20" s="8">
        <v>143</v>
      </c>
      <c r="Y20" s="8">
        <v>1797</v>
      </c>
      <c r="Z20" s="8">
        <v>3923</v>
      </c>
      <c r="AA20" s="8">
        <v>1301</v>
      </c>
      <c r="AB20" s="8">
        <v>1228</v>
      </c>
      <c r="AC20" s="8">
        <v>729</v>
      </c>
      <c r="AD20" s="8">
        <v>890</v>
      </c>
      <c r="AE20" s="8">
        <v>183</v>
      </c>
      <c r="AF20" s="8">
        <v>1059</v>
      </c>
      <c r="AG20" s="8">
        <v>1134</v>
      </c>
      <c r="AH20" s="8">
        <v>1908</v>
      </c>
      <c r="AI20" s="8">
        <v>1707</v>
      </c>
      <c r="AJ20" s="8">
        <v>2125</v>
      </c>
      <c r="AK20" s="8">
        <v>516</v>
      </c>
      <c r="AL20" s="8">
        <v>620</v>
      </c>
      <c r="AM20" s="8">
        <v>0</v>
      </c>
      <c r="AN20" s="8">
        <v>17323</v>
      </c>
      <c r="AO20" s="8" t="e">
        <v>#N/A</v>
      </c>
      <c r="AP20" s="8">
        <v>2998</v>
      </c>
      <c r="AQ20" s="2">
        <v>11.3</v>
      </c>
      <c r="AR20" s="2" t="e">
        <v>#N/A</v>
      </c>
      <c r="AS20" s="2" t="e">
        <v>#N/A</v>
      </c>
      <c r="AT20" s="8" t="e">
        <v>#N/A</v>
      </c>
      <c r="AU20" s="8" t="e">
        <v>#N/A</v>
      </c>
      <c r="AV20" s="8" t="e">
        <v>#N/A</v>
      </c>
      <c r="AW20" s="8">
        <v>43399</v>
      </c>
      <c r="AX20" s="2">
        <v>61.4</v>
      </c>
      <c r="AY20" s="2">
        <v>65.7</v>
      </c>
      <c r="AZ20" s="2" t="e">
        <v>#N/A</v>
      </c>
      <c r="BA20" s="8" t="e">
        <v>#N/A</v>
      </c>
      <c r="BB20" s="8">
        <v>23651</v>
      </c>
      <c r="BC20" s="8" t="e">
        <v>#N/A</v>
      </c>
      <c r="BD20" s="8" t="e">
        <v>#N/A</v>
      </c>
      <c r="BE20" s="8">
        <v>22821</v>
      </c>
      <c r="BF20" s="8" t="e">
        <v>#N/A</v>
      </c>
      <c r="BG20" s="8" t="e">
        <v>#N/A</v>
      </c>
      <c r="BH20" s="8">
        <v>2998</v>
      </c>
    </row>
    <row r="21" spans="1:60" x14ac:dyDescent="0.25">
      <c r="A21" t="s">
        <v>587</v>
      </c>
      <c r="B21" s="8" t="e">
        <v>#N/A</v>
      </c>
      <c r="C21" s="8" t="e">
        <v>#N/A</v>
      </c>
      <c r="D21" s="8" t="e">
        <v>#N/A</v>
      </c>
      <c r="E21" s="8" t="e">
        <v>#N/A</v>
      </c>
      <c r="F21" s="8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8" t="e">
        <v>#N/A</v>
      </c>
      <c r="L21" s="8" t="e">
        <v>#N/A</v>
      </c>
      <c r="M21" s="8" t="e">
        <v>#N/A</v>
      </c>
      <c r="N21" s="8" t="e">
        <v>#N/A</v>
      </c>
      <c r="O21" s="8" t="e">
        <v>#N/A</v>
      </c>
      <c r="P21" s="8" t="e">
        <v>#N/A</v>
      </c>
      <c r="Q21" s="8" t="e">
        <v>#N/A</v>
      </c>
      <c r="R21" s="8" t="e">
        <v>#N/A</v>
      </c>
      <c r="S21" s="8">
        <v>25593</v>
      </c>
      <c r="T21" s="8">
        <v>484</v>
      </c>
      <c r="U21" s="8">
        <v>307</v>
      </c>
      <c r="V21" s="8">
        <v>5175</v>
      </c>
      <c r="W21" s="8">
        <v>238</v>
      </c>
      <c r="X21" s="8">
        <v>142</v>
      </c>
      <c r="Y21" s="8">
        <v>1799</v>
      </c>
      <c r="Z21" s="8">
        <v>3958</v>
      </c>
      <c r="AA21" s="8">
        <v>1296</v>
      </c>
      <c r="AB21" s="8">
        <v>1254</v>
      </c>
      <c r="AC21" s="8">
        <v>728</v>
      </c>
      <c r="AD21" s="8">
        <v>899</v>
      </c>
      <c r="AE21" s="8">
        <v>187</v>
      </c>
      <c r="AF21" s="8">
        <v>1078</v>
      </c>
      <c r="AG21" s="8">
        <v>1149</v>
      </c>
      <c r="AH21" s="8">
        <v>1911</v>
      </c>
      <c r="AI21" s="8">
        <v>1714</v>
      </c>
      <c r="AJ21" s="8">
        <v>2154</v>
      </c>
      <c r="AK21" s="8">
        <v>509</v>
      </c>
      <c r="AL21" s="8">
        <v>612</v>
      </c>
      <c r="AM21" s="8">
        <v>0</v>
      </c>
      <c r="AN21" s="8">
        <v>17448</v>
      </c>
      <c r="AO21" s="8" t="e">
        <v>#N/A</v>
      </c>
      <c r="AP21" s="8">
        <v>3049</v>
      </c>
      <c r="AQ21" s="2">
        <v>11.4</v>
      </c>
      <c r="AR21" s="2" t="e">
        <v>#N/A</v>
      </c>
      <c r="AS21" s="2" t="e">
        <v>#N/A</v>
      </c>
      <c r="AT21" s="8" t="e">
        <v>#N/A</v>
      </c>
      <c r="AU21" s="8" t="e">
        <v>#N/A</v>
      </c>
      <c r="AV21" s="8" t="e">
        <v>#N/A</v>
      </c>
      <c r="AW21" s="8">
        <v>43462</v>
      </c>
      <c r="AX21" s="2">
        <v>61.4</v>
      </c>
      <c r="AY21" s="2">
        <v>65.599999999999994</v>
      </c>
      <c r="AZ21" s="2" t="e">
        <v>#N/A</v>
      </c>
      <c r="BA21" s="8" t="e">
        <v>#N/A</v>
      </c>
      <c r="BB21" s="8">
        <v>23647</v>
      </c>
      <c r="BC21" s="8" t="e">
        <v>#N/A</v>
      </c>
      <c r="BD21" s="8" t="e">
        <v>#N/A</v>
      </c>
      <c r="BE21" s="8">
        <v>22865</v>
      </c>
      <c r="BF21" s="8" t="e">
        <v>#N/A</v>
      </c>
      <c r="BG21" s="8" t="e">
        <v>#N/A</v>
      </c>
      <c r="BH21" s="8">
        <v>3049</v>
      </c>
    </row>
    <row r="22" spans="1:60" x14ac:dyDescent="0.25">
      <c r="A22" t="s">
        <v>588</v>
      </c>
      <c r="B22" s="8" t="e">
        <v>#N/A</v>
      </c>
      <c r="C22" s="8" t="e">
        <v>#N/A</v>
      </c>
      <c r="D22" s="8" t="e">
        <v>#N/A</v>
      </c>
      <c r="E22" s="8" t="e">
        <v>#N/A</v>
      </c>
      <c r="F22" s="8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8" t="e">
        <v>#N/A</v>
      </c>
      <c r="L22" s="8" t="e">
        <v>#N/A</v>
      </c>
      <c r="M22" s="8" t="e">
        <v>#N/A</v>
      </c>
      <c r="N22" s="8" t="e">
        <v>#N/A</v>
      </c>
      <c r="O22" s="8" t="e">
        <v>#N/A</v>
      </c>
      <c r="P22" s="8" t="e">
        <v>#N/A</v>
      </c>
      <c r="Q22" s="8" t="e">
        <v>#N/A</v>
      </c>
      <c r="R22" s="8" t="e">
        <v>#N/A</v>
      </c>
      <c r="S22" s="8">
        <v>25869</v>
      </c>
      <c r="T22" s="8">
        <v>491</v>
      </c>
      <c r="U22" s="8">
        <v>301</v>
      </c>
      <c r="V22" s="8">
        <v>5155</v>
      </c>
      <c r="W22" s="8">
        <v>237</v>
      </c>
      <c r="X22" s="8">
        <v>144</v>
      </c>
      <c r="Y22" s="8">
        <v>1834</v>
      </c>
      <c r="Z22" s="8">
        <v>3999</v>
      </c>
      <c r="AA22" s="8">
        <v>1298</v>
      </c>
      <c r="AB22" s="8">
        <v>1290</v>
      </c>
      <c r="AC22" s="8">
        <v>733</v>
      </c>
      <c r="AD22" s="8">
        <v>915</v>
      </c>
      <c r="AE22" s="8">
        <v>191</v>
      </c>
      <c r="AF22" s="8">
        <v>1102</v>
      </c>
      <c r="AG22" s="8">
        <v>1170</v>
      </c>
      <c r="AH22" s="8">
        <v>1916</v>
      </c>
      <c r="AI22" s="8">
        <v>1727</v>
      </c>
      <c r="AJ22" s="8">
        <v>2197</v>
      </c>
      <c r="AK22" s="8">
        <v>531</v>
      </c>
      <c r="AL22" s="8">
        <v>639</v>
      </c>
      <c r="AM22" s="8">
        <v>0</v>
      </c>
      <c r="AN22" s="8">
        <v>17708</v>
      </c>
      <c r="AO22" s="8" t="e">
        <v>#N/A</v>
      </c>
      <c r="AP22" s="8">
        <v>3109</v>
      </c>
      <c r="AQ22" s="2">
        <v>11.5</v>
      </c>
      <c r="AR22" s="2" t="e">
        <v>#N/A</v>
      </c>
      <c r="AS22" s="2" t="e">
        <v>#N/A</v>
      </c>
      <c r="AT22" s="8" t="e">
        <v>#N/A</v>
      </c>
      <c r="AU22" s="8" t="e">
        <v>#N/A</v>
      </c>
      <c r="AV22" s="8" t="e">
        <v>#N/A</v>
      </c>
      <c r="AW22" s="8">
        <v>43527</v>
      </c>
      <c r="AX22" s="2">
        <v>61.8</v>
      </c>
      <c r="AY22" s="2">
        <v>65.900000000000006</v>
      </c>
      <c r="AZ22" s="2" t="e">
        <v>#N/A</v>
      </c>
      <c r="BA22" s="8" t="e">
        <v>#N/A</v>
      </c>
      <c r="BB22" s="8">
        <v>23809</v>
      </c>
      <c r="BC22" s="8" t="e">
        <v>#N/A</v>
      </c>
      <c r="BD22" s="8" t="e">
        <v>#N/A</v>
      </c>
      <c r="BE22" s="8">
        <v>22958</v>
      </c>
      <c r="BF22" s="8" t="e">
        <v>#N/A</v>
      </c>
      <c r="BG22" s="8" t="e">
        <v>#N/A</v>
      </c>
      <c r="BH22" s="8">
        <v>3109</v>
      </c>
    </row>
    <row r="23" spans="1:60" x14ac:dyDescent="0.25">
      <c r="A23" t="s">
        <v>589</v>
      </c>
      <c r="B23" s="8" t="e">
        <v>#N/A</v>
      </c>
      <c r="C23" s="8" t="e">
        <v>#N/A</v>
      </c>
      <c r="D23" s="8" t="e">
        <v>#N/A</v>
      </c>
      <c r="E23" s="8" t="e">
        <v>#N/A</v>
      </c>
      <c r="F23" s="8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8" t="e">
        <v>#N/A</v>
      </c>
      <c r="L23" s="8" t="e">
        <v>#N/A</v>
      </c>
      <c r="M23" s="8" t="e">
        <v>#N/A</v>
      </c>
      <c r="N23" s="8" t="e">
        <v>#N/A</v>
      </c>
      <c r="O23" s="8" t="e">
        <v>#N/A</v>
      </c>
      <c r="P23" s="8" t="e">
        <v>#N/A</v>
      </c>
      <c r="Q23" s="8" t="e">
        <v>#N/A</v>
      </c>
      <c r="R23" s="8" t="e">
        <v>#N/A</v>
      </c>
      <c r="S23" s="8">
        <v>26044</v>
      </c>
      <c r="T23" s="8">
        <v>495</v>
      </c>
      <c r="U23" s="8">
        <v>295</v>
      </c>
      <c r="V23" s="8">
        <v>5138</v>
      </c>
      <c r="W23" s="8">
        <v>235</v>
      </c>
      <c r="X23" s="8">
        <v>144</v>
      </c>
      <c r="Y23" s="8">
        <v>1859</v>
      </c>
      <c r="Z23" s="8">
        <v>4053</v>
      </c>
      <c r="AA23" s="8">
        <v>1304</v>
      </c>
      <c r="AB23" s="8">
        <v>1291</v>
      </c>
      <c r="AC23" s="8">
        <v>740</v>
      </c>
      <c r="AD23" s="8">
        <v>920</v>
      </c>
      <c r="AE23" s="8">
        <v>194</v>
      </c>
      <c r="AF23" s="8">
        <v>1117</v>
      </c>
      <c r="AG23" s="8">
        <v>1186</v>
      </c>
      <c r="AH23" s="8">
        <v>1915</v>
      </c>
      <c r="AI23" s="8">
        <v>1745</v>
      </c>
      <c r="AJ23" s="8">
        <v>2219</v>
      </c>
      <c r="AK23" s="8">
        <v>540</v>
      </c>
      <c r="AL23" s="8">
        <v>653</v>
      </c>
      <c r="AM23" s="8">
        <v>0</v>
      </c>
      <c r="AN23" s="8">
        <v>17877</v>
      </c>
      <c r="AO23" s="8" t="e">
        <v>#N/A</v>
      </c>
      <c r="AP23" s="8">
        <v>3167</v>
      </c>
      <c r="AQ23" s="2">
        <v>11.7</v>
      </c>
      <c r="AR23" s="2" t="e">
        <v>#N/A</v>
      </c>
      <c r="AS23" s="2" t="e">
        <v>#N/A</v>
      </c>
      <c r="AT23" s="8" t="e">
        <v>#N/A</v>
      </c>
      <c r="AU23" s="8" t="e">
        <v>#N/A</v>
      </c>
      <c r="AV23" s="8" t="e">
        <v>#N/A</v>
      </c>
      <c r="AW23" s="8">
        <v>43595</v>
      </c>
      <c r="AX23" s="2">
        <v>62.3</v>
      </c>
      <c r="AY23" s="2">
        <v>66.3</v>
      </c>
      <c r="AZ23" s="2" t="e">
        <v>#N/A</v>
      </c>
      <c r="BA23" s="8" t="e">
        <v>#N/A</v>
      </c>
      <c r="BB23" s="8">
        <v>23994</v>
      </c>
      <c r="BC23" s="8" t="e">
        <v>#N/A</v>
      </c>
      <c r="BD23" s="8" t="e">
        <v>#N/A</v>
      </c>
      <c r="BE23" s="8">
        <v>23005</v>
      </c>
      <c r="BF23" s="8" t="e">
        <v>#N/A</v>
      </c>
      <c r="BG23" s="8" t="e">
        <v>#N/A</v>
      </c>
      <c r="BH23" s="8">
        <v>3167</v>
      </c>
    </row>
    <row r="24" spans="1:60" x14ac:dyDescent="0.25">
      <c r="A24" t="s">
        <v>590</v>
      </c>
      <c r="B24" s="8" t="e">
        <v>#N/A</v>
      </c>
      <c r="C24" s="8" t="e">
        <v>#N/A</v>
      </c>
      <c r="D24" s="8" t="e">
        <v>#N/A</v>
      </c>
      <c r="E24" s="8" t="e">
        <v>#N/A</v>
      </c>
      <c r="F24" s="8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8" t="e">
        <v>#N/A</v>
      </c>
      <c r="L24" s="8" t="e">
        <v>#N/A</v>
      </c>
      <c r="M24" s="8" t="e">
        <v>#N/A</v>
      </c>
      <c r="N24" s="8" t="e">
        <v>#N/A</v>
      </c>
      <c r="O24" s="8" t="e">
        <v>#N/A</v>
      </c>
      <c r="P24" s="8" t="e">
        <v>#N/A</v>
      </c>
      <c r="Q24" s="8" t="e">
        <v>#N/A</v>
      </c>
      <c r="R24" s="8" t="e">
        <v>#N/A</v>
      </c>
      <c r="S24" s="8">
        <v>26180</v>
      </c>
      <c r="T24" s="8">
        <v>500</v>
      </c>
      <c r="U24" s="8">
        <v>289</v>
      </c>
      <c r="V24" s="8">
        <v>5125</v>
      </c>
      <c r="W24" s="8">
        <v>232</v>
      </c>
      <c r="X24" s="8">
        <v>144</v>
      </c>
      <c r="Y24" s="8">
        <v>1875</v>
      </c>
      <c r="Z24" s="8">
        <v>4088</v>
      </c>
      <c r="AA24" s="8">
        <v>1308</v>
      </c>
      <c r="AB24" s="8">
        <v>1307</v>
      </c>
      <c r="AC24" s="8">
        <v>746</v>
      </c>
      <c r="AD24" s="8">
        <v>930</v>
      </c>
      <c r="AE24" s="8">
        <v>197</v>
      </c>
      <c r="AF24" s="8">
        <v>1135</v>
      </c>
      <c r="AG24" s="8">
        <v>1202</v>
      </c>
      <c r="AH24" s="8">
        <v>1913</v>
      </c>
      <c r="AI24" s="8">
        <v>1750</v>
      </c>
      <c r="AJ24" s="8">
        <v>2231</v>
      </c>
      <c r="AK24" s="8">
        <v>547</v>
      </c>
      <c r="AL24" s="8">
        <v>663</v>
      </c>
      <c r="AM24" s="8">
        <v>0</v>
      </c>
      <c r="AN24" s="8">
        <v>18016</v>
      </c>
      <c r="AO24" s="8" t="e">
        <v>#N/A</v>
      </c>
      <c r="AP24" s="8">
        <v>3243</v>
      </c>
      <c r="AQ24" s="2">
        <v>11.8</v>
      </c>
      <c r="AR24" s="2" t="e">
        <v>#N/A</v>
      </c>
      <c r="AS24" s="2" t="e">
        <v>#N/A</v>
      </c>
      <c r="AT24" s="8" t="e">
        <v>#N/A</v>
      </c>
      <c r="AU24" s="8" t="e">
        <v>#N/A</v>
      </c>
      <c r="AV24" s="8" t="e">
        <v>#N/A</v>
      </c>
      <c r="AW24" s="8">
        <v>43664</v>
      </c>
      <c r="AX24" s="2">
        <v>62.7</v>
      </c>
      <c r="AY24" s="2">
        <v>66.5</v>
      </c>
      <c r="AZ24" s="2" t="e">
        <v>#N/A</v>
      </c>
      <c r="BA24" s="8" t="e">
        <v>#N/A</v>
      </c>
      <c r="BB24" s="8">
        <v>24125</v>
      </c>
      <c r="BC24" s="8" t="e">
        <v>#N/A</v>
      </c>
      <c r="BD24" s="8" t="e">
        <v>#N/A</v>
      </c>
      <c r="BE24" s="8">
        <v>23048</v>
      </c>
      <c r="BF24" s="8" t="e">
        <v>#N/A</v>
      </c>
      <c r="BG24" s="8" t="e">
        <v>#N/A</v>
      </c>
      <c r="BH24" s="8">
        <v>3243</v>
      </c>
    </row>
    <row r="25" spans="1:60" x14ac:dyDescent="0.25">
      <c r="A25" t="s">
        <v>591</v>
      </c>
      <c r="B25" s="8" t="e">
        <v>#N/A</v>
      </c>
      <c r="C25" s="8" t="e">
        <v>#N/A</v>
      </c>
      <c r="D25" s="8" t="e">
        <v>#N/A</v>
      </c>
      <c r="E25" s="8" t="e">
        <v>#N/A</v>
      </c>
      <c r="F25" s="8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8" t="e">
        <v>#N/A</v>
      </c>
      <c r="L25" s="8" t="e">
        <v>#N/A</v>
      </c>
      <c r="M25" s="8" t="e">
        <v>#N/A</v>
      </c>
      <c r="N25" s="8" t="e">
        <v>#N/A</v>
      </c>
      <c r="O25" s="8" t="e">
        <v>#N/A</v>
      </c>
      <c r="P25" s="8" t="e">
        <v>#N/A</v>
      </c>
      <c r="Q25" s="8" t="e">
        <v>#N/A</v>
      </c>
      <c r="R25" s="8" t="e">
        <v>#N/A</v>
      </c>
      <c r="S25" s="8">
        <v>26296</v>
      </c>
      <c r="T25" s="8">
        <v>498</v>
      </c>
      <c r="U25" s="8">
        <v>285</v>
      </c>
      <c r="V25" s="8">
        <v>5121</v>
      </c>
      <c r="W25" s="8">
        <v>231</v>
      </c>
      <c r="X25" s="8">
        <v>144</v>
      </c>
      <c r="Y25" s="8">
        <v>1886</v>
      </c>
      <c r="Z25" s="8">
        <v>4117</v>
      </c>
      <c r="AA25" s="8">
        <v>1310</v>
      </c>
      <c r="AB25" s="8">
        <v>1328</v>
      </c>
      <c r="AC25" s="8">
        <v>750</v>
      </c>
      <c r="AD25" s="8">
        <v>933</v>
      </c>
      <c r="AE25" s="8">
        <v>201</v>
      </c>
      <c r="AF25" s="8">
        <v>1154</v>
      </c>
      <c r="AG25" s="8">
        <v>1216</v>
      </c>
      <c r="AH25" s="8">
        <v>1908</v>
      </c>
      <c r="AI25" s="8">
        <v>1757</v>
      </c>
      <c r="AJ25" s="8">
        <v>2242</v>
      </c>
      <c r="AK25" s="8">
        <v>547</v>
      </c>
      <c r="AL25" s="8">
        <v>667</v>
      </c>
      <c r="AM25" s="8">
        <v>0</v>
      </c>
      <c r="AN25" s="8">
        <v>18131</v>
      </c>
      <c r="AO25" s="8" t="e">
        <v>#N/A</v>
      </c>
      <c r="AP25" s="8">
        <v>3265</v>
      </c>
      <c r="AQ25" s="2">
        <v>11.9</v>
      </c>
      <c r="AR25" s="2" t="e">
        <v>#N/A</v>
      </c>
      <c r="AS25" s="2" t="e">
        <v>#N/A</v>
      </c>
      <c r="AT25" s="8" t="e">
        <v>#N/A</v>
      </c>
      <c r="AU25" s="8" t="e">
        <v>#N/A</v>
      </c>
      <c r="AV25" s="8" t="e">
        <v>#N/A</v>
      </c>
      <c r="AW25" s="8">
        <v>43732</v>
      </c>
      <c r="AX25" s="2">
        <v>62.9</v>
      </c>
      <c r="AY25" s="2">
        <v>66.7</v>
      </c>
      <c r="AZ25" s="2" t="e">
        <v>#N/A</v>
      </c>
      <c r="BA25" s="8" t="e">
        <v>#N/A</v>
      </c>
      <c r="BB25" s="8">
        <v>24245</v>
      </c>
      <c r="BC25" s="8" t="e">
        <v>#N/A</v>
      </c>
      <c r="BD25" s="8" t="e">
        <v>#N/A</v>
      </c>
      <c r="BE25" s="8">
        <v>23095</v>
      </c>
      <c r="BF25" s="8" t="e">
        <v>#N/A</v>
      </c>
      <c r="BG25" s="8" t="e">
        <v>#N/A</v>
      </c>
      <c r="BH25" s="8">
        <v>3265</v>
      </c>
    </row>
    <row r="26" spans="1:60" x14ac:dyDescent="0.25">
      <c r="A26" t="s">
        <v>592</v>
      </c>
      <c r="B26" s="8" t="e">
        <v>#N/A</v>
      </c>
      <c r="C26" s="8" t="e">
        <v>#N/A</v>
      </c>
      <c r="D26" s="8" t="e">
        <v>#N/A</v>
      </c>
      <c r="E26" s="8" t="e">
        <v>#N/A</v>
      </c>
      <c r="F26" s="8" t="e">
        <v>#N/A</v>
      </c>
      <c r="G26" s="2" t="e">
        <v>#N/A</v>
      </c>
      <c r="H26" s="2" t="e">
        <v>#N/A</v>
      </c>
      <c r="I26" s="2" t="e">
        <v>#N/A</v>
      </c>
      <c r="J26" s="2" t="e">
        <v>#N/A</v>
      </c>
      <c r="K26" s="8" t="e">
        <v>#N/A</v>
      </c>
      <c r="L26" s="8" t="e">
        <v>#N/A</v>
      </c>
      <c r="M26" s="8" t="e">
        <v>#N/A</v>
      </c>
      <c r="N26" s="8" t="e">
        <v>#N/A</v>
      </c>
      <c r="O26" s="8" t="e">
        <v>#N/A</v>
      </c>
      <c r="P26" s="8" t="e">
        <v>#N/A</v>
      </c>
      <c r="Q26" s="8" t="e">
        <v>#N/A</v>
      </c>
      <c r="R26" s="8" t="e">
        <v>#N/A</v>
      </c>
      <c r="S26" s="8">
        <v>26406</v>
      </c>
      <c r="T26" s="8">
        <v>499</v>
      </c>
      <c r="U26" s="8">
        <v>283</v>
      </c>
      <c r="V26" s="8">
        <v>5109</v>
      </c>
      <c r="W26" s="8">
        <v>230</v>
      </c>
      <c r="X26" s="8">
        <v>143</v>
      </c>
      <c r="Y26" s="8">
        <v>1898</v>
      </c>
      <c r="Z26" s="8">
        <v>4136</v>
      </c>
      <c r="AA26" s="8">
        <v>1311</v>
      </c>
      <c r="AB26" s="8">
        <v>1341</v>
      </c>
      <c r="AC26" s="8">
        <v>752</v>
      </c>
      <c r="AD26" s="8">
        <v>946</v>
      </c>
      <c r="AE26" s="8">
        <v>205</v>
      </c>
      <c r="AF26" s="8">
        <v>1177</v>
      </c>
      <c r="AG26" s="8">
        <v>1236</v>
      </c>
      <c r="AH26" s="8">
        <v>1911</v>
      </c>
      <c r="AI26" s="8">
        <v>1763</v>
      </c>
      <c r="AJ26" s="8">
        <v>2243</v>
      </c>
      <c r="AK26" s="8">
        <v>550</v>
      </c>
      <c r="AL26" s="8">
        <v>672</v>
      </c>
      <c r="AM26" s="8">
        <v>0</v>
      </c>
      <c r="AN26" s="8">
        <v>18244</v>
      </c>
      <c r="AO26" s="8" t="e">
        <v>#N/A</v>
      </c>
      <c r="AP26" s="8">
        <v>3238</v>
      </c>
      <c r="AQ26" s="2">
        <v>11.7</v>
      </c>
      <c r="AR26" s="2" t="e">
        <v>#N/A</v>
      </c>
      <c r="AS26" s="2" t="e">
        <v>#N/A</v>
      </c>
      <c r="AT26" s="8" t="e">
        <v>#N/A</v>
      </c>
      <c r="AU26" s="8" t="e">
        <v>#N/A</v>
      </c>
      <c r="AV26" s="8" t="e">
        <v>#N/A</v>
      </c>
      <c r="AW26" s="8">
        <v>43801</v>
      </c>
      <c r="AX26" s="2">
        <v>63</v>
      </c>
      <c r="AY26" s="2">
        <v>66.8</v>
      </c>
      <c r="AZ26" s="2" t="e">
        <v>#N/A</v>
      </c>
      <c r="BA26" s="8" t="e">
        <v>#N/A</v>
      </c>
      <c r="BB26" s="8">
        <v>24335</v>
      </c>
      <c r="BC26" s="8" t="e">
        <v>#N/A</v>
      </c>
      <c r="BD26" s="8" t="e">
        <v>#N/A</v>
      </c>
      <c r="BE26" s="8">
        <v>23176</v>
      </c>
      <c r="BF26" s="8" t="e">
        <v>#N/A</v>
      </c>
      <c r="BG26" s="8" t="e">
        <v>#N/A</v>
      </c>
      <c r="BH26" s="8">
        <v>3238</v>
      </c>
    </row>
    <row r="27" spans="1:60" x14ac:dyDescent="0.25">
      <c r="A27" t="s">
        <v>593</v>
      </c>
      <c r="B27" s="8" t="e">
        <v>#N/A</v>
      </c>
      <c r="C27" s="8" t="e">
        <v>#N/A</v>
      </c>
      <c r="D27" s="8" t="e">
        <v>#N/A</v>
      </c>
      <c r="E27" s="8" t="e">
        <v>#N/A</v>
      </c>
      <c r="F27" s="8" t="e">
        <v>#N/A</v>
      </c>
      <c r="G27" s="2" t="e">
        <v>#N/A</v>
      </c>
      <c r="H27" s="2" t="e">
        <v>#N/A</v>
      </c>
      <c r="I27" s="2" t="e">
        <v>#N/A</v>
      </c>
      <c r="J27" s="2" t="e">
        <v>#N/A</v>
      </c>
      <c r="K27" s="8" t="e">
        <v>#N/A</v>
      </c>
      <c r="L27" s="8" t="e">
        <v>#N/A</v>
      </c>
      <c r="M27" s="8" t="e">
        <v>#N/A</v>
      </c>
      <c r="N27" s="8" t="e">
        <v>#N/A</v>
      </c>
      <c r="O27" s="8" t="e">
        <v>#N/A</v>
      </c>
      <c r="P27" s="8" t="e">
        <v>#N/A</v>
      </c>
      <c r="Q27" s="8" t="e">
        <v>#N/A</v>
      </c>
      <c r="R27" s="8" t="e">
        <v>#N/A</v>
      </c>
      <c r="S27" s="8">
        <v>26508</v>
      </c>
      <c r="T27" s="8">
        <v>501</v>
      </c>
      <c r="U27" s="8">
        <v>281</v>
      </c>
      <c r="V27" s="8">
        <v>5106</v>
      </c>
      <c r="W27" s="8">
        <v>228</v>
      </c>
      <c r="X27" s="8">
        <v>142</v>
      </c>
      <c r="Y27" s="8">
        <v>1905</v>
      </c>
      <c r="Z27" s="8">
        <v>4158</v>
      </c>
      <c r="AA27" s="8">
        <v>1307</v>
      </c>
      <c r="AB27" s="8">
        <v>1354</v>
      </c>
      <c r="AC27" s="8">
        <v>757</v>
      </c>
      <c r="AD27" s="8">
        <v>951</v>
      </c>
      <c r="AE27" s="8">
        <v>206</v>
      </c>
      <c r="AF27" s="8">
        <v>1185</v>
      </c>
      <c r="AG27" s="8">
        <v>1249</v>
      </c>
      <c r="AH27" s="8">
        <v>1881</v>
      </c>
      <c r="AI27" s="8">
        <v>1769</v>
      </c>
      <c r="AJ27" s="8">
        <v>2289</v>
      </c>
      <c r="AK27" s="8">
        <v>558</v>
      </c>
      <c r="AL27" s="8">
        <v>679</v>
      </c>
      <c r="AM27" s="8">
        <v>0</v>
      </c>
      <c r="AN27" s="8">
        <v>18345</v>
      </c>
      <c r="AO27" s="8" t="e">
        <v>#N/A</v>
      </c>
      <c r="AP27" s="8">
        <v>3217</v>
      </c>
      <c r="AQ27" s="2">
        <v>11.6</v>
      </c>
      <c r="AR27" s="2" t="e">
        <v>#N/A</v>
      </c>
      <c r="AS27" s="2" t="e">
        <v>#N/A</v>
      </c>
      <c r="AT27" s="8" t="e">
        <v>#N/A</v>
      </c>
      <c r="AU27" s="8" t="e">
        <v>#N/A</v>
      </c>
      <c r="AV27" s="8" t="e">
        <v>#N/A</v>
      </c>
      <c r="AW27" s="8">
        <v>43869</v>
      </c>
      <c r="AX27" s="2">
        <v>63</v>
      </c>
      <c r="AY27" s="2">
        <v>67.099999999999994</v>
      </c>
      <c r="AZ27" s="2" t="e">
        <v>#N/A</v>
      </c>
      <c r="BA27" s="8" t="e">
        <v>#N/A</v>
      </c>
      <c r="BB27" s="8">
        <v>24435</v>
      </c>
      <c r="BC27" s="8" t="e">
        <v>#N/A</v>
      </c>
      <c r="BD27" s="8" t="e">
        <v>#N/A</v>
      </c>
      <c r="BE27" s="8">
        <v>23247</v>
      </c>
      <c r="BF27" s="8" t="e">
        <v>#N/A</v>
      </c>
      <c r="BG27" s="8" t="e">
        <v>#N/A</v>
      </c>
      <c r="BH27" s="8">
        <v>3217</v>
      </c>
    </row>
    <row r="28" spans="1:60" x14ac:dyDescent="0.25">
      <c r="A28" t="s">
        <v>594</v>
      </c>
      <c r="B28" s="8" t="e">
        <v>#N/A</v>
      </c>
      <c r="C28" s="8" t="e">
        <v>#N/A</v>
      </c>
      <c r="D28" s="8" t="e">
        <v>#N/A</v>
      </c>
      <c r="E28" s="8" t="e">
        <v>#N/A</v>
      </c>
      <c r="F28" s="8" t="e">
        <v>#N/A</v>
      </c>
      <c r="G28" s="2" t="e">
        <v>#N/A</v>
      </c>
      <c r="H28" s="2" t="e">
        <v>#N/A</v>
      </c>
      <c r="I28" s="2" t="e">
        <v>#N/A</v>
      </c>
      <c r="J28" s="2" t="e">
        <v>#N/A</v>
      </c>
      <c r="K28" s="8" t="e">
        <v>#N/A</v>
      </c>
      <c r="L28" s="8" t="e">
        <v>#N/A</v>
      </c>
      <c r="M28" s="8" t="e">
        <v>#N/A</v>
      </c>
      <c r="N28" s="8" t="e">
        <v>#N/A</v>
      </c>
      <c r="O28" s="8" t="e">
        <v>#N/A</v>
      </c>
      <c r="P28" s="8" t="e">
        <v>#N/A</v>
      </c>
      <c r="Q28" s="8" t="e">
        <v>#N/A</v>
      </c>
      <c r="R28" s="8" t="e">
        <v>#N/A</v>
      </c>
      <c r="S28" s="8">
        <v>26566</v>
      </c>
      <c r="T28" s="8">
        <v>503</v>
      </c>
      <c r="U28" s="8">
        <v>279</v>
      </c>
      <c r="V28" s="8">
        <v>5096</v>
      </c>
      <c r="W28" s="8">
        <v>226</v>
      </c>
      <c r="X28" s="8">
        <v>142</v>
      </c>
      <c r="Y28" s="8">
        <v>1907</v>
      </c>
      <c r="Z28" s="8">
        <v>4152</v>
      </c>
      <c r="AA28" s="8">
        <v>1305</v>
      </c>
      <c r="AB28" s="8">
        <v>1360</v>
      </c>
      <c r="AC28" s="8">
        <v>759</v>
      </c>
      <c r="AD28" s="8">
        <v>953</v>
      </c>
      <c r="AE28" s="8">
        <v>207</v>
      </c>
      <c r="AF28" s="8">
        <v>1192</v>
      </c>
      <c r="AG28" s="8">
        <v>1252</v>
      </c>
      <c r="AH28" s="8">
        <v>1882</v>
      </c>
      <c r="AI28" s="8">
        <v>1779</v>
      </c>
      <c r="AJ28" s="8">
        <v>2322</v>
      </c>
      <c r="AK28" s="8">
        <v>563</v>
      </c>
      <c r="AL28" s="8">
        <v>686</v>
      </c>
      <c r="AM28" s="8">
        <v>0</v>
      </c>
      <c r="AN28" s="8">
        <v>18413</v>
      </c>
      <c r="AO28" s="8" t="e">
        <v>#N/A</v>
      </c>
      <c r="AP28" s="8">
        <v>3180</v>
      </c>
      <c r="AQ28" s="2">
        <v>11.5</v>
      </c>
      <c r="AR28" s="2" t="e">
        <v>#N/A</v>
      </c>
      <c r="AS28" s="2" t="e">
        <v>#N/A</v>
      </c>
      <c r="AT28" s="8" t="e">
        <v>#N/A</v>
      </c>
      <c r="AU28" s="8" t="e">
        <v>#N/A</v>
      </c>
      <c r="AV28" s="8" t="e">
        <v>#N/A</v>
      </c>
      <c r="AW28" s="8">
        <v>43937</v>
      </c>
      <c r="AX28" s="2">
        <v>63</v>
      </c>
      <c r="AY28" s="2">
        <v>67.3</v>
      </c>
      <c r="AZ28" s="2" t="e">
        <v>#N/A</v>
      </c>
      <c r="BA28" s="8" t="e">
        <v>#N/A</v>
      </c>
      <c r="BB28" s="8">
        <v>24515</v>
      </c>
      <c r="BC28" s="8" t="e">
        <v>#N/A</v>
      </c>
      <c r="BD28" s="8" t="e">
        <v>#N/A</v>
      </c>
      <c r="BE28" s="8">
        <v>23272</v>
      </c>
      <c r="BF28" s="8" t="e">
        <v>#N/A</v>
      </c>
      <c r="BG28" s="8" t="e">
        <v>#N/A</v>
      </c>
      <c r="BH28" s="8">
        <v>3180</v>
      </c>
    </row>
    <row r="29" spans="1:60" x14ac:dyDescent="0.25">
      <c r="A29" t="s">
        <v>595</v>
      </c>
      <c r="B29" s="8" t="e">
        <v>#N/A</v>
      </c>
      <c r="C29" s="8" t="e">
        <v>#N/A</v>
      </c>
      <c r="D29" s="8" t="e">
        <v>#N/A</v>
      </c>
      <c r="E29" s="8" t="e">
        <v>#N/A</v>
      </c>
      <c r="F29" s="8" t="e">
        <v>#N/A</v>
      </c>
      <c r="G29" s="2" t="e">
        <v>#N/A</v>
      </c>
      <c r="H29" s="2" t="e">
        <v>#N/A</v>
      </c>
      <c r="I29" s="2" t="e">
        <v>#N/A</v>
      </c>
      <c r="J29" s="2" t="e">
        <v>#N/A</v>
      </c>
      <c r="K29" s="8" t="e">
        <v>#N/A</v>
      </c>
      <c r="L29" s="8" t="e">
        <v>#N/A</v>
      </c>
      <c r="M29" s="8" t="e">
        <v>#N/A</v>
      </c>
      <c r="N29" s="8" t="e">
        <v>#N/A</v>
      </c>
      <c r="O29" s="8" t="e">
        <v>#N/A</v>
      </c>
      <c r="P29" s="8" t="e">
        <v>#N/A</v>
      </c>
      <c r="Q29" s="8" t="e">
        <v>#N/A</v>
      </c>
      <c r="R29" s="8" t="e">
        <v>#N/A</v>
      </c>
      <c r="S29" s="8">
        <v>26610</v>
      </c>
      <c r="T29" s="8">
        <v>504</v>
      </c>
      <c r="U29" s="8">
        <v>270</v>
      </c>
      <c r="V29" s="8">
        <v>5089</v>
      </c>
      <c r="W29" s="8">
        <v>224</v>
      </c>
      <c r="X29" s="8">
        <v>143</v>
      </c>
      <c r="Y29" s="8">
        <v>1899</v>
      </c>
      <c r="Z29" s="8">
        <v>4149</v>
      </c>
      <c r="AA29" s="8">
        <v>1303</v>
      </c>
      <c r="AB29" s="8">
        <v>1367</v>
      </c>
      <c r="AC29" s="8">
        <v>762</v>
      </c>
      <c r="AD29" s="8">
        <v>955</v>
      </c>
      <c r="AE29" s="8">
        <v>210</v>
      </c>
      <c r="AF29" s="8">
        <v>1205</v>
      </c>
      <c r="AG29" s="8">
        <v>1260</v>
      </c>
      <c r="AH29" s="8">
        <v>1877</v>
      </c>
      <c r="AI29" s="8">
        <v>1785</v>
      </c>
      <c r="AJ29" s="8">
        <v>2337</v>
      </c>
      <c r="AK29" s="8">
        <v>573</v>
      </c>
      <c r="AL29" s="8">
        <v>696</v>
      </c>
      <c r="AM29" s="8">
        <v>0</v>
      </c>
      <c r="AN29" s="8">
        <v>18481</v>
      </c>
      <c r="AO29" s="8" t="e">
        <v>#N/A</v>
      </c>
      <c r="AP29" s="8">
        <v>3152</v>
      </c>
      <c r="AQ29" s="2">
        <v>11.4</v>
      </c>
      <c r="AR29" s="2" t="e">
        <v>#N/A</v>
      </c>
      <c r="AS29" s="2" t="e">
        <v>#N/A</v>
      </c>
      <c r="AT29" s="8" t="e">
        <v>#N/A</v>
      </c>
      <c r="AU29" s="8" t="e">
        <v>#N/A</v>
      </c>
      <c r="AV29" s="8" t="e">
        <v>#N/A</v>
      </c>
      <c r="AW29" s="8">
        <v>44006</v>
      </c>
      <c r="AX29" s="2">
        <v>63</v>
      </c>
      <c r="AY29" s="2">
        <v>67.400000000000006</v>
      </c>
      <c r="AZ29" s="2" t="e">
        <v>#N/A</v>
      </c>
      <c r="BA29" s="8" t="e">
        <v>#N/A</v>
      </c>
      <c r="BB29" s="8">
        <v>24570</v>
      </c>
      <c r="BC29" s="8" t="e">
        <v>#N/A</v>
      </c>
      <c r="BD29" s="8" t="e">
        <v>#N/A</v>
      </c>
      <c r="BE29" s="8">
        <v>23306</v>
      </c>
      <c r="BF29" s="8" t="e">
        <v>#N/A</v>
      </c>
      <c r="BG29" s="8" t="e">
        <v>#N/A</v>
      </c>
      <c r="BH29" s="8">
        <v>3152</v>
      </c>
    </row>
    <row r="30" spans="1:60" x14ac:dyDescent="0.25">
      <c r="A30" t="s">
        <v>596</v>
      </c>
      <c r="B30" s="8" t="e">
        <v>#N/A</v>
      </c>
      <c r="C30" s="8" t="e">
        <v>#N/A</v>
      </c>
      <c r="D30" s="8" t="e">
        <v>#N/A</v>
      </c>
      <c r="E30" s="8" t="e">
        <v>#N/A</v>
      </c>
      <c r="F30" s="8" t="e">
        <v>#N/A</v>
      </c>
      <c r="G30" s="2" t="e">
        <v>#N/A</v>
      </c>
      <c r="H30" s="2" t="e">
        <v>#N/A</v>
      </c>
      <c r="I30" s="2" t="e">
        <v>#N/A</v>
      </c>
      <c r="J30" s="2" t="e">
        <v>#N/A</v>
      </c>
      <c r="K30" s="8" t="e">
        <v>#N/A</v>
      </c>
      <c r="L30" s="8" t="e">
        <v>#N/A</v>
      </c>
      <c r="M30" s="8" t="e">
        <v>#N/A</v>
      </c>
      <c r="N30" s="8" t="e">
        <v>#N/A</v>
      </c>
      <c r="O30" s="8" t="e">
        <v>#N/A</v>
      </c>
      <c r="P30" s="8" t="e">
        <v>#N/A</v>
      </c>
      <c r="Q30" s="8" t="e">
        <v>#N/A</v>
      </c>
      <c r="R30" s="8" t="e">
        <v>#N/A</v>
      </c>
      <c r="S30" s="8">
        <v>26667</v>
      </c>
      <c r="T30" s="8">
        <v>504</v>
      </c>
      <c r="U30" s="8">
        <v>260</v>
      </c>
      <c r="V30" s="8">
        <v>5092</v>
      </c>
      <c r="W30" s="8">
        <v>224</v>
      </c>
      <c r="X30" s="8">
        <v>142</v>
      </c>
      <c r="Y30" s="8">
        <v>1890</v>
      </c>
      <c r="Z30" s="8">
        <v>4164</v>
      </c>
      <c r="AA30" s="8">
        <v>1296</v>
      </c>
      <c r="AB30" s="8">
        <v>1370</v>
      </c>
      <c r="AC30" s="8">
        <v>761</v>
      </c>
      <c r="AD30" s="8">
        <v>968</v>
      </c>
      <c r="AE30" s="8">
        <v>212</v>
      </c>
      <c r="AF30" s="8">
        <v>1220</v>
      </c>
      <c r="AG30" s="8">
        <v>1272</v>
      </c>
      <c r="AH30" s="8">
        <v>1877</v>
      </c>
      <c r="AI30" s="8">
        <v>1789</v>
      </c>
      <c r="AJ30" s="8">
        <v>2351</v>
      </c>
      <c r="AK30" s="8">
        <v>575</v>
      </c>
      <c r="AL30" s="8">
        <v>700</v>
      </c>
      <c r="AM30" s="8">
        <v>0</v>
      </c>
      <c r="AN30" s="8">
        <v>18555</v>
      </c>
      <c r="AO30" s="8" t="e">
        <v>#N/A</v>
      </c>
      <c r="AP30" s="8">
        <v>3137</v>
      </c>
      <c r="AQ30" s="2">
        <v>11.3</v>
      </c>
      <c r="AR30" s="2" t="e">
        <v>#N/A</v>
      </c>
      <c r="AS30" s="2" t="e">
        <v>#N/A</v>
      </c>
      <c r="AT30" s="8" t="e">
        <v>#N/A</v>
      </c>
      <c r="AU30" s="8" t="e">
        <v>#N/A</v>
      </c>
      <c r="AV30" s="8" t="e">
        <v>#N/A</v>
      </c>
      <c r="AW30" s="8">
        <v>44069</v>
      </c>
      <c r="AX30" s="2">
        <v>63</v>
      </c>
      <c r="AY30" s="2">
        <v>67.5</v>
      </c>
      <c r="AZ30" s="2" t="e">
        <v>#N/A</v>
      </c>
      <c r="BA30" s="8" t="e">
        <v>#N/A</v>
      </c>
      <c r="BB30" s="8">
        <v>24625</v>
      </c>
      <c r="BC30" s="8" t="e">
        <v>#N/A</v>
      </c>
      <c r="BD30" s="8" t="e">
        <v>#N/A</v>
      </c>
      <c r="BE30" s="8">
        <v>23341</v>
      </c>
      <c r="BF30" s="8" t="e">
        <v>#N/A</v>
      </c>
      <c r="BG30" s="8" t="e">
        <v>#N/A</v>
      </c>
      <c r="BH30" s="8">
        <v>3137</v>
      </c>
    </row>
    <row r="31" spans="1:60" x14ac:dyDescent="0.25">
      <c r="A31" t="s">
        <v>597</v>
      </c>
      <c r="B31" s="8" t="e">
        <v>#N/A</v>
      </c>
      <c r="C31" s="8" t="e">
        <v>#N/A</v>
      </c>
      <c r="D31" s="8" t="e">
        <v>#N/A</v>
      </c>
      <c r="E31" s="8" t="e">
        <v>#N/A</v>
      </c>
      <c r="F31" s="8" t="e">
        <v>#N/A</v>
      </c>
      <c r="G31" s="2" t="e">
        <v>#N/A</v>
      </c>
      <c r="H31" s="2" t="e">
        <v>#N/A</v>
      </c>
      <c r="I31" s="2" t="e">
        <v>#N/A</v>
      </c>
      <c r="J31" s="2" t="e">
        <v>#N/A</v>
      </c>
      <c r="K31" s="8" t="e">
        <v>#N/A</v>
      </c>
      <c r="L31" s="8" t="e">
        <v>#N/A</v>
      </c>
      <c r="M31" s="8" t="e">
        <v>#N/A</v>
      </c>
      <c r="N31" s="8" t="e">
        <v>#N/A</v>
      </c>
      <c r="O31" s="8" t="e">
        <v>#N/A</v>
      </c>
      <c r="P31" s="8" t="e">
        <v>#N/A</v>
      </c>
      <c r="Q31" s="8" t="e">
        <v>#N/A</v>
      </c>
      <c r="R31" s="8" t="e">
        <v>#N/A</v>
      </c>
      <c r="S31" s="8">
        <v>26655</v>
      </c>
      <c r="T31" s="8">
        <v>499</v>
      </c>
      <c r="U31" s="8">
        <v>251</v>
      </c>
      <c r="V31" s="8">
        <v>5062</v>
      </c>
      <c r="W31" s="8">
        <v>222</v>
      </c>
      <c r="X31" s="8">
        <v>141</v>
      </c>
      <c r="Y31" s="8">
        <v>1888</v>
      </c>
      <c r="Z31" s="8">
        <v>4172</v>
      </c>
      <c r="AA31" s="8">
        <v>1289</v>
      </c>
      <c r="AB31" s="8">
        <v>1370</v>
      </c>
      <c r="AC31" s="8">
        <v>763</v>
      </c>
      <c r="AD31" s="8">
        <v>973</v>
      </c>
      <c r="AE31" s="8">
        <v>213</v>
      </c>
      <c r="AF31" s="8">
        <v>1226</v>
      </c>
      <c r="AG31" s="8">
        <v>1279</v>
      </c>
      <c r="AH31" s="8">
        <v>1878</v>
      </c>
      <c r="AI31" s="8">
        <v>1800</v>
      </c>
      <c r="AJ31" s="8">
        <v>2362</v>
      </c>
      <c r="AK31" s="8">
        <v>571</v>
      </c>
      <c r="AL31" s="8">
        <v>697</v>
      </c>
      <c r="AM31" s="8">
        <v>0</v>
      </c>
      <c r="AN31" s="8">
        <v>18592</v>
      </c>
      <c r="AO31" s="8" t="e">
        <v>#N/A</v>
      </c>
      <c r="AP31" s="8">
        <v>3135</v>
      </c>
      <c r="AQ31" s="2">
        <v>11.3</v>
      </c>
      <c r="AR31" s="2" t="e">
        <v>#N/A</v>
      </c>
      <c r="AS31" s="2" t="e">
        <v>#N/A</v>
      </c>
      <c r="AT31" s="8" t="e">
        <v>#N/A</v>
      </c>
      <c r="AU31" s="8" t="e">
        <v>#N/A</v>
      </c>
      <c r="AV31" s="8" t="e">
        <v>#N/A</v>
      </c>
      <c r="AW31" s="8">
        <v>44122</v>
      </c>
      <c r="AX31" s="2">
        <v>63</v>
      </c>
      <c r="AY31" s="2">
        <v>67.5</v>
      </c>
      <c r="AZ31" s="2" t="e">
        <v>#N/A</v>
      </c>
      <c r="BA31" s="8" t="e">
        <v>#N/A</v>
      </c>
      <c r="BB31" s="8">
        <v>24660</v>
      </c>
      <c r="BC31" s="8" t="e">
        <v>#N/A</v>
      </c>
      <c r="BD31" s="8" t="e">
        <v>#N/A</v>
      </c>
      <c r="BE31" s="8">
        <v>23319</v>
      </c>
      <c r="BF31" s="8" t="e">
        <v>#N/A</v>
      </c>
      <c r="BG31" s="8" t="e">
        <v>#N/A</v>
      </c>
      <c r="BH31" s="8">
        <v>3135</v>
      </c>
    </row>
    <row r="32" spans="1:60" x14ac:dyDescent="0.25">
      <c r="A32" t="s">
        <v>598</v>
      </c>
      <c r="B32" s="8" t="e">
        <v>#N/A</v>
      </c>
      <c r="C32" s="8" t="e">
        <v>#N/A</v>
      </c>
      <c r="D32" s="8" t="e">
        <v>#N/A</v>
      </c>
      <c r="E32" s="8" t="e">
        <v>#N/A</v>
      </c>
      <c r="F32" s="8" t="e">
        <v>#N/A</v>
      </c>
      <c r="G32" s="2" t="e">
        <v>#N/A</v>
      </c>
      <c r="H32" s="2" t="e">
        <v>#N/A</v>
      </c>
      <c r="I32" s="2" t="e">
        <v>#N/A</v>
      </c>
      <c r="J32" s="2" t="e">
        <v>#N/A</v>
      </c>
      <c r="K32" s="8" t="e">
        <v>#N/A</v>
      </c>
      <c r="L32" s="8" t="e">
        <v>#N/A</v>
      </c>
      <c r="M32" s="8" t="e">
        <v>#N/A</v>
      </c>
      <c r="N32" s="8" t="e">
        <v>#N/A</v>
      </c>
      <c r="O32" s="8" t="e">
        <v>#N/A</v>
      </c>
      <c r="P32" s="8" t="e">
        <v>#N/A</v>
      </c>
      <c r="Q32" s="8" t="e">
        <v>#N/A</v>
      </c>
      <c r="R32" s="8" t="e">
        <v>#N/A</v>
      </c>
      <c r="S32" s="8">
        <v>26622</v>
      </c>
      <c r="T32" s="8">
        <v>497</v>
      </c>
      <c r="U32" s="8">
        <v>239</v>
      </c>
      <c r="V32" s="8">
        <v>5030</v>
      </c>
      <c r="W32" s="8">
        <v>218</v>
      </c>
      <c r="X32" s="8">
        <v>141</v>
      </c>
      <c r="Y32" s="8">
        <v>1880</v>
      </c>
      <c r="Z32" s="8">
        <v>4167</v>
      </c>
      <c r="AA32" s="8">
        <v>1281</v>
      </c>
      <c r="AB32" s="8">
        <v>1365</v>
      </c>
      <c r="AC32" s="8">
        <v>761</v>
      </c>
      <c r="AD32" s="8">
        <v>976</v>
      </c>
      <c r="AE32" s="8">
        <v>213</v>
      </c>
      <c r="AF32" s="8">
        <v>1229</v>
      </c>
      <c r="AG32" s="8">
        <v>1283</v>
      </c>
      <c r="AH32" s="8">
        <v>1879</v>
      </c>
      <c r="AI32" s="8">
        <v>1816</v>
      </c>
      <c r="AJ32" s="8">
        <v>2376</v>
      </c>
      <c r="AK32" s="8">
        <v>573</v>
      </c>
      <c r="AL32" s="8">
        <v>699</v>
      </c>
      <c r="AM32" s="8">
        <v>0</v>
      </c>
      <c r="AN32" s="8">
        <v>18617</v>
      </c>
      <c r="AO32" s="8" t="e">
        <v>#N/A</v>
      </c>
      <c r="AP32" s="8">
        <v>3150</v>
      </c>
      <c r="AQ32" s="2">
        <v>11.3</v>
      </c>
      <c r="AR32" s="2" t="e">
        <v>#N/A</v>
      </c>
      <c r="AS32" s="2" t="e">
        <v>#N/A</v>
      </c>
      <c r="AT32" s="8" t="e">
        <v>#N/A</v>
      </c>
      <c r="AU32" s="8" t="e">
        <v>#N/A</v>
      </c>
      <c r="AV32" s="8" t="e">
        <v>#N/A</v>
      </c>
      <c r="AW32" s="8">
        <v>44175</v>
      </c>
      <c r="AX32" s="2">
        <v>63</v>
      </c>
      <c r="AY32" s="2">
        <v>67.599999999999994</v>
      </c>
      <c r="AZ32" s="2" t="e">
        <v>#N/A</v>
      </c>
      <c r="BA32" s="8" t="e">
        <v>#N/A</v>
      </c>
      <c r="BB32" s="8">
        <v>24670</v>
      </c>
      <c r="BC32" s="8" t="e">
        <v>#N/A</v>
      </c>
      <c r="BD32" s="8" t="e">
        <v>#N/A</v>
      </c>
      <c r="BE32" s="8">
        <v>23279</v>
      </c>
      <c r="BF32" s="8" t="e">
        <v>#N/A</v>
      </c>
      <c r="BG32" s="8" t="e">
        <v>#N/A</v>
      </c>
      <c r="BH32" s="8">
        <v>3150</v>
      </c>
    </row>
    <row r="33" spans="1:60" x14ac:dyDescent="0.25">
      <c r="A33" t="s">
        <v>599</v>
      </c>
      <c r="B33" s="8" t="e">
        <v>#N/A</v>
      </c>
      <c r="C33" s="8" t="e">
        <v>#N/A</v>
      </c>
      <c r="D33" s="8" t="e">
        <v>#N/A</v>
      </c>
      <c r="E33" s="8" t="e">
        <v>#N/A</v>
      </c>
      <c r="F33" s="8" t="e">
        <v>#N/A</v>
      </c>
      <c r="G33" s="2" t="e">
        <v>#N/A</v>
      </c>
      <c r="H33" s="2" t="e">
        <v>#N/A</v>
      </c>
      <c r="I33" s="2" t="e">
        <v>#N/A</v>
      </c>
      <c r="J33" s="2" t="e">
        <v>#N/A</v>
      </c>
      <c r="K33" s="8" t="e">
        <v>#N/A</v>
      </c>
      <c r="L33" s="8" t="e">
        <v>#N/A</v>
      </c>
      <c r="M33" s="8" t="e">
        <v>#N/A</v>
      </c>
      <c r="N33" s="8" t="e">
        <v>#N/A</v>
      </c>
      <c r="O33" s="8" t="e">
        <v>#N/A</v>
      </c>
      <c r="P33" s="8" t="e">
        <v>#N/A</v>
      </c>
      <c r="Q33" s="8" t="e">
        <v>#N/A</v>
      </c>
      <c r="R33" s="8" t="e">
        <v>#N/A</v>
      </c>
      <c r="S33" s="8">
        <v>26654</v>
      </c>
      <c r="T33" s="8">
        <v>496</v>
      </c>
      <c r="U33" s="8">
        <v>231</v>
      </c>
      <c r="V33" s="8">
        <v>4982</v>
      </c>
      <c r="W33" s="8">
        <v>218</v>
      </c>
      <c r="X33" s="8">
        <v>141</v>
      </c>
      <c r="Y33" s="8">
        <v>1883</v>
      </c>
      <c r="Z33" s="8">
        <v>4157</v>
      </c>
      <c r="AA33" s="8">
        <v>1276</v>
      </c>
      <c r="AB33" s="8">
        <v>1369</v>
      </c>
      <c r="AC33" s="8">
        <v>762</v>
      </c>
      <c r="AD33" s="8">
        <v>980</v>
      </c>
      <c r="AE33" s="8">
        <v>216</v>
      </c>
      <c r="AF33" s="8">
        <v>1241</v>
      </c>
      <c r="AG33" s="8">
        <v>1293</v>
      </c>
      <c r="AH33" s="8">
        <v>1869</v>
      </c>
      <c r="AI33" s="8">
        <v>1837</v>
      </c>
      <c r="AJ33" s="8">
        <v>2412</v>
      </c>
      <c r="AK33" s="8">
        <v>583</v>
      </c>
      <c r="AL33" s="8">
        <v>710</v>
      </c>
      <c r="AM33" s="8">
        <v>0</v>
      </c>
      <c r="AN33" s="8">
        <v>18703</v>
      </c>
      <c r="AO33" s="8" t="e">
        <v>#N/A</v>
      </c>
      <c r="AP33" s="8">
        <v>3159</v>
      </c>
      <c r="AQ33" s="2">
        <v>11.3</v>
      </c>
      <c r="AR33" s="2" t="e">
        <v>#N/A</v>
      </c>
      <c r="AS33" s="2" t="e">
        <v>#N/A</v>
      </c>
      <c r="AT33" s="8" t="e">
        <v>#N/A</v>
      </c>
      <c r="AU33" s="8" t="e">
        <v>#N/A</v>
      </c>
      <c r="AV33" s="8" t="e">
        <v>#N/A</v>
      </c>
      <c r="AW33" s="8">
        <v>44228</v>
      </c>
      <c r="AX33" s="2">
        <v>63</v>
      </c>
      <c r="AY33" s="2">
        <v>67.599999999999994</v>
      </c>
      <c r="AZ33" s="2" t="e">
        <v>#N/A</v>
      </c>
      <c r="BA33" s="8" t="e">
        <v>#N/A</v>
      </c>
      <c r="BB33" s="8">
        <v>24695</v>
      </c>
      <c r="BC33" s="8" t="e">
        <v>#N/A</v>
      </c>
      <c r="BD33" s="8" t="e">
        <v>#N/A</v>
      </c>
      <c r="BE33" s="8">
        <v>23272</v>
      </c>
      <c r="BF33" s="8" t="e">
        <v>#N/A</v>
      </c>
      <c r="BG33" s="8" t="e">
        <v>#N/A</v>
      </c>
      <c r="BH33" s="8">
        <v>3159</v>
      </c>
    </row>
    <row r="34" spans="1:60" x14ac:dyDescent="0.25">
      <c r="A34" t="s">
        <v>600</v>
      </c>
      <c r="B34" s="8" t="e">
        <v>#N/A</v>
      </c>
      <c r="C34" s="8" t="e">
        <v>#N/A</v>
      </c>
      <c r="D34" s="8" t="e">
        <v>#N/A</v>
      </c>
      <c r="E34" s="8" t="e">
        <v>#N/A</v>
      </c>
      <c r="F34" s="8" t="e">
        <v>#N/A</v>
      </c>
      <c r="G34" s="2" t="e">
        <v>#N/A</v>
      </c>
      <c r="H34" s="2" t="e">
        <v>#N/A</v>
      </c>
      <c r="I34" s="2" t="e">
        <v>#N/A</v>
      </c>
      <c r="J34" s="2" t="e">
        <v>#N/A</v>
      </c>
      <c r="K34" s="8" t="e">
        <v>#N/A</v>
      </c>
      <c r="L34" s="8" t="e">
        <v>#N/A</v>
      </c>
      <c r="M34" s="8" t="e">
        <v>#N/A</v>
      </c>
      <c r="N34" s="8" t="e">
        <v>#N/A</v>
      </c>
      <c r="O34" s="8" t="e">
        <v>#N/A</v>
      </c>
      <c r="P34" s="8" t="e">
        <v>#N/A</v>
      </c>
      <c r="Q34" s="8" t="e">
        <v>#N/A</v>
      </c>
      <c r="R34" s="8" t="e">
        <v>#N/A</v>
      </c>
      <c r="S34" s="8">
        <v>26754</v>
      </c>
      <c r="T34" s="8">
        <v>499</v>
      </c>
      <c r="U34" s="8">
        <v>222</v>
      </c>
      <c r="V34" s="8">
        <v>4957</v>
      </c>
      <c r="W34" s="8">
        <v>218</v>
      </c>
      <c r="X34" s="8">
        <v>140</v>
      </c>
      <c r="Y34" s="8">
        <v>1894</v>
      </c>
      <c r="Z34" s="8">
        <v>4169</v>
      </c>
      <c r="AA34" s="8">
        <v>1274</v>
      </c>
      <c r="AB34" s="8">
        <v>1373</v>
      </c>
      <c r="AC34" s="8">
        <v>762</v>
      </c>
      <c r="AD34" s="8">
        <v>1001</v>
      </c>
      <c r="AE34" s="8">
        <v>219</v>
      </c>
      <c r="AF34" s="8">
        <v>1258</v>
      </c>
      <c r="AG34" s="8">
        <v>1300</v>
      </c>
      <c r="AH34" s="8">
        <v>1877</v>
      </c>
      <c r="AI34" s="8">
        <v>1858</v>
      </c>
      <c r="AJ34" s="8">
        <v>2435</v>
      </c>
      <c r="AK34" s="8">
        <v>585</v>
      </c>
      <c r="AL34" s="8">
        <v>714</v>
      </c>
      <c r="AM34" s="8">
        <v>0</v>
      </c>
      <c r="AN34" s="8">
        <v>18825</v>
      </c>
      <c r="AO34" s="8" t="e">
        <v>#N/A</v>
      </c>
      <c r="AP34" s="8">
        <v>3177</v>
      </c>
      <c r="AQ34" s="2">
        <v>11.4</v>
      </c>
      <c r="AR34" s="2" t="e">
        <v>#N/A</v>
      </c>
      <c r="AS34" s="2" t="e">
        <v>#N/A</v>
      </c>
      <c r="AT34" s="8" t="e">
        <v>#N/A</v>
      </c>
      <c r="AU34" s="8" t="e">
        <v>#N/A</v>
      </c>
      <c r="AV34" s="8" t="e">
        <v>#N/A</v>
      </c>
      <c r="AW34" s="8">
        <v>44282</v>
      </c>
      <c r="AX34" s="2">
        <v>63.1</v>
      </c>
      <c r="AY34" s="2">
        <v>67.8</v>
      </c>
      <c r="AZ34" s="2" t="e">
        <v>#N/A</v>
      </c>
      <c r="BA34" s="8" t="e">
        <v>#N/A</v>
      </c>
      <c r="BB34" s="8">
        <v>24770</v>
      </c>
      <c r="BC34" s="8" t="e">
        <v>#N/A</v>
      </c>
      <c r="BD34" s="8" t="e">
        <v>#N/A</v>
      </c>
      <c r="BE34" s="8">
        <v>23297</v>
      </c>
      <c r="BF34" s="8" t="e">
        <v>#N/A</v>
      </c>
      <c r="BG34" s="8" t="e">
        <v>#N/A</v>
      </c>
      <c r="BH34" s="8">
        <v>3177</v>
      </c>
    </row>
    <row r="35" spans="1:60" x14ac:dyDescent="0.25">
      <c r="A35" t="s">
        <v>601</v>
      </c>
      <c r="B35" s="8" t="e">
        <v>#N/A</v>
      </c>
      <c r="C35" s="8" t="e">
        <v>#N/A</v>
      </c>
      <c r="D35" s="8" t="e">
        <v>#N/A</v>
      </c>
      <c r="E35" s="8" t="e">
        <v>#N/A</v>
      </c>
      <c r="F35" s="8" t="e">
        <v>#N/A</v>
      </c>
      <c r="G35" s="2" t="e">
        <v>#N/A</v>
      </c>
      <c r="H35" s="2" t="e">
        <v>#N/A</v>
      </c>
      <c r="I35" s="2" t="e">
        <v>#N/A</v>
      </c>
      <c r="J35" s="2" t="e">
        <v>#N/A</v>
      </c>
      <c r="K35" s="8" t="e">
        <v>#N/A</v>
      </c>
      <c r="L35" s="8" t="e">
        <v>#N/A</v>
      </c>
      <c r="M35" s="8" t="e">
        <v>#N/A</v>
      </c>
      <c r="N35" s="8" t="e">
        <v>#N/A</v>
      </c>
      <c r="O35" s="8" t="e">
        <v>#N/A</v>
      </c>
      <c r="P35" s="8" t="e">
        <v>#N/A</v>
      </c>
      <c r="Q35" s="8" t="e">
        <v>#N/A</v>
      </c>
      <c r="R35" s="8" t="e">
        <v>#N/A</v>
      </c>
      <c r="S35" s="8">
        <v>26818</v>
      </c>
      <c r="T35" s="8">
        <v>499</v>
      </c>
      <c r="U35" s="8">
        <v>213</v>
      </c>
      <c r="V35" s="8">
        <v>4937</v>
      </c>
      <c r="W35" s="8">
        <v>215</v>
      </c>
      <c r="X35" s="8">
        <v>141</v>
      </c>
      <c r="Y35" s="8">
        <v>1914</v>
      </c>
      <c r="Z35" s="8">
        <v>4174</v>
      </c>
      <c r="AA35" s="8">
        <v>1269</v>
      </c>
      <c r="AB35" s="8">
        <v>1375</v>
      </c>
      <c r="AC35" s="8">
        <v>764</v>
      </c>
      <c r="AD35" s="8">
        <v>1009</v>
      </c>
      <c r="AE35" s="8">
        <v>220</v>
      </c>
      <c r="AF35" s="8">
        <v>1265</v>
      </c>
      <c r="AG35" s="8">
        <v>1308</v>
      </c>
      <c r="AH35" s="8">
        <v>1875</v>
      </c>
      <c r="AI35" s="8">
        <v>1876</v>
      </c>
      <c r="AJ35" s="8">
        <v>2456</v>
      </c>
      <c r="AK35" s="8">
        <v>588</v>
      </c>
      <c r="AL35" s="8">
        <v>720</v>
      </c>
      <c r="AM35" s="8">
        <v>0</v>
      </c>
      <c r="AN35" s="8">
        <v>18899</v>
      </c>
      <c r="AO35" s="8" t="e">
        <v>#N/A</v>
      </c>
      <c r="AP35" s="8">
        <v>3156</v>
      </c>
      <c r="AQ35" s="2">
        <v>11.3</v>
      </c>
      <c r="AR35" s="2" t="e">
        <v>#N/A</v>
      </c>
      <c r="AS35" s="2" t="e">
        <v>#N/A</v>
      </c>
      <c r="AT35" s="8" t="e">
        <v>#N/A</v>
      </c>
      <c r="AU35" s="8" t="e">
        <v>#N/A</v>
      </c>
      <c r="AV35" s="8" t="e">
        <v>#N/A</v>
      </c>
      <c r="AW35" s="8">
        <v>44335</v>
      </c>
      <c r="AX35" s="2">
        <v>63.2</v>
      </c>
      <c r="AY35" s="2">
        <v>67.900000000000006</v>
      </c>
      <c r="AZ35" s="2" t="e">
        <v>#N/A</v>
      </c>
      <c r="BA35" s="8" t="e">
        <v>#N/A</v>
      </c>
      <c r="BB35" s="8">
        <v>24850</v>
      </c>
      <c r="BC35" s="8" t="e">
        <v>#N/A</v>
      </c>
      <c r="BD35" s="8" t="e">
        <v>#N/A</v>
      </c>
      <c r="BE35" s="8">
        <v>23303</v>
      </c>
      <c r="BF35" s="8" t="e">
        <v>#N/A</v>
      </c>
      <c r="BG35" s="8" t="e">
        <v>#N/A</v>
      </c>
      <c r="BH35" s="8">
        <v>3156</v>
      </c>
    </row>
    <row r="36" spans="1:60" x14ac:dyDescent="0.25">
      <c r="A36" t="s">
        <v>602</v>
      </c>
      <c r="B36" s="8" t="e">
        <v>#N/A</v>
      </c>
      <c r="C36" s="8" t="e">
        <v>#N/A</v>
      </c>
      <c r="D36" s="8" t="e">
        <v>#N/A</v>
      </c>
      <c r="E36" s="8" t="e">
        <v>#N/A</v>
      </c>
      <c r="F36" s="8" t="e">
        <v>#N/A</v>
      </c>
      <c r="G36" s="2" t="e">
        <v>#N/A</v>
      </c>
      <c r="H36" s="2" t="e">
        <v>#N/A</v>
      </c>
      <c r="I36" s="2" t="e">
        <v>#N/A</v>
      </c>
      <c r="J36" s="2" t="e">
        <v>#N/A</v>
      </c>
      <c r="K36" s="8" t="e">
        <v>#N/A</v>
      </c>
      <c r="L36" s="8" t="e">
        <v>#N/A</v>
      </c>
      <c r="M36" s="8" t="e">
        <v>#N/A</v>
      </c>
      <c r="N36" s="8" t="e">
        <v>#N/A</v>
      </c>
      <c r="O36" s="8" t="e">
        <v>#N/A</v>
      </c>
      <c r="P36" s="8" t="e">
        <v>#N/A</v>
      </c>
      <c r="Q36" s="8" t="e">
        <v>#N/A</v>
      </c>
      <c r="R36" s="8" t="e">
        <v>#N/A</v>
      </c>
      <c r="S36" s="8">
        <v>26886</v>
      </c>
      <c r="T36" s="8">
        <v>500</v>
      </c>
      <c r="U36" s="8">
        <v>203</v>
      </c>
      <c r="V36" s="8">
        <v>4912</v>
      </c>
      <c r="W36" s="8">
        <v>212</v>
      </c>
      <c r="X36" s="8">
        <v>141</v>
      </c>
      <c r="Y36" s="8">
        <v>1936</v>
      </c>
      <c r="Z36" s="8">
        <v>4169</v>
      </c>
      <c r="AA36" s="8">
        <v>1268</v>
      </c>
      <c r="AB36" s="8">
        <v>1376</v>
      </c>
      <c r="AC36" s="8">
        <v>767</v>
      </c>
      <c r="AD36" s="8">
        <v>1010</v>
      </c>
      <c r="AE36" s="8">
        <v>223</v>
      </c>
      <c r="AF36" s="8">
        <v>1281</v>
      </c>
      <c r="AG36" s="8">
        <v>1322</v>
      </c>
      <c r="AH36" s="8">
        <v>1875</v>
      </c>
      <c r="AI36" s="8">
        <v>1886</v>
      </c>
      <c r="AJ36" s="8">
        <v>2488</v>
      </c>
      <c r="AK36" s="8">
        <v>591</v>
      </c>
      <c r="AL36" s="8">
        <v>725</v>
      </c>
      <c r="AM36" s="8">
        <v>0</v>
      </c>
      <c r="AN36" s="8">
        <v>18982</v>
      </c>
      <c r="AO36" s="8" t="e">
        <v>#N/A</v>
      </c>
      <c r="AP36" s="8">
        <v>3113</v>
      </c>
      <c r="AQ36" s="2">
        <v>11.1</v>
      </c>
      <c r="AR36" s="2" t="e">
        <v>#N/A</v>
      </c>
      <c r="AS36" s="2" t="e">
        <v>#N/A</v>
      </c>
      <c r="AT36" s="8" t="e">
        <v>#N/A</v>
      </c>
      <c r="AU36" s="8" t="e">
        <v>#N/A</v>
      </c>
      <c r="AV36" s="8" t="e">
        <v>#N/A</v>
      </c>
      <c r="AW36" s="8">
        <v>44389</v>
      </c>
      <c r="AX36" s="2">
        <v>63.2</v>
      </c>
      <c r="AY36" s="2">
        <v>68.099999999999994</v>
      </c>
      <c r="AZ36" s="2" t="e">
        <v>#N/A</v>
      </c>
      <c r="BA36" s="8" t="e">
        <v>#N/A</v>
      </c>
      <c r="BB36" s="8">
        <v>24925</v>
      </c>
      <c r="BC36" s="8" t="e">
        <v>#N/A</v>
      </c>
      <c r="BD36" s="8" t="e">
        <v>#N/A</v>
      </c>
      <c r="BE36" s="8">
        <v>23320</v>
      </c>
      <c r="BF36" s="8" t="e">
        <v>#N/A</v>
      </c>
      <c r="BG36" s="8" t="e">
        <v>#N/A</v>
      </c>
      <c r="BH36" s="8">
        <v>3113</v>
      </c>
    </row>
    <row r="37" spans="1:60" x14ac:dyDescent="0.25">
      <c r="A37" t="s">
        <v>603</v>
      </c>
      <c r="B37" s="8" t="e">
        <v>#N/A</v>
      </c>
      <c r="C37" s="8" t="e">
        <v>#N/A</v>
      </c>
      <c r="D37" s="8" t="e">
        <v>#N/A</v>
      </c>
      <c r="E37" s="8" t="e">
        <v>#N/A</v>
      </c>
      <c r="F37" s="8" t="e">
        <v>#N/A</v>
      </c>
      <c r="G37" s="2" t="e">
        <v>#N/A</v>
      </c>
      <c r="H37" s="2" t="e">
        <v>#N/A</v>
      </c>
      <c r="I37" s="2" t="e">
        <v>#N/A</v>
      </c>
      <c r="J37" s="2" t="e">
        <v>#N/A</v>
      </c>
      <c r="K37" s="8" t="e">
        <v>#N/A</v>
      </c>
      <c r="L37" s="8" t="e">
        <v>#N/A</v>
      </c>
      <c r="M37" s="8" t="e">
        <v>#N/A</v>
      </c>
      <c r="N37" s="8" t="e">
        <v>#N/A</v>
      </c>
      <c r="O37" s="8" t="e">
        <v>#N/A</v>
      </c>
      <c r="P37" s="8" t="e">
        <v>#N/A</v>
      </c>
      <c r="Q37" s="8" t="e">
        <v>#N/A</v>
      </c>
      <c r="R37" s="8" t="e">
        <v>#N/A</v>
      </c>
      <c r="S37" s="8">
        <v>27187</v>
      </c>
      <c r="T37" s="8">
        <v>504</v>
      </c>
      <c r="U37" s="8">
        <v>201</v>
      </c>
      <c r="V37" s="8">
        <v>4950</v>
      </c>
      <c r="W37" s="8">
        <v>212</v>
      </c>
      <c r="X37" s="8">
        <v>142</v>
      </c>
      <c r="Y37" s="8">
        <v>1967</v>
      </c>
      <c r="Z37" s="8">
        <v>4209</v>
      </c>
      <c r="AA37" s="8">
        <v>1276</v>
      </c>
      <c r="AB37" s="8">
        <v>1387</v>
      </c>
      <c r="AC37" s="8">
        <v>776</v>
      </c>
      <c r="AD37" s="8">
        <v>1026</v>
      </c>
      <c r="AE37" s="8">
        <v>227</v>
      </c>
      <c r="AF37" s="8">
        <v>1305</v>
      </c>
      <c r="AG37" s="8">
        <v>1342</v>
      </c>
      <c r="AH37" s="8">
        <v>1891</v>
      </c>
      <c r="AI37" s="8">
        <v>1909</v>
      </c>
      <c r="AJ37" s="8">
        <v>2525</v>
      </c>
      <c r="AK37" s="8">
        <v>600</v>
      </c>
      <c r="AL37" s="8">
        <v>738</v>
      </c>
      <c r="AM37" s="8">
        <v>0</v>
      </c>
      <c r="AN37" s="8">
        <v>19211</v>
      </c>
      <c r="AO37" s="8" t="e">
        <v>#N/A</v>
      </c>
      <c r="AP37" s="8">
        <v>3021</v>
      </c>
      <c r="AQ37" s="2">
        <v>10.7</v>
      </c>
      <c r="AR37" s="2" t="e">
        <v>#N/A</v>
      </c>
      <c r="AS37" s="2" t="e">
        <v>#N/A</v>
      </c>
      <c r="AT37" s="8" t="e">
        <v>#N/A</v>
      </c>
      <c r="AU37" s="8" t="e">
        <v>#N/A</v>
      </c>
      <c r="AV37" s="8" t="e">
        <v>#N/A</v>
      </c>
      <c r="AW37" s="8">
        <v>44443</v>
      </c>
      <c r="AX37" s="2">
        <v>63.3</v>
      </c>
      <c r="AY37" s="2">
        <v>68.5</v>
      </c>
      <c r="AZ37" s="2" t="e">
        <v>#N/A</v>
      </c>
      <c r="BA37" s="8" t="e">
        <v>#N/A</v>
      </c>
      <c r="BB37" s="8">
        <v>25110</v>
      </c>
      <c r="BC37" s="8" t="e">
        <v>#N/A</v>
      </c>
      <c r="BD37" s="8" t="e">
        <v>#N/A</v>
      </c>
      <c r="BE37" s="8">
        <v>23515</v>
      </c>
      <c r="BF37" s="8" t="e">
        <v>#N/A</v>
      </c>
      <c r="BG37" s="8" t="e">
        <v>#N/A</v>
      </c>
      <c r="BH37" s="8">
        <v>3021</v>
      </c>
    </row>
    <row r="38" spans="1:60" x14ac:dyDescent="0.25">
      <c r="A38" t="s">
        <v>604</v>
      </c>
      <c r="B38" s="8" t="e">
        <v>#N/A</v>
      </c>
      <c r="C38" s="8" t="e">
        <v>#N/A</v>
      </c>
      <c r="D38" s="8" t="e">
        <v>#N/A</v>
      </c>
      <c r="E38" s="8" t="e">
        <v>#N/A</v>
      </c>
      <c r="F38" s="8" t="e">
        <v>#N/A</v>
      </c>
      <c r="G38" s="2" t="e">
        <v>#N/A</v>
      </c>
      <c r="H38" s="2" t="e">
        <v>#N/A</v>
      </c>
      <c r="I38" s="2" t="e">
        <v>#N/A</v>
      </c>
      <c r="J38" s="2" t="e">
        <v>#N/A</v>
      </c>
      <c r="K38" s="8" t="e">
        <v>#N/A</v>
      </c>
      <c r="L38" s="8" t="e">
        <v>#N/A</v>
      </c>
      <c r="M38" s="8" t="e">
        <v>#N/A</v>
      </c>
      <c r="N38" s="8" t="e">
        <v>#N/A</v>
      </c>
      <c r="O38" s="8" t="e">
        <v>#N/A</v>
      </c>
      <c r="P38" s="8" t="e">
        <v>#N/A</v>
      </c>
      <c r="Q38" s="8" t="e">
        <v>#N/A</v>
      </c>
      <c r="R38" s="8" t="e">
        <v>#N/A</v>
      </c>
      <c r="S38" s="8">
        <v>27468</v>
      </c>
      <c r="T38" s="8">
        <v>508</v>
      </c>
      <c r="U38" s="8">
        <v>200</v>
      </c>
      <c r="V38" s="8">
        <v>4964</v>
      </c>
      <c r="W38" s="8">
        <v>213</v>
      </c>
      <c r="X38" s="8">
        <v>143</v>
      </c>
      <c r="Y38" s="8">
        <v>2000</v>
      </c>
      <c r="Z38" s="8">
        <v>4234</v>
      </c>
      <c r="AA38" s="8">
        <v>1288</v>
      </c>
      <c r="AB38" s="8">
        <v>1401</v>
      </c>
      <c r="AC38" s="8">
        <v>783</v>
      </c>
      <c r="AD38" s="8">
        <v>1060</v>
      </c>
      <c r="AE38" s="8">
        <v>232</v>
      </c>
      <c r="AF38" s="8">
        <v>1331</v>
      </c>
      <c r="AG38" s="8">
        <v>1362</v>
      </c>
      <c r="AH38" s="8">
        <v>1901</v>
      </c>
      <c r="AI38" s="8">
        <v>1934</v>
      </c>
      <c r="AJ38" s="8">
        <v>2558</v>
      </c>
      <c r="AK38" s="8">
        <v>608</v>
      </c>
      <c r="AL38" s="8">
        <v>749</v>
      </c>
      <c r="AM38" s="8">
        <v>0</v>
      </c>
      <c r="AN38" s="8">
        <v>19440</v>
      </c>
      <c r="AO38" s="8" t="e">
        <v>#N/A</v>
      </c>
      <c r="AP38" s="8">
        <v>2885</v>
      </c>
      <c r="AQ38" s="2">
        <v>10.199999999999999</v>
      </c>
      <c r="AR38" s="2" t="e">
        <v>#N/A</v>
      </c>
      <c r="AS38" s="2" t="e">
        <v>#N/A</v>
      </c>
      <c r="AT38" s="8" t="e">
        <v>#N/A</v>
      </c>
      <c r="AU38" s="8" t="e">
        <v>#N/A</v>
      </c>
      <c r="AV38" s="8" t="e">
        <v>#N/A</v>
      </c>
      <c r="AW38" s="8">
        <v>44491</v>
      </c>
      <c r="AX38" s="2">
        <v>63.5</v>
      </c>
      <c r="AY38" s="2">
        <v>69.099999999999994</v>
      </c>
      <c r="AZ38" s="2" t="e">
        <v>#N/A</v>
      </c>
      <c r="BA38" s="8" t="e">
        <v>#N/A</v>
      </c>
      <c r="BB38" s="8">
        <v>25345</v>
      </c>
      <c r="BC38" s="8" t="e">
        <v>#N/A</v>
      </c>
      <c r="BD38" s="8" t="e">
        <v>#N/A</v>
      </c>
      <c r="BE38" s="8">
        <v>23705</v>
      </c>
      <c r="BF38" s="8" t="e">
        <v>#N/A</v>
      </c>
      <c r="BG38" s="8" t="e">
        <v>#N/A</v>
      </c>
      <c r="BH38" s="8">
        <v>2885</v>
      </c>
    </row>
    <row r="39" spans="1:60" x14ac:dyDescent="0.25">
      <c r="A39" t="s">
        <v>605</v>
      </c>
      <c r="B39" s="8" t="e">
        <v>#N/A</v>
      </c>
      <c r="C39" s="8" t="e">
        <v>#N/A</v>
      </c>
      <c r="D39" s="8" t="e">
        <v>#N/A</v>
      </c>
      <c r="E39" s="8" t="e">
        <v>#N/A</v>
      </c>
      <c r="F39" s="8" t="e">
        <v>#N/A</v>
      </c>
      <c r="G39" s="2" t="e">
        <v>#N/A</v>
      </c>
      <c r="H39" s="2" t="e">
        <v>#N/A</v>
      </c>
      <c r="I39" s="2" t="e">
        <v>#N/A</v>
      </c>
      <c r="J39" s="2" t="e">
        <v>#N/A</v>
      </c>
      <c r="K39" s="8" t="e">
        <v>#N/A</v>
      </c>
      <c r="L39" s="8" t="e">
        <v>#N/A</v>
      </c>
      <c r="M39" s="8" t="e">
        <v>#N/A</v>
      </c>
      <c r="N39" s="8" t="e">
        <v>#N/A</v>
      </c>
      <c r="O39" s="8" t="e">
        <v>#N/A</v>
      </c>
      <c r="P39" s="8" t="e">
        <v>#N/A</v>
      </c>
      <c r="Q39" s="8" t="e">
        <v>#N/A</v>
      </c>
      <c r="R39" s="8" t="e">
        <v>#N/A</v>
      </c>
      <c r="S39" s="8">
        <v>27735</v>
      </c>
      <c r="T39" s="8">
        <v>510</v>
      </c>
      <c r="U39" s="8">
        <v>196</v>
      </c>
      <c r="V39" s="8">
        <v>4980</v>
      </c>
      <c r="W39" s="8">
        <v>213</v>
      </c>
      <c r="X39" s="8">
        <v>143</v>
      </c>
      <c r="Y39" s="8">
        <v>2022</v>
      </c>
      <c r="Z39" s="8">
        <v>4291</v>
      </c>
      <c r="AA39" s="8">
        <v>1295</v>
      </c>
      <c r="AB39" s="8">
        <v>1442</v>
      </c>
      <c r="AC39" s="8">
        <v>791</v>
      </c>
      <c r="AD39" s="8">
        <v>1081</v>
      </c>
      <c r="AE39" s="8">
        <v>234</v>
      </c>
      <c r="AF39" s="8">
        <v>1345</v>
      </c>
      <c r="AG39" s="8">
        <v>1375</v>
      </c>
      <c r="AH39" s="8">
        <v>1894</v>
      </c>
      <c r="AI39" s="8">
        <v>1950</v>
      </c>
      <c r="AJ39" s="8">
        <v>2598</v>
      </c>
      <c r="AK39" s="8">
        <v>616</v>
      </c>
      <c r="AL39" s="8">
        <v>760</v>
      </c>
      <c r="AM39" s="8">
        <v>0</v>
      </c>
      <c r="AN39" s="8">
        <v>19671</v>
      </c>
      <c r="AO39" s="8" t="e">
        <v>#N/A</v>
      </c>
      <c r="AP39" s="8">
        <v>2741</v>
      </c>
      <c r="AQ39" s="2">
        <v>9.6999999999999993</v>
      </c>
      <c r="AR39" s="2" t="e">
        <v>#N/A</v>
      </c>
      <c r="AS39" s="2" t="e">
        <v>#N/A</v>
      </c>
      <c r="AT39" s="8" t="e">
        <v>#N/A</v>
      </c>
      <c r="AU39" s="8" t="e">
        <v>#N/A</v>
      </c>
      <c r="AV39" s="8" t="e">
        <v>#N/A</v>
      </c>
      <c r="AW39" s="8">
        <v>44528</v>
      </c>
      <c r="AX39" s="2">
        <v>63.6</v>
      </c>
      <c r="AY39" s="2">
        <v>69.7</v>
      </c>
      <c r="AZ39" s="2" t="e">
        <v>#N/A</v>
      </c>
      <c r="BA39" s="8" t="e">
        <v>#N/A</v>
      </c>
      <c r="BB39" s="8">
        <v>25575</v>
      </c>
      <c r="BC39" s="8" t="e">
        <v>#N/A</v>
      </c>
      <c r="BD39" s="8" t="e">
        <v>#N/A</v>
      </c>
      <c r="BE39" s="8">
        <v>23926</v>
      </c>
      <c r="BF39" s="8" t="e">
        <v>#N/A</v>
      </c>
      <c r="BG39" s="8" t="e">
        <v>#N/A</v>
      </c>
      <c r="BH39" s="8">
        <v>2741</v>
      </c>
    </row>
    <row r="40" spans="1:60" x14ac:dyDescent="0.25">
      <c r="A40" t="s">
        <v>606</v>
      </c>
      <c r="B40" s="8" t="e">
        <v>#N/A</v>
      </c>
      <c r="C40" s="8" t="e">
        <v>#N/A</v>
      </c>
      <c r="D40" s="8" t="e">
        <v>#N/A</v>
      </c>
      <c r="E40" s="8" t="e">
        <v>#N/A</v>
      </c>
      <c r="F40" s="8" t="e">
        <v>#N/A</v>
      </c>
      <c r="G40" s="2" t="e">
        <v>#N/A</v>
      </c>
      <c r="H40" s="2" t="e">
        <v>#N/A</v>
      </c>
      <c r="I40" s="2" t="e">
        <v>#N/A</v>
      </c>
      <c r="J40" s="2" t="e">
        <v>#N/A</v>
      </c>
      <c r="K40" s="8" t="e">
        <v>#N/A</v>
      </c>
      <c r="L40" s="8" t="e">
        <v>#N/A</v>
      </c>
      <c r="M40" s="8" t="e">
        <v>#N/A</v>
      </c>
      <c r="N40" s="8" t="e">
        <v>#N/A</v>
      </c>
      <c r="O40" s="8" t="e">
        <v>#N/A</v>
      </c>
      <c r="P40" s="8" t="e">
        <v>#N/A</v>
      </c>
      <c r="Q40" s="8" t="e">
        <v>#N/A</v>
      </c>
      <c r="R40" s="8" t="e">
        <v>#N/A</v>
      </c>
      <c r="S40" s="8">
        <v>27956</v>
      </c>
      <c r="T40" s="8">
        <v>509</v>
      </c>
      <c r="U40" s="8">
        <v>188</v>
      </c>
      <c r="V40" s="8">
        <v>4997</v>
      </c>
      <c r="W40" s="8">
        <v>211</v>
      </c>
      <c r="X40" s="8">
        <v>143</v>
      </c>
      <c r="Y40" s="8">
        <v>2051</v>
      </c>
      <c r="Z40" s="8">
        <v>4318</v>
      </c>
      <c r="AA40" s="8">
        <v>1303</v>
      </c>
      <c r="AB40" s="8">
        <v>1469</v>
      </c>
      <c r="AC40" s="8">
        <v>799</v>
      </c>
      <c r="AD40" s="8">
        <v>1090</v>
      </c>
      <c r="AE40" s="8">
        <v>238</v>
      </c>
      <c r="AF40" s="8">
        <v>1367</v>
      </c>
      <c r="AG40" s="8">
        <v>1393</v>
      </c>
      <c r="AH40" s="8">
        <v>1884</v>
      </c>
      <c r="AI40" s="8">
        <v>1967</v>
      </c>
      <c r="AJ40" s="8">
        <v>2642</v>
      </c>
      <c r="AK40" s="8">
        <v>620</v>
      </c>
      <c r="AL40" s="8">
        <v>766</v>
      </c>
      <c r="AM40" s="8">
        <v>0</v>
      </c>
      <c r="AN40" s="8">
        <v>19856</v>
      </c>
      <c r="AO40" s="8" t="e">
        <v>#N/A</v>
      </c>
      <c r="AP40" s="8">
        <v>2613</v>
      </c>
      <c r="AQ40" s="2">
        <v>9.1999999999999993</v>
      </c>
      <c r="AR40" s="2" t="e">
        <v>#N/A</v>
      </c>
      <c r="AS40" s="2" t="e">
        <v>#N/A</v>
      </c>
      <c r="AT40" s="8" t="e">
        <v>#N/A</v>
      </c>
      <c r="AU40" s="8" t="e">
        <v>#N/A</v>
      </c>
      <c r="AV40" s="8" t="e">
        <v>#N/A</v>
      </c>
      <c r="AW40" s="8">
        <v>44565</v>
      </c>
      <c r="AX40" s="2">
        <v>63.7</v>
      </c>
      <c r="AY40" s="2">
        <v>70.2</v>
      </c>
      <c r="AZ40" s="2" t="e">
        <v>#N/A</v>
      </c>
      <c r="BA40" s="8" t="e">
        <v>#N/A</v>
      </c>
      <c r="BB40" s="8">
        <v>25795</v>
      </c>
      <c r="BC40" s="8" t="e">
        <v>#N/A</v>
      </c>
      <c r="BD40" s="8" t="e">
        <v>#N/A</v>
      </c>
      <c r="BE40" s="8">
        <v>24103</v>
      </c>
      <c r="BF40" s="8" t="e">
        <v>#N/A</v>
      </c>
      <c r="BG40" s="8" t="e">
        <v>#N/A</v>
      </c>
      <c r="BH40" s="8">
        <v>2613</v>
      </c>
    </row>
    <row r="41" spans="1:60" x14ac:dyDescent="0.25">
      <c r="A41" t="s">
        <v>607</v>
      </c>
      <c r="B41" s="8" t="e">
        <v>#N/A</v>
      </c>
      <c r="C41" s="8" t="e">
        <v>#N/A</v>
      </c>
      <c r="D41" s="8" t="e">
        <v>#N/A</v>
      </c>
      <c r="E41" s="8" t="e">
        <v>#N/A</v>
      </c>
      <c r="F41" s="8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8" t="e">
        <v>#N/A</v>
      </c>
      <c r="L41" s="8" t="e">
        <v>#N/A</v>
      </c>
      <c r="M41" s="8" t="e">
        <v>#N/A</v>
      </c>
      <c r="N41" s="8" t="e">
        <v>#N/A</v>
      </c>
      <c r="O41" s="8" t="e">
        <v>#N/A</v>
      </c>
      <c r="P41" s="8" t="e">
        <v>#N/A</v>
      </c>
      <c r="Q41" s="8" t="e">
        <v>#N/A</v>
      </c>
      <c r="R41" s="8" t="e">
        <v>#N/A</v>
      </c>
      <c r="S41" s="8">
        <v>28157</v>
      </c>
      <c r="T41" s="8">
        <v>509</v>
      </c>
      <c r="U41" s="8">
        <v>180</v>
      </c>
      <c r="V41" s="8">
        <v>5007</v>
      </c>
      <c r="W41" s="8">
        <v>212</v>
      </c>
      <c r="X41" s="8">
        <v>143</v>
      </c>
      <c r="Y41" s="8">
        <v>2065</v>
      </c>
      <c r="Z41" s="8">
        <v>4357</v>
      </c>
      <c r="AA41" s="8">
        <v>1311</v>
      </c>
      <c r="AB41" s="8">
        <v>1488</v>
      </c>
      <c r="AC41" s="8">
        <v>806</v>
      </c>
      <c r="AD41" s="8">
        <v>1109</v>
      </c>
      <c r="AE41" s="8">
        <v>243</v>
      </c>
      <c r="AF41" s="8">
        <v>1393</v>
      </c>
      <c r="AG41" s="8">
        <v>1413</v>
      </c>
      <c r="AH41" s="8">
        <v>1873</v>
      </c>
      <c r="AI41" s="8">
        <v>1981</v>
      </c>
      <c r="AJ41" s="8">
        <v>2680</v>
      </c>
      <c r="AK41" s="8">
        <v>618</v>
      </c>
      <c r="AL41" s="8">
        <v>768</v>
      </c>
      <c r="AM41" s="8">
        <v>0</v>
      </c>
      <c r="AN41" s="8">
        <v>20040</v>
      </c>
      <c r="AO41" s="8" t="e">
        <v>#N/A</v>
      </c>
      <c r="AP41" s="8">
        <v>2490</v>
      </c>
      <c r="AQ41" s="2">
        <v>8.6999999999999993</v>
      </c>
      <c r="AR41" s="2" t="e">
        <v>#N/A</v>
      </c>
      <c r="AS41" s="2" t="e">
        <v>#N/A</v>
      </c>
      <c r="AT41" s="8" t="e">
        <v>#N/A</v>
      </c>
      <c r="AU41" s="8" t="e">
        <v>#N/A</v>
      </c>
      <c r="AV41" s="8" t="e">
        <v>#N/A</v>
      </c>
      <c r="AW41" s="8">
        <v>44603</v>
      </c>
      <c r="AX41" s="2">
        <v>63.8</v>
      </c>
      <c r="AY41" s="2">
        <v>70.7</v>
      </c>
      <c r="AZ41" s="2" t="e">
        <v>#N/A</v>
      </c>
      <c r="BA41" s="8" t="e">
        <v>#N/A</v>
      </c>
      <c r="BB41" s="8">
        <v>25970</v>
      </c>
      <c r="BC41" s="8" t="e">
        <v>#N/A</v>
      </c>
      <c r="BD41" s="8" t="e">
        <v>#N/A</v>
      </c>
      <c r="BE41" s="8">
        <v>24262</v>
      </c>
      <c r="BF41" s="8" t="e">
        <v>#N/A</v>
      </c>
      <c r="BG41" s="8" t="e">
        <v>#N/A</v>
      </c>
      <c r="BH41" s="8">
        <v>2490</v>
      </c>
    </row>
    <row r="42" spans="1:60" x14ac:dyDescent="0.25">
      <c r="A42" t="s">
        <v>608</v>
      </c>
      <c r="B42" s="8" t="e">
        <v>#N/A</v>
      </c>
      <c r="C42" s="8" t="e">
        <v>#N/A</v>
      </c>
      <c r="D42" s="8" t="e">
        <v>#N/A</v>
      </c>
      <c r="E42" s="8" t="e">
        <v>#N/A</v>
      </c>
      <c r="F42" s="8" t="e">
        <v>#N/A</v>
      </c>
      <c r="G42" s="2" t="e">
        <v>#N/A</v>
      </c>
      <c r="H42" s="2" t="e">
        <v>#N/A</v>
      </c>
      <c r="I42" s="2" t="e">
        <v>#N/A</v>
      </c>
      <c r="J42" s="2" t="e">
        <v>#N/A</v>
      </c>
      <c r="K42" s="8" t="e">
        <v>#N/A</v>
      </c>
      <c r="L42" s="8" t="e">
        <v>#N/A</v>
      </c>
      <c r="M42" s="8" t="e">
        <v>#N/A</v>
      </c>
      <c r="N42" s="8" t="e">
        <v>#N/A</v>
      </c>
      <c r="O42" s="8" t="e">
        <v>#N/A</v>
      </c>
      <c r="P42" s="8" t="e">
        <v>#N/A</v>
      </c>
      <c r="Q42" s="8" t="e">
        <v>#N/A</v>
      </c>
      <c r="R42" s="8" t="e">
        <v>#N/A</v>
      </c>
      <c r="S42" s="8">
        <v>28435</v>
      </c>
      <c r="T42" s="8">
        <v>512</v>
      </c>
      <c r="U42" s="8">
        <v>179</v>
      </c>
      <c r="V42" s="8">
        <v>5017</v>
      </c>
      <c r="W42" s="8">
        <v>212</v>
      </c>
      <c r="X42" s="8">
        <v>144</v>
      </c>
      <c r="Y42" s="8">
        <v>2084</v>
      </c>
      <c r="Z42" s="8">
        <v>4417</v>
      </c>
      <c r="AA42" s="8">
        <v>1322</v>
      </c>
      <c r="AB42" s="8">
        <v>1527</v>
      </c>
      <c r="AC42" s="8">
        <v>813</v>
      </c>
      <c r="AD42" s="8">
        <v>1133</v>
      </c>
      <c r="AE42" s="8">
        <v>249</v>
      </c>
      <c r="AF42" s="8">
        <v>1428</v>
      </c>
      <c r="AG42" s="8">
        <v>1444</v>
      </c>
      <c r="AH42" s="8">
        <v>1857</v>
      </c>
      <c r="AI42" s="8">
        <v>1998</v>
      </c>
      <c r="AJ42" s="8">
        <v>2695</v>
      </c>
      <c r="AK42" s="8">
        <v>625</v>
      </c>
      <c r="AL42" s="8">
        <v>778</v>
      </c>
      <c r="AM42" s="8">
        <v>0</v>
      </c>
      <c r="AN42" s="8">
        <v>20286</v>
      </c>
      <c r="AO42" s="8" t="e">
        <v>#N/A</v>
      </c>
      <c r="AP42" s="8">
        <v>2385</v>
      </c>
      <c r="AQ42" s="2">
        <v>8.4</v>
      </c>
      <c r="AR42" s="2" t="e">
        <v>#N/A</v>
      </c>
      <c r="AS42" s="2" t="e">
        <v>#N/A</v>
      </c>
      <c r="AT42" s="8" t="e">
        <v>#N/A</v>
      </c>
      <c r="AU42" s="8" t="e">
        <v>#N/A</v>
      </c>
      <c r="AV42" s="8" t="e">
        <v>#N/A</v>
      </c>
      <c r="AW42" s="8">
        <v>44640</v>
      </c>
      <c r="AX42" s="2">
        <v>63.9</v>
      </c>
      <c r="AY42" s="2">
        <v>71.099999999999994</v>
      </c>
      <c r="AZ42" s="2" t="e">
        <v>#N/A</v>
      </c>
      <c r="BA42" s="8" t="e">
        <v>#N/A</v>
      </c>
      <c r="BB42" s="8">
        <v>26160</v>
      </c>
      <c r="BC42" s="8" t="e">
        <v>#N/A</v>
      </c>
      <c r="BD42" s="8" t="e">
        <v>#N/A</v>
      </c>
      <c r="BE42" s="8">
        <v>24463</v>
      </c>
      <c r="BF42" s="8" t="e">
        <v>#N/A</v>
      </c>
      <c r="BG42" s="8" t="e">
        <v>#N/A</v>
      </c>
      <c r="BH42" s="8">
        <v>2385</v>
      </c>
    </row>
    <row r="43" spans="1:60" x14ac:dyDescent="0.25">
      <c r="A43" t="s">
        <v>609</v>
      </c>
      <c r="B43" s="8" t="e">
        <v>#N/A</v>
      </c>
      <c r="C43" s="8" t="e">
        <v>#N/A</v>
      </c>
      <c r="D43" s="8" t="e">
        <v>#N/A</v>
      </c>
      <c r="E43" s="8" t="e">
        <v>#N/A</v>
      </c>
      <c r="F43" s="8" t="e">
        <v>#N/A</v>
      </c>
      <c r="G43" s="2" t="e">
        <v>#N/A</v>
      </c>
      <c r="H43" s="2" t="e">
        <v>#N/A</v>
      </c>
      <c r="I43" s="2" t="e">
        <v>#N/A</v>
      </c>
      <c r="J43" s="2" t="e">
        <v>#N/A</v>
      </c>
      <c r="K43" s="8" t="e">
        <v>#N/A</v>
      </c>
      <c r="L43" s="8" t="e">
        <v>#N/A</v>
      </c>
      <c r="M43" s="8" t="e">
        <v>#N/A</v>
      </c>
      <c r="N43" s="8" t="e">
        <v>#N/A</v>
      </c>
      <c r="O43" s="8" t="e">
        <v>#N/A</v>
      </c>
      <c r="P43" s="8" t="e">
        <v>#N/A</v>
      </c>
      <c r="Q43" s="8" t="e">
        <v>#N/A</v>
      </c>
      <c r="R43" s="8" t="e">
        <v>#N/A</v>
      </c>
      <c r="S43" s="8">
        <v>28644</v>
      </c>
      <c r="T43" s="8">
        <v>518</v>
      </c>
      <c r="U43" s="8">
        <v>176</v>
      </c>
      <c r="V43" s="8">
        <v>5033</v>
      </c>
      <c r="W43" s="8">
        <v>211</v>
      </c>
      <c r="X43" s="8">
        <v>145</v>
      </c>
      <c r="Y43" s="8">
        <v>2114</v>
      </c>
      <c r="Z43" s="8">
        <v>4484</v>
      </c>
      <c r="AA43" s="8">
        <v>1331</v>
      </c>
      <c r="AB43" s="8">
        <v>1558</v>
      </c>
      <c r="AC43" s="8">
        <v>822</v>
      </c>
      <c r="AD43" s="8">
        <v>1145</v>
      </c>
      <c r="AE43" s="8">
        <v>252</v>
      </c>
      <c r="AF43" s="8">
        <v>1445</v>
      </c>
      <c r="AG43" s="8">
        <v>1462</v>
      </c>
      <c r="AH43" s="8">
        <v>1802</v>
      </c>
      <c r="AI43" s="8">
        <v>2007</v>
      </c>
      <c r="AJ43" s="8">
        <v>2717</v>
      </c>
      <c r="AK43" s="8">
        <v>633</v>
      </c>
      <c r="AL43" s="8">
        <v>789</v>
      </c>
      <c r="AM43" s="8">
        <v>0</v>
      </c>
      <c r="AN43" s="8">
        <v>20447</v>
      </c>
      <c r="AO43" s="8" t="e">
        <v>#N/A</v>
      </c>
      <c r="AP43" s="8">
        <v>2293</v>
      </c>
      <c r="AQ43" s="2">
        <v>8</v>
      </c>
      <c r="AR43" s="2" t="e">
        <v>#N/A</v>
      </c>
      <c r="AS43" s="2" t="e">
        <v>#N/A</v>
      </c>
      <c r="AT43" s="8" t="e">
        <v>#N/A</v>
      </c>
      <c r="AU43" s="8" t="e">
        <v>#N/A</v>
      </c>
      <c r="AV43" s="8" t="e">
        <v>#N/A</v>
      </c>
      <c r="AW43" s="8">
        <v>44676</v>
      </c>
      <c r="AX43" s="2">
        <v>64.099999999999994</v>
      </c>
      <c r="AY43" s="2">
        <v>71.5</v>
      </c>
      <c r="AZ43" s="2" t="e">
        <v>#N/A</v>
      </c>
      <c r="BA43" s="8" t="e">
        <v>#N/A</v>
      </c>
      <c r="BB43" s="8">
        <v>26355</v>
      </c>
      <c r="BC43" s="8" t="e">
        <v>#N/A</v>
      </c>
      <c r="BD43" s="8" t="e">
        <v>#N/A</v>
      </c>
      <c r="BE43" s="8">
        <v>24547</v>
      </c>
      <c r="BF43" s="8" t="e">
        <v>#N/A</v>
      </c>
      <c r="BG43" s="8" t="e">
        <v>#N/A</v>
      </c>
      <c r="BH43" s="8">
        <v>2293</v>
      </c>
    </row>
    <row r="44" spans="1:60" x14ac:dyDescent="0.25">
      <c r="A44" t="s">
        <v>610</v>
      </c>
      <c r="B44" s="8" t="e">
        <v>#N/A</v>
      </c>
      <c r="C44" s="8" t="e">
        <v>#N/A</v>
      </c>
      <c r="D44" s="8" t="e">
        <v>#N/A</v>
      </c>
      <c r="E44" s="8" t="e">
        <v>#N/A</v>
      </c>
      <c r="F44" s="8" t="e">
        <v>#N/A</v>
      </c>
      <c r="G44" s="2" t="e">
        <v>#N/A</v>
      </c>
      <c r="H44" s="2" t="e">
        <v>#N/A</v>
      </c>
      <c r="I44" s="2" t="e">
        <v>#N/A</v>
      </c>
      <c r="J44" s="2" t="e">
        <v>#N/A</v>
      </c>
      <c r="K44" s="8" t="e">
        <v>#N/A</v>
      </c>
      <c r="L44" s="8" t="e">
        <v>#N/A</v>
      </c>
      <c r="M44" s="8" t="e">
        <v>#N/A</v>
      </c>
      <c r="N44" s="8" t="e">
        <v>#N/A</v>
      </c>
      <c r="O44" s="8" t="e">
        <v>#N/A</v>
      </c>
      <c r="P44" s="8" t="e">
        <v>#N/A</v>
      </c>
      <c r="Q44" s="8" t="e">
        <v>#N/A</v>
      </c>
      <c r="R44" s="8" t="e">
        <v>#N/A</v>
      </c>
      <c r="S44" s="8">
        <v>28955</v>
      </c>
      <c r="T44" s="8">
        <v>521</v>
      </c>
      <c r="U44" s="8">
        <v>172</v>
      </c>
      <c r="V44" s="8">
        <v>5037</v>
      </c>
      <c r="W44" s="8">
        <v>210</v>
      </c>
      <c r="X44" s="8">
        <v>145</v>
      </c>
      <c r="Y44" s="8">
        <v>2152</v>
      </c>
      <c r="Z44" s="8">
        <v>4556</v>
      </c>
      <c r="AA44" s="8">
        <v>1339</v>
      </c>
      <c r="AB44" s="8">
        <v>1603</v>
      </c>
      <c r="AC44" s="8">
        <v>831</v>
      </c>
      <c r="AD44" s="8">
        <v>1158</v>
      </c>
      <c r="AE44" s="8">
        <v>256</v>
      </c>
      <c r="AF44" s="8">
        <v>1467</v>
      </c>
      <c r="AG44" s="8">
        <v>1485</v>
      </c>
      <c r="AH44" s="8">
        <v>1789</v>
      </c>
      <c r="AI44" s="8">
        <v>2029</v>
      </c>
      <c r="AJ44" s="8">
        <v>2754</v>
      </c>
      <c r="AK44" s="8">
        <v>643</v>
      </c>
      <c r="AL44" s="8">
        <v>805</v>
      </c>
      <c r="AM44" s="8">
        <v>0</v>
      </c>
      <c r="AN44" s="8">
        <v>20717</v>
      </c>
      <c r="AO44" s="8" t="e">
        <v>#N/A</v>
      </c>
      <c r="AP44" s="8">
        <v>2179</v>
      </c>
      <c r="AQ44" s="2">
        <v>7.6</v>
      </c>
      <c r="AR44" s="2" t="e">
        <v>#N/A</v>
      </c>
      <c r="AS44" s="2" t="e">
        <v>#N/A</v>
      </c>
      <c r="AT44" s="8">
        <v>64</v>
      </c>
      <c r="AU44" s="8">
        <v>58</v>
      </c>
      <c r="AV44" s="8" t="e">
        <v>#N/A</v>
      </c>
      <c r="AW44" s="8">
        <v>44713</v>
      </c>
      <c r="AX44" s="2">
        <v>64.3</v>
      </c>
      <c r="AY44" s="2">
        <v>72.099999999999994</v>
      </c>
      <c r="AZ44" s="2" t="e">
        <v>#N/A</v>
      </c>
      <c r="BA44" s="8" t="e">
        <v>#N/A</v>
      </c>
      <c r="BB44" s="8">
        <v>26590</v>
      </c>
      <c r="BC44" s="8" t="e">
        <v>#N/A</v>
      </c>
      <c r="BD44" s="8" t="e">
        <v>#N/A</v>
      </c>
      <c r="BE44" s="8">
        <v>24729</v>
      </c>
      <c r="BF44" s="8" t="e">
        <v>#N/A</v>
      </c>
      <c r="BG44" s="8" t="e">
        <v>#N/A</v>
      </c>
      <c r="BH44" s="8">
        <v>2179</v>
      </c>
    </row>
    <row r="45" spans="1:60" x14ac:dyDescent="0.25">
      <c r="A45" t="s">
        <v>611</v>
      </c>
      <c r="B45" s="8" t="e">
        <v>#N/A</v>
      </c>
      <c r="C45" s="8" t="e">
        <v>#N/A</v>
      </c>
      <c r="D45" s="8" t="e">
        <v>#N/A</v>
      </c>
      <c r="E45" s="8" t="e">
        <v>#N/A</v>
      </c>
      <c r="F45" s="8" t="e">
        <v>#N/A</v>
      </c>
      <c r="G45" s="2" t="e">
        <v>#N/A</v>
      </c>
      <c r="H45" s="2" t="e">
        <v>#N/A</v>
      </c>
      <c r="I45" s="2" t="e">
        <v>#N/A</v>
      </c>
      <c r="J45" s="2" t="e">
        <v>#N/A</v>
      </c>
      <c r="K45" s="8" t="e">
        <v>#N/A</v>
      </c>
      <c r="L45" s="8" t="e">
        <v>#N/A</v>
      </c>
      <c r="M45" s="8" t="e">
        <v>#N/A</v>
      </c>
      <c r="N45" s="8" t="e">
        <v>#N/A</v>
      </c>
      <c r="O45" s="8" t="e">
        <v>#N/A</v>
      </c>
      <c r="P45" s="8" t="e">
        <v>#N/A</v>
      </c>
      <c r="Q45" s="8" t="e">
        <v>#N/A</v>
      </c>
      <c r="R45" s="8" t="e">
        <v>#N/A</v>
      </c>
      <c r="S45" s="8">
        <v>29046</v>
      </c>
      <c r="T45" s="8">
        <v>517</v>
      </c>
      <c r="U45" s="8">
        <v>169</v>
      </c>
      <c r="V45" s="8">
        <v>5031</v>
      </c>
      <c r="W45" s="8">
        <v>206</v>
      </c>
      <c r="X45" s="8">
        <v>146</v>
      </c>
      <c r="Y45" s="8">
        <v>2195</v>
      </c>
      <c r="Z45" s="8">
        <v>4572</v>
      </c>
      <c r="AA45" s="8">
        <v>1360</v>
      </c>
      <c r="AB45" s="8">
        <v>1614</v>
      </c>
      <c r="AC45" s="8">
        <v>836</v>
      </c>
      <c r="AD45" s="8">
        <v>1160</v>
      </c>
      <c r="AE45" s="8">
        <v>260</v>
      </c>
      <c r="AF45" s="8">
        <v>1487</v>
      </c>
      <c r="AG45" s="8">
        <v>1499</v>
      </c>
      <c r="AH45" s="8">
        <v>1792</v>
      </c>
      <c r="AI45" s="8">
        <v>2037</v>
      </c>
      <c r="AJ45" s="8">
        <v>2715</v>
      </c>
      <c r="AK45" s="8">
        <v>643</v>
      </c>
      <c r="AL45" s="8">
        <v>808</v>
      </c>
      <c r="AM45" s="8">
        <v>0</v>
      </c>
      <c r="AN45" s="8">
        <v>20782</v>
      </c>
      <c r="AO45" s="8" t="e">
        <v>#N/A</v>
      </c>
      <c r="AP45" s="8">
        <v>2083</v>
      </c>
      <c r="AQ45" s="2">
        <v>7.2</v>
      </c>
      <c r="AR45" s="2" t="e">
        <v>#N/A</v>
      </c>
      <c r="AS45" s="2" t="e">
        <v>#N/A</v>
      </c>
      <c r="AT45" s="8">
        <v>63</v>
      </c>
      <c r="AU45" s="8">
        <v>56</v>
      </c>
      <c r="AV45" s="8" t="e">
        <v>#N/A</v>
      </c>
      <c r="AW45" s="8">
        <v>44750</v>
      </c>
      <c r="AX45" s="2">
        <v>64.400000000000006</v>
      </c>
      <c r="AY45" s="2">
        <v>72.400000000000006</v>
      </c>
      <c r="AZ45" s="2" t="e">
        <v>#N/A</v>
      </c>
      <c r="BA45" s="8" t="e">
        <v>#N/A</v>
      </c>
      <c r="BB45" s="8">
        <v>26730</v>
      </c>
      <c r="BC45" s="8" t="e">
        <v>#N/A</v>
      </c>
      <c r="BD45" s="8" t="e">
        <v>#N/A</v>
      </c>
      <c r="BE45" s="8">
        <v>24747</v>
      </c>
      <c r="BF45" s="8" t="e">
        <v>#N/A</v>
      </c>
      <c r="BG45" s="8" t="e">
        <v>#N/A</v>
      </c>
      <c r="BH45" s="8">
        <v>2083</v>
      </c>
    </row>
    <row r="46" spans="1:60" x14ac:dyDescent="0.25">
      <c r="A46" t="s">
        <v>612</v>
      </c>
      <c r="B46" s="8" t="e">
        <v>#N/A</v>
      </c>
      <c r="C46" s="8" t="e">
        <v>#N/A</v>
      </c>
      <c r="D46" s="8" t="e">
        <v>#N/A</v>
      </c>
      <c r="E46" s="8" t="e">
        <v>#N/A</v>
      </c>
      <c r="F46" s="8" t="e">
        <v>#N/A</v>
      </c>
      <c r="G46" s="2" t="e">
        <v>#N/A</v>
      </c>
      <c r="H46" s="2" t="e">
        <v>#N/A</v>
      </c>
      <c r="I46" s="2" t="e">
        <v>#N/A</v>
      </c>
      <c r="J46" s="2" t="e">
        <v>#N/A</v>
      </c>
      <c r="K46" s="8" t="e">
        <v>#N/A</v>
      </c>
      <c r="L46" s="8" t="e">
        <v>#N/A</v>
      </c>
      <c r="M46" s="8" t="e">
        <v>#N/A</v>
      </c>
      <c r="N46" s="8" t="e">
        <v>#N/A</v>
      </c>
      <c r="O46" s="8" t="e">
        <v>#N/A</v>
      </c>
      <c r="P46" s="8" t="e">
        <v>#N/A</v>
      </c>
      <c r="Q46" s="8" t="e">
        <v>#N/A</v>
      </c>
      <c r="R46" s="8" t="e">
        <v>#N/A</v>
      </c>
      <c r="S46" s="8">
        <v>29152</v>
      </c>
      <c r="T46" s="8">
        <v>517</v>
      </c>
      <c r="U46" s="8">
        <v>164</v>
      </c>
      <c r="V46" s="8">
        <v>5043</v>
      </c>
      <c r="W46" s="8">
        <v>203</v>
      </c>
      <c r="X46" s="8">
        <v>147</v>
      </c>
      <c r="Y46" s="8">
        <v>2207</v>
      </c>
      <c r="Z46" s="8">
        <v>4585</v>
      </c>
      <c r="AA46" s="8">
        <v>1370</v>
      </c>
      <c r="AB46" s="8">
        <v>1635</v>
      </c>
      <c r="AC46" s="8">
        <v>836</v>
      </c>
      <c r="AD46" s="8">
        <v>1164</v>
      </c>
      <c r="AE46" s="8">
        <v>264</v>
      </c>
      <c r="AF46" s="8">
        <v>1509</v>
      </c>
      <c r="AG46" s="8">
        <v>1525</v>
      </c>
      <c r="AH46" s="8">
        <v>1797</v>
      </c>
      <c r="AI46" s="8">
        <v>2057</v>
      </c>
      <c r="AJ46" s="8">
        <v>2677</v>
      </c>
      <c r="AK46" s="8">
        <v>643</v>
      </c>
      <c r="AL46" s="8">
        <v>810</v>
      </c>
      <c r="AM46" s="8">
        <v>0</v>
      </c>
      <c r="AN46" s="8">
        <v>20870</v>
      </c>
      <c r="AO46" s="8" t="e">
        <v>#N/A</v>
      </c>
      <c r="AP46" s="8">
        <v>2045</v>
      </c>
      <c r="AQ46" s="2">
        <v>7.1</v>
      </c>
      <c r="AR46" s="2" t="e">
        <v>#N/A</v>
      </c>
      <c r="AS46" s="2" t="e">
        <v>#N/A</v>
      </c>
      <c r="AT46" s="8">
        <v>66</v>
      </c>
      <c r="AU46" s="8">
        <v>62</v>
      </c>
      <c r="AV46" s="8" t="e">
        <v>#N/A</v>
      </c>
      <c r="AW46" s="8">
        <v>44782</v>
      </c>
      <c r="AX46" s="2">
        <v>64.400000000000006</v>
      </c>
      <c r="AY46" s="2">
        <v>72.599999999999994</v>
      </c>
      <c r="AZ46" s="2" t="e">
        <v>#N/A</v>
      </c>
      <c r="BA46" s="8" t="e">
        <v>#N/A</v>
      </c>
      <c r="BB46" s="8">
        <v>26795</v>
      </c>
      <c r="BC46" s="8" t="e">
        <v>#N/A</v>
      </c>
      <c r="BD46" s="8" t="e">
        <v>#N/A</v>
      </c>
      <c r="BE46" s="8">
        <v>24855</v>
      </c>
      <c r="BF46" s="8" t="e">
        <v>#N/A</v>
      </c>
      <c r="BG46" s="8" t="e">
        <v>#N/A</v>
      </c>
      <c r="BH46" s="8">
        <v>2045</v>
      </c>
    </row>
    <row r="47" spans="1:60" x14ac:dyDescent="0.25">
      <c r="A47" t="s">
        <v>613</v>
      </c>
      <c r="B47" s="8" t="e">
        <v>#N/A</v>
      </c>
      <c r="C47" s="8" t="e">
        <v>#N/A</v>
      </c>
      <c r="D47" s="8" t="e">
        <v>#N/A</v>
      </c>
      <c r="E47" s="8" t="e">
        <v>#N/A</v>
      </c>
      <c r="F47" s="8" t="e">
        <v>#N/A</v>
      </c>
      <c r="G47" s="2" t="e">
        <v>#N/A</v>
      </c>
      <c r="H47" s="2" t="e">
        <v>#N/A</v>
      </c>
      <c r="I47" s="2" t="e">
        <v>#N/A</v>
      </c>
      <c r="J47" s="2" t="e">
        <v>#N/A</v>
      </c>
      <c r="K47" s="8" t="e">
        <v>#N/A</v>
      </c>
      <c r="L47" s="8" t="e">
        <v>#N/A</v>
      </c>
      <c r="M47" s="8" t="e">
        <v>#N/A</v>
      </c>
      <c r="N47" s="8" t="e">
        <v>#N/A</v>
      </c>
      <c r="O47" s="8" t="e">
        <v>#N/A</v>
      </c>
      <c r="P47" s="8" t="e">
        <v>#N/A</v>
      </c>
      <c r="Q47" s="8" t="e">
        <v>#N/A</v>
      </c>
      <c r="R47" s="8" t="e">
        <v>#N/A</v>
      </c>
      <c r="S47" s="8">
        <v>29267</v>
      </c>
      <c r="T47" s="8">
        <v>516</v>
      </c>
      <c r="U47" s="8">
        <v>163</v>
      </c>
      <c r="V47" s="8">
        <v>5011</v>
      </c>
      <c r="W47" s="8">
        <v>200</v>
      </c>
      <c r="X47" s="8">
        <v>147</v>
      </c>
      <c r="Y47" s="8">
        <v>2202</v>
      </c>
      <c r="Z47" s="8">
        <v>4613</v>
      </c>
      <c r="AA47" s="8">
        <v>1382</v>
      </c>
      <c r="AB47" s="8">
        <v>1663</v>
      </c>
      <c r="AC47" s="8">
        <v>842</v>
      </c>
      <c r="AD47" s="8">
        <v>1165</v>
      </c>
      <c r="AE47" s="8">
        <v>266</v>
      </c>
      <c r="AF47" s="8">
        <v>1522</v>
      </c>
      <c r="AG47" s="8">
        <v>1544</v>
      </c>
      <c r="AH47" s="8">
        <v>1815</v>
      </c>
      <c r="AI47" s="8">
        <v>2064</v>
      </c>
      <c r="AJ47" s="8">
        <v>2718</v>
      </c>
      <c r="AK47" s="8">
        <v>634</v>
      </c>
      <c r="AL47" s="8">
        <v>801</v>
      </c>
      <c r="AM47" s="8">
        <v>0</v>
      </c>
      <c r="AN47" s="8">
        <v>21028</v>
      </c>
      <c r="AO47" s="8" t="e">
        <v>#N/A</v>
      </c>
      <c r="AP47" s="8">
        <v>2021</v>
      </c>
      <c r="AQ47" s="2">
        <v>7</v>
      </c>
      <c r="AR47" s="2" t="e">
        <v>#N/A</v>
      </c>
      <c r="AS47" s="2" t="e">
        <v>#N/A</v>
      </c>
      <c r="AT47" s="8">
        <v>60</v>
      </c>
      <c r="AU47" s="8">
        <v>53</v>
      </c>
      <c r="AV47" s="8" t="e">
        <v>#N/A</v>
      </c>
      <c r="AW47" s="8">
        <v>44805</v>
      </c>
      <c r="AX47" s="2">
        <v>64.5</v>
      </c>
      <c r="AY47" s="2">
        <v>72.8</v>
      </c>
      <c r="AZ47" s="2" t="e">
        <v>#N/A</v>
      </c>
      <c r="BA47" s="8" t="e">
        <v>#N/A</v>
      </c>
      <c r="BB47" s="8">
        <v>26880</v>
      </c>
      <c r="BC47" s="8" t="e">
        <v>#N/A</v>
      </c>
      <c r="BD47" s="8" t="e">
        <v>#N/A</v>
      </c>
      <c r="BE47" s="8">
        <v>24969</v>
      </c>
      <c r="BF47" s="8" t="e">
        <v>#N/A</v>
      </c>
      <c r="BG47" s="8" t="e">
        <v>#N/A</v>
      </c>
      <c r="BH47" s="8">
        <v>2021</v>
      </c>
    </row>
    <row r="48" spans="1:60" x14ac:dyDescent="0.25">
      <c r="A48" t="s">
        <v>614</v>
      </c>
      <c r="B48" s="8" t="e">
        <v>#N/A</v>
      </c>
      <c r="C48" s="8" t="e">
        <v>#N/A</v>
      </c>
      <c r="D48" s="8" t="e">
        <v>#N/A</v>
      </c>
      <c r="E48" s="8" t="e">
        <v>#N/A</v>
      </c>
      <c r="F48" s="8" t="e">
        <v>#N/A</v>
      </c>
      <c r="G48" s="2" t="e">
        <v>#N/A</v>
      </c>
      <c r="H48" s="2" t="e">
        <v>#N/A</v>
      </c>
      <c r="I48" s="2" t="e">
        <v>#N/A</v>
      </c>
      <c r="J48" s="2" t="e">
        <v>#N/A</v>
      </c>
      <c r="K48" s="8" t="e">
        <v>#N/A</v>
      </c>
      <c r="L48" s="8" t="e">
        <v>#N/A</v>
      </c>
      <c r="M48" s="8" t="e">
        <v>#N/A</v>
      </c>
      <c r="N48" s="8" t="e">
        <v>#N/A</v>
      </c>
      <c r="O48" s="8" t="e">
        <v>#N/A</v>
      </c>
      <c r="P48" s="8" t="e">
        <v>#N/A</v>
      </c>
      <c r="Q48" s="8" t="e">
        <v>#N/A</v>
      </c>
      <c r="R48" s="8" t="e">
        <v>#N/A</v>
      </c>
      <c r="S48" s="8">
        <v>29291</v>
      </c>
      <c r="T48" s="8">
        <v>516</v>
      </c>
      <c r="U48" s="8">
        <v>161</v>
      </c>
      <c r="V48" s="8">
        <v>4963</v>
      </c>
      <c r="W48" s="8">
        <v>197</v>
      </c>
      <c r="X48" s="8">
        <v>146</v>
      </c>
      <c r="Y48" s="8">
        <v>2212</v>
      </c>
      <c r="Z48" s="8">
        <v>4618</v>
      </c>
      <c r="AA48" s="8">
        <v>1388</v>
      </c>
      <c r="AB48" s="8">
        <v>1669</v>
      </c>
      <c r="AC48" s="8">
        <v>844</v>
      </c>
      <c r="AD48" s="8">
        <v>1170</v>
      </c>
      <c r="AE48" s="8">
        <v>267</v>
      </c>
      <c r="AF48" s="8">
        <v>1533</v>
      </c>
      <c r="AG48" s="8">
        <v>1556</v>
      </c>
      <c r="AH48" s="8">
        <v>1821</v>
      </c>
      <c r="AI48" s="8">
        <v>2060</v>
      </c>
      <c r="AJ48" s="8">
        <v>2736</v>
      </c>
      <c r="AK48" s="8">
        <v>633</v>
      </c>
      <c r="AL48" s="8">
        <v>800</v>
      </c>
      <c r="AM48" s="8">
        <v>0</v>
      </c>
      <c r="AN48" s="8">
        <v>21095</v>
      </c>
      <c r="AO48" s="8" t="e">
        <v>#N/A</v>
      </c>
      <c r="AP48" s="8">
        <v>2004</v>
      </c>
      <c r="AQ48" s="2">
        <v>6.9</v>
      </c>
      <c r="AR48" s="2" t="e">
        <v>#N/A</v>
      </c>
      <c r="AS48" s="2" t="e">
        <v>#N/A</v>
      </c>
      <c r="AT48" s="8">
        <v>67</v>
      </c>
      <c r="AU48" s="8">
        <v>60</v>
      </c>
      <c r="AV48" s="8" t="e">
        <v>#N/A</v>
      </c>
      <c r="AW48" s="8">
        <v>44829</v>
      </c>
      <c r="AX48" s="2">
        <v>64.5</v>
      </c>
      <c r="AY48" s="2">
        <v>72.8</v>
      </c>
      <c r="AZ48" s="2" t="e">
        <v>#N/A</v>
      </c>
      <c r="BA48" s="8" t="e">
        <v>#N/A</v>
      </c>
      <c r="BB48" s="8">
        <v>26900</v>
      </c>
      <c r="BC48" s="8" t="e">
        <v>#N/A</v>
      </c>
      <c r="BD48" s="8" t="e">
        <v>#N/A</v>
      </c>
      <c r="BE48" s="8">
        <v>25002</v>
      </c>
      <c r="BF48" s="8" t="e">
        <v>#N/A</v>
      </c>
      <c r="BG48" s="8" t="e">
        <v>#N/A</v>
      </c>
      <c r="BH48" s="8">
        <v>2004</v>
      </c>
    </row>
    <row r="49" spans="1:60" x14ac:dyDescent="0.25">
      <c r="A49" t="s">
        <v>615</v>
      </c>
      <c r="B49" s="8" t="e">
        <v>#N/A</v>
      </c>
      <c r="C49" s="8" t="e">
        <v>#N/A</v>
      </c>
      <c r="D49" s="8" t="e">
        <v>#N/A</v>
      </c>
      <c r="E49" s="8" t="e">
        <v>#N/A</v>
      </c>
      <c r="F49" s="8" t="e">
        <v>#N/A</v>
      </c>
      <c r="G49" s="2" t="e">
        <v>#N/A</v>
      </c>
      <c r="H49" s="2" t="e">
        <v>#N/A</v>
      </c>
      <c r="I49" s="2" t="e">
        <v>#N/A</v>
      </c>
      <c r="J49" s="2" t="e">
        <v>#N/A</v>
      </c>
      <c r="K49" s="8" t="e">
        <v>#N/A</v>
      </c>
      <c r="L49" s="8" t="e">
        <v>#N/A</v>
      </c>
      <c r="M49" s="8" t="e">
        <v>#N/A</v>
      </c>
      <c r="N49" s="8" t="e">
        <v>#N/A</v>
      </c>
      <c r="O49" s="8" t="e">
        <v>#N/A</v>
      </c>
      <c r="P49" s="8" t="e">
        <v>#N/A</v>
      </c>
      <c r="Q49" s="8" t="e">
        <v>#N/A</v>
      </c>
      <c r="R49" s="8" t="e">
        <v>#N/A</v>
      </c>
      <c r="S49" s="8">
        <v>29370</v>
      </c>
      <c r="T49" s="8">
        <v>516</v>
      </c>
      <c r="U49" s="8">
        <v>159</v>
      </c>
      <c r="V49" s="8">
        <v>4925</v>
      </c>
      <c r="W49" s="8">
        <v>197</v>
      </c>
      <c r="X49" s="8">
        <v>145</v>
      </c>
      <c r="Y49" s="8">
        <v>2221</v>
      </c>
      <c r="Z49" s="8">
        <v>4645</v>
      </c>
      <c r="AA49" s="8">
        <v>1386</v>
      </c>
      <c r="AB49" s="8">
        <v>1675</v>
      </c>
      <c r="AC49" s="8">
        <v>847</v>
      </c>
      <c r="AD49" s="8">
        <v>1172</v>
      </c>
      <c r="AE49" s="8">
        <v>270</v>
      </c>
      <c r="AF49" s="8">
        <v>1549</v>
      </c>
      <c r="AG49" s="8">
        <v>1577</v>
      </c>
      <c r="AH49" s="8">
        <v>1827</v>
      </c>
      <c r="AI49" s="8">
        <v>2060</v>
      </c>
      <c r="AJ49" s="8">
        <v>2752</v>
      </c>
      <c r="AK49" s="8">
        <v>642</v>
      </c>
      <c r="AL49" s="8">
        <v>806</v>
      </c>
      <c r="AM49" s="8">
        <v>0</v>
      </c>
      <c r="AN49" s="8">
        <v>21208</v>
      </c>
      <c r="AO49" s="8" t="e">
        <v>#N/A</v>
      </c>
      <c r="AP49" s="8">
        <v>2002</v>
      </c>
      <c r="AQ49" s="2">
        <v>6.9</v>
      </c>
      <c r="AR49" s="2" t="e">
        <v>#N/A</v>
      </c>
      <c r="AS49" s="2" t="e">
        <v>#N/A</v>
      </c>
      <c r="AT49" s="8">
        <v>73</v>
      </c>
      <c r="AU49" s="8">
        <v>60</v>
      </c>
      <c r="AV49" s="8" t="e">
        <v>#N/A</v>
      </c>
      <c r="AW49" s="8">
        <v>44852</v>
      </c>
      <c r="AX49" s="2">
        <v>64.5</v>
      </c>
      <c r="AY49" s="2">
        <v>72.8</v>
      </c>
      <c r="AZ49" s="2" t="e">
        <v>#N/A</v>
      </c>
      <c r="BA49" s="8" t="e">
        <v>#N/A</v>
      </c>
      <c r="BB49" s="8">
        <v>26935</v>
      </c>
      <c r="BC49" s="8" t="e">
        <v>#N/A</v>
      </c>
      <c r="BD49" s="8" t="e">
        <v>#N/A</v>
      </c>
      <c r="BE49" s="8">
        <v>25061</v>
      </c>
      <c r="BF49" s="8" t="e">
        <v>#N/A</v>
      </c>
      <c r="BG49" s="8" t="e">
        <v>#N/A</v>
      </c>
      <c r="BH49" s="8">
        <v>2002</v>
      </c>
    </row>
    <row r="50" spans="1:60" x14ac:dyDescent="0.25">
      <c r="A50" t="s">
        <v>616</v>
      </c>
      <c r="B50" s="8" t="e">
        <v>#N/A</v>
      </c>
      <c r="C50" s="8" t="e">
        <v>#N/A</v>
      </c>
      <c r="D50" s="8" t="e">
        <v>#N/A</v>
      </c>
      <c r="E50" s="8" t="e">
        <v>#N/A</v>
      </c>
      <c r="F50" s="8" t="e">
        <v>#N/A</v>
      </c>
      <c r="G50" s="2" t="e">
        <v>#N/A</v>
      </c>
      <c r="H50" s="2" t="e">
        <v>#N/A</v>
      </c>
      <c r="I50" s="2" t="e">
        <v>#N/A</v>
      </c>
      <c r="J50" s="2" t="e">
        <v>#N/A</v>
      </c>
      <c r="K50" s="8" t="e">
        <v>#N/A</v>
      </c>
      <c r="L50" s="8" t="e">
        <v>#N/A</v>
      </c>
      <c r="M50" s="8" t="e">
        <v>#N/A</v>
      </c>
      <c r="N50" s="8" t="e">
        <v>#N/A</v>
      </c>
      <c r="O50" s="8" t="e">
        <v>#N/A</v>
      </c>
      <c r="P50" s="8" t="e">
        <v>#N/A</v>
      </c>
      <c r="Q50" s="8" t="e">
        <v>#N/A</v>
      </c>
      <c r="R50" s="8" t="e">
        <v>#N/A</v>
      </c>
      <c r="S50" s="8">
        <v>29254</v>
      </c>
      <c r="T50" s="8">
        <v>509</v>
      </c>
      <c r="U50" s="8">
        <v>156</v>
      </c>
      <c r="V50" s="8">
        <v>4875</v>
      </c>
      <c r="W50" s="8">
        <v>196</v>
      </c>
      <c r="X50" s="8">
        <v>143</v>
      </c>
      <c r="Y50" s="8">
        <v>2199</v>
      </c>
      <c r="Z50" s="8">
        <v>4639</v>
      </c>
      <c r="AA50" s="8">
        <v>1388</v>
      </c>
      <c r="AB50" s="8">
        <v>1689</v>
      </c>
      <c r="AC50" s="8">
        <v>840</v>
      </c>
      <c r="AD50" s="8">
        <v>1180</v>
      </c>
      <c r="AE50" s="8">
        <v>269</v>
      </c>
      <c r="AF50" s="8">
        <v>1545</v>
      </c>
      <c r="AG50" s="8">
        <v>1571</v>
      </c>
      <c r="AH50" s="8">
        <v>1830</v>
      </c>
      <c r="AI50" s="8">
        <v>2034</v>
      </c>
      <c r="AJ50" s="8">
        <v>2750</v>
      </c>
      <c r="AK50" s="8">
        <v>640</v>
      </c>
      <c r="AL50" s="8">
        <v>801</v>
      </c>
      <c r="AM50" s="8">
        <v>0</v>
      </c>
      <c r="AN50" s="8">
        <v>21176</v>
      </c>
      <c r="AO50" s="8" t="e">
        <v>#N/A</v>
      </c>
      <c r="AP50" s="8">
        <v>2049</v>
      </c>
      <c r="AQ50" s="2">
        <v>7.1</v>
      </c>
      <c r="AR50" s="2" t="e">
        <v>#N/A</v>
      </c>
      <c r="AS50" s="2" t="e">
        <v>#N/A</v>
      </c>
      <c r="AT50" s="8">
        <v>62</v>
      </c>
      <c r="AU50" s="8">
        <v>55</v>
      </c>
      <c r="AV50" s="8" t="e">
        <v>#N/A</v>
      </c>
      <c r="AW50" s="8">
        <v>44875</v>
      </c>
      <c r="AX50" s="2">
        <v>64.5</v>
      </c>
      <c r="AY50" s="2">
        <v>72.7</v>
      </c>
      <c r="AZ50" s="2" t="e">
        <v>#N/A</v>
      </c>
      <c r="BA50" s="8" t="e">
        <v>#N/A</v>
      </c>
      <c r="BB50" s="8">
        <v>26900</v>
      </c>
      <c r="BC50" s="8" t="e">
        <v>#N/A</v>
      </c>
      <c r="BD50" s="8" t="e">
        <v>#N/A</v>
      </c>
      <c r="BE50" s="8">
        <v>25006</v>
      </c>
      <c r="BF50" s="8" t="e">
        <v>#N/A</v>
      </c>
      <c r="BG50" s="8" t="e">
        <v>#N/A</v>
      </c>
      <c r="BH50" s="8">
        <v>2049</v>
      </c>
    </row>
    <row r="51" spans="1:60" x14ac:dyDescent="0.25">
      <c r="A51" t="s">
        <v>617</v>
      </c>
      <c r="B51" s="8" t="e">
        <v>#N/A</v>
      </c>
      <c r="C51" s="8" t="e">
        <v>#N/A</v>
      </c>
      <c r="D51" s="8" t="e">
        <v>#N/A</v>
      </c>
      <c r="E51" s="8" t="e">
        <v>#N/A</v>
      </c>
      <c r="F51" s="8" t="e">
        <v>#N/A</v>
      </c>
      <c r="G51" s="2" t="e">
        <v>#N/A</v>
      </c>
      <c r="H51" s="2" t="e">
        <v>#N/A</v>
      </c>
      <c r="I51" s="2" t="e">
        <v>#N/A</v>
      </c>
      <c r="J51" s="2" t="e">
        <v>#N/A</v>
      </c>
      <c r="K51" s="8" t="e">
        <v>#N/A</v>
      </c>
      <c r="L51" s="8" t="e">
        <v>#N/A</v>
      </c>
      <c r="M51" s="8" t="e">
        <v>#N/A</v>
      </c>
      <c r="N51" s="8" t="e">
        <v>#N/A</v>
      </c>
      <c r="O51" s="8" t="e">
        <v>#N/A</v>
      </c>
      <c r="P51" s="8" t="e">
        <v>#N/A</v>
      </c>
      <c r="Q51" s="8" t="e">
        <v>#N/A</v>
      </c>
      <c r="R51" s="8" t="e">
        <v>#N/A</v>
      </c>
      <c r="S51" s="8">
        <v>29046</v>
      </c>
      <c r="T51" s="8">
        <v>502</v>
      </c>
      <c r="U51" s="8">
        <v>152</v>
      </c>
      <c r="V51" s="8">
        <v>4768</v>
      </c>
      <c r="W51" s="8">
        <v>195</v>
      </c>
      <c r="X51" s="8">
        <v>140</v>
      </c>
      <c r="Y51" s="8">
        <v>2168</v>
      </c>
      <c r="Z51" s="8">
        <v>4608</v>
      </c>
      <c r="AA51" s="8">
        <v>1381</v>
      </c>
      <c r="AB51" s="8">
        <v>1694</v>
      </c>
      <c r="AC51" s="8">
        <v>833</v>
      </c>
      <c r="AD51" s="8">
        <v>1166</v>
      </c>
      <c r="AE51" s="8">
        <v>266</v>
      </c>
      <c r="AF51" s="8">
        <v>1531</v>
      </c>
      <c r="AG51" s="8">
        <v>1565</v>
      </c>
      <c r="AH51" s="8">
        <v>1829</v>
      </c>
      <c r="AI51" s="8">
        <v>2049</v>
      </c>
      <c r="AJ51" s="8">
        <v>2771</v>
      </c>
      <c r="AK51" s="8">
        <v>634</v>
      </c>
      <c r="AL51" s="8">
        <v>793</v>
      </c>
      <c r="AM51" s="8">
        <v>0</v>
      </c>
      <c r="AN51" s="8">
        <v>21121</v>
      </c>
      <c r="AO51" s="8" t="e">
        <v>#N/A</v>
      </c>
      <c r="AP51" s="8">
        <v>2158</v>
      </c>
      <c r="AQ51" s="2">
        <v>7.5</v>
      </c>
      <c r="AR51" s="2" t="e">
        <v>#N/A</v>
      </c>
      <c r="AS51" s="2" t="e">
        <v>#N/A</v>
      </c>
      <c r="AT51" s="8">
        <v>57</v>
      </c>
      <c r="AU51" s="8">
        <v>47</v>
      </c>
      <c r="AV51" s="8" t="e">
        <v>#N/A</v>
      </c>
      <c r="AW51" s="8">
        <v>44898</v>
      </c>
      <c r="AX51" s="2">
        <v>64.400000000000006</v>
      </c>
      <c r="AY51" s="2">
        <v>72.3</v>
      </c>
      <c r="AZ51" s="2" t="e">
        <v>#N/A</v>
      </c>
      <c r="BA51" s="8" t="e">
        <v>#N/A</v>
      </c>
      <c r="BB51" s="8">
        <v>26750</v>
      </c>
      <c r="BC51" s="8" t="e">
        <v>#N/A</v>
      </c>
      <c r="BD51" s="8" t="e">
        <v>#N/A</v>
      </c>
      <c r="BE51" s="8">
        <v>24847</v>
      </c>
      <c r="BF51" s="8" t="e">
        <v>#N/A</v>
      </c>
      <c r="BG51" s="8" t="e">
        <v>#N/A</v>
      </c>
      <c r="BH51" s="8">
        <v>2158</v>
      </c>
    </row>
    <row r="52" spans="1:60" x14ac:dyDescent="0.25">
      <c r="A52" t="s">
        <v>618</v>
      </c>
      <c r="B52" s="8" t="e">
        <v>#N/A</v>
      </c>
      <c r="C52" s="8" t="e">
        <v>#N/A</v>
      </c>
      <c r="D52" s="8" t="e">
        <v>#N/A</v>
      </c>
      <c r="E52" s="8" t="e">
        <v>#N/A</v>
      </c>
      <c r="F52" s="8" t="e">
        <v>#N/A</v>
      </c>
      <c r="G52" s="2" t="e">
        <v>#N/A</v>
      </c>
      <c r="H52" s="2" t="e">
        <v>#N/A</v>
      </c>
      <c r="I52" s="2" t="e">
        <v>#N/A</v>
      </c>
      <c r="J52" s="2" t="e">
        <v>#N/A</v>
      </c>
      <c r="K52" s="8" t="e">
        <v>#N/A</v>
      </c>
      <c r="L52" s="8" t="e">
        <v>#N/A</v>
      </c>
      <c r="M52" s="8" t="e">
        <v>#N/A</v>
      </c>
      <c r="N52" s="8" t="e">
        <v>#N/A</v>
      </c>
      <c r="O52" s="8" t="e">
        <v>#N/A</v>
      </c>
      <c r="P52" s="8" t="e">
        <v>#N/A</v>
      </c>
      <c r="Q52" s="8" t="e">
        <v>#N/A</v>
      </c>
      <c r="R52" s="8" t="e">
        <v>#N/A</v>
      </c>
      <c r="S52" s="8">
        <v>28742</v>
      </c>
      <c r="T52" s="8">
        <v>501</v>
      </c>
      <c r="U52" s="8">
        <v>148</v>
      </c>
      <c r="V52" s="8">
        <v>4631</v>
      </c>
      <c r="W52" s="8">
        <v>193</v>
      </c>
      <c r="X52" s="8">
        <v>138</v>
      </c>
      <c r="Y52" s="8">
        <v>2120</v>
      </c>
      <c r="Z52" s="8">
        <v>4579</v>
      </c>
      <c r="AA52" s="8">
        <v>1367</v>
      </c>
      <c r="AB52" s="8">
        <v>1667</v>
      </c>
      <c r="AC52" s="8">
        <v>821</v>
      </c>
      <c r="AD52" s="8">
        <v>1160</v>
      </c>
      <c r="AE52" s="8">
        <v>264</v>
      </c>
      <c r="AF52" s="8">
        <v>1523</v>
      </c>
      <c r="AG52" s="8">
        <v>1565</v>
      </c>
      <c r="AH52" s="8">
        <v>1839</v>
      </c>
      <c r="AI52" s="8">
        <v>2042</v>
      </c>
      <c r="AJ52" s="8">
        <v>2783</v>
      </c>
      <c r="AK52" s="8">
        <v>623</v>
      </c>
      <c r="AL52" s="8">
        <v>778</v>
      </c>
      <c r="AM52" s="8">
        <v>0</v>
      </c>
      <c r="AN52" s="8">
        <v>21012</v>
      </c>
      <c r="AO52" s="8" t="e">
        <v>#N/A</v>
      </c>
      <c r="AP52" s="8">
        <v>2306</v>
      </c>
      <c r="AQ52" s="2">
        <v>8</v>
      </c>
      <c r="AR52" s="2" t="e">
        <v>#N/A</v>
      </c>
      <c r="AS52" s="2" t="e">
        <v>#N/A</v>
      </c>
      <c r="AT52" s="8">
        <v>32</v>
      </c>
      <c r="AU52" s="8">
        <v>36</v>
      </c>
      <c r="AV52" s="8" t="e">
        <v>#N/A</v>
      </c>
      <c r="AW52" s="8">
        <v>44920</v>
      </c>
      <c r="AX52" s="2">
        <v>64.2</v>
      </c>
      <c r="AY52" s="2">
        <v>71.7</v>
      </c>
      <c r="AZ52" s="2" t="e">
        <v>#N/A</v>
      </c>
      <c r="BA52" s="8" t="e">
        <v>#N/A</v>
      </c>
      <c r="BB52" s="8">
        <v>26530</v>
      </c>
      <c r="BC52" s="8" t="e">
        <v>#N/A</v>
      </c>
      <c r="BD52" s="8" t="e">
        <v>#N/A</v>
      </c>
      <c r="BE52" s="8">
        <v>24588</v>
      </c>
      <c r="BF52" s="8" t="e">
        <v>#N/A</v>
      </c>
      <c r="BG52" s="8" t="e">
        <v>#N/A</v>
      </c>
      <c r="BH52" s="8">
        <v>2306</v>
      </c>
    </row>
    <row r="53" spans="1:60" x14ac:dyDescent="0.25">
      <c r="A53" t="s">
        <v>619</v>
      </c>
      <c r="B53" s="8">
        <v>5994</v>
      </c>
      <c r="C53" s="8" t="e">
        <v>#N/A</v>
      </c>
      <c r="D53" s="8" t="e">
        <v>#N/A</v>
      </c>
      <c r="E53" s="8" t="e">
        <v>#N/A</v>
      </c>
      <c r="F53" s="8" t="e">
        <v>#N/A</v>
      </c>
      <c r="G53" s="2" t="e">
        <v>#N/A</v>
      </c>
      <c r="H53" s="2" t="e">
        <v>#N/A</v>
      </c>
      <c r="I53" s="2" t="e">
        <v>#N/A</v>
      </c>
      <c r="J53" s="2" t="e">
        <v>#N/A</v>
      </c>
      <c r="K53" s="8" t="e">
        <v>#N/A</v>
      </c>
      <c r="L53" s="8" t="e">
        <v>#N/A</v>
      </c>
      <c r="M53" s="8" t="e">
        <v>#N/A</v>
      </c>
      <c r="N53" s="8" t="e">
        <v>#N/A</v>
      </c>
      <c r="O53" s="8" t="e">
        <v>#N/A</v>
      </c>
      <c r="P53" s="8" t="e">
        <v>#N/A</v>
      </c>
      <c r="Q53" s="8" t="e">
        <v>#N/A</v>
      </c>
      <c r="R53" s="8" t="e">
        <v>#N/A</v>
      </c>
      <c r="S53" s="8">
        <v>28445</v>
      </c>
      <c r="T53" s="8">
        <v>496</v>
      </c>
      <c r="U53" s="8">
        <v>145</v>
      </c>
      <c r="V53" s="8">
        <v>4509</v>
      </c>
      <c r="W53" s="8">
        <v>189</v>
      </c>
      <c r="X53" s="8">
        <v>138</v>
      </c>
      <c r="Y53" s="8">
        <v>2078</v>
      </c>
      <c r="Z53" s="8">
        <v>4553</v>
      </c>
      <c r="AA53" s="8">
        <v>1356</v>
      </c>
      <c r="AB53" s="8">
        <v>1636</v>
      </c>
      <c r="AC53" s="8">
        <v>811</v>
      </c>
      <c r="AD53" s="8">
        <v>1145</v>
      </c>
      <c r="AE53" s="8">
        <v>262</v>
      </c>
      <c r="AF53" s="8">
        <v>1509</v>
      </c>
      <c r="AG53" s="8">
        <v>1552</v>
      </c>
      <c r="AH53" s="8">
        <v>1837</v>
      </c>
      <c r="AI53" s="8">
        <v>2038</v>
      </c>
      <c r="AJ53" s="8">
        <v>2796</v>
      </c>
      <c r="AK53" s="8">
        <v>624</v>
      </c>
      <c r="AL53" s="8">
        <v>773</v>
      </c>
      <c r="AM53" s="8">
        <v>0</v>
      </c>
      <c r="AN53" s="8">
        <v>20891</v>
      </c>
      <c r="AO53" s="8" t="e">
        <v>#N/A</v>
      </c>
      <c r="AP53" s="8">
        <v>2492</v>
      </c>
      <c r="AQ53" s="2">
        <v>8.6999999999999993</v>
      </c>
      <c r="AR53" s="2" t="e">
        <v>#N/A</v>
      </c>
      <c r="AS53" s="2" t="e">
        <v>#N/A</v>
      </c>
      <c r="AT53" s="8">
        <v>34</v>
      </c>
      <c r="AU53" s="8">
        <v>29</v>
      </c>
      <c r="AV53" s="8" t="e">
        <v>#N/A</v>
      </c>
      <c r="AW53" s="8">
        <v>44941</v>
      </c>
      <c r="AX53" s="2">
        <v>64</v>
      </c>
      <c r="AY53" s="2">
        <v>71</v>
      </c>
      <c r="AZ53" s="2" t="e">
        <v>#N/A</v>
      </c>
      <c r="BA53" s="8" t="e">
        <v>#N/A</v>
      </c>
      <c r="BB53" s="8">
        <v>26275</v>
      </c>
      <c r="BC53" s="8" t="e">
        <v>#N/A</v>
      </c>
      <c r="BD53" s="8" t="e">
        <v>#N/A</v>
      </c>
      <c r="BE53" s="8">
        <v>24362</v>
      </c>
      <c r="BF53" s="8" t="e">
        <v>#N/A</v>
      </c>
      <c r="BG53" s="8" t="e">
        <v>#N/A</v>
      </c>
      <c r="BH53" s="8">
        <v>2492</v>
      </c>
    </row>
    <row r="54" spans="1:60" x14ac:dyDescent="0.25">
      <c r="A54" t="s">
        <v>620</v>
      </c>
      <c r="B54" s="8" t="e">
        <v>#N/A</v>
      </c>
      <c r="C54" s="8" t="e">
        <v>#N/A</v>
      </c>
      <c r="D54" s="8" t="e">
        <v>#N/A</v>
      </c>
      <c r="E54" s="8" t="e">
        <v>#N/A</v>
      </c>
      <c r="F54" s="8" t="e">
        <v>#N/A</v>
      </c>
      <c r="G54" s="2" t="e">
        <v>#N/A</v>
      </c>
      <c r="H54" s="2" t="e">
        <v>#N/A</v>
      </c>
      <c r="I54" s="2" t="e">
        <v>#N/A</v>
      </c>
      <c r="J54" s="2" t="e">
        <v>#N/A</v>
      </c>
      <c r="K54" s="8" t="e">
        <v>#N/A</v>
      </c>
      <c r="L54" s="8" t="e">
        <v>#N/A</v>
      </c>
      <c r="M54" s="8" t="e">
        <v>#N/A</v>
      </c>
      <c r="N54" s="8" t="e">
        <v>#N/A</v>
      </c>
      <c r="O54" s="8" t="e">
        <v>#N/A</v>
      </c>
      <c r="P54" s="8" t="e">
        <v>#N/A</v>
      </c>
      <c r="Q54" s="8" t="e">
        <v>#N/A</v>
      </c>
      <c r="R54" s="8" t="e">
        <v>#N/A</v>
      </c>
      <c r="S54" s="8">
        <v>28265</v>
      </c>
      <c r="T54" s="8">
        <v>491</v>
      </c>
      <c r="U54" s="8">
        <v>142</v>
      </c>
      <c r="V54" s="8">
        <v>4432</v>
      </c>
      <c r="W54" s="8">
        <v>185</v>
      </c>
      <c r="X54" s="8">
        <v>137</v>
      </c>
      <c r="Y54" s="8">
        <v>2039</v>
      </c>
      <c r="Z54" s="8">
        <v>4556</v>
      </c>
      <c r="AA54" s="8">
        <v>1349</v>
      </c>
      <c r="AB54" s="8">
        <v>1619</v>
      </c>
      <c r="AC54" s="8">
        <v>804</v>
      </c>
      <c r="AD54" s="8">
        <v>1138</v>
      </c>
      <c r="AE54" s="8">
        <v>261</v>
      </c>
      <c r="AF54" s="8">
        <v>1507</v>
      </c>
      <c r="AG54" s="8">
        <v>1546</v>
      </c>
      <c r="AH54" s="8">
        <v>1842</v>
      </c>
      <c r="AI54" s="8">
        <v>2015</v>
      </c>
      <c r="AJ54" s="8">
        <v>2805</v>
      </c>
      <c r="AK54" s="8">
        <v>625</v>
      </c>
      <c r="AL54" s="8">
        <v>771</v>
      </c>
      <c r="AM54" s="8">
        <v>0</v>
      </c>
      <c r="AN54" s="8">
        <v>20840</v>
      </c>
      <c r="AO54" s="8" t="e">
        <v>#N/A</v>
      </c>
      <c r="AP54" s="8">
        <v>2624</v>
      </c>
      <c r="AQ54" s="2">
        <v>9.1999999999999993</v>
      </c>
      <c r="AR54" s="2" t="e">
        <v>#N/A</v>
      </c>
      <c r="AS54" s="2" t="e">
        <v>#N/A</v>
      </c>
      <c r="AT54" s="8">
        <v>27</v>
      </c>
      <c r="AU54" s="8">
        <v>20</v>
      </c>
      <c r="AV54" s="8" t="e">
        <v>#N/A</v>
      </c>
      <c r="AW54" s="8">
        <v>44958</v>
      </c>
      <c r="AX54" s="2">
        <v>63.7</v>
      </c>
      <c r="AY54" s="2">
        <v>70.3</v>
      </c>
      <c r="AZ54" s="2" t="e">
        <v>#N/A</v>
      </c>
      <c r="BA54" s="8" t="e">
        <v>#N/A</v>
      </c>
      <c r="BB54" s="8">
        <v>26025</v>
      </c>
      <c r="BC54" s="8" t="e">
        <v>#N/A</v>
      </c>
      <c r="BD54" s="8" t="e">
        <v>#N/A</v>
      </c>
      <c r="BE54" s="8">
        <v>24226</v>
      </c>
      <c r="BF54" s="8" t="e">
        <v>#N/A</v>
      </c>
      <c r="BG54" s="8" t="e">
        <v>#N/A</v>
      </c>
      <c r="BH54" s="8">
        <v>2624</v>
      </c>
    </row>
    <row r="55" spans="1:60" x14ac:dyDescent="0.25">
      <c r="A55" t="s">
        <v>621</v>
      </c>
      <c r="B55" s="8" t="e">
        <v>#N/A</v>
      </c>
      <c r="C55" s="8" t="e">
        <v>#N/A</v>
      </c>
      <c r="D55" s="8" t="e">
        <v>#N/A</v>
      </c>
      <c r="E55" s="8" t="e">
        <v>#N/A</v>
      </c>
      <c r="F55" s="8" t="e">
        <v>#N/A</v>
      </c>
      <c r="G55" s="2" t="e">
        <v>#N/A</v>
      </c>
      <c r="H55" s="2" t="e">
        <v>#N/A</v>
      </c>
      <c r="I55" s="2" t="e">
        <v>#N/A</v>
      </c>
      <c r="J55" s="2" t="e">
        <v>#N/A</v>
      </c>
      <c r="K55" s="8" t="e">
        <v>#N/A</v>
      </c>
      <c r="L55" s="8" t="e">
        <v>#N/A</v>
      </c>
      <c r="M55" s="8" t="e">
        <v>#N/A</v>
      </c>
      <c r="N55" s="8" t="e">
        <v>#N/A</v>
      </c>
      <c r="O55" s="8" t="e">
        <v>#N/A</v>
      </c>
      <c r="P55" s="8" t="e">
        <v>#N/A</v>
      </c>
      <c r="Q55" s="8" t="e">
        <v>#N/A</v>
      </c>
      <c r="R55" s="8" t="e">
        <v>#N/A</v>
      </c>
      <c r="S55" s="8">
        <v>28129</v>
      </c>
      <c r="T55" s="8">
        <v>494</v>
      </c>
      <c r="U55" s="8">
        <v>133</v>
      </c>
      <c r="V55" s="8">
        <v>4379</v>
      </c>
      <c r="W55" s="8">
        <v>179</v>
      </c>
      <c r="X55" s="8">
        <v>140</v>
      </c>
      <c r="Y55" s="8">
        <v>2011</v>
      </c>
      <c r="Z55" s="8">
        <v>4541</v>
      </c>
      <c r="AA55" s="8">
        <v>1345</v>
      </c>
      <c r="AB55" s="8">
        <v>1581</v>
      </c>
      <c r="AC55" s="8">
        <v>802</v>
      </c>
      <c r="AD55" s="8">
        <v>1126</v>
      </c>
      <c r="AE55" s="8">
        <v>260</v>
      </c>
      <c r="AF55" s="8">
        <v>1501</v>
      </c>
      <c r="AG55" s="8">
        <v>1547</v>
      </c>
      <c r="AH55" s="8">
        <v>1848</v>
      </c>
      <c r="AI55" s="8">
        <v>2017</v>
      </c>
      <c r="AJ55" s="8">
        <v>2821</v>
      </c>
      <c r="AK55" s="8">
        <v>629</v>
      </c>
      <c r="AL55" s="8">
        <v>774</v>
      </c>
      <c r="AM55" s="8">
        <v>0</v>
      </c>
      <c r="AN55" s="8">
        <v>20793</v>
      </c>
      <c r="AO55" s="8" t="e">
        <v>#N/A</v>
      </c>
      <c r="AP55" s="8">
        <v>2697</v>
      </c>
      <c r="AQ55" s="2">
        <v>9.5</v>
      </c>
      <c r="AR55" s="2" t="e">
        <v>#N/A</v>
      </c>
      <c r="AS55" s="2" t="e">
        <v>#N/A</v>
      </c>
      <c r="AT55" s="8">
        <v>33</v>
      </c>
      <c r="AU55" s="8">
        <v>33</v>
      </c>
      <c r="AV55" s="8" t="e">
        <v>#N/A</v>
      </c>
      <c r="AW55" s="8">
        <v>44975</v>
      </c>
      <c r="AX55" s="2">
        <v>63.4</v>
      </c>
      <c r="AY55" s="2">
        <v>69.8</v>
      </c>
      <c r="AZ55" s="2" t="e">
        <v>#N/A</v>
      </c>
      <c r="BA55" s="8" t="e">
        <v>#N/A</v>
      </c>
      <c r="BB55" s="8">
        <v>25820</v>
      </c>
      <c r="BC55" s="8" t="e">
        <v>#N/A</v>
      </c>
      <c r="BD55" s="8" t="e">
        <v>#N/A</v>
      </c>
      <c r="BE55" s="8">
        <v>24101</v>
      </c>
      <c r="BF55" s="8" t="e">
        <v>#N/A</v>
      </c>
      <c r="BG55" s="8" t="e">
        <v>#N/A</v>
      </c>
      <c r="BH55" s="8">
        <v>2697</v>
      </c>
    </row>
    <row r="56" spans="1:60" x14ac:dyDescent="0.25">
      <c r="A56" t="s">
        <v>622</v>
      </c>
      <c r="B56" s="8" t="e">
        <v>#N/A</v>
      </c>
      <c r="C56" s="8" t="e">
        <v>#N/A</v>
      </c>
      <c r="D56" s="8" t="e">
        <v>#N/A</v>
      </c>
      <c r="E56" s="8" t="e">
        <v>#N/A</v>
      </c>
      <c r="F56" s="8" t="e">
        <v>#N/A</v>
      </c>
      <c r="G56" s="2" t="e">
        <v>#N/A</v>
      </c>
      <c r="H56" s="2" t="e">
        <v>#N/A</v>
      </c>
      <c r="I56" s="2" t="e">
        <v>#N/A</v>
      </c>
      <c r="J56" s="2" t="e">
        <v>#N/A</v>
      </c>
      <c r="K56" s="8" t="e">
        <v>#N/A</v>
      </c>
      <c r="L56" s="8" t="e">
        <v>#N/A</v>
      </c>
      <c r="M56" s="8" t="e">
        <v>#N/A</v>
      </c>
      <c r="N56" s="8" t="e">
        <v>#N/A</v>
      </c>
      <c r="O56" s="8" t="e">
        <v>#N/A</v>
      </c>
      <c r="P56" s="8" t="e">
        <v>#N/A</v>
      </c>
      <c r="Q56" s="8" t="e">
        <v>#N/A</v>
      </c>
      <c r="R56" s="8" t="e">
        <v>#N/A</v>
      </c>
      <c r="S56" s="8">
        <v>28124</v>
      </c>
      <c r="T56" s="8">
        <v>496</v>
      </c>
      <c r="U56" s="8">
        <v>125</v>
      </c>
      <c r="V56" s="8">
        <v>4327</v>
      </c>
      <c r="W56" s="8">
        <v>174</v>
      </c>
      <c r="X56" s="8">
        <v>144</v>
      </c>
      <c r="Y56" s="8">
        <v>1983</v>
      </c>
      <c r="Z56" s="8">
        <v>4561</v>
      </c>
      <c r="AA56" s="8">
        <v>1343</v>
      </c>
      <c r="AB56" s="8">
        <v>1596</v>
      </c>
      <c r="AC56" s="8">
        <v>800</v>
      </c>
      <c r="AD56" s="8">
        <v>1113</v>
      </c>
      <c r="AE56" s="8">
        <v>261</v>
      </c>
      <c r="AF56" s="8">
        <v>1505</v>
      </c>
      <c r="AG56" s="8">
        <v>1551</v>
      </c>
      <c r="AH56" s="8">
        <v>1848</v>
      </c>
      <c r="AI56" s="8">
        <v>2030</v>
      </c>
      <c r="AJ56" s="8">
        <v>2853</v>
      </c>
      <c r="AK56" s="8">
        <v>636</v>
      </c>
      <c r="AL56" s="8">
        <v>779</v>
      </c>
      <c r="AM56" s="8">
        <v>0</v>
      </c>
      <c r="AN56" s="8">
        <v>20874</v>
      </c>
      <c r="AO56" s="8" t="e">
        <v>#N/A</v>
      </c>
      <c r="AP56" s="8">
        <v>2762</v>
      </c>
      <c r="AQ56" s="2">
        <v>9.6999999999999993</v>
      </c>
      <c r="AR56" s="2" t="e">
        <v>#N/A</v>
      </c>
      <c r="AS56" s="2" t="e">
        <v>#N/A</v>
      </c>
      <c r="AT56" s="8">
        <v>24</v>
      </c>
      <c r="AU56" s="8">
        <v>22</v>
      </c>
      <c r="AV56" s="8" t="e">
        <v>#N/A</v>
      </c>
      <c r="AW56" s="8">
        <v>44992</v>
      </c>
      <c r="AX56" s="2">
        <v>63.3</v>
      </c>
      <c r="AY56" s="2">
        <v>69.400000000000006</v>
      </c>
      <c r="AZ56" s="2" t="e">
        <v>#N/A</v>
      </c>
      <c r="BA56" s="8" t="e">
        <v>#N/A</v>
      </c>
      <c r="BB56" s="8">
        <v>25710</v>
      </c>
      <c r="BC56" s="8" t="e">
        <v>#N/A</v>
      </c>
      <c r="BD56" s="8" t="e">
        <v>#N/A</v>
      </c>
      <c r="BE56" s="8">
        <v>24099</v>
      </c>
      <c r="BF56" s="8" t="e">
        <v>#N/A</v>
      </c>
      <c r="BG56" s="8" t="e">
        <v>#N/A</v>
      </c>
      <c r="BH56" s="8">
        <v>2762</v>
      </c>
    </row>
    <row r="57" spans="1:60" x14ac:dyDescent="0.25">
      <c r="A57" t="s">
        <v>623</v>
      </c>
      <c r="B57" s="8">
        <v>5919</v>
      </c>
      <c r="C57" s="8" t="e">
        <v>#N/A</v>
      </c>
      <c r="D57" s="8" t="e">
        <v>#N/A</v>
      </c>
      <c r="E57" s="8" t="e">
        <v>#N/A</v>
      </c>
      <c r="F57" s="8" t="e">
        <v>#N/A</v>
      </c>
      <c r="G57" s="2" t="e">
        <v>#N/A</v>
      </c>
      <c r="H57" s="2" t="e">
        <v>#N/A</v>
      </c>
      <c r="I57" s="2" t="e">
        <v>#N/A</v>
      </c>
      <c r="J57" s="2" t="e">
        <v>#N/A</v>
      </c>
      <c r="K57" s="8" t="e">
        <v>#N/A</v>
      </c>
      <c r="L57" s="8" t="e">
        <v>#N/A</v>
      </c>
      <c r="M57" s="8" t="e">
        <v>#N/A</v>
      </c>
      <c r="N57" s="8" t="e">
        <v>#N/A</v>
      </c>
      <c r="O57" s="8" t="e">
        <v>#N/A</v>
      </c>
      <c r="P57" s="8" t="e">
        <v>#N/A</v>
      </c>
      <c r="Q57" s="8" t="e">
        <v>#N/A</v>
      </c>
      <c r="R57" s="8" t="e">
        <v>#N/A</v>
      </c>
      <c r="S57" s="8">
        <v>27966</v>
      </c>
      <c r="T57" s="8">
        <v>493</v>
      </c>
      <c r="U57" s="8">
        <v>121</v>
      </c>
      <c r="V57" s="8">
        <v>4286</v>
      </c>
      <c r="W57" s="8">
        <v>168</v>
      </c>
      <c r="X57" s="8">
        <v>146</v>
      </c>
      <c r="Y57" s="8">
        <v>1953</v>
      </c>
      <c r="Z57" s="8">
        <v>4524</v>
      </c>
      <c r="AA57" s="8">
        <v>1326</v>
      </c>
      <c r="AB57" s="8">
        <v>1607</v>
      </c>
      <c r="AC57" s="8">
        <v>796</v>
      </c>
      <c r="AD57" s="8">
        <v>1111</v>
      </c>
      <c r="AE57" s="8">
        <v>261</v>
      </c>
      <c r="AF57" s="8">
        <v>1506</v>
      </c>
      <c r="AG57" s="8">
        <v>1549</v>
      </c>
      <c r="AH57" s="8">
        <v>1839</v>
      </c>
      <c r="AI57" s="8">
        <v>2009</v>
      </c>
      <c r="AJ57" s="8">
        <v>2861</v>
      </c>
      <c r="AK57" s="8">
        <v>635</v>
      </c>
      <c r="AL57" s="8">
        <v>775</v>
      </c>
      <c r="AM57" s="8">
        <v>0</v>
      </c>
      <c r="AN57" s="8">
        <v>20800</v>
      </c>
      <c r="AO57" s="8" t="e">
        <v>#N/A</v>
      </c>
      <c r="AP57" s="8">
        <v>2777</v>
      </c>
      <c r="AQ57" s="2">
        <v>9.8000000000000007</v>
      </c>
      <c r="AR57" s="2" t="e">
        <v>#N/A</v>
      </c>
      <c r="AS57" s="2" t="e">
        <v>#N/A</v>
      </c>
      <c r="AT57" s="8">
        <v>23</v>
      </c>
      <c r="AU57" s="8">
        <v>23</v>
      </c>
      <c r="AV57" s="8">
        <v>1005</v>
      </c>
      <c r="AW57" s="8">
        <v>44996</v>
      </c>
      <c r="AX57" s="2">
        <v>63.1</v>
      </c>
      <c r="AY57" s="2">
        <v>69.099999999999994</v>
      </c>
      <c r="AZ57" s="2">
        <v>33.200000000000003</v>
      </c>
      <c r="BA57" s="8" t="e">
        <v>#N/A</v>
      </c>
      <c r="BB57" s="8">
        <v>25605</v>
      </c>
      <c r="BC57" s="8">
        <v>21576</v>
      </c>
      <c r="BD57" s="8" t="e">
        <v>#N/A</v>
      </c>
      <c r="BE57" s="8">
        <v>23970</v>
      </c>
      <c r="BF57" s="8">
        <v>663</v>
      </c>
      <c r="BG57" s="8">
        <v>1985</v>
      </c>
      <c r="BH57" s="8">
        <v>2777</v>
      </c>
    </row>
    <row r="58" spans="1:60" x14ac:dyDescent="0.25">
      <c r="A58" t="s">
        <v>624</v>
      </c>
      <c r="B58" s="8" t="e">
        <v>#N/A</v>
      </c>
      <c r="C58" s="8" t="e">
        <v>#N/A</v>
      </c>
      <c r="D58" s="8" t="e">
        <v>#N/A</v>
      </c>
      <c r="E58" s="8" t="e">
        <v>#N/A</v>
      </c>
      <c r="F58" s="8" t="e">
        <v>#N/A</v>
      </c>
      <c r="G58" s="2" t="e">
        <v>#N/A</v>
      </c>
      <c r="H58" s="2" t="e">
        <v>#N/A</v>
      </c>
      <c r="I58" s="2" t="e">
        <v>#N/A</v>
      </c>
      <c r="J58" s="2" t="e">
        <v>#N/A</v>
      </c>
      <c r="K58" s="8" t="e">
        <v>#N/A</v>
      </c>
      <c r="L58" s="8" t="e">
        <v>#N/A</v>
      </c>
      <c r="M58" s="8" t="e">
        <v>#N/A</v>
      </c>
      <c r="N58" s="8" t="e">
        <v>#N/A</v>
      </c>
      <c r="O58" s="8" t="e">
        <v>#N/A</v>
      </c>
      <c r="P58" s="8" t="e">
        <v>#N/A</v>
      </c>
      <c r="Q58" s="8" t="e">
        <v>#N/A</v>
      </c>
      <c r="R58" s="8" t="e">
        <v>#N/A</v>
      </c>
      <c r="S58" s="8">
        <v>27542</v>
      </c>
      <c r="T58" s="8">
        <v>491</v>
      </c>
      <c r="U58" s="8">
        <v>117</v>
      </c>
      <c r="V58" s="8">
        <v>4192</v>
      </c>
      <c r="W58" s="8">
        <v>166</v>
      </c>
      <c r="X58" s="8">
        <v>147</v>
      </c>
      <c r="Y58" s="8">
        <v>1915</v>
      </c>
      <c r="Z58" s="8">
        <v>4438</v>
      </c>
      <c r="AA58" s="8">
        <v>1291</v>
      </c>
      <c r="AB58" s="8">
        <v>1576</v>
      </c>
      <c r="AC58" s="8">
        <v>782</v>
      </c>
      <c r="AD58" s="8">
        <v>1089</v>
      </c>
      <c r="AE58" s="8">
        <v>259</v>
      </c>
      <c r="AF58" s="8">
        <v>1500</v>
      </c>
      <c r="AG58" s="8">
        <v>1534</v>
      </c>
      <c r="AH58" s="8">
        <v>1826</v>
      </c>
      <c r="AI58" s="8">
        <v>1990</v>
      </c>
      <c r="AJ58" s="8">
        <v>2839</v>
      </c>
      <c r="AK58" s="8">
        <v>628</v>
      </c>
      <c r="AL58" s="8">
        <v>764</v>
      </c>
      <c r="AM58" s="8">
        <v>0</v>
      </c>
      <c r="AN58" s="8">
        <v>20515</v>
      </c>
      <c r="AO58" s="8" t="e">
        <v>#N/A</v>
      </c>
      <c r="AP58" s="8">
        <v>2815</v>
      </c>
      <c r="AQ58" s="2">
        <v>9.9</v>
      </c>
      <c r="AR58" s="2" t="e">
        <v>#N/A</v>
      </c>
      <c r="AS58" s="2" t="e">
        <v>#N/A</v>
      </c>
      <c r="AT58" s="8">
        <v>28</v>
      </c>
      <c r="AU58" s="8">
        <v>28</v>
      </c>
      <c r="AV58" s="8">
        <v>1088</v>
      </c>
      <c r="AW58" s="8">
        <v>45003</v>
      </c>
      <c r="AX58" s="2">
        <v>62.9</v>
      </c>
      <c r="AY58" s="2">
        <v>68.900000000000006</v>
      </c>
      <c r="AZ58" s="2">
        <v>33</v>
      </c>
      <c r="BA58" s="8" t="e">
        <v>#N/A</v>
      </c>
      <c r="BB58" s="8">
        <v>25509</v>
      </c>
      <c r="BC58" s="8">
        <v>21551</v>
      </c>
      <c r="BD58" s="8" t="e">
        <v>#N/A</v>
      </c>
      <c r="BE58" s="8">
        <v>23599</v>
      </c>
      <c r="BF58" s="8">
        <v>709</v>
      </c>
      <c r="BG58" s="8">
        <v>1996</v>
      </c>
      <c r="BH58" s="8">
        <v>2815</v>
      </c>
    </row>
    <row r="59" spans="1:60" x14ac:dyDescent="0.25">
      <c r="A59" t="s">
        <v>625</v>
      </c>
      <c r="B59" s="8" t="e">
        <v>#N/A</v>
      </c>
      <c r="C59" s="8" t="e">
        <v>#N/A</v>
      </c>
      <c r="D59" s="8" t="e">
        <v>#N/A</v>
      </c>
      <c r="E59" s="8" t="e">
        <v>#N/A</v>
      </c>
      <c r="F59" s="8" t="e">
        <v>#N/A</v>
      </c>
      <c r="G59" s="2" t="e">
        <v>#N/A</v>
      </c>
      <c r="H59" s="2" t="e">
        <v>#N/A</v>
      </c>
      <c r="I59" s="2" t="e">
        <v>#N/A</v>
      </c>
      <c r="J59" s="2" t="e">
        <v>#N/A</v>
      </c>
      <c r="K59" s="8" t="e">
        <v>#N/A</v>
      </c>
      <c r="L59" s="8" t="e">
        <v>#N/A</v>
      </c>
      <c r="M59" s="8" t="e">
        <v>#N/A</v>
      </c>
      <c r="N59" s="8" t="e">
        <v>#N/A</v>
      </c>
      <c r="O59" s="8" t="e">
        <v>#N/A</v>
      </c>
      <c r="P59" s="8" t="e">
        <v>#N/A</v>
      </c>
      <c r="Q59" s="8" t="e">
        <v>#N/A</v>
      </c>
      <c r="R59" s="8" t="e">
        <v>#N/A</v>
      </c>
      <c r="S59" s="8">
        <v>27417</v>
      </c>
      <c r="T59" s="8">
        <v>487</v>
      </c>
      <c r="U59" s="8">
        <v>108</v>
      </c>
      <c r="V59" s="8">
        <v>4104</v>
      </c>
      <c r="W59" s="8">
        <v>160</v>
      </c>
      <c r="X59" s="8">
        <v>149</v>
      </c>
      <c r="Y59" s="8">
        <v>1883</v>
      </c>
      <c r="Z59" s="8">
        <v>4439</v>
      </c>
      <c r="AA59" s="8">
        <v>1290</v>
      </c>
      <c r="AB59" s="8">
        <v>1583</v>
      </c>
      <c r="AC59" s="8">
        <v>780</v>
      </c>
      <c r="AD59" s="8">
        <v>1077</v>
      </c>
      <c r="AE59" s="8">
        <v>259</v>
      </c>
      <c r="AF59" s="8">
        <v>1500</v>
      </c>
      <c r="AG59" s="8">
        <v>1543</v>
      </c>
      <c r="AH59" s="8">
        <v>1815</v>
      </c>
      <c r="AI59" s="8">
        <v>1990</v>
      </c>
      <c r="AJ59" s="8">
        <v>2855</v>
      </c>
      <c r="AK59" s="8">
        <v>632</v>
      </c>
      <c r="AL59" s="8">
        <v>765</v>
      </c>
      <c r="AM59" s="8">
        <v>0</v>
      </c>
      <c r="AN59" s="8">
        <v>20526</v>
      </c>
      <c r="AO59" s="8" t="e">
        <v>#N/A</v>
      </c>
      <c r="AP59" s="8">
        <v>2932</v>
      </c>
      <c r="AQ59" s="2">
        <v>10.4</v>
      </c>
      <c r="AR59" s="2" t="e">
        <v>#N/A</v>
      </c>
      <c r="AS59" s="2" t="e">
        <v>#N/A</v>
      </c>
      <c r="AT59" s="8">
        <v>34</v>
      </c>
      <c r="AU59" s="8">
        <v>26</v>
      </c>
      <c r="AV59" s="8">
        <v>1176</v>
      </c>
      <c r="AW59" s="8">
        <v>45010</v>
      </c>
      <c r="AX59" s="2">
        <v>62.8</v>
      </c>
      <c r="AY59" s="2">
        <v>68.5</v>
      </c>
      <c r="AZ59" s="2">
        <v>32.9</v>
      </c>
      <c r="BA59" s="8" t="e">
        <v>#N/A</v>
      </c>
      <c r="BB59" s="8">
        <v>25336</v>
      </c>
      <c r="BC59" s="8">
        <v>21429</v>
      </c>
      <c r="BD59" s="8" t="e">
        <v>#N/A</v>
      </c>
      <c r="BE59" s="8">
        <v>23532</v>
      </c>
      <c r="BF59" s="8">
        <v>732</v>
      </c>
      <c r="BG59" s="8">
        <v>2013</v>
      </c>
      <c r="BH59" s="8">
        <v>2932</v>
      </c>
    </row>
    <row r="60" spans="1:60" x14ac:dyDescent="0.25">
      <c r="A60" t="s">
        <v>626</v>
      </c>
      <c r="B60" s="8" t="e">
        <v>#N/A</v>
      </c>
      <c r="C60" s="8" t="e">
        <v>#N/A</v>
      </c>
      <c r="D60" s="8" t="e">
        <v>#N/A</v>
      </c>
      <c r="E60" s="8" t="e">
        <v>#N/A</v>
      </c>
      <c r="F60" s="8" t="e">
        <v>#N/A</v>
      </c>
      <c r="G60" s="2" t="e">
        <v>#N/A</v>
      </c>
      <c r="H60" s="2" t="e">
        <v>#N/A</v>
      </c>
      <c r="I60" s="2" t="e">
        <v>#N/A</v>
      </c>
      <c r="J60" s="2" t="e">
        <v>#N/A</v>
      </c>
      <c r="K60" s="8" t="e">
        <v>#N/A</v>
      </c>
      <c r="L60" s="8" t="e">
        <v>#N/A</v>
      </c>
      <c r="M60" s="8" t="e">
        <v>#N/A</v>
      </c>
      <c r="N60" s="8" t="e">
        <v>#N/A</v>
      </c>
      <c r="O60" s="8" t="e">
        <v>#N/A</v>
      </c>
      <c r="P60" s="8" t="e">
        <v>#N/A</v>
      </c>
      <c r="Q60" s="8" t="e">
        <v>#N/A</v>
      </c>
      <c r="R60" s="8" t="e">
        <v>#N/A</v>
      </c>
      <c r="S60" s="8">
        <v>27533</v>
      </c>
      <c r="T60" s="8">
        <v>503</v>
      </c>
      <c r="U60" s="8">
        <v>102</v>
      </c>
      <c r="V60" s="8">
        <v>4105</v>
      </c>
      <c r="W60" s="8">
        <v>156</v>
      </c>
      <c r="X60" s="8">
        <v>151</v>
      </c>
      <c r="Y60" s="8">
        <v>1872</v>
      </c>
      <c r="Z60" s="8">
        <v>4473</v>
      </c>
      <c r="AA60" s="8">
        <v>1291</v>
      </c>
      <c r="AB60" s="8">
        <v>1580</v>
      </c>
      <c r="AC60" s="8">
        <v>787</v>
      </c>
      <c r="AD60" s="8">
        <v>1076</v>
      </c>
      <c r="AE60" s="8">
        <v>263</v>
      </c>
      <c r="AF60" s="8">
        <v>1523</v>
      </c>
      <c r="AG60" s="8">
        <v>1567</v>
      </c>
      <c r="AH60" s="8">
        <v>1802</v>
      </c>
      <c r="AI60" s="8">
        <v>1994</v>
      </c>
      <c r="AJ60" s="8">
        <v>2866</v>
      </c>
      <c r="AK60" s="8">
        <v>645</v>
      </c>
      <c r="AL60" s="8">
        <v>779</v>
      </c>
      <c r="AM60" s="8">
        <v>0</v>
      </c>
      <c r="AN60" s="8">
        <v>20644</v>
      </c>
      <c r="AO60" s="8" t="e">
        <v>#N/A</v>
      </c>
      <c r="AP60" s="8">
        <v>3004</v>
      </c>
      <c r="AQ60" s="2">
        <v>10.6</v>
      </c>
      <c r="AR60" s="2" t="e">
        <v>#N/A</v>
      </c>
      <c r="AS60" s="2" t="e">
        <v>#N/A</v>
      </c>
      <c r="AT60" s="8">
        <v>32</v>
      </c>
      <c r="AU60" s="8">
        <v>28</v>
      </c>
      <c r="AV60" s="8">
        <v>1243</v>
      </c>
      <c r="AW60" s="8">
        <v>45016</v>
      </c>
      <c r="AX60" s="2">
        <v>62.8</v>
      </c>
      <c r="AY60" s="2">
        <v>68.400000000000006</v>
      </c>
      <c r="AZ60" s="2">
        <v>33</v>
      </c>
      <c r="BA60" s="8" t="e">
        <v>#N/A</v>
      </c>
      <c r="BB60" s="8">
        <v>25282</v>
      </c>
      <c r="BC60" s="8">
        <v>21388</v>
      </c>
      <c r="BD60" s="8" t="e">
        <v>#N/A</v>
      </c>
      <c r="BE60" s="8">
        <v>23549</v>
      </c>
      <c r="BF60" s="8">
        <v>782</v>
      </c>
      <c r="BG60" s="8">
        <v>2050</v>
      </c>
      <c r="BH60" s="8">
        <v>3004</v>
      </c>
    </row>
    <row r="61" spans="1:60" x14ac:dyDescent="0.25">
      <c r="A61" t="s">
        <v>627</v>
      </c>
      <c r="B61" s="8">
        <v>5820</v>
      </c>
      <c r="C61" s="8" t="e">
        <v>#N/A</v>
      </c>
      <c r="D61" s="8" t="e">
        <v>#N/A</v>
      </c>
      <c r="E61" s="8" t="e">
        <v>#N/A</v>
      </c>
      <c r="F61" s="8" t="e">
        <v>#N/A</v>
      </c>
      <c r="G61" s="2" t="e">
        <v>#N/A</v>
      </c>
      <c r="H61" s="2" t="e">
        <v>#N/A</v>
      </c>
      <c r="I61" s="2" t="e">
        <v>#N/A</v>
      </c>
      <c r="J61" s="2" t="e">
        <v>#N/A</v>
      </c>
      <c r="K61" s="8" t="e">
        <v>#N/A</v>
      </c>
      <c r="L61" s="8" t="e">
        <v>#N/A</v>
      </c>
      <c r="M61" s="8" t="e">
        <v>#N/A</v>
      </c>
      <c r="N61" s="8" t="e">
        <v>#N/A</v>
      </c>
      <c r="O61" s="8" t="e">
        <v>#N/A</v>
      </c>
      <c r="P61" s="8" t="e">
        <v>#N/A</v>
      </c>
      <c r="Q61" s="8" t="e">
        <v>#N/A</v>
      </c>
      <c r="R61" s="8" t="e">
        <v>#N/A</v>
      </c>
      <c r="S61" s="8">
        <v>27519</v>
      </c>
      <c r="T61" s="8">
        <v>506</v>
      </c>
      <c r="U61" s="8">
        <v>88</v>
      </c>
      <c r="V61" s="8">
        <v>4098</v>
      </c>
      <c r="W61" s="8">
        <v>151</v>
      </c>
      <c r="X61" s="8">
        <v>154</v>
      </c>
      <c r="Y61" s="8">
        <v>1851</v>
      </c>
      <c r="Z61" s="8">
        <v>4495</v>
      </c>
      <c r="AA61" s="8">
        <v>1283</v>
      </c>
      <c r="AB61" s="8">
        <v>1564</v>
      </c>
      <c r="AC61" s="8">
        <v>790</v>
      </c>
      <c r="AD61" s="8">
        <v>1078</v>
      </c>
      <c r="AE61" s="8">
        <v>265</v>
      </c>
      <c r="AF61" s="8">
        <v>1538</v>
      </c>
      <c r="AG61" s="8">
        <v>1588</v>
      </c>
      <c r="AH61" s="8">
        <v>1787</v>
      </c>
      <c r="AI61" s="8">
        <v>1988</v>
      </c>
      <c r="AJ61" s="8">
        <v>2868</v>
      </c>
      <c r="AK61" s="8">
        <v>646</v>
      </c>
      <c r="AL61" s="8">
        <v>781</v>
      </c>
      <c r="AM61" s="8">
        <v>0</v>
      </c>
      <c r="AN61" s="8">
        <v>20671</v>
      </c>
      <c r="AO61" s="8" t="e">
        <v>#N/A</v>
      </c>
      <c r="AP61" s="8">
        <v>2931</v>
      </c>
      <c r="AQ61" s="2">
        <v>10.4</v>
      </c>
      <c r="AR61" s="2" t="e">
        <v>#N/A</v>
      </c>
      <c r="AS61" s="2" t="e">
        <v>#N/A</v>
      </c>
      <c r="AT61" s="8">
        <v>32</v>
      </c>
      <c r="AU61" s="8">
        <v>28</v>
      </c>
      <c r="AV61" s="8">
        <v>1244</v>
      </c>
      <c r="AW61" s="8">
        <v>45022</v>
      </c>
      <c r="AX61" s="2">
        <v>62.7</v>
      </c>
      <c r="AY61" s="2">
        <v>68.400000000000006</v>
      </c>
      <c r="AZ61" s="2">
        <v>33</v>
      </c>
      <c r="BA61" s="8" t="e">
        <v>#N/A</v>
      </c>
      <c r="BB61" s="8">
        <v>25293</v>
      </c>
      <c r="BC61" s="8">
        <v>21389</v>
      </c>
      <c r="BD61" s="8" t="e">
        <v>#N/A</v>
      </c>
      <c r="BE61" s="8">
        <v>23584</v>
      </c>
      <c r="BF61" s="8">
        <v>812</v>
      </c>
      <c r="BG61" s="8">
        <v>2177</v>
      </c>
      <c r="BH61" s="8">
        <v>2931</v>
      </c>
    </row>
    <row r="62" spans="1:60" x14ac:dyDescent="0.25">
      <c r="A62" t="s">
        <v>628</v>
      </c>
      <c r="B62" s="8" t="e">
        <v>#N/A</v>
      </c>
      <c r="C62" s="8" t="e">
        <v>#N/A</v>
      </c>
      <c r="D62" s="8" t="e">
        <v>#N/A</v>
      </c>
      <c r="E62" s="8" t="e">
        <v>#N/A</v>
      </c>
      <c r="F62" s="8" t="e">
        <v>#N/A</v>
      </c>
      <c r="G62" s="2" t="e">
        <v>#N/A</v>
      </c>
      <c r="H62" s="2" t="e">
        <v>#N/A</v>
      </c>
      <c r="I62" s="2" t="e">
        <v>#N/A</v>
      </c>
      <c r="J62" s="2" t="e">
        <v>#N/A</v>
      </c>
      <c r="K62" s="8" t="e">
        <v>#N/A</v>
      </c>
      <c r="L62" s="8" t="e">
        <v>#N/A</v>
      </c>
      <c r="M62" s="8" t="e">
        <v>#N/A</v>
      </c>
      <c r="N62" s="8" t="e">
        <v>#N/A</v>
      </c>
      <c r="O62" s="8" t="e">
        <v>#N/A</v>
      </c>
      <c r="P62" s="8" t="e">
        <v>#N/A</v>
      </c>
      <c r="Q62" s="8" t="e">
        <v>#N/A</v>
      </c>
      <c r="R62" s="8" t="e">
        <v>#N/A</v>
      </c>
      <c r="S62" s="8">
        <v>27576</v>
      </c>
      <c r="T62" s="8">
        <v>505</v>
      </c>
      <c r="U62" s="8">
        <v>83</v>
      </c>
      <c r="V62" s="8">
        <v>4086</v>
      </c>
      <c r="W62" s="8">
        <v>147</v>
      </c>
      <c r="X62" s="8">
        <v>157</v>
      </c>
      <c r="Y62" s="8">
        <v>1846</v>
      </c>
      <c r="Z62" s="8">
        <v>4531</v>
      </c>
      <c r="AA62" s="8">
        <v>1280</v>
      </c>
      <c r="AB62" s="8">
        <v>1585</v>
      </c>
      <c r="AC62" s="8">
        <v>790</v>
      </c>
      <c r="AD62" s="8">
        <v>1070</v>
      </c>
      <c r="AE62" s="8">
        <v>269</v>
      </c>
      <c r="AF62" s="8">
        <v>1556</v>
      </c>
      <c r="AG62" s="8">
        <v>1601</v>
      </c>
      <c r="AH62" s="8">
        <v>1774</v>
      </c>
      <c r="AI62" s="8">
        <v>1992</v>
      </c>
      <c r="AJ62" s="8">
        <v>2864</v>
      </c>
      <c r="AK62" s="8">
        <v>653</v>
      </c>
      <c r="AL62" s="8">
        <v>786</v>
      </c>
      <c r="AM62" s="8">
        <v>0</v>
      </c>
      <c r="AN62" s="8">
        <v>20752</v>
      </c>
      <c r="AO62" s="8" t="e">
        <v>#N/A</v>
      </c>
      <c r="AP62" s="8">
        <v>2890</v>
      </c>
      <c r="AQ62" s="2">
        <v>10.199999999999999</v>
      </c>
      <c r="AR62" s="2" t="e">
        <v>#N/A</v>
      </c>
      <c r="AS62" s="2" t="e">
        <v>#N/A</v>
      </c>
      <c r="AT62" s="8">
        <v>38</v>
      </c>
      <c r="AU62" s="8">
        <v>35</v>
      </c>
      <c r="AV62" s="8">
        <v>1253</v>
      </c>
      <c r="AW62" s="8">
        <v>45033</v>
      </c>
      <c r="AX62" s="2">
        <v>62.6</v>
      </c>
      <c r="AY62" s="2">
        <v>68.5</v>
      </c>
      <c r="AZ62" s="2">
        <v>33</v>
      </c>
      <c r="BA62" s="8" t="e">
        <v>#N/A</v>
      </c>
      <c r="BB62" s="8">
        <v>25316</v>
      </c>
      <c r="BC62" s="8">
        <v>21431</v>
      </c>
      <c r="BD62" s="8" t="e">
        <v>#N/A</v>
      </c>
      <c r="BE62" s="8">
        <v>23655</v>
      </c>
      <c r="BF62" s="8">
        <v>816</v>
      </c>
      <c r="BG62" s="8">
        <v>2282</v>
      </c>
      <c r="BH62" s="8">
        <v>2890</v>
      </c>
    </row>
    <row r="63" spans="1:60" x14ac:dyDescent="0.25">
      <c r="A63" t="s">
        <v>629</v>
      </c>
      <c r="B63" s="8" t="e">
        <v>#N/A</v>
      </c>
      <c r="C63" s="8" t="e">
        <v>#N/A</v>
      </c>
      <c r="D63" s="8" t="e">
        <v>#N/A</v>
      </c>
      <c r="E63" s="8" t="e">
        <v>#N/A</v>
      </c>
      <c r="F63" s="8" t="e">
        <v>#N/A</v>
      </c>
      <c r="G63" s="2" t="e">
        <v>#N/A</v>
      </c>
      <c r="H63" s="2" t="e">
        <v>#N/A</v>
      </c>
      <c r="I63" s="2" t="e">
        <v>#N/A</v>
      </c>
      <c r="J63" s="2" t="e">
        <v>#N/A</v>
      </c>
      <c r="K63" s="8" t="e">
        <v>#N/A</v>
      </c>
      <c r="L63" s="8" t="e">
        <v>#N/A</v>
      </c>
      <c r="M63" s="8" t="e">
        <v>#N/A</v>
      </c>
      <c r="N63" s="8" t="e">
        <v>#N/A</v>
      </c>
      <c r="O63" s="8" t="e">
        <v>#N/A</v>
      </c>
      <c r="P63" s="8" t="e">
        <v>#N/A</v>
      </c>
      <c r="Q63" s="8" t="e">
        <v>#N/A</v>
      </c>
      <c r="R63" s="8" t="e">
        <v>#N/A</v>
      </c>
      <c r="S63" s="8">
        <v>27649</v>
      </c>
      <c r="T63" s="8">
        <v>493</v>
      </c>
      <c r="U63" s="8">
        <v>78</v>
      </c>
      <c r="V63" s="8">
        <v>4092</v>
      </c>
      <c r="W63" s="8">
        <v>146</v>
      </c>
      <c r="X63" s="8">
        <v>154</v>
      </c>
      <c r="Y63" s="8">
        <v>1860</v>
      </c>
      <c r="Z63" s="8">
        <v>4561</v>
      </c>
      <c r="AA63" s="8">
        <v>1278</v>
      </c>
      <c r="AB63" s="8">
        <v>1597</v>
      </c>
      <c r="AC63" s="8">
        <v>794</v>
      </c>
      <c r="AD63" s="8">
        <v>1085</v>
      </c>
      <c r="AE63" s="8">
        <v>269</v>
      </c>
      <c r="AF63" s="8">
        <v>1558</v>
      </c>
      <c r="AG63" s="8">
        <v>1595</v>
      </c>
      <c r="AH63" s="8">
        <v>1756</v>
      </c>
      <c r="AI63" s="8">
        <v>2002</v>
      </c>
      <c r="AJ63" s="8">
        <v>2887</v>
      </c>
      <c r="AK63" s="8">
        <v>656</v>
      </c>
      <c r="AL63" s="8">
        <v>789</v>
      </c>
      <c r="AM63" s="8">
        <v>0</v>
      </c>
      <c r="AN63" s="8">
        <v>20826</v>
      </c>
      <c r="AO63" s="8" t="e">
        <v>#N/A</v>
      </c>
      <c r="AP63" s="8">
        <v>2892</v>
      </c>
      <c r="AQ63" s="2">
        <v>10.3</v>
      </c>
      <c r="AR63" s="2" t="e">
        <v>#N/A</v>
      </c>
      <c r="AS63" s="2" t="e">
        <v>#N/A</v>
      </c>
      <c r="AT63" s="8">
        <v>42</v>
      </c>
      <c r="AU63" s="8">
        <v>38</v>
      </c>
      <c r="AV63" s="8">
        <v>1274</v>
      </c>
      <c r="AW63" s="8">
        <v>45046</v>
      </c>
      <c r="AX63" s="2">
        <v>62.6</v>
      </c>
      <c r="AY63" s="2">
        <v>68.5</v>
      </c>
      <c r="AZ63" s="2">
        <v>33</v>
      </c>
      <c r="BA63" s="8" t="e">
        <v>#N/A</v>
      </c>
      <c r="BB63" s="8">
        <v>25320</v>
      </c>
      <c r="BC63" s="8">
        <v>21403</v>
      </c>
      <c r="BD63" s="8" t="e">
        <v>#N/A</v>
      </c>
      <c r="BE63" s="8">
        <v>23668</v>
      </c>
      <c r="BF63" s="8">
        <v>825</v>
      </c>
      <c r="BG63" s="8">
        <v>2328</v>
      </c>
      <c r="BH63" s="8">
        <v>2892</v>
      </c>
    </row>
    <row r="64" spans="1:60" x14ac:dyDescent="0.25">
      <c r="A64" t="s">
        <v>630</v>
      </c>
      <c r="B64" s="8" t="e">
        <v>#N/A</v>
      </c>
      <c r="C64" s="8" t="e">
        <v>#N/A</v>
      </c>
      <c r="D64" s="8" t="e">
        <v>#N/A</v>
      </c>
      <c r="E64" s="8" t="e">
        <v>#N/A</v>
      </c>
      <c r="F64" s="8" t="e">
        <v>#N/A</v>
      </c>
      <c r="G64" s="2" t="e">
        <v>#N/A</v>
      </c>
      <c r="H64" s="2" t="e">
        <v>#N/A</v>
      </c>
      <c r="I64" s="2" t="e">
        <v>#N/A</v>
      </c>
      <c r="J64" s="2" t="e">
        <v>#N/A</v>
      </c>
      <c r="K64" s="8" t="e">
        <v>#N/A</v>
      </c>
      <c r="L64" s="8" t="e">
        <v>#N/A</v>
      </c>
      <c r="M64" s="8" t="e">
        <v>#N/A</v>
      </c>
      <c r="N64" s="8" t="e">
        <v>#N/A</v>
      </c>
      <c r="O64" s="8" t="e">
        <v>#N/A</v>
      </c>
      <c r="P64" s="8" t="e">
        <v>#N/A</v>
      </c>
      <c r="Q64" s="8" t="e">
        <v>#N/A</v>
      </c>
      <c r="R64" s="8" t="e">
        <v>#N/A</v>
      </c>
      <c r="S64" s="8">
        <v>27630</v>
      </c>
      <c r="T64" s="8">
        <v>492</v>
      </c>
      <c r="U64" s="8">
        <v>74</v>
      </c>
      <c r="V64" s="8">
        <v>4096</v>
      </c>
      <c r="W64" s="8">
        <v>144</v>
      </c>
      <c r="X64" s="8">
        <v>151</v>
      </c>
      <c r="Y64" s="8">
        <v>1867</v>
      </c>
      <c r="Z64" s="8">
        <v>4582</v>
      </c>
      <c r="AA64" s="8">
        <v>1278</v>
      </c>
      <c r="AB64" s="8">
        <v>1564</v>
      </c>
      <c r="AC64" s="8">
        <v>794</v>
      </c>
      <c r="AD64" s="8">
        <v>1086</v>
      </c>
      <c r="AE64" s="8">
        <v>268</v>
      </c>
      <c r="AF64" s="8">
        <v>1547</v>
      </c>
      <c r="AG64" s="8">
        <v>1596</v>
      </c>
      <c r="AH64" s="8">
        <v>1745</v>
      </c>
      <c r="AI64" s="8">
        <v>1997</v>
      </c>
      <c r="AJ64" s="8">
        <v>2904</v>
      </c>
      <c r="AK64" s="8">
        <v>656</v>
      </c>
      <c r="AL64" s="8">
        <v>789</v>
      </c>
      <c r="AM64" s="8">
        <v>0</v>
      </c>
      <c r="AN64" s="8">
        <v>20806</v>
      </c>
      <c r="AO64" s="8" t="e">
        <v>#N/A</v>
      </c>
      <c r="AP64" s="8">
        <v>2806</v>
      </c>
      <c r="AQ64" s="2">
        <v>9.9</v>
      </c>
      <c r="AR64" s="2" t="e">
        <v>#N/A</v>
      </c>
      <c r="AS64" s="2" t="e">
        <v>#N/A</v>
      </c>
      <c r="AT64" s="8">
        <v>37</v>
      </c>
      <c r="AU64" s="8">
        <v>32</v>
      </c>
      <c r="AV64" s="8">
        <v>1236</v>
      </c>
      <c r="AW64" s="8">
        <v>45059</v>
      </c>
      <c r="AX64" s="2">
        <v>62.6</v>
      </c>
      <c r="AY64" s="2">
        <v>68.7</v>
      </c>
      <c r="AZ64" s="2">
        <v>33.1</v>
      </c>
      <c r="BA64" s="8" t="e">
        <v>#N/A</v>
      </c>
      <c r="BB64" s="8">
        <v>25408</v>
      </c>
      <c r="BC64" s="8">
        <v>21443</v>
      </c>
      <c r="BD64" s="8" t="e">
        <v>#N/A</v>
      </c>
      <c r="BE64" s="8">
        <v>23633</v>
      </c>
      <c r="BF64" s="8">
        <v>831</v>
      </c>
      <c r="BG64" s="8">
        <v>2308</v>
      </c>
      <c r="BH64" s="8">
        <v>2806</v>
      </c>
    </row>
    <row r="65" spans="1:60" x14ac:dyDescent="0.25">
      <c r="A65" t="s">
        <v>631</v>
      </c>
      <c r="B65" s="8">
        <v>5659</v>
      </c>
      <c r="C65" s="8" t="e">
        <v>#N/A</v>
      </c>
      <c r="D65" s="8" t="e">
        <v>#N/A</v>
      </c>
      <c r="E65" s="8" t="e">
        <v>#N/A</v>
      </c>
      <c r="F65" s="8" t="e">
        <v>#N/A</v>
      </c>
      <c r="G65" s="2" t="e">
        <v>#N/A</v>
      </c>
      <c r="H65" s="2" t="e">
        <v>#N/A</v>
      </c>
      <c r="I65" s="2" t="e">
        <v>#N/A</v>
      </c>
      <c r="J65" s="2" t="e">
        <v>#N/A</v>
      </c>
      <c r="K65" s="8" t="e">
        <v>#N/A</v>
      </c>
      <c r="L65" s="8" t="e">
        <v>#N/A</v>
      </c>
      <c r="M65" s="8" t="e">
        <v>#N/A</v>
      </c>
      <c r="N65" s="8" t="e">
        <v>#N/A</v>
      </c>
      <c r="O65" s="8" t="e">
        <v>#N/A</v>
      </c>
      <c r="P65" s="8" t="e">
        <v>#N/A</v>
      </c>
      <c r="Q65" s="8" t="e">
        <v>#N/A</v>
      </c>
      <c r="R65" s="8" t="e">
        <v>#N/A</v>
      </c>
      <c r="S65" s="8">
        <v>27678</v>
      </c>
      <c r="T65" s="8">
        <v>487</v>
      </c>
      <c r="U65" s="8">
        <v>70</v>
      </c>
      <c r="V65" s="8">
        <v>4121</v>
      </c>
      <c r="W65" s="8">
        <v>140</v>
      </c>
      <c r="X65" s="8">
        <v>149</v>
      </c>
      <c r="Y65" s="8">
        <v>1874</v>
      </c>
      <c r="Z65" s="8">
        <v>4605</v>
      </c>
      <c r="AA65" s="8">
        <v>1287</v>
      </c>
      <c r="AB65" s="8">
        <v>1580</v>
      </c>
      <c r="AC65" s="8">
        <v>797</v>
      </c>
      <c r="AD65" s="8">
        <v>1086</v>
      </c>
      <c r="AE65" s="8">
        <v>269</v>
      </c>
      <c r="AF65" s="8">
        <v>1553</v>
      </c>
      <c r="AG65" s="8">
        <v>1599</v>
      </c>
      <c r="AH65" s="8">
        <v>1731</v>
      </c>
      <c r="AI65" s="8">
        <v>2015</v>
      </c>
      <c r="AJ65" s="8">
        <v>2883</v>
      </c>
      <c r="AK65" s="8">
        <v>648</v>
      </c>
      <c r="AL65" s="8">
        <v>785</v>
      </c>
      <c r="AM65" s="8">
        <v>0</v>
      </c>
      <c r="AN65" s="8">
        <v>20837</v>
      </c>
      <c r="AO65" s="8" t="e">
        <v>#N/A</v>
      </c>
      <c r="AP65" s="8">
        <v>2736</v>
      </c>
      <c r="AQ65" s="2">
        <v>9.6999999999999993</v>
      </c>
      <c r="AR65" s="2" t="e">
        <v>#N/A</v>
      </c>
      <c r="AS65" s="2" t="e">
        <v>#N/A</v>
      </c>
      <c r="AT65" s="8">
        <v>45</v>
      </c>
      <c r="AU65" s="8">
        <v>44</v>
      </c>
      <c r="AV65" s="8">
        <v>1219</v>
      </c>
      <c r="AW65" s="8">
        <v>45072</v>
      </c>
      <c r="AX65" s="2">
        <v>62.5</v>
      </c>
      <c r="AY65" s="2">
        <v>68.8</v>
      </c>
      <c r="AZ65" s="2">
        <v>33.1</v>
      </c>
      <c r="BA65" s="8" t="e">
        <v>#N/A</v>
      </c>
      <c r="BB65" s="8">
        <v>25451</v>
      </c>
      <c r="BC65" s="8">
        <v>21498</v>
      </c>
      <c r="BD65" s="8" t="e">
        <v>#N/A</v>
      </c>
      <c r="BE65" s="8">
        <v>23678</v>
      </c>
      <c r="BF65" s="8">
        <v>830</v>
      </c>
      <c r="BG65" s="8">
        <v>2323</v>
      </c>
      <c r="BH65" s="8">
        <v>2736</v>
      </c>
    </row>
    <row r="66" spans="1:60" x14ac:dyDescent="0.25">
      <c r="A66" t="s">
        <v>632</v>
      </c>
      <c r="B66" s="8" t="e">
        <v>#N/A</v>
      </c>
      <c r="C66" s="8" t="e">
        <v>#N/A</v>
      </c>
      <c r="D66" s="8" t="e">
        <v>#N/A</v>
      </c>
      <c r="E66" s="8" t="e">
        <v>#N/A</v>
      </c>
      <c r="F66" s="8" t="e">
        <v>#N/A</v>
      </c>
      <c r="G66" s="2" t="e">
        <v>#N/A</v>
      </c>
      <c r="H66" s="2" t="e">
        <v>#N/A</v>
      </c>
      <c r="I66" s="2" t="e">
        <v>#N/A</v>
      </c>
      <c r="J66" s="2" t="e">
        <v>#N/A</v>
      </c>
      <c r="K66" s="8" t="e">
        <v>#N/A</v>
      </c>
      <c r="L66" s="8" t="e">
        <v>#N/A</v>
      </c>
      <c r="M66" s="8" t="e">
        <v>#N/A</v>
      </c>
      <c r="N66" s="8" t="e">
        <v>#N/A</v>
      </c>
      <c r="O66" s="8" t="e">
        <v>#N/A</v>
      </c>
      <c r="P66" s="8" t="e">
        <v>#N/A</v>
      </c>
      <c r="Q66" s="8" t="e">
        <v>#N/A</v>
      </c>
      <c r="R66" s="8" t="e">
        <v>#N/A</v>
      </c>
      <c r="S66" s="8">
        <v>27874</v>
      </c>
      <c r="T66" s="8">
        <v>484</v>
      </c>
      <c r="U66" s="8">
        <v>69</v>
      </c>
      <c r="V66" s="8">
        <v>4151</v>
      </c>
      <c r="W66" s="8">
        <v>135</v>
      </c>
      <c r="X66" s="8">
        <v>148</v>
      </c>
      <c r="Y66" s="8">
        <v>1888</v>
      </c>
      <c r="Z66" s="8">
        <v>4627</v>
      </c>
      <c r="AA66" s="8">
        <v>1289</v>
      </c>
      <c r="AB66" s="8">
        <v>1616</v>
      </c>
      <c r="AC66" s="8">
        <v>805</v>
      </c>
      <c r="AD66" s="8">
        <v>1097</v>
      </c>
      <c r="AE66" s="8">
        <v>278</v>
      </c>
      <c r="AF66" s="8">
        <v>1599</v>
      </c>
      <c r="AG66" s="8">
        <v>1643</v>
      </c>
      <c r="AH66" s="8">
        <v>1716</v>
      </c>
      <c r="AI66" s="8">
        <v>2010</v>
      </c>
      <c r="AJ66" s="8">
        <v>2894</v>
      </c>
      <c r="AK66" s="8">
        <v>643</v>
      </c>
      <c r="AL66" s="8">
        <v>781</v>
      </c>
      <c r="AM66" s="8">
        <v>0</v>
      </c>
      <c r="AN66" s="8">
        <v>20999</v>
      </c>
      <c r="AO66" s="8" t="e">
        <v>#N/A</v>
      </c>
      <c r="AP66" s="8">
        <v>2639</v>
      </c>
      <c r="AQ66" s="2">
        <v>9.4</v>
      </c>
      <c r="AR66" s="2" t="e">
        <v>#N/A</v>
      </c>
      <c r="AS66" s="2" t="e">
        <v>#N/A</v>
      </c>
      <c r="AT66" s="8">
        <v>46</v>
      </c>
      <c r="AU66" s="8">
        <v>42</v>
      </c>
      <c r="AV66" s="8">
        <v>1169</v>
      </c>
      <c r="AW66" s="8">
        <v>45099</v>
      </c>
      <c r="AX66" s="2">
        <v>62.5</v>
      </c>
      <c r="AY66" s="2">
        <v>69</v>
      </c>
      <c r="AZ66" s="2">
        <v>33.200000000000003</v>
      </c>
      <c r="BA66" s="8" t="e">
        <v>#N/A</v>
      </c>
      <c r="BB66" s="8">
        <v>25559</v>
      </c>
      <c r="BC66" s="8">
        <v>21558</v>
      </c>
      <c r="BD66" s="8" t="e">
        <v>#N/A</v>
      </c>
      <c r="BE66" s="8">
        <v>23872</v>
      </c>
      <c r="BF66" s="8">
        <v>828</v>
      </c>
      <c r="BG66" s="8">
        <v>2310</v>
      </c>
      <c r="BH66" s="8">
        <v>2639</v>
      </c>
    </row>
    <row r="67" spans="1:60" x14ac:dyDescent="0.25">
      <c r="A67" t="s">
        <v>633</v>
      </c>
      <c r="B67" s="8" t="e">
        <v>#N/A</v>
      </c>
      <c r="C67" s="8" t="e">
        <v>#N/A</v>
      </c>
      <c r="D67" s="8" t="e">
        <v>#N/A</v>
      </c>
      <c r="E67" s="8" t="e">
        <v>#N/A</v>
      </c>
      <c r="F67" s="8" t="e">
        <v>#N/A</v>
      </c>
      <c r="G67" s="2" t="e">
        <v>#N/A</v>
      </c>
      <c r="H67" s="2" t="e">
        <v>#N/A</v>
      </c>
      <c r="I67" s="2" t="e">
        <v>#N/A</v>
      </c>
      <c r="J67" s="2" t="e">
        <v>#N/A</v>
      </c>
      <c r="K67" s="8" t="e">
        <v>#N/A</v>
      </c>
      <c r="L67" s="8" t="e">
        <v>#N/A</v>
      </c>
      <c r="M67" s="8" t="e">
        <v>#N/A</v>
      </c>
      <c r="N67" s="8" t="e">
        <v>#N/A</v>
      </c>
      <c r="O67" s="8" t="e">
        <v>#N/A</v>
      </c>
      <c r="P67" s="8" t="e">
        <v>#N/A</v>
      </c>
      <c r="Q67" s="8" t="e">
        <v>#N/A</v>
      </c>
      <c r="R67" s="8" t="e">
        <v>#N/A</v>
      </c>
      <c r="S67" s="8">
        <v>27941</v>
      </c>
      <c r="T67" s="8">
        <v>470</v>
      </c>
      <c r="U67" s="8">
        <v>68</v>
      </c>
      <c r="V67" s="8">
        <v>4176</v>
      </c>
      <c r="W67" s="8">
        <v>131</v>
      </c>
      <c r="X67" s="8">
        <v>147</v>
      </c>
      <c r="Y67" s="8">
        <v>1879</v>
      </c>
      <c r="Z67" s="8">
        <v>4650</v>
      </c>
      <c r="AA67" s="8">
        <v>1283</v>
      </c>
      <c r="AB67" s="8">
        <v>1619</v>
      </c>
      <c r="AC67" s="8">
        <v>812</v>
      </c>
      <c r="AD67" s="8">
        <v>1102</v>
      </c>
      <c r="AE67" s="8">
        <v>280</v>
      </c>
      <c r="AF67" s="8">
        <v>1613</v>
      </c>
      <c r="AG67" s="8">
        <v>1655</v>
      </c>
      <c r="AH67" s="8">
        <v>1698</v>
      </c>
      <c r="AI67" s="8">
        <v>2021</v>
      </c>
      <c r="AJ67" s="8">
        <v>2898</v>
      </c>
      <c r="AK67" s="8">
        <v>650</v>
      </c>
      <c r="AL67" s="8">
        <v>789</v>
      </c>
      <c r="AM67" s="8">
        <v>0</v>
      </c>
      <c r="AN67" s="8">
        <v>21070</v>
      </c>
      <c r="AO67" s="8" t="e">
        <v>#N/A</v>
      </c>
      <c r="AP67" s="8">
        <v>2521</v>
      </c>
      <c r="AQ67" s="2">
        <v>9</v>
      </c>
      <c r="AR67" s="2" t="e">
        <v>#N/A</v>
      </c>
      <c r="AS67" s="2" t="e">
        <v>#N/A</v>
      </c>
      <c r="AT67" s="8">
        <v>54</v>
      </c>
      <c r="AU67" s="8">
        <v>40</v>
      </c>
      <c r="AV67" s="8">
        <v>1096</v>
      </c>
      <c r="AW67" s="8">
        <v>45134</v>
      </c>
      <c r="AX67" s="2">
        <v>62.3</v>
      </c>
      <c r="AY67" s="2">
        <v>69.099999999999994</v>
      </c>
      <c r="AZ67" s="2">
        <v>33.5</v>
      </c>
      <c r="BA67" s="8" t="e">
        <v>#N/A</v>
      </c>
      <c r="BB67" s="8">
        <v>25600</v>
      </c>
      <c r="BC67" s="8">
        <v>21604</v>
      </c>
      <c r="BD67" s="8" t="e">
        <v>#N/A</v>
      </c>
      <c r="BE67" s="8">
        <v>23921</v>
      </c>
      <c r="BF67" s="8">
        <v>845</v>
      </c>
      <c r="BG67" s="8">
        <v>2373</v>
      </c>
      <c r="BH67" s="8">
        <v>2521</v>
      </c>
    </row>
    <row r="68" spans="1:60" x14ac:dyDescent="0.25">
      <c r="A68" t="s">
        <v>634</v>
      </c>
      <c r="B68" s="8" t="e">
        <v>#N/A</v>
      </c>
      <c r="C68" s="8" t="e">
        <v>#N/A</v>
      </c>
      <c r="D68" s="8" t="e">
        <v>#N/A</v>
      </c>
      <c r="E68" s="8" t="e">
        <v>#N/A</v>
      </c>
      <c r="F68" s="8" t="e">
        <v>#N/A</v>
      </c>
      <c r="G68" s="2" t="e">
        <v>#N/A</v>
      </c>
      <c r="H68" s="2" t="e">
        <v>#N/A</v>
      </c>
      <c r="I68" s="2" t="e">
        <v>#N/A</v>
      </c>
      <c r="J68" s="2" t="e">
        <v>#N/A</v>
      </c>
      <c r="K68" s="8" t="e">
        <v>#N/A</v>
      </c>
      <c r="L68" s="8" t="e">
        <v>#N/A</v>
      </c>
      <c r="M68" s="8" t="e">
        <v>#N/A</v>
      </c>
      <c r="N68" s="8" t="e">
        <v>#N/A</v>
      </c>
      <c r="O68" s="8" t="e">
        <v>#N/A</v>
      </c>
      <c r="P68" s="8" t="e">
        <v>#N/A</v>
      </c>
      <c r="Q68" s="8" t="e">
        <v>#N/A</v>
      </c>
      <c r="R68" s="8" t="e">
        <v>#N/A</v>
      </c>
      <c r="S68" s="8">
        <v>27930</v>
      </c>
      <c r="T68" s="8">
        <v>469</v>
      </c>
      <c r="U68" s="8">
        <v>67</v>
      </c>
      <c r="V68" s="8">
        <v>4199</v>
      </c>
      <c r="W68" s="8">
        <v>130</v>
      </c>
      <c r="X68" s="8">
        <v>143</v>
      </c>
      <c r="Y68" s="8">
        <v>1844</v>
      </c>
      <c r="Z68" s="8">
        <v>4649</v>
      </c>
      <c r="AA68" s="8">
        <v>1284</v>
      </c>
      <c r="AB68" s="8">
        <v>1638</v>
      </c>
      <c r="AC68" s="8">
        <v>813</v>
      </c>
      <c r="AD68" s="8">
        <v>1101</v>
      </c>
      <c r="AE68" s="8">
        <v>281</v>
      </c>
      <c r="AF68" s="8">
        <v>1614</v>
      </c>
      <c r="AG68" s="8">
        <v>1663</v>
      </c>
      <c r="AH68" s="8">
        <v>1684</v>
      </c>
      <c r="AI68" s="8">
        <v>2008</v>
      </c>
      <c r="AJ68" s="8">
        <v>2908</v>
      </c>
      <c r="AK68" s="8">
        <v>649</v>
      </c>
      <c r="AL68" s="8">
        <v>785</v>
      </c>
      <c r="AM68" s="8">
        <v>0</v>
      </c>
      <c r="AN68" s="8">
        <v>21078</v>
      </c>
      <c r="AO68" s="8" t="e">
        <v>#N/A</v>
      </c>
      <c r="AP68" s="8">
        <v>2497</v>
      </c>
      <c r="AQ68" s="2">
        <v>8.9</v>
      </c>
      <c r="AR68" s="2" t="e">
        <v>#N/A</v>
      </c>
      <c r="AS68" s="2" t="e">
        <v>#N/A</v>
      </c>
      <c r="AT68" s="8">
        <v>48</v>
      </c>
      <c r="AU68" s="8">
        <v>43</v>
      </c>
      <c r="AV68" s="8">
        <v>1085</v>
      </c>
      <c r="AW68" s="8">
        <v>45169</v>
      </c>
      <c r="AX68" s="2">
        <v>62.4</v>
      </c>
      <c r="AY68" s="2">
        <v>69.2</v>
      </c>
      <c r="AZ68" s="2">
        <v>33.299999999999997</v>
      </c>
      <c r="BA68" s="8" t="e">
        <v>#N/A</v>
      </c>
      <c r="BB68" s="8">
        <v>25670</v>
      </c>
      <c r="BC68" s="8">
        <v>21671</v>
      </c>
      <c r="BD68" s="8" t="e">
        <v>#N/A</v>
      </c>
      <c r="BE68" s="8">
        <v>23935</v>
      </c>
      <c r="BF68" s="8">
        <v>818</v>
      </c>
      <c r="BG68" s="8">
        <v>2374</v>
      </c>
      <c r="BH68" s="8">
        <v>2497</v>
      </c>
    </row>
    <row r="69" spans="1:60" x14ac:dyDescent="0.25">
      <c r="A69" t="s">
        <v>635</v>
      </c>
      <c r="B69" s="8">
        <v>5597</v>
      </c>
      <c r="C69" s="8" t="e">
        <v>#N/A</v>
      </c>
      <c r="D69" s="8" t="e">
        <v>#N/A</v>
      </c>
      <c r="E69" s="8" t="e">
        <v>#N/A</v>
      </c>
      <c r="F69" s="8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8" t="e">
        <v>#N/A</v>
      </c>
      <c r="L69" s="8" t="e">
        <v>#N/A</v>
      </c>
      <c r="M69" s="8" t="e">
        <v>#N/A</v>
      </c>
      <c r="N69" s="8" t="e">
        <v>#N/A</v>
      </c>
      <c r="O69" s="8" t="e">
        <v>#N/A</v>
      </c>
      <c r="P69" s="8" t="e">
        <v>#N/A</v>
      </c>
      <c r="Q69" s="8" t="e">
        <v>#N/A</v>
      </c>
      <c r="R69" s="8" t="e">
        <v>#N/A</v>
      </c>
      <c r="S69" s="8">
        <v>28047</v>
      </c>
      <c r="T69" s="8">
        <v>465</v>
      </c>
      <c r="U69" s="8">
        <v>67</v>
      </c>
      <c r="V69" s="8">
        <v>4214</v>
      </c>
      <c r="W69" s="8">
        <v>122</v>
      </c>
      <c r="X69" s="8">
        <v>148</v>
      </c>
      <c r="Y69" s="8">
        <v>1856</v>
      </c>
      <c r="Z69" s="8">
        <v>4663</v>
      </c>
      <c r="AA69" s="8">
        <v>1291</v>
      </c>
      <c r="AB69" s="8">
        <v>1649</v>
      </c>
      <c r="AC69" s="8">
        <v>818</v>
      </c>
      <c r="AD69" s="8">
        <v>1104</v>
      </c>
      <c r="AE69" s="8">
        <v>283</v>
      </c>
      <c r="AF69" s="8">
        <v>1628</v>
      </c>
      <c r="AG69" s="8">
        <v>1678</v>
      </c>
      <c r="AH69" s="8">
        <v>1675</v>
      </c>
      <c r="AI69" s="8">
        <v>2024</v>
      </c>
      <c r="AJ69" s="8">
        <v>2915</v>
      </c>
      <c r="AK69" s="8">
        <v>654</v>
      </c>
      <c r="AL69" s="8">
        <v>793</v>
      </c>
      <c r="AM69" s="8">
        <v>0</v>
      </c>
      <c r="AN69" s="8">
        <v>21174</v>
      </c>
      <c r="AO69" s="8" t="e">
        <v>#N/A</v>
      </c>
      <c r="AP69" s="8">
        <v>2445</v>
      </c>
      <c r="AQ69" s="2">
        <v>8.6999999999999993</v>
      </c>
      <c r="AR69" s="2">
        <v>8.1999999999999993</v>
      </c>
      <c r="AS69" s="2" t="e">
        <v>#N/A</v>
      </c>
      <c r="AT69" s="8">
        <v>51</v>
      </c>
      <c r="AU69" s="8">
        <v>44</v>
      </c>
      <c r="AV69" s="8">
        <v>1048</v>
      </c>
      <c r="AW69" s="8">
        <v>45205</v>
      </c>
      <c r="AX69" s="2">
        <v>62.4</v>
      </c>
      <c r="AY69" s="2">
        <v>69.400000000000006</v>
      </c>
      <c r="AZ69" s="2">
        <v>33.299999999999997</v>
      </c>
      <c r="BA69" s="8" t="e">
        <v>#N/A</v>
      </c>
      <c r="BB69" s="8">
        <v>25770</v>
      </c>
      <c r="BC69" s="8">
        <v>21787</v>
      </c>
      <c r="BD69" s="8" t="e">
        <v>#N/A</v>
      </c>
      <c r="BE69" s="8">
        <v>24070</v>
      </c>
      <c r="BF69" s="8">
        <v>811</v>
      </c>
      <c r="BG69" s="8">
        <v>2335</v>
      </c>
      <c r="BH69" s="8">
        <v>2445</v>
      </c>
    </row>
    <row r="70" spans="1:60" x14ac:dyDescent="0.25">
      <c r="A70" t="s">
        <v>636</v>
      </c>
      <c r="B70" s="8" t="e">
        <v>#N/A</v>
      </c>
      <c r="C70" s="8" t="e">
        <v>#N/A</v>
      </c>
      <c r="D70" s="8" t="e">
        <v>#N/A</v>
      </c>
      <c r="E70" s="8" t="e">
        <v>#N/A</v>
      </c>
      <c r="F70" s="8" t="e">
        <v>#N/A</v>
      </c>
      <c r="G70" s="2" t="e">
        <v>#N/A</v>
      </c>
      <c r="H70" s="2" t="e">
        <v>#N/A</v>
      </c>
      <c r="I70" s="2" t="e">
        <v>#N/A</v>
      </c>
      <c r="J70" s="2" t="e">
        <v>#N/A</v>
      </c>
      <c r="K70" s="8" t="e">
        <v>#N/A</v>
      </c>
      <c r="L70" s="8" t="e">
        <v>#N/A</v>
      </c>
      <c r="M70" s="8" t="e">
        <v>#N/A</v>
      </c>
      <c r="N70" s="8" t="e">
        <v>#N/A</v>
      </c>
      <c r="O70" s="8" t="e">
        <v>#N/A</v>
      </c>
      <c r="P70" s="8" t="e">
        <v>#N/A</v>
      </c>
      <c r="Q70" s="8" t="e">
        <v>#N/A</v>
      </c>
      <c r="R70" s="8" t="e">
        <v>#N/A</v>
      </c>
      <c r="S70" s="8">
        <v>28046</v>
      </c>
      <c r="T70" s="8">
        <v>469</v>
      </c>
      <c r="U70" s="8">
        <v>68</v>
      </c>
      <c r="V70" s="8">
        <v>4219</v>
      </c>
      <c r="W70" s="8">
        <v>119</v>
      </c>
      <c r="X70" s="8">
        <v>146</v>
      </c>
      <c r="Y70" s="8">
        <v>1843</v>
      </c>
      <c r="Z70" s="8">
        <v>4642</v>
      </c>
      <c r="AA70" s="8">
        <v>1288</v>
      </c>
      <c r="AB70" s="8">
        <v>1652</v>
      </c>
      <c r="AC70" s="8">
        <v>821</v>
      </c>
      <c r="AD70" s="8">
        <v>1102</v>
      </c>
      <c r="AE70" s="8">
        <v>286</v>
      </c>
      <c r="AF70" s="8">
        <v>1651</v>
      </c>
      <c r="AG70" s="8">
        <v>1715</v>
      </c>
      <c r="AH70" s="8">
        <v>1667</v>
      </c>
      <c r="AI70" s="8">
        <v>1998</v>
      </c>
      <c r="AJ70" s="8">
        <v>2926</v>
      </c>
      <c r="AK70" s="8">
        <v>650</v>
      </c>
      <c r="AL70" s="8">
        <v>783</v>
      </c>
      <c r="AM70" s="8">
        <v>0</v>
      </c>
      <c r="AN70" s="8">
        <v>21181</v>
      </c>
      <c r="AO70" s="8" t="e">
        <v>#N/A</v>
      </c>
      <c r="AP70" s="8">
        <v>2447</v>
      </c>
      <c r="AQ70" s="2">
        <v>8.6</v>
      </c>
      <c r="AR70" s="2">
        <v>7.5</v>
      </c>
      <c r="AS70" s="2" t="e">
        <v>#N/A</v>
      </c>
      <c r="AT70" s="8">
        <v>59</v>
      </c>
      <c r="AU70" s="8">
        <v>46</v>
      </c>
      <c r="AV70" s="8">
        <v>1028</v>
      </c>
      <c r="AW70" s="8">
        <v>45242</v>
      </c>
      <c r="AX70" s="2">
        <v>62.6</v>
      </c>
      <c r="AY70" s="2">
        <v>69.599999999999994</v>
      </c>
      <c r="AZ70" s="2">
        <v>33.200000000000003</v>
      </c>
      <c r="BA70" s="8" t="e">
        <v>#N/A</v>
      </c>
      <c r="BB70" s="8">
        <v>25852</v>
      </c>
      <c r="BC70" s="8">
        <v>21925</v>
      </c>
      <c r="BD70" s="8" t="e">
        <v>#N/A</v>
      </c>
      <c r="BE70" s="8">
        <v>24084</v>
      </c>
      <c r="BF70" s="8">
        <v>836</v>
      </c>
      <c r="BG70" s="8">
        <v>2277</v>
      </c>
      <c r="BH70" s="8">
        <v>2447</v>
      </c>
    </row>
    <row r="71" spans="1:60" x14ac:dyDescent="0.25">
      <c r="A71" t="s">
        <v>637</v>
      </c>
      <c r="B71" s="8" t="e">
        <v>#N/A</v>
      </c>
      <c r="C71" s="8" t="e">
        <v>#N/A</v>
      </c>
      <c r="D71" s="8" t="e">
        <v>#N/A</v>
      </c>
      <c r="E71" s="8" t="e">
        <v>#N/A</v>
      </c>
      <c r="F71" s="8" t="e">
        <v>#N/A</v>
      </c>
      <c r="G71" s="2" t="e">
        <v>#N/A</v>
      </c>
      <c r="H71" s="2" t="e">
        <v>#N/A</v>
      </c>
      <c r="I71" s="2" t="e">
        <v>#N/A</v>
      </c>
      <c r="J71" s="2" t="e">
        <v>#N/A</v>
      </c>
      <c r="K71" s="8" t="e">
        <v>#N/A</v>
      </c>
      <c r="L71" s="8" t="e">
        <v>#N/A</v>
      </c>
      <c r="M71" s="8" t="e">
        <v>#N/A</v>
      </c>
      <c r="N71" s="8" t="e">
        <v>#N/A</v>
      </c>
      <c r="O71" s="8" t="e">
        <v>#N/A</v>
      </c>
      <c r="P71" s="8" t="e">
        <v>#N/A</v>
      </c>
      <c r="Q71" s="8" t="e">
        <v>#N/A</v>
      </c>
      <c r="R71" s="8" t="e">
        <v>#N/A</v>
      </c>
      <c r="S71" s="8">
        <v>28192</v>
      </c>
      <c r="T71" s="8">
        <v>471</v>
      </c>
      <c r="U71" s="8">
        <v>72</v>
      </c>
      <c r="V71" s="8">
        <v>4273</v>
      </c>
      <c r="W71" s="8">
        <v>120</v>
      </c>
      <c r="X71" s="8">
        <v>145</v>
      </c>
      <c r="Y71" s="8">
        <v>1837</v>
      </c>
      <c r="Z71" s="8">
        <v>4696</v>
      </c>
      <c r="AA71" s="8">
        <v>1277</v>
      </c>
      <c r="AB71" s="8">
        <v>1638</v>
      </c>
      <c r="AC71" s="8">
        <v>823</v>
      </c>
      <c r="AD71" s="8">
        <v>1122</v>
      </c>
      <c r="AE71" s="8">
        <v>286</v>
      </c>
      <c r="AF71" s="8">
        <v>1650</v>
      </c>
      <c r="AG71" s="8">
        <v>1740</v>
      </c>
      <c r="AH71" s="8">
        <v>1662</v>
      </c>
      <c r="AI71" s="8">
        <v>2024</v>
      </c>
      <c r="AJ71" s="8">
        <v>2921</v>
      </c>
      <c r="AK71" s="8">
        <v>653</v>
      </c>
      <c r="AL71" s="8">
        <v>782</v>
      </c>
      <c r="AM71" s="8">
        <v>0</v>
      </c>
      <c r="AN71" s="8">
        <v>21274</v>
      </c>
      <c r="AO71" s="8" t="e">
        <v>#N/A</v>
      </c>
      <c r="AP71" s="8">
        <v>2353</v>
      </c>
      <c r="AQ71" s="2">
        <v>8.3000000000000007</v>
      </c>
      <c r="AR71" s="2">
        <v>7.4</v>
      </c>
      <c r="AS71" s="2" t="e">
        <v>#N/A</v>
      </c>
      <c r="AT71" s="8">
        <v>63</v>
      </c>
      <c r="AU71" s="8">
        <v>51</v>
      </c>
      <c r="AV71" s="8">
        <v>935</v>
      </c>
      <c r="AW71" s="8">
        <v>45283</v>
      </c>
      <c r="AX71" s="2">
        <v>62.6</v>
      </c>
      <c r="AY71" s="2">
        <v>69.900000000000006</v>
      </c>
      <c r="AZ71" s="2">
        <v>33.200000000000003</v>
      </c>
      <c r="BA71" s="8" t="e">
        <v>#N/A</v>
      </c>
      <c r="BB71" s="8">
        <v>25982</v>
      </c>
      <c r="BC71" s="8">
        <v>22070</v>
      </c>
      <c r="BD71" s="8" t="e">
        <v>#N/A</v>
      </c>
      <c r="BE71" s="8">
        <v>24257</v>
      </c>
      <c r="BF71" s="8">
        <v>829</v>
      </c>
      <c r="BG71" s="8">
        <v>2259</v>
      </c>
      <c r="BH71" s="8">
        <v>2353</v>
      </c>
    </row>
    <row r="72" spans="1:60" x14ac:dyDescent="0.25">
      <c r="A72" t="s">
        <v>638</v>
      </c>
      <c r="B72" s="8" t="e">
        <v>#N/A</v>
      </c>
      <c r="C72" s="8" t="e">
        <v>#N/A</v>
      </c>
      <c r="D72" s="8" t="e">
        <v>#N/A</v>
      </c>
      <c r="E72" s="8" t="e">
        <v>#N/A</v>
      </c>
      <c r="F72" s="8" t="e">
        <v>#N/A</v>
      </c>
      <c r="G72" s="2" t="e">
        <v>#N/A</v>
      </c>
      <c r="H72" s="2" t="e">
        <v>#N/A</v>
      </c>
      <c r="I72" s="2" t="e">
        <v>#N/A</v>
      </c>
      <c r="J72" s="2" t="e">
        <v>#N/A</v>
      </c>
      <c r="K72" s="8" t="e">
        <v>#N/A</v>
      </c>
      <c r="L72" s="8" t="e">
        <v>#N/A</v>
      </c>
      <c r="M72" s="8" t="e">
        <v>#N/A</v>
      </c>
      <c r="N72" s="8" t="e">
        <v>#N/A</v>
      </c>
      <c r="O72" s="8" t="e">
        <v>#N/A</v>
      </c>
      <c r="P72" s="8" t="e">
        <v>#N/A</v>
      </c>
      <c r="Q72" s="8" t="e">
        <v>#N/A</v>
      </c>
      <c r="R72" s="8" t="e">
        <v>#N/A</v>
      </c>
      <c r="S72" s="8">
        <v>28105</v>
      </c>
      <c r="T72" s="8">
        <v>468</v>
      </c>
      <c r="U72" s="8">
        <v>76</v>
      </c>
      <c r="V72" s="8">
        <v>4263</v>
      </c>
      <c r="W72" s="8">
        <v>115</v>
      </c>
      <c r="X72" s="8">
        <v>139</v>
      </c>
      <c r="Y72" s="8">
        <v>1815</v>
      </c>
      <c r="Z72" s="8">
        <v>4689</v>
      </c>
      <c r="AA72" s="8">
        <v>1263</v>
      </c>
      <c r="AB72" s="8">
        <v>1639</v>
      </c>
      <c r="AC72" s="8">
        <v>813</v>
      </c>
      <c r="AD72" s="8">
        <v>1096</v>
      </c>
      <c r="AE72" s="8">
        <v>281</v>
      </c>
      <c r="AF72" s="8">
        <v>1625</v>
      </c>
      <c r="AG72" s="8">
        <v>1755</v>
      </c>
      <c r="AH72" s="8">
        <v>1658</v>
      </c>
      <c r="AI72" s="8">
        <v>2046</v>
      </c>
      <c r="AJ72" s="8">
        <v>2913</v>
      </c>
      <c r="AK72" s="8">
        <v>657</v>
      </c>
      <c r="AL72" s="8">
        <v>699</v>
      </c>
      <c r="AM72" s="8">
        <v>97</v>
      </c>
      <c r="AN72" s="8">
        <v>21230</v>
      </c>
      <c r="AO72" s="8" t="e">
        <v>#N/A</v>
      </c>
      <c r="AP72" s="8">
        <v>2330</v>
      </c>
      <c r="AQ72" s="2">
        <v>8.1999999999999993</v>
      </c>
      <c r="AR72" s="2">
        <v>8.9</v>
      </c>
      <c r="AS72" s="2" t="e">
        <v>#N/A</v>
      </c>
      <c r="AT72" s="8">
        <v>59</v>
      </c>
      <c r="AU72" s="8">
        <v>54</v>
      </c>
      <c r="AV72" s="8">
        <v>915</v>
      </c>
      <c r="AW72" s="8">
        <v>45322</v>
      </c>
      <c r="AX72" s="2">
        <v>62.4</v>
      </c>
      <c r="AY72" s="2">
        <v>69.900000000000006</v>
      </c>
      <c r="AZ72" s="2">
        <v>33.200000000000003</v>
      </c>
      <c r="BA72" s="8" t="e">
        <v>#N/A</v>
      </c>
      <c r="BB72" s="8">
        <v>25970</v>
      </c>
      <c r="BC72" s="8">
        <v>22110</v>
      </c>
      <c r="BD72" s="8" t="e">
        <v>#N/A</v>
      </c>
      <c r="BE72" s="8">
        <v>24213</v>
      </c>
      <c r="BF72" s="8">
        <v>826</v>
      </c>
      <c r="BG72" s="8">
        <v>2307</v>
      </c>
      <c r="BH72" s="8">
        <v>2330</v>
      </c>
    </row>
    <row r="73" spans="1:60" x14ac:dyDescent="0.25">
      <c r="A73" t="s">
        <v>639</v>
      </c>
      <c r="B73" s="8">
        <v>5498</v>
      </c>
      <c r="C73" s="8" t="e">
        <v>#N/A</v>
      </c>
      <c r="D73" s="8" t="e">
        <v>#N/A</v>
      </c>
      <c r="E73" s="8" t="e">
        <v>#N/A</v>
      </c>
      <c r="F73" s="8" t="e">
        <v>#N/A</v>
      </c>
      <c r="G73" s="2" t="e">
        <v>#N/A</v>
      </c>
      <c r="H73" s="2" t="e">
        <v>#N/A</v>
      </c>
      <c r="I73" s="2" t="e">
        <v>#N/A</v>
      </c>
      <c r="J73" s="2" t="e">
        <v>#N/A</v>
      </c>
      <c r="K73" s="8" t="e">
        <v>#N/A</v>
      </c>
      <c r="L73" s="8" t="e">
        <v>#N/A</v>
      </c>
      <c r="M73" s="8" t="e">
        <v>#N/A</v>
      </c>
      <c r="N73" s="8" t="e">
        <v>#N/A</v>
      </c>
      <c r="O73" s="8" t="e">
        <v>#N/A</v>
      </c>
      <c r="P73" s="8" t="e">
        <v>#N/A</v>
      </c>
      <c r="Q73" s="8" t="e">
        <v>#N/A</v>
      </c>
      <c r="R73" s="8" t="e">
        <v>#N/A</v>
      </c>
      <c r="S73" s="8">
        <v>28248</v>
      </c>
      <c r="T73" s="8">
        <v>473</v>
      </c>
      <c r="U73" s="8">
        <v>80</v>
      </c>
      <c r="V73" s="8">
        <v>4248</v>
      </c>
      <c r="W73" s="8">
        <v>106</v>
      </c>
      <c r="X73" s="8">
        <v>152</v>
      </c>
      <c r="Y73" s="8">
        <v>1838</v>
      </c>
      <c r="Z73" s="8">
        <v>4701</v>
      </c>
      <c r="AA73" s="8">
        <v>1270</v>
      </c>
      <c r="AB73" s="8">
        <v>1701</v>
      </c>
      <c r="AC73" s="8">
        <v>827</v>
      </c>
      <c r="AD73" s="8">
        <v>1080</v>
      </c>
      <c r="AE73" s="8">
        <v>282</v>
      </c>
      <c r="AF73" s="8">
        <v>1629</v>
      </c>
      <c r="AG73" s="8">
        <v>1791</v>
      </c>
      <c r="AH73" s="8">
        <v>1648</v>
      </c>
      <c r="AI73" s="8">
        <v>2046</v>
      </c>
      <c r="AJ73" s="8">
        <v>2920</v>
      </c>
      <c r="AK73" s="8">
        <v>660</v>
      </c>
      <c r="AL73" s="8">
        <v>699</v>
      </c>
      <c r="AM73" s="8">
        <v>101</v>
      </c>
      <c r="AN73" s="8">
        <v>21353</v>
      </c>
      <c r="AO73" s="8" t="e">
        <v>#N/A</v>
      </c>
      <c r="AP73" s="8">
        <v>2340</v>
      </c>
      <c r="AQ73" s="2">
        <v>8.3000000000000007</v>
      </c>
      <c r="AR73" s="2">
        <v>7.2</v>
      </c>
      <c r="AS73" s="2" t="e">
        <v>#N/A</v>
      </c>
      <c r="AT73" s="8">
        <v>63</v>
      </c>
      <c r="AU73" s="8">
        <v>55</v>
      </c>
      <c r="AV73" s="8">
        <v>902</v>
      </c>
      <c r="AW73" s="8">
        <v>45361</v>
      </c>
      <c r="AX73" s="2">
        <v>62.5</v>
      </c>
      <c r="AY73" s="2">
        <v>69.900000000000006</v>
      </c>
      <c r="AZ73" s="2">
        <v>33.299999999999997</v>
      </c>
      <c r="BA73" s="8" t="e">
        <v>#N/A</v>
      </c>
      <c r="BB73" s="8">
        <v>26009</v>
      </c>
      <c r="BC73" s="8">
        <v>22149</v>
      </c>
      <c r="BD73" s="8" t="e">
        <v>#N/A</v>
      </c>
      <c r="BE73" s="8">
        <v>24380</v>
      </c>
      <c r="BF73" s="8">
        <v>816</v>
      </c>
      <c r="BG73" s="8">
        <v>2358</v>
      </c>
      <c r="BH73" s="8">
        <v>2340</v>
      </c>
    </row>
    <row r="74" spans="1:60" x14ac:dyDescent="0.25">
      <c r="A74" t="s">
        <v>640</v>
      </c>
      <c r="B74" s="8" t="e">
        <v>#N/A</v>
      </c>
      <c r="C74" s="8" t="e">
        <v>#N/A</v>
      </c>
      <c r="D74" s="8" t="e">
        <v>#N/A</v>
      </c>
      <c r="E74" s="8" t="e">
        <v>#N/A</v>
      </c>
      <c r="F74" s="8" t="e">
        <v>#N/A</v>
      </c>
      <c r="G74" s="2" t="e">
        <v>#N/A</v>
      </c>
      <c r="H74" s="2" t="e">
        <v>#N/A</v>
      </c>
      <c r="I74" s="2" t="e">
        <v>#N/A</v>
      </c>
      <c r="J74" s="2" t="e">
        <v>#N/A</v>
      </c>
      <c r="K74" s="8" t="e">
        <v>#N/A</v>
      </c>
      <c r="L74" s="8" t="e">
        <v>#N/A</v>
      </c>
      <c r="M74" s="8" t="e">
        <v>#N/A</v>
      </c>
      <c r="N74" s="8" t="e">
        <v>#N/A</v>
      </c>
      <c r="O74" s="8" t="e">
        <v>#N/A</v>
      </c>
      <c r="P74" s="8" t="e">
        <v>#N/A</v>
      </c>
      <c r="Q74" s="8" t="e">
        <v>#N/A</v>
      </c>
      <c r="R74" s="8" t="e">
        <v>#N/A</v>
      </c>
      <c r="S74" s="8">
        <v>28394</v>
      </c>
      <c r="T74" s="8">
        <v>484</v>
      </c>
      <c r="U74" s="8">
        <v>81</v>
      </c>
      <c r="V74" s="8">
        <v>4277</v>
      </c>
      <c r="W74" s="8">
        <v>103</v>
      </c>
      <c r="X74" s="8">
        <v>173</v>
      </c>
      <c r="Y74" s="8">
        <v>1812</v>
      </c>
      <c r="Z74" s="8">
        <v>4722</v>
      </c>
      <c r="AA74" s="8">
        <v>1275</v>
      </c>
      <c r="AB74" s="8">
        <v>1709</v>
      </c>
      <c r="AC74" s="8">
        <v>845</v>
      </c>
      <c r="AD74" s="8">
        <v>1089</v>
      </c>
      <c r="AE74" s="8">
        <v>275</v>
      </c>
      <c r="AF74" s="8">
        <v>1629</v>
      </c>
      <c r="AG74" s="8">
        <v>1802</v>
      </c>
      <c r="AH74" s="8">
        <v>1642</v>
      </c>
      <c r="AI74" s="8">
        <v>2059</v>
      </c>
      <c r="AJ74" s="8">
        <v>2935</v>
      </c>
      <c r="AK74" s="8">
        <v>673</v>
      </c>
      <c r="AL74" s="8">
        <v>707</v>
      </c>
      <c r="AM74" s="8">
        <v>99</v>
      </c>
      <c r="AN74" s="8">
        <v>21463</v>
      </c>
      <c r="AO74" s="8" t="e">
        <v>#N/A</v>
      </c>
      <c r="AP74" s="8">
        <v>2285</v>
      </c>
      <c r="AQ74" s="2">
        <v>8.1</v>
      </c>
      <c r="AR74" s="2">
        <v>7.4</v>
      </c>
      <c r="AS74" s="2" t="e">
        <v>#N/A</v>
      </c>
      <c r="AT74" s="8">
        <v>64</v>
      </c>
      <c r="AU74" s="8">
        <v>57</v>
      </c>
      <c r="AV74" s="8">
        <v>890</v>
      </c>
      <c r="AW74" s="8">
        <v>45401</v>
      </c>
      <c r="AX74" s="2">
        <v>62.4</v>
      </c>
      <c r="AY74" s="2">
        <v>70</v>
      </c>
      <c r="AZ74" s="2">
        <v>33.200000000000003</v>
      </c>
      <c r="BA74" s="8" t="e">
        <v>#N/A</v>
      </c>
      <c r="BB74" s="8">
        <v>26062</v>
      </c>
      <c r="BC74" s="8">
        <v>22184</v>
      </c>
      <c r="BD74" s="8" t="e">
        <v>#N/A</v>
      </c>
      <c r="BE74" s="8">
        <v>24488</v>
      </c>
      <c r="BF74" s="8">
        <v>814</v>
      </c>
      <c r="BG74" s="8">
        <v>2437</v>
      </c>
      <c r="BH74" s="8">
        <v>2285</v>
      </c>
    </row>
    <row r="75" spans="1:60" x14ac:dyDescent="0.25">
      <c r="A75" t="s">
        <v>641</v>
      </c>
      <c r="B75" s="8" t="e">
        <v>#N/A</v>
      </c>
      <c r="C75" s="8" t="e">
        <v>#N/A</v>
      </c>
      <c r="D75" s="8" t="e">
        <v>#N/A</v>
      </c>
      <c r="E75" s="8" t="e">
        <v>#N/A</v>
      </c>
      <c r="F75" s="8" t="e">
        <v>#N/A</v>
      </c>
      <c r="G75" s="2" t="e">
        <v>#N/A</v>
      </c>
      <c r="H75" s="2" t="e">
        <v>#N/A</v>
      </c>
      <c r="I75" s="2" t="e">
        <v>#N/A</v>
      </c>
      <c r="J75" s="2" t="e">
        <v>#N/A</v>
      </c>
      <c r="K75" s="8" t="e">
        <v>#N/A</v>
      </c>
      <c r="L75" s="8" t="e">
        <v>#N/A</v>
      </c>
      <c r="M75" s="8" t="e">
        <v>#N/A</v>
      </c>
      <c r="N75" s="8" t="e">
        <v>#N/A</v>
      </c>
      <c r="O75" s="8" t="e">
        <v>#N/A</v>
      </c>
      <c r="P75" s="8" t="e">
        <v>#N/A</v>
      </c>
      <c r="Q75" s="8" t="e">
        <v>#N/A</v>
      </c>
      <c r="R75" s="8" t="e">
        <v>#N/A</v>
      </c>
      <c r="S75" s="8">
        <v>28493</v>
      </c>
      <c r="T75" s="8">
        <v>483</v>
      </c>
      <c r="U75" s="8">
        <v>82</v>
      </c>
      <c r="V75" s="8">
        <v>4272</v>
      </c>
      <c r="W75" s="8">
        <v>103</v>
      </c>
      <c r="X75" s="8">
        <v>164</v>
      </c>
      <c r="Y75" s="8">
        <v>1814</v>
      </c>
      <c r="Z75" s="8">
        <v>4722</v>
      </c>
      <c r="AA75" s="8">
        <v>1294</v>
      </c>
      <c r="AB75" s="8">
        <v>1725</v>
      </c>
      <c r="AC75" s="8">
        <v>848</v>
      </c>
      <c r="AD75" s="8">
        <v>1079</v>
      </c>
      <c r="AE75" s="8">
        <v>274</v>
      </c>
      <c r="AF75" s="8">
        <v>1657</v>
      </c>
      <c r="AG75" s="8">
        <v>1863</v>
      </c>
      <c r="AH75" s="8">
        <v>1631</v>
      </c>
      <c r="AI75" s="8">
        <v>2048</v>
      </c>
      <c r="AJ75" s="8">
        <v>2956</v>
      </c>
      <c r="AK75" s="8">
        <v>679</v>
      </c>
      <c r="AL75" s="8">
        <v>702</v>
      </c>
      <c r="AM75" s="8">
        <v>96</v>
      </c>
      <c r="AN75" s="8">
        <v>21575</v>
      </c>
      <c r="AO75" s="8" t="e">
        <v>#N/A</v>
      </c>
      <c r="AP75" s="8">
        <v>2229</v>
      </c>
      <c r="AQ75" s="2">
        <v>7.8</v>
      </c>
      <c r="AR75" s="2">
        <v>6.7</v>
      </c>
      <c r="AS75" s="2" t="e">
        <v>#N/A</v>
      </c>
      <c r="AT75" s="8">
        <v>75</v>
      </c>
      <c r="AU75" s="8">
        <v>62</v>
      </c>
      <c r="AV75" s="8">
        <v>872</v>
      </c>
      <c r="AW75" s="8">
        <v>45441</v>
      </c>
      <c r="AX75" s="2">
        <v>62.6</v>
      </c>
      <c r="AY75" s="2">
        <v>70.3</v>
      </c>
      <c r="AZ75" s="2">
        <v>33.200000000000003</v>
      </c>
      <c r="BA75" s="8" t="e">
        <v>#N/A</v>
      </c>
      <c r="BB75" s="8">
        <v>26198</v>
      </c>
      <c r="BC75" s="8">
        <v>22342</v>
      </c>
      <c r="BD75" s="8" t="e">
        <v>#N/A</v>
      </c>
      <c r="BE75" s="8">
        <v>24610</v>
      </c>
      <c r="BF75" s="8">
        <v>835</v>
      </c>
      <c r="BG75" s="8">
        <v>2456</v>
      </c>
      <c r="BH75" s="8">
        <v>2229</v>
      </c>
    </row>
    <row r="76" spans="1:60" x14ac:dyDescent="0.25">
      <c r="A76" t="s">
        <v>642</v>
      </c>
      <c r="B76" s="8" t="e">
        <v>#N/A</v>
      </c>
      <c r="C76" s="8" t="e">
        <v>#N/A</v>
      </c>
      <c r="D76" s="8" t="e">
        <v>#N/A</v>
      </c>
      <c r="E76" s="8" t="e">
        <v>#N/A</v>
      </c>
      <c r="F76" s="8" t="e">
        <v>#N/A</v>
      </c>
      <c r="G76" s="2" t="e">
        <v>#N/A</v>
      </c>
      <c r="H76" s="2" t="e">
        <v>#N/A</v>
      </c>
      <c r="I76" s="2" t="e">
        <v>#N/A</v>
      </c>
      <c r="J76" s="2" t="e">
        <v>#N/A</v>
      </c>
      <c r="K76" s="8" t="e">
        <v>#N/A</v>
      </c>
      <c r="L76" s="8" t="e">
        <v>#N/A</v>
      </c>
      <c r="M76" s="8" t="e">
        <v>#N/A</v>
      </c>
      <c r="N76" s="8" t="e">
        <v>#N/A</v>
      </c>
      <c r="O76" s="8" t="e">
        <v>#N/A</v>
      </c>
      <c r="P76" s="8" t="e">
        <v>#N/A</v>
      </c>
      <c r="Q76" s="8" t="e">
        <v>#N/A</v>
      </c>
      <c r="R76" s="8" t="e">
        <v>#N/A</v>
      </c>
      <c r="S76" s="8">
        <v>28505</v>
      </c>
      <c r="T76" s="8">
        <v>479</v>
      </c>
      <c r="U76" s="8">
        <v>82</v>
      </c>
      <c r="V76" s="8">
        <v>4262</v>
      </c>
      <c r="W76" s="8">
        <v>108</v>
      </c>
      <c r="X76" s="8">
        <v>162</v>
      </c>
      <c r="Y76" s="8">
        <v>1793</v>
      </c>
      <c r="Z76" s="8">
        <v>4791</v>
      </c>
      <c r="AA76" s="8">
        <v>1285</v>
      </c>
      <c r="AB76" s="8">
        <v>1727</v>
      </c>
      <c r="AC76" s="8">
        <v>884</v>
      </c>
      <c r="AD76" s="8">
        <v>1085</v>
      </c>
      <c r="AE76" s="8">
        <v>287</v>
      </c>
      <c r="AF76" s="8">
        <v>1626</v>
      </c>
      <c r="AG76" s="8">
        <v>1888</v>
      </c>
      <c r="AH76" s="8">
        <v>1620</v>
      </c>
      <c r="AI76" s="8">
        <v>2044</v>
      </c>
      <c r="AJ76" s="8">
        <v>2933</v>
      </c>
      <c r="AK76" s="8">
        <v>667</v>
      </c>
      <c r="AL76" s="8">
        <v>692</v>
      </c>
      <c r="AM76" s="8">
        <v>90</v>
      </c>
      <c r="AN76" s="8">
        <v>21618</v>
      </c>
      <c r="AO76" s="8" t="e">
        <v>#N/A</v>
      </c>
      <c r="AP76" s="8">
        <v>2085</v>
      </c>
      <c r="AQ76" s="2">
        <v>7.3</v>
      </c>
      <c r="AR76" s="2">
        <v>7</v>
      </c>
      <c r="AS76" s="2" t="e">
        <v>#N/A</v>
      </c>
      <c r="AT76" s="8">
        <v>72</v>
      </c>
      <c r="AU76" s="8">
        <v>66</v>
      </c>
      <c r="AV76" s="8">
        <v>813</v>
      </c>
      <c r="AW76" s="8">
        <v>45481</v>
      </c>
      <c r="AX76" s="2">
        <v>62.6</v>
      </c>
      <c r="AY76" s="2">
        <v>70.8</v>
      </c>
      <c r="AZ76" s="2">
        <v>33.200000000000003</v>
      </c>
      <c r="BA76" s="8" t="e">
        <v>#N/A</v>
      </c>
      <c r="BB76" s="8">
        <v>26381</v>
      </c>
      <c r="BC76" s="8">
        <v>22563</v>
      </c>
      <c r="BD76" s="8" t="e">
        <v>#N/A</v>
      </c>
      <c r="BE76" s="8">
        <v>24700</v>
      </c>
      <c r="BF76" s="8">
        <v>823</v>
      </c>
      <c r="BG76" s="8">
        <v>2474</v>
      </c>
      <c r="BH76" s="8">
        <v>2085</v>
      </c>
    </row>
    <row r="77" spans="1:60" x14ac:dyDescent="0.25">
      <c r="A77" t="s">
        <v>643</v>
      </c>
      <c r="B77" s="8">
        <v>5405</v>
      </c>
      <c r="C77" s="8" t="e">
        <v>#N/A</v>
      </c>
      <c r="D77" s="8" t="e">
        <v>#N/A</v>
      </c>
      <c r="E77" s="8" t="e">
        <v>#N/A</v>
      </c>
      <c r="F77" s="8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8" t="e">
        <v>#N/A</v>
      </c>
      <c r="L77" s="8" t="e">
        <v>#N/A</v>
      </c>
      <c r="M77" s="8" t="e">
        <v>#N/A</v>
      </c>
      <c r="N77" s="8" t="e">
        <v>#N/A</v>
      </c>
      <c r="O77" s="8" t="e">
        <v>#N/A</v>
      </c>
      <c r="P77" s="8" t="e">
        <v>#N/A</v>
      </c>
      <c r="Q77" s="8" t="e">
        <v>#N/A</v>
      </c>
      <c r="R77" s="8" t="e">
        <v>#N/A</v>
      </c>
      <c r="S77" s="8">
        <v>28760</v>
      </c>
      <c r="T77" s="8">
        <v>499</v>
      </c>
      <c r="U77" s="8">
        <v>81</v>
      </c>
      <c r="V77" s="8">
        <v>4285</v>
      </c>
      <c r="W77" s="8">
        <v>108</v>
      </c>
      <c r="X77" s="8">
        <v>159</v>
      </c>
      <c r="Y77" s="8">
        <v>1794</v>
      </c>
      <c r="Z77" s="8">
        <v>4841</v>
      </c>
      <c r="AA77" s="8">
        <v>1297</v>
      </c>
      <c r="AB77" s="8">
        <v>1739</v>
      </c>
      <c r="AC77" s="8">
        <v>895</v>
      </c>
      <c r="AD77" s="8">
        <v>1101</v>
      </c>
      <c r="AE77" s="8">
        <v>290</v>
      </c>
      <c r="AF77" s="8">
        <v>1639</v>
      </c>
      <c r="AG77" s="8">
        <v>1946</v>
      </c>
      <c r="AH77" s="8">
        <v>1606</v>
      </c>
      <c r="AI77" s="8">
        <v>2060</v>
      </c>
      <c r="AJ77" s="8">
        <v>2937</v>
      </c>
      <c r="AK77" s="8">
        <v>681</v>
      </c>
      <c r="AL77" s="8">
        <v>710</v>
      </c>
      <c r="AM77" s="8">
        <v>91</v>
      </c>
      <c r="AN77" s="8">
        <v>21835</v>
      </c>
      <c r="AO77" s="8" t="e">
        <v>#N/A</v>
      </c>
      <c r="AP77" s="8">
        <v>2051</v>
      </c>
      <c r="AQ77" s="2">
        <v>7.2</v>
      </c>
      <c r="AR77" s="2">
        <v>7.5</v>
      </c>
      <c r="AS77" s="2" t="e">
        <v>#N/A</v>
      </c>
      <c r="AT77" s="8">
        <v>67</v>
      </c>
      <c r="AU77" s="8">
        <v>62</v>
      </c>
      <c r="AV77" s="8">
        <v>746</v>
      </c>
      <c r="AW77" s="8">
        <v>45520</v>
      </c>
      <c r="AX77" s="2">
        <v>62.8</v>
      </c>
      <c r="AY77" s="2">
        <v>71</v>
      </c>
      <c r="AZ77" s="2">
        <v>33.200000000000003</v>
      </c>
      <c r="BA77" s="8" t="e">
        <v>#N/A</v>
      </c>
      <c r="BB77" s="8">
        <v>26514</v>
      </c>
      <c r="BC77" s="8">
        <v>22717</v>
      </c>
      <c r="BD77" s="8" t="e">
        <v>#N/A</v>
      </c>
      <c r="BE77" s="8">
        <v>24975</v>
      </c>
      <c r="BF77" s="8">
        <v>799</v>
      </c>
      <c r="BG77" s="8">
        <v>2438</v>
      </c>
      <c r="BH77" s="8">
        <v>2051</v>
      </c>
    </row>
    <row r="78" spans="1:60" x14ac:dyDescent="0.25">
      <c r="A78" t="s">
        <v>644</v>
      </c>
      <c r="B78" s="8" t="e">
        <v>#N/A</v>
      </c>
      <c r="C78" s="8" t="e">
        <v>#N/A</v>
      </c>
      <c r="D78" s="8" t="e">
        <v>#N/A</v>
      </c>
      <c r="E78" s="8" t="e">
        <v>#N/A</v>
      </c>
      <c r="F78" s="8" t="e">
        <v>#N/A</v>
      </c>
      <c r="G78" s="2" t="e">
        <v>#N/A</v>
      </c>
      <c r="H78" s="2" t="e">
        <v>#N/A</v>
      </c>
      <c r="I78" s="2" t="e">
        <v>#N/A</v>
      </c>
      <c r="J78" s="2" t="e">
        <v>#N/A</v>
      </c>
      <c r="K78" s="8" t="e">
        <v>#N/A</v>
      </c>
      <c r="L78" s="8" t="e">
        <v>#N/A</v>
      </c>
      <c r="M78" s="8" t="e">
        <v>#N/A</v>
      </c>
      <c r="N78" s="8" t="e">
        <v>#N/A</v>
      </c>
      <c r="O78" s="8" t="e">
        <v>#N/A</v>
      </c>
      <c r="P78" s="8" t="e">
        <v>#N/A</v>
      </c>
      <c r="Q78" s="8" t="e">
        <v>#N/A</v>
      </c>
      <c r="R78" s="8" t="e">
        <v>#N/A</v>
      </c>
      <c r="S78" s="8">
        <v>28897</v>
      </c>
      <c r="T78" s="8">
        <v>497</v>
      </c>
      <c r="U78" s="8">
        <v>78</v>
      </c>
      <c r="V78" s="8">
        <v>4275</v>
      </c>
      <c r="W78" s="8">
        <v>106</v>
      </c>
      <c r="X78" s="8">
        <v>161</v>
      </c>
      <c r="Y78" s="8">
        <v>1836</v>
      </c>
      <c r="Z78" s="8">
        <v>4872</v>
      </c>
      <c r="AA78" s="8">
        <v>1296</v>
      </c>
      <c r="AB78" s="8">
        <v>1764</v>
      </c>
      <c r="AC78" s="8">
        <v>899</v>
      </c>
      <c r="AD78" s="8">
        <v>1105</v>
      </c>
      <c r="AE78" s="8">
        <v>283</v>
      </c>
      <c r="AF78" s="8">
        <v>1651</v>
      </c>
      <c r="AG78" s="8">
        <v>1983</v>
      </c>
      <c r="AH78" s="8">
        <v>1608</v>
      </c>
      <c r="AI78" s="8">
        <v>2037</v>
      </c>
      <c r="AJ78" s="8">
        <v>2946</v>
      </c>
      <c r="AK78" s="8">
        <v>687</v>
      </c>
      <c r="AL78" s="8">
        <v>732</v>
      </c>
      <c r="AM78" s="8">
        <v>81</v>
      </c>
      <c r="AN78" s="8">
        <v>21945</v>
      </c>
      <c r="AO78" s="8" t="e">
        <v>#N/A</v>
      </c>
      <c r="AP78" s="8">
        <v>1951</v>
      </c>
      <c r="AQ78" s="2">
        <v>6.8</v>
      </c>
      <c r="AR78" s="2">
        <v>6.7</v>
      </c>
      <c r="AS78" s="2" t="e">
        <v>#N/A</v>
      </c>
      <c r="AT78" s="8">
        <v>67</v>
      </c>
      <c r="AU78" s="8">
        <v>61</v>
      </c>
      <c r="AV78" s="8">
        <v>681</v>
      </c>
      <c r="AW78" s="8">
        <v>45561</v>
      </c>
      <c r="AX78" s="2">
        <v>62.6</v>
      </c>
      <c r="AY78" s="2">
        <v>71.099999999999994</v>
      </c>
      <c r="AZ78" s="2">
        <v>33.200000000000003</v>
      </c>
      <c r="BA78" s="8" t="e">
        <v>#N/A</v>
      </c>
      <c r="BB78" s="8">
        <v>26572</v>
      </c>
      <c r="BC78" s="8">
        <v>22788</v>
      </c>
      <c r="BD78" s="8" t="e">
        <v>#N/A</v>
      </c>
      <c r="BE78" s="8">
        <v>25110</v>
      </c>
      <c r="BF78" s="8">
        <v>785</v>
      </c>
      <c r="BG78" s="8">
        <v>2439</v>
      </c>
      <c r="BH78" s="8">
        <v>1951</v>
      </c>
    </row>
    <row r="79" spans="1:60" x14ac:dyDescent="0.25">
      <c r="A79" t="s">
        <v>645</v>
      </c>
      <c r="B79" s="8" t="e">
        <v>#N/A</v>
      </c>
      <c r="C79" s="8" t="e">
        <v>#N/A</v>
      </c>
      <c r="D79" s="8" t="e">
        <v>#N/A</v>
      </c>
      <c r="E79" s="8" t="e">
        <v>#N/A</v>
      </c>
      <c r="F79" s="8" t="e">
        <v>#N/A</v>
      </c>
      <c r="G79" s="2" t="e">
        <v>#N/A</v>
      </c>
      <c r="H79" s="2" t="e">
        <v>#N/A</v>
      </c>
      <c r="I79" s="2" t="e">
        <v>#N/A</v>
      </c>
      <c r="J79" s="2" t="e">
        <v>#N/A</v>
      </c>
      <c r="K79" s="8" t="e">
        <v>#N/A</v>
      </c>
      <c r="L79" s="8" t="e">
        <v>#N/A</v>
      </c>
      <c r="M79" s="8" t="e">
        <v>#N/A</v>
      </c>
      <c r="N79" s="8" t="e">
        <v>#N/A</v>
      </c>
      <c r="O79" s="8" t="e">
        <v>#N/A</v>
      </c>
      <c r="P79" s="8" t="e">
        <v>#N/A</v>
      </c>
      <c r="Q79" s="8" t="e">
        <v>#N/A</v>
      </c>
      <c r="R79" s="8" t="e">
        <v>#N/A</v>
      </c>
      <c r="S79" s="8">
        <v>29022</v>
      </c>
      <c r="T79" s="8">
        <v>484</v>
      </c>
      <c r="U79" s="8">
        <v>78</v>
      </c>
      <c r="V79" s="8">
        <v>4301</v>
      </c>
      <c r="W79" s="8">
        <v>106</v>
      </c>
      <c r="X79" s="8">
        <v>167</v>
      </c>
      <c r="Y79" s="8">
        <v>1896</v>
      </c>
      <c r="Z79" s="8">
        <v>4868</v>
      </c>
      <c r="AA79" s="8">
        <v>1303</v>
      </c>
      <c r="AB79" s="8">
        <v>1759</v>
      </c>
      <c r="AC79" s="8">
        <v>930</v>
      </c>
      <c r="AD79" s="8">
        <v>1104</v>
      </c>
      <c r="AE79" s="8">
        <v>286</v>
      </c>
      <c r="AF79" s="8">
        <v>1667</v>
      </c>
      <c r="AG79" s="8">
        <v>2001</v>
      </c>
      <c r="AH79" s="8">
        <v>1599</v>
      </c>
      <c r="AI79" s="8">
        <v>2040</v>
      </c>
      <c r="AJ79" s="8">
        <v>2927</v>
      </c>
      <c r="AK79" s="8">
        <v>687</v>
      </c>
      <c r="AL79" s="8">
        <v>739</v>
      </c>
      <c r="AM79" s="8">
        <v>78</v>
      </c>
      <c r="AN79" s="8">
        <v>21989</v>
      </c>
      <c r="AO79" s="8" t="e">
        <v>#N/A</v>
      </c>
      <c r="AP79" s="8">
        <v>1864</v>
      </c>
      <c r="AQ79" s="2">
        <v>6.5</v>
      </c>
      <c r="AR79" s="2">
        <v>6.3</v>
      </c>
      <c r="AS79" s="2" t="e">
        <v>#N/A</v>
      </c>
      <c r="AT79" s="8">
        <v>74</v>
      </c>
      <c r="AU79" s="8">
        <v>64</v>
      </c>
      <c r="AV79" s="8">
        <v>611</v>
      </c>
      <c r="AW79" s="8">
        <v>45605</v>
      </c>
      <c r="AX79" s="2">
        <v>62.5</v>
      </c>
      <c r="AY79" s="2">
        <v>71.2</v>
      </c>
      <c r="AZ79" s="2">
        <v>33.1</v>
      </c>
      <c r="BA79" s="8" t="e">
        <v>#N/A</v>
      </c>
      <c r="BB79" s="8">
        <v>26636</v>
      </c>
      <c r="BC79" s="8">
        <v>22903</v>
      </c>
      <c r="BD79" s="8" t="e">
        <v>#N/A</v>
      </c>
      <c r="BE79" s="8">
        <v>25270</v>
      </c>
      <c r="BF79" s="8">
        <v>759</v>
      </c>
      <c r="BG79" s="8">
        <v>2442</v>
      </c>
      <c r="BH79" s="8">
        <v>1864</v>
      </c>
    </row>
    <row r="80" spans="1:60" x14ac:dyDescent="0.25">
      <c r="A80" t="s">
        <v>646</v>
      </c>
      <c r="B80" s="8" t="e">
        <v>#N/A</v>
      </c>
      <c r="C80" s="8" t="e">
        <v>#N/A</v>
      </c>
      <c r="D80" s="8" t="e">
        <v>#N/A</v>
      </c>
      <c r="E80" s="8" t="e">
        <v>#N/A</v>
      </c>
      <c r="F80" s="8" t="e">
        <v>#N/A</v>
      </c>
      <c r="G80" s="2" t="e">
        <v>#N/A</v>
      </c>
      <c r="H80" s="2" t="e">
        <v>#N/A</v>
      </c>
      <c r="I80" s="2" t="e">
        <v>#N/A</v>
      </c>
      <c r="J80" s="2" t="e">
        <v>#N/A</v>
      </c>
      <c r="K80" s="8" t="e">
        <v>#N/A</v>
      </c>
      <c r="L80" s="8" t="e">
        <v>#N/A</v>
      </c>
      <c r="M80" s="8" t="e">
        <v>#N/A</v>
      </c>
      <c r="N80" s="8" t="e">
        <v>#N/A</v>
      </c>
      <c r="O80" s="8" t="e">
        <v>#N/A</v>
      </c>
      <c r="P80" s="8" t="e">
        <v>#N/A</v>
      </c>
      <c r="Q80" s="8" t="e">
        <v>#N/A</v>
      </c>
      <c r="R80" s="8" t="e">
        <v>#N/A</v>
      </c>
      <c r="S80" s="8">
        <v>29045</v>
      </c>
      <c r="T80" s="8">
        <v>483</v>
      </c>
      <c r="U80" s="8">
        <v>78</v>
      </c>
      <c r="V80" s="8">
        <v>4313</v>
      </c>
      <c r="W80" s="8">
        <v>106</v>
      </c>
      <c r="X80" s="8">
        <v>163</v>
      </c>
      <c r="Y80" s="8">
        <v>1885</v>
      </c>
      <c r="Z80" s="8">
        <v>4872</v>
      </c>
      <c r="AA80" s="8">
        <v>1313</v>
      </c>
      <c r="AB80" s="8">
        <v>1759</v>
      </c>
      <c r="AC80" s="8">
        <v>956</v>
      </c>
      <c r="AD80" s="8">
        <v>1116</v>
      </c>
      <c r="AE80" s="8">
        <v>281</v>
      </c>
      <c r="AF80" s="8">
        <v>1673</v>
      </c>
      <c r="AG80" s="8">
        <v>1983</v>
      </c>
      <c r="AH80" s="8">
        <v>1600</v>
      </c>
      <c r="AI80" s="8">
        <v>2057</v>
      </c>
      <c r="AJ80" s="8">
        <v>2926</v>
      </c>
      <c r="AK80" s="8">
        <v>667</v>
      </c>
      <c r="AL80" s="8">
        <v>730</v>
      </c>
      <c r="AM80" s="8">
        <v>82</v>
      </c>
      <c r="AN80" s="8">
        <v>22016</v>
      </c>
      <c r="AO80" s="8" t="e">
        <v>#N/A</v>
      </c>
      <c r="AP80" s="8">
        <v>1813</v>
      </c>
      <c r="AQ80" s="2">
        <v>6.4</v>
      </c>
      <c r="AR80" s="2">
        <v>7.4</v>
      </c>
      <c r="AS80" s="2" t="e">
        <v>#N/A</v>
      </c>
      <c r="AT80" s="8">
        <v>74</v>
      </c>
      <c r="AU80" s="8">
        <v>66</v>
      </c>
      <c r="AV80" s="8">
        <v>581</v>
      </c>
      <c r="AW80" s="8">
        <v>45648</v>
      </c>
      <c r="AX80" s="2">
        <v>62.4</v>
      </c>
      <c r="AY80" s="2">
        <v>71.3</v>
      </c>
      <c r="AZ80" s="2">
        <v>33.200000000000003</v>
      </c>
      <c r="BA80" s="8" t="e">
        <v>#N/A</v>
      </c>
      <c r="BB80" s="8">
        <v>26677</v>
      </c>
      <c r="BC80" s="8">
        <v>22972</v>
      </c>
      <c r="BD80" s="8" t="e">
        <v>#N/A</v>
      </c>
      <c r="BE80" s="8">
        <v>25333</v>
      </c>
      <c r="BF80" s="8">
        <v>763</v>
      </c>
      <c r="BG80" s="8">
        <v>2466</v>
      </c>
      <c r="BH80" s="8">
        <v>1813</v>
      </c>
    </row>
    <row r="81" spans="1:60" x14ac:dyDescent="0.25">
      <c r="A81" t="s">
        <v>647</v>
      </c>
      <c r="B81" s="8">
        <v>5393</v>
      </c>
      <c r="C81" s="8" t="e">
        <v>#N/A</v>
      </c>
      <c r="D81" s="8" t="e">
        <v>#N/A</v>
      </c>
      <c r="E81" s="8" t="e">
        <v>#N/A</v>
      </c>
      <c r="F81" s="8" t="e">
        <v>#N/A</v>
      </c>
      <c r="G81" s="2" t="e">
        <v>#N/A</v>
      </c>
      <c r="H81" s="2" t="e">
        <v>#N/A</v>
      </c>
      <c r="I81" s="2" t="e">
        <v>#N/A</v>
      </c>
      <c r="J81" s="2" t="e">
        <v>#N/A</v>
      </c>
      <c r="K81" s="8" t="e">
        <v>#N/A</v>
      </c>
      <c r="L81" s="8" t="e">
        <v>#N/A</v>
      </c>
      <c r="M81" s="8" t="e">
        <v>#N/A</v>
      </c>
      <c r="N81" s="8" t="e">
        <v>#N/A</v>
      </c>
      <c r="O81" s="8" t="e">
        <v>#N/A</v>
      </c>
      <c r="P81" s="8" t="e">
        <v>#N/A</v>
      </c>
      <c r="Q81" s="8" t="e">
        <v>#N/A</v>
      </c>
      <c r="R81" s="8" t="e">
        <v>#N/A</v>
      </c>
      <c r="S81" s="8">
        <v>28948</v>
      </c>
      <c r="T81" s="8">
        <v>475</v>
      </c>
      <c r="U81" s="8">
        <v>76</v>
      </c>
      <c r="V81" s="8">
        <v>4299</v>
      </c>
      <c r="W81" s="8">
        <v>105</v>
      </c>
      <c r="X81" s="8">
        <v>162</v>
      </c>
      <c r="Y81" s="8">
        <v>1869</v>
      </c>
      <c r="Z81" s="8">
        <v>4870</v>
      </c>
      <c r="AA81" s="8">
        <v>1317</v>
      </c>
      <c r="AB81" s="8">
        <v>1740</v>
      </c>
      <c r="AC81" s="8">
        <v>970</v>
      </c>
      <c r="AD81" s="8">
        <v>1113</v>
      </c>
      <c r="AE81" s="8">
        <v>284</v>
      </c>
      <c r="AF81" s="8">
        <v>1663</v>
      </c>
      <c r="AG81" s="8">
        <v>1998</v>
      </c>
      <c r="AH81" s="8">
        <v>1598</v>
      </c>
      <c r="AI81" s="8">
        <v>2034</v>
      </c>
      <c r="AJ81" s="8">
        <v>2916</v>
      </c>
      <c r="AK81" s="8">
        <v>645</v>
      </c>
      <c r="AL81" s="8">
        <v>732</v>
      </c>
      <c r="AM81" s="8">
        <v>82</v>
      </c>
      <c r="AN81" s="8">
        <v>21962</v>
      </c>
      <c r="AO81" s="8" t="e">
        <v>#N/A</v>
      </c>
      <c r="AP81" s="8">
        <v>1791</v>
      </c>
      <c r="AQ81" s="2">
        <v>6.3</v>
      </c>
      <c r="AR81" s="2">
        <v>7.3</v>
      </c>
      <c r="AS81" s="2" t="e">
        <v>#N/A</v>
      </c>
      <c r="AT81" s="8">
        <v>77</v>
      </c>
      <c r="AU81" s="8">
        <v>70</v>
      </c>
      <c r="AV81" s="8">
        <v>561</v>
      </c>
      <c r="AW81" s="8">
        <v>45691</v>
      </c>
      <c r="AX81" s="2">
        <v>62.4</v>
      </c>
      <c r="AY81" s="2">
        <v>71.3</v>
      </c>
      <c r="AZ81" s="2">
        <v>33.200000000000003</v>
      </c>
      <c r="BA81" s="8" t="e">
        <v>#N/A</v>
      </c>
      <c r="BB81" s="8">
        <v>26714</v>
      </c>
      <c r="BC81" s="8">
        <v>23090</v>
      </c>
      <c r="BD81" s="8" t="e">
        <v>#N/A</v>
      </c>
      <c r="BE81" s="8">
        <v>25322</v>
      </c>
      <c r="BF81" s="8">
        <v>763</v>
      </c>
      <c r="BG81" s="8">
        <v>2439</v>
      </c>
      <c r="BH81" s="8">
        <v>1791</v>
      </c>
    </row>
    <row r="82" spans="1:60" x14ac:dyDescent="0.25">
      <c r="A82" t="s">
        <v>648</v>
      </c>
      <c r="B82" s="8" t="e">
        <v>#N/A</v>
      </c>
      <c r="C82" s="8" t="e">
        <v>#N/A</v>
      </c>
      <c r="D82" s="8" t="e">
        <v>#N/A</v>
      </c>
      <c r="E82" s="8" t="e">
        <v>#N/A</v>
      </c>
      <c r="F82" s="8" t="e">
        <v>#N/A</v>
      </c>
      <c r="G82" s="2" t="e">
        <v>#N/A</v>
      </c>
      <c r="H82" s="2" t="e">
        <v>#N/A</v>
      </c>
      <c r="I82" s="2" t="e">
        <v>#N/A</v>
      </c>
      <c r="J82" s="2" t="e">
        <v>#N/A</v>
      </c>
      <c r="K82" s="8" t="e">
        <v>#N/A</v>
      </c>
      <c r="L82" s="8" t="e">
        <v>#N/A</v>
      </c>
      <c r="M82" s="8" t="e">
        <v>#N/A</v>
      </c>
      <c r="N82" s="8" t="e">
        <v>#N/A</v>
      </c>
      <c r="O82" s="8" t="e">
        <v>#N/A</v>
      </c>
      <c r="P82" s="8" t="e">
        <v>#N/A</v>
      </c>
      <c r="Q82" s="8" t="e">
        <v>#N/A</v>
      </c>
      <c r="R82" s="8" t="e">
        <v>#N/A</v>
      </c>
      <c r="S82" s="8">
        <v>29049</v>
      </c>
      <c r="T82" s="8">
        <v>446</v>
      </c>
      <c r="U82" s="8">
        <v>76</v>
      </c>
      <c r="V82" s="8">
        <v>4295</v>
      </c>
      <c r="W82" s="8">
        <v>105</v>
      </c>
      <c r="X82" s="8">
        <v>164</v>
      </c>
      <c r="Y82" s="8">
        <v>1887</v>
      </c>
      <c r="Z82" s="8">
        <v>4919</v>
      </c>
      <c r="AA82" s="8">
        <v>1325</v>
      </c>
      <c r="AB82" s="8">
        <v>1760</v>
      </c>
      <c r="AC82" s="8">
        <v>975</v>
      </c>
      <c r="AD82" s="8">
        <v>1105</v>
      </c>
      <c r="AE82" s="8">
        <v>293</v>
      </c>
      <c r="AF82" s="8">
        <v>1688</v>
      </c>
      <c r="AG82" s="8">
        <v>2005</v>
      </c>
      <c r="AH82" s="8">
        <v>1596</v>
      </c>
      <c r="AI82" s="8">
        <v>2039</v>
      </c>
      <c r="AJ82" s="8">
        <v>2904</v>
      </c>
      <c r="AK82" s="8">
        <v>656</v>
      </c>
      <c r="AL82" s="8">
        <v>732</v>
      </c>
      <c r="AM82" s="8">
        <v>79</v>
      </c>
      <c r="AN82" s="8">
        <v>22076</v>
      </c>
      <c r="AO82" s="8" t="e">
        <v>#N/A</v>
      </c>
      <c r="AP82" s="8">
        <v>1786</v>
      </c>
      <c r="AQ82" s="2">
        <v>6.2</v>
      </c>
      <c r="AR82" s="2">
        <v>6.8</v>
      </c>
      <c r="AS82" s="2" t="e">
        <v>#N/A</v>
      </c>
      <c r="AT82" s="8">
        <v>70</v>
      </c>
      <c r="AU82" s="8">
        <v>65</v>
      </c>
      <c r="AV82" s="8">
        <v>525</v>
      </c>
      <c r="AW82" s="8">
        <v>45743</v>
      </c>
      <c r="AX82" s="2">
        <v>62.6</v>
      </c>
      <c r="AY82" s="2">
        <v>71.599999999999994</v>
      </c>
      <c r="AZ82" s="2">
        <v>33.1</v>
      </c>
      <c r="BA82" s="8" t="e">
        <v>#N/A</v>
      </c>
      <c r="BB82" s="8">
        <v>26834</v>
      </c>
      <c r="BC82" s="8">
        <v>23270</v>
      </c>
      <c r="BD82" s="8" t="e">
        <v>#N/A</v>
      </c>
      <c r="BE82" s="8">
        <v>25439</v>
      </c>
      <c r="BF82" s="8">
        <v>731</v>
      </c>
      <c r="BG82" s="8">
        <v>2413</v>
      </c>
      <c r="BH82" s="8">
        <v>1786</v>
      </c>
    </row>
    <row r="83" spans="1:60" x14ac:dyDescent="0.25">
      <c r="A83" t="s">
        <v>649</v>
      </c>
      <c r="B83" s="8" t="e">
        <v>#N/A</v>
      </c>
      <c r="C83" s="8" t="e">
        <v>#N/A</v>
      </c>
      <c r="D83" s="8" t="e">
        <v>#N/A</v>
      </c>
      <c r="E83" s="8" t="e">
        <v>#N/A</v>
      </c>
      <c r="F83" s="8" t="e">
        <v>#N/A</v>
      </c>
      <c r="G83" s="2" t="e">
        <v>#N/A</v>
      </c>
      <c r="H83" s="2" t="e">
        <v>#N/A</v>
      </c>
      <c r="I83" s="2" t="e">
        <v>#N/A</v>
      </c>
      <c r="J83" s="2" t="e">
        <v>#N/A</v>
      </c>
      <c r="K83" s="8" t="e">
        <v>#N/A</v>
      </c>
      <c r="L83" s="8" t="e">
        <v>#N/A</v>
      </c>
      <c r="M83" s="8" t="e">
        <v>#N/A</v>
      </c>
      <c r="N83" s="8" t="e">
        <v>#N/A</v>
      </c>
      <c r="O83" s="8" t="e">
        <v>#N/A</v>
      </c>
      <c r="P83" s="8" t="e">
        <v>#N/A</v>
      </c>
      <c r="Q83" s="8" t="e">
        <v>#N/A</v>
      </c>
      <c r="R83" s="8" t="e">
        <v>#N/A</v>
      </c>
      <c r="S83" s="8">
        <v>29213</v>
      </c>
      <c r="T83" s="8">
        <v>428</v>
      </c>
      <c r="U83" s="8">
        <v>78</v>
      </c>
      <c r="V83" s="8">
        <v>4230</v>
      </c>
      <c r="W83" s="8">
        <v>104</v>
      </c>
      <c r="X83" s="8">
        <v>167</v>
      </c>
      <c r="Y83" s="8">
        <v>1918</v>
      </c>
      <c r="Z83" s="8">
        <v>4893</v>
      </c>
      <c r="AA83" s="8">
        <v>1343</v>
      </c>
      <c r="AB83" s="8">
        <v>1785</v>
      </c>
      <c r="AC83" s="8">
        <v>1014</v>
      </c>
      <c r="AD83" s="8">
        <v>1115</v>
      </c>
      <c r="AE83" s="8">
        <v>287</v>
      </c>
      <c r="AF83" s="8">
        <v>1710</v>
      </c>
      <c r="AG83" s="8">
        <v>2031</v>
      </c>
      <c r="AH83" s="8">
        <v>1593</v>
      </c>
      <c r="AI83" s="8">
        <v>2079</v>
      </c>
      <c r="AJ83" s="8">
        <v>2948</v>
      </c>
      <c r="AK83" s="8">
        <v>672</v>
      </c>
      <c r="AL83" s="8">
        <v>731</v>
      </c>
      <c r="AM83" s="8">
        <v>87</v>
      </c>
      <c r="AN83" s="8">
        <v>22287</v>
      </c>
      <c r="AO83" s="8" t="e">
        <v>#N/A</v>
      </c>
      <c r="AP83" s="8">
        <v>1764</v>
      </c>
      <c r="AQ83" s="2">
        <v>6.1</v>
      </c>
      <c r="AR83" s="2">
        <v>7.9</v>
      </c>
      <c r="AS83" s="2" t="e">
        <v>#N/A</v>
      </c>
      <c r="AT83" s="8">
        <v>66</v>
      </c>
      <c r="AU83" s="8">
        <v>64</v>
      </c>
      <c r="AV83" s="8">
        <v>500</v>
      </c>
      <c r="AW83" s="8">
        <v>45796</v>
      </c>
      <c r="AX83" s="2">
        <v>62.7</v>
      </c>
      <c r="AY83" s="2">
        <v>71.8</v>
      </c>
      <c r="AZ83" s="2">
        <v>32.799999999999997</v>
      </c>
      <c r="BA83" s="8" t="e">
        <v>#N/A</v>
      </c>
      <c r="BB83" s="8">
        <v>26955</v>
      </c>
      <c r="BC83" s="8">
        <v>23397</v>
      </c>
      <c r="BD83" s="8" t="e">
        <v>#N/A</v>
      </c>
      <c r="BE83" s="8">
        <v>25579</v>
      </c>
      <c r="BF83" s="8">
        <v>717</v>
      </c>
      <c r="BG83" s="8">
        <v>2391</v>
      </c>
      <c r="BH83" s="8">
        <v>1764</v>
      </c>
    </row>
    <row r="84" spans="1:60" x14ac:dyDescent="0.25">
      <c r="A84" t="s">
        <v>650</v>
      </c>
      <c r="B84" s="8">
        <v>5398</v>
      </c>
      <c r="C84" s="8">
        <v>21644</v>
      </c>
      <c r="D84" s="8">
        <v>27042</v>
      </c>
      <c r="E84" s="8">
        <v>4956</v>
      </c>
      <c r="F84" s="8">
        <v>22086</v>
      </c>
      <c r="G84" s="2">
        <v>20</v>
      </c>
      <c r="H84" s="2">
        <v>80</v>
      </c>
      <c r="I84" s="2">
        <v>18.3</v>
      </c>
      <c r="J84" s="2">
        <v>81.7</v>
      </c>
      <c r="K84" s="8">
        <v>109</v>
      </c>
      <c r="L84" s="8">
        <v>217</v>
      </c>
      <c r="M84" s="8">
        <v>228</v>
      </c>
      <c r="N84" s="8">
        <v>1163</v>
      </c>
      <c r="O84" s="8">
        <v>1381</v>
      </c>
      <c r="P84" s="8">
        <v>1173</v>
      </c>
      <c r="Q84" s="8">
        <v>392</v>
      </c>
      <c r="R84" s="8">
        <v>732</v>
      </c>
      <c r="S84" s="8">
        <v>29237</v>
      </c>
      <c r="T84" s="8">
        <v>436</v>
      </c>
      <c r="U84" s="8">
        <v>77</v>
      </c>
      <c r="V84" s="8">
        <v>4171</v>
      </c>
      <c r="W84" s="8">
        <v>102</v>
      </c>
      <c r="X84" s="8">
        <v>164</v>
      </c>
      <c r="Y84" s="8">
        <v>1884</v>
      </c>
      <c r="Z84" s="8">
        <v>4871</v>
      </c>
      <c r="AA84" s="8">
        <v>1346</v>
      </c>
      <c r="AB84" s="8">
        <v>1789</v>
      </c>
      <c r="AC84" s="8">
        <v>1027</v>
      </c>
      <c r="AD84" s="8">
        <v>1121</v>
      </c>
      <c r="AE84" s="8">
        <v>282</v>
      </c>
      <c r="AF84" s="8">
        <v>1724</v>
      </c>
      <c r="AG84" s="8">
        <v>2034</v>
      </c>
      <c r="AH84" s="8">
        <v>1627</v>
      </c>
      <c r="AI84" s="8">
        <v>2106</v>
      </c>
      <c r="AJ84" s="8">
        <v>2968</v>
      </c>
      <c r="AK84" s="8">
        <v>690</v>
      </c>
      <c r="AL84" s="8">
        <v>737</v>
      </c>
      <c r="AM84" s="8">
        <v>80</v>
      </c>
      <c r="AN84" s="8">
        <v>22402</v>
      </c>
      <c r="AO84" s="8" t="e">
        <v>#N/A</v>
      </c>
      <c r="AP84" s="8">
        <v>1780</v>
      </c>
      <c r="AQ84" s="2">
        <v>6.2</v>
      </c>
      <c r="AR84" s="2">
        <v>8.8000000000000007</v>
      </c>
      <c r="AS84" s="2" t="e">
        <v>#N/A</v>
      </c>
      <c r="AT84" s="8">
        <v>69</v>
      </c>
      <c r="AU84" s="8">
        <v>64</v>
      </c>
      <c r="AV84" s="8">
        <v>499</v>
      </c>
      <c r="AW84" s="8">
        <v>45851</v>
      </c>
      <c r="AX84" s="2">
        <v>62.8</v>
      </c>
      <c r="AY84" s="2">
        <v>71.900000000000006</v>
      </c>
      <c r="AZ84" s="2">
        <v>32.9</v>
      </c>
      <c r="BA84" s="8" t="e">
        <v>#N/A</v>
      </c>
      <c r="BB84" s="8">
        <v>27036</v>
      </c>
      <c r="BC84" s="8">
        <v>23473</v>
      </c>
      <c r="BD84" s="8" t="e">
        <v>#N/A</v>
      </c>
      <c r="BE84" s="8">
        <v>25637</v>
      </c>
      <c r="BF84" s="8">
        <v>714</v>
      </c>
      <c r="BG84" s="8">
        <v>2325</v>
      </c>
      <c r="BH84" s="8">
        <v>1780</v>
      </c>
    </row>
    <row r="85" spans="1:60" x14ac:dyDescent="0.25">
      <c r="A85" t="s">
        <v>651</v>
      </c>
      <c r="B85" s="8">
        <v>5411</v>
      </c>
      <c r="C85" s="8">
        <v>21704</v>
      </c>
      <c r="D85" s="8">
        <v>27115</v>
      </c>
      <c r="E85" s="8">
        <v>4968</v>
      </c>
      <c r="F85" s="8">
        <v>22147</v>
      </c>
      <c r="G85" s="2">
        <v>20</v>
      </c>
      <c r="H85" s="2">
        <v>80</v>
      </c>
      <c r="I85" s="2">
        <v>18.3</v>
      </c>
      <c r="J85" s="2">
        <v>81.7</v>
      </c>
      <c r="K85" s="8">
        <v>107</v>
      </c>
      <c r="L85" s="8">
        <v>218</v>
      </c>
      <c r="M85" s="8">
        <v>227</v>
      </c>
      <c r="N85" s="8">
        <v>1172</v>
      </c>
      <c r="O85" s="8">
        <v>1388</v>
      </c>
      <c r="P85" s="8">
        <v>1179</v>
      </c>
      <c r="Q85" s="8">
        <v>392</v>
      </c>
      <c r="R85" s="8">
        <v>731</v>
      </c>
      <c r="S85" s="8">
        <v>29327</v>
      </c>
      <c r="T85" s="8">
        <v>424</v>
      </c>
      <c r="U85" s="8">
        <v>76</v>
      </c>
      <c r="V85" s="8">
        <v>4128</v>
      </c>
      <c r="W85" s="8">
        <v>102</v>
      </c>
      <c r="X85" s="8">
        <v>165</v>
      </c>
      <c r="Y85" s="8">
        <v>1909</v>
      </c>
      <c r="Z85" s="8">
        <v>4872</v>
      </c>
      <c r="AA85" s="8">
        <v>1346</v>
      </c>
      <c r="AB85" s="8">
        <v>1800</v>
      </c>
      <c r="AC85" s="8">
        <v>1065</v>
      </c>
      <c r="AD85" s="8">
        <v>1141</v>
      </c>
      <c r="AE85" s="8">
        <v>291</v>
      </c>
      <c r="AF85" s="8">
        <v>1743</v>
      </c>
      <c r="AG85" s="8">
        <v>2036</v>
      </c>
      <c r="AH85" s="8">
        <v>1632</v>
      </c>
      <c r="AI85" s="8">
        <v>2121</v>
      </c>
      <c r="AJ85" s="8">
        <v>2933</v>
      </c>
      <c r="AK85" s="8">
        <v>712</v>
      </c>
      <c r="AL85" s="8">
        <v>754</v>
      </c>
      <c r="AM85" s="8">
        <v>78</v>
      </c>
      <c r="AN85" s="8">
        <v>22523</v>
      </c>
      <c r="AO85" s="8" t="e">
        <v>#N/A</v>
      </c>
      <c r="AP85" s="8">
        <v>1743</v>
      </c>
      <c r="AQ85" s="2">
        <v>6</v>
      </c>
      <c r="AR85" s="2">
        <v>7.7</v>
      </c>
      <c r="AS85" s="2" t="e">
        <v>#N/A</v>
      </c>
      <c r="AT85" s="8">
        <v>71</v>
      </c>
      <c r="AU85" s="8">
        <v>62</v>
      </c>
      <c r="AV85" s="8">
        <v>496</v>
      </c>
      <c r="AW85" s="8">
        <v>45905</v>
      </c>
      <c r="AX85" s="2">
        <v>62.8</v>
      </c>
      <c r="AY85" s="2">
        <v>71.900000000000006</v>
      </c>
      <c r="AZ85" s="2">
        <v>32.9</v>
      </c>
      <c r="BA85" s="8" t="e">
        <v>#N/A</v>
      </c>
      <c r="BB85" s="8">
        <v>27095</v>
      </c>
      <c r="BC85" s="8">
        <v>23515</v>
      </c>
      <c r="BD85" s="8" t="e">
        <v>#N/A</v>
      </c>
      <c r="BE85" s="8">
        <v>25704</v>
      </c>
      <c r="BF85" s="8">
        <v>703</v>
      </c>
      <c r="BG85" s="8">
        <v>2361</v>
      </c>
      <c r="BH85" s="8">
        <v>1743</v>
      </c>
    </row>
    <row r="86" spans="1:60" x14ac:dyDescent="0.25">
      <c r="A86" t="s">
        <v>652</v>
      </c>
      <c r="B86" s="8">
        <v>5432</v>
      </c>
      <c r="C86" s="8">
        <v>21780</v>
      </c>
      <c r="D86" s="8">
        <v>27212</v>
      </c>
      <c r="E86" s="8">
        <v>4991</v>
      </c>
      <c r="F86" s="8">
        <v>22221</v>
      </c>
      <c r="G86" s="2">
        <v>20</v>
      </c>
      <c r="H86" s="2">
        <v>80</v>
      </c>
      <c r="I86" s="2">
        <v>18.3</v>
      </c>
      <c r="J86" s="2">
        <v>81.7</v>
      </c>
      <c r="K86" s="8">
        <v>111</v>
      </c>
      <c r="L86" s="8">
        <v>218</v>
      </c>
      <c r="M86" s="8">
        <v>226</v>
      </c>
      <c r="N86" s="8">
        <v>1177</v>
      </c>
      <c r="O86" s="8">
        <v>1388</v>
      </c>
      <c r="P86" s="8">
        <v>1185</v>
      </c>
      <c r="Q86" s="8">
        <v>396</v>
      </c>
      <c r="R86" s="8">
        <v>733</v>
      </c>
      <c r="S86" s="8">
        <v>29584</v>
      </c>
      <c r="T86" s="8">
        <v>420</v>
      </c>
      <c r="U86" s="8">
        <v>76</v>
      </c>
      <c r="V86" s="8">
        <v>4101</v>
      </c>
      <c r="W86" s="8">
        <v>99</v>
      </c>
      <c r="X86" s="8">
        <v>163</v>
      </c>
      <c r="Y86" s="8">
        <v>1920</v>
      </c>
      <c r="Z86" s="8">
        <v>4893</v>
      </c>
      <c r="AA86" s="8">
        <v>1364</v>
      </c>
      <c r="AB86" s="8">
        <v>1817</v>
      </c>
      <c r="AC86" s="8">
        <v>1079</v>
      </c>
      <c r="AD86" s="8">
        <v>1153</v>
      </c>
      <c r="AE86" s="8">
        <v>292</v>
      </c>
      <c r="AF86" s="8">
        <v>1780</v>
      </c>
      <c r="AG86" s="8">
        <v>2074</v>
      </c>
      <c r="AH86" s="8">
        <v>1635</v>
      </c>
      <c r="AI86" s="8">
        <v>2150</v>
      </c>
      <c r="AJ86" s="8">
        <v>2977</v>
      </c>
      <c r="AK86" s="8">
        <v>732</v>
      </c>
      <c r="AL86" s="8">
        <v>777</v>
      </c>
      <c r="AM86" s="8">
        <v>83</v>
      </c>
      <c r="AN86" s="8">
        <v>22806</v>
      </c>
      <c r="AO86" s="8" t="e">
        <v>#N/A</v>
      </c>
      <c r="AP86" s="8">
        <v>1702</v>
      </c>
      <c r="AQ86" s="2">
        <v>5.9</v>
      </c>
      <c r="AR86" s="2">
        <v>7.1</v>
      </c>
      <c r="AS86" s="2" t="e">
        <v>#N/A</v>
      </c>
      <c r="AT86" s="8">
        <v>69</v>
      </c>
      <c r="AU86" s="8">
        <v>61</v>
      </c>
      <c r="AV86" s="8">
        <v>494</v>
      </c>
      <c r="AW86" s="8">
        <v>45965</v>
      </c>
      <c r="AX86" s="2">
        <v>62.9</v>
      </c>
      <c r="AY86" s="2">
        <v>72.099999999999994</v>
      </c>
      <c r="AZ86" s="2">
        <v>32.9</v>
      </c>
      <c r="BA86" s="8" t="e">
        <v>#N/A</v>
      </c>
      <c r="BB86" s="8">
        <v>27218</v>
      </c>
      <c r="BC86" s="8">
        <v>23659</v>
      </c>
      <c r="BD86" s="8" t="e">
        <v>#N/A</v>
      </c>
      <c r="BE86" s="8">
        <v>25980</v>
      </c>
      <c r="BF86" s="8">
        <v>703</v>
      </c>
      <c r="BG86" s="8">
        <v>2336</v>
      </c>
      <c r="BH86" s="8">
        <v>1702</v>
      </c>
    </row>
    <row r="87" spans="1:60" x14ac:dyDescent="0.25">
      <c r="A87" t="s">
        <v>653</v>
      </c>
      <c r="B87" s="8">
        <v>5460</v>
      </c>
      <c r="C87" s="8">
        <v>21847</v>
      </c>
      <c r="D87" s="8">
        <v>27307</v>
      </c>
      <c r="E87" s="8">
        <v>5018</v>
      </c>
      <c r="F87" s="8">
        <v>22289</v>
      </c>
      <c r="G87" s="2">
        <v>20</v>
      </c>
      <c r="H87" s="2">
        <v>80</v>
      </c>
      <c r="I87" s="2">
        <v>18.399999999999999</v>
      </c>
      <c r="J87" s="2">
        <v>81.599999999999994</v>
      </c>
      <c r="K87" s="8">
        <v>111</v>
      </c>
      <c r="L87" s="8">
        <v>217</v>
      </c>
      <c r="M87" s="8">
        <v>226</v>
      </c>
      <c r="N87" s="8">
        <v>1181</v>
      </c>
      <c r="O87" s="8">
        <v>1395</v>
      </c>
      <c r="P87" s="8">
        <v>1190</v>
      </c>
      <c r="Q87" s="8">
        <v>399</v>
      </c>
      <c r="R87" s="8">
        <v>742</v>
      </c>
      <c r="S87" s="8">
        <v>29715</v>
      </c>
      <c r="T87" s="8">
        <v>402</v>
      </c>
      <c r="U87" s="8">
        <v>76</v>
      </c>
      <c r="V87" s="8">
        <v>4082</v>
      </c>
      <c r="W87" s="8">
        <v>96</v>
      </c>
      <c r="X87" s="8">
        <v>154</v>
      </c>
      <c r="Y87" s="8">
        <v>1912</v>
      </c>
      <c r="Z87" s="8">
        <v>4891</v>
      </c>
      <c r="AA87" s="8">
        <v>1389</v>
      </c>
      <c r="AB87" s="8">
        <v>1826</v>
      </c>
      <c r="AC87" s="8">
        <v>1092</v>
      </c>
      <c r="AD87" s="8">
        <v>1169</v>
      </c>
      <c r="AE87" s="8">
        <v>301</v>
      </c>
      <c r="AF87" s="8">
        <v>1791</v>
      </c>
      <c r="AG87" s="8">
        <v>2075</v>
      </c>
      <c r="AH87" s="8">
        <v>1646</v>
      </c>
      <c r="AI87" s="8">
        <v>2200</v>
      </c>
      <c r="AJ87" s="8">
        <v>2985</v>
      </c>
      <c r="AK87" s="8">
        <v>739</v>
      </c>
      <c r="AL87" s="8">
        <v>801</v>
      </c>
      <c r="AM87" s="8">
        <v>87</v>
      </c>
      <c r="AN87" s="8">
        <v>22993</v>
      </c>
      <c r="AO87" s="8" t="e">
        <v>#N/A</v>
      </c>
      <c r="AP87" s="8">
        <v>1684</v>
      </c>
      <c r="AQ87" s="2">
        <v>5.8</v>
      </c>
      <c r="AR87" s="2">
        <v>6.8</v>
      </c>
      <c r="AS87" s="2" t="e">
        <v>#N/A</v>
      </c>
      <c r="AT87" s="8">
        <v>71</v>
      </c>
      <c r="AU87" s="8">
        <v>63</v>
      </c>
      <c r="AV87" s="8">
        <v>483</v>
      </c>
      <c r="AW87" s="8">
        <v>46028</v>
      </c>
      <c r="AX87" s="2">
        <v>63</v>
      </c>
      <c r="AY87" s="2">
        <v>72.3</v>
      </c>
      <c r="AZ87" s="2">
        <v>32.9</v>
      </c>
      <c r="BA87" s="8" t="e">
        <v>#N/A</v>
      </c>
      <c r="BB87" s="8">
        <v>27322</v>
      </c>
      <c r="BC87" s="8">
        <v>23770</v>
      </c>
      <c r="BD87" s="8" t="e">
        <v>#N/A</v>
      </c>
      <c r="BE87" s="8">
        <v>26118</v>
      </c>
      <c r="BF87" s="8">
        <v>668</v>
      </c>
      <c r="BG87" s="8">
        <v>2315</v>
      </c>
      <c r="BH87" s="8">
        <v>1684</v>
      </c>
    </row>
    <row r="88" spans="1:60" x14ac:dyDescent="0.25">
      <c r="A88" t="s">
        <v>654</v>
      </c>
      <c r="B88" s="8">
        <v>5472</v>
      </c>
      <c r="C88" s="8">
        <v>21934</v>
      </c>
      <c r="D88" s="8">
        <v>27406</v>
      </c>
      <c r="E88" s="8">
        <v>5029</v>
      </c>
      <c r="F88" s="8">
        <v>22377</v>
      </c>
      <c r="G88" s="2">
        <v>20</v>
      </c>
      <c r="H88" s="2">
        <v>80</v>
      </c>
      <c r="I88" s="2">
        <v>18.3</v>
      </c>
      <c r="J88" s="2">
        <v>81.7</v>
      </c>
      <c r="K88" s="8">
        <v>108</v>
      </c>
      <c r="L88" s="8">
        <v>217</v>
      </c>
      <c r="M88" s="8">
        <v>225</v>
      </c>
      <c r="N88" s="8">
        <v>1184</v>
      </c>
      <c r="O88" s="8">
        <v>1406</v>
      </c>
      <c r="P88" s="8">
        <v>1197</v>
      </c>
      <c r="Q88" s="8">
        <v>398</v>
      </c>
      <c r="R88" s="8">
        <v>734</v>
      </c>
      <c r="S88" s="8">
        <v>29644</v>
      </c>
      <c r="T88" s="8">
        <v>397</v>
      </c>
      <c r="U88" s="8">
        <v>76</v>
      </c>
      <c r="V88" s="8">
        <v>4049</v>
      </c>
      <c r="W88" s="8">
        <v>96</v>
      </c>
      <c r="X88" s="8">
        <v>157</v>
      </c>
      <c r="Y88" s="8">
        <v>1909</v>
      </c>
      <c r="Z88" s="8">
        <v>4877</v>
      </c>
      <c r="AA88" s="8">
        <v>1366</v>
      </c>
      <c r="AB88" s="8">
        <v>1823</v>
      </c>
      <c r="AC88" s="8">
        <v>1100</v>
      </c>
      <c r="AD88" s="8">
        <v>1147</v>
      </c>
      <c r="AE88" s="8">
        <v>304</v>
      </c>
      <c r="AF88" s="8">
        <v>1793</v>
      </c>
      <c r="AG88" s="8">
        <v>2067</v>
      </c>
      <c r="AH88" s="8">
        <v>1647</v>
      </c>
      <c r="AI88" s="8">
        <v>2217</v>
      </c>
      <c r="AJ88" s="8">
        <v>2982</v>
      </c>
      <c r="AK88" s="8">
        <v>744</v>
      </c>
      <c r="AL88" s="8">
        <v>808</v>
      </c>
      <c r="AM88" s="8">
        <v>83</v>
      </c>
      <c r="AN88" s="8">
        <v>22959</v>
      </c>
      <c r="AO88" s="8" t="e">
        <v>#N/A</v>
      </c>
      <c r="AP88" s="8">
        <v>1682</v>
      </c>
      <c r="AQ88" s="2">
        <v>5.8</v>
      </c>
      <c r="AR88" s="2">
        <v>7.8</v>
      </c>
      <c r="AS88" s="2" t="e">
        <v>#N/A</v>
      </c>
      <c r="AT88" s="8">
        <v>68</v>
      </c>
      <c r="AU88" s="8">
        <v>61</v>
      </c>
      <c r="AV88" s="8">
        <v>451</v>
      </c>
      <c r="AW88" s="8">
        <v>46090</v>
      </c>
      <c r="AX88" s="2">
        <v>63</v>
      </c>
      <c r="AY88" s="2">
        <v>72.3</v>
      </c>
      <c r="AZ88" s="2">
        <v>32.4</v>
      </c>
      <c r="BA88" s="8">
        <v>303.33333333333331</v>
      </c>
      <c r="BB88" s="8">
        <v>27362</v>
      </c>
      <c r="BC88" s="8">
        <v>23833</v>
      </c>
      <c r="BD88" s="8" t="e">
        <v>#N/A</v>
      </c>
      <c r="BE88" s="8">
        <v>26097</v>
      </c>
      <c r="BF88" s="8">
        <v>664</v>
      </c>
      <c r="BG88" s="8">
        <v>2345</v>
      </c>
      <c r="BH88" s="8">
        <v>1682</v>
      </c>
    </row>
    <row r="89" spans="1:60" x14ac:dyDescent="0.25">
      <c r="A89" t="s">
        <v>655</v>
      </c>
      <c r="B89" s="8">
        <v>5491</v>
      </c>
      <c r="C89" s="8">
        <v>22037</v>
      </c>
      <c r="D89" s="8">
        <v>27528</v>
      </c>
      <c r="E89" s="8">
        <v>5049</v>
      </c>
      <c r="F89" s="8">
        <v>22479</v>
      </c>
      <c r="G89" s="2">
        <v>19.899999999999999</v>
      </c>
      <c r="H89" s="2">
        <v>80.099999999999994</v>
      </c>
      <c r="I89" s="2">
        <v>18.3</v>
      </c>
      <c r="J89" s="2">
        <v>81.7</v>
      </c>
      <c r="K89" s="8">
        <v>105</v>
      </c>
      <c r="L89" s="8">
        <v>217</v>
      </c>
      <c r="M89" s="8">
        <v>225</v>
      </c>
      <c r="N89" s="8">
        <v>1178</v>
      </c>
      <c r="O89" s="8">
        <v>1441</v>
      </c>
      <c r="P89" s="8">
        <v>1204</v>
      </c>
      <c r="Q89" s="8">
        <v>388</v>
      </c>
      <c r="R89" s="8">
        <v>736</v>
      </c>
      <c r="S89" s="8">
        <v>29775</v>
      </c>
      <c r="T89" s="8">
        <v>399</v>
      </c>
      <c r="U89" s="8">
        <v>78</v>
      </c>
      <c r="V89" s="8">
        <v>4002</v>
      </c>
      <c r="W89" s="8">
        <v>95</v>
      </c>
      <c r="X89" s="8">
        <v>161</v>
      </c>
      <c r="Y89" s="8">
        <v>1959</v>
      </c>
      <c r="Z89" s="8">
        <v>4887</v>
      </c>
      <c r="AA89" s="8">
        <v>1359</v>
      </c>
      <c r="AB89" s="8">
        <v>1825</v>
      </c>
      <c r="AC89" s="8">
        <v>1132</v>
      </c>
      <c r="AD89" s="8">
        <v>1144</v>
      </c>
      <c r="AE89" s="8">
        <v>309</v>
      </c>
      <c r="AF89" s="8">
        <v>1802</v>
      </c>
      <c r="AG89" s="8">
        <v>2085</v>
      </c>
      <c r="AH89" s="8">
        <v>1639</v>
      </c>
      <c r="AI89" s="8">
        <v>2226</v>
      </c>
      <c r="AJ89" s="8">
        <v>3040</v>
      </c>
      <c r="AK89" s="8">
        <v>742</v>
      </c>
      <c r="AL89" s="8">
        <v>815</v>
      </c>
      <c r="AM89" s="8">
        <v>76</v>
      </c>
      <c r="AN89" s="8">
        <v>23082</v>
      </c>
      <c r="AO89" s="8" t="e">
        <v>#N/A</v>
      </c>
      <c r="AP89" s="8">
        <v>1599</v>
      </c>
      <c r="AQ89" s="2">
        <v>5.5</v>
      </c>
      <c r="AR89" s="2">
        <v>7.5</v>
      </c>
      <c r="AS89" s="2" t="e">
        <v>#N/A</v>
      </c>
      <c r="AT89" s="8">
        <v>69</v>
      </c>
      <c r="AU89" s="8">
        <v>60</v>
      </c>
      <c r="AV89" s="8">
        <v>445</v>
      </c>
      <c r="AW89" s="8">
        <v>46152</v>
      </c>
      <c r="AX89" s="2">
        <v>63</v>
      </c>
      <c r="AY89" s="2">
        <v>72.5</v>
      </c>
      <c r="AZ89" s="2">
        <v>32.6</v>
      </c>
      <c r="BA89" s="8">
        <v>309.66666666666669</v>
      </c>
      <c r="BB89" s="8">
        <v>27468</v>
      </c>
      <c r="BC89" s="8">
        <v>23956</v>
      </c>
      <c r="BD89" s="8" t="e">
        <v>#N/A</v>
      </c>
      <c r="BE89" s="8">
        <v>26268</v>
      </c>
      <c r="BF89" s="8">
        <v>652</v>
      </c>
      <c r="BG89" s="8">
        <v>2397</v>
      </c>
      <c r="BH89" s="8">
        <v>1599</v>
      </c>
    </row>
    <row r="90" spans="1:60" x14ac:dyDescent="0.25">
      <c r="A90" t="s">
        <v>656</v>
      </c>
      <c r="B90" s="8">
        <v>5513</v>
      </c>
      <c r="C90" s="8">
        <v>22015</v>
      </c>
      <c r="D90" s="8">
        <v>27528</v>
      </c>
      <c r="E90" s="8">
        <v>5072</v>
      </c>
      <c r="F90" s="8">
        <v>22456</v>
      </c>
      <c r="G90" s="2">
        <v>20</v>
      </c>
      <c r="H90" s="2">
        <v>80</v>
      </c>
      <c r="I90" s="2">
        <v>18.399999999999999</v>
      </c>
      <c r="J90" s="2">
        <v>81.599999999999994</v>
      </c>
      <c r="K90" s="8">
        <v>99</v>
      </c>
      <c r="L90" s="8">
        <v>216</v>
      </c>
      <c r="M90" s="8">
        <v>226</v>
      </c>
      <c r="N90" s="8">
        <v>1177</v>
      </c>
      <c r="O90" s="8">
        <v>1455</v>
      </c>
      <c r="P90" s="8">
        <v>1213</v>
      </c>
      <c r="Q90" s="8">
        <v>379</v>
      </c>
      <c r="R90" s="8">
        <v>751</v>
      </c>
      <c r="S90" s="8">
        <v>29957</v>
      </c>
      <c r="T90" s="8">
        <v>391</v>
      </c>
      <c r="U90" s="8">
        <v>76</v>
      </c>
      <c r="V90" s="8">
        <v>3960</v>
      </c>
      <c r="W90" s="8">
        <v>95</v>
      </c>
      <c r="X90" s="8">
        <v>164</v>
      </c>
      <c r="Y90" s="8">
        <v>1940</v>
      </c>
      <c r="Z90" s="8">
        <v>4926</v>
      </c>
      <c r="AA90" s="8">
        <v>1380</v>
      </c>
      <c r="AB90" s="8">
        <v>1820</v>
      </c>
      <c r="AC90" s="8">
        <v>1161</v>
      </c>
      <c r="AD90" s="8">
        <v>1149</v>
      </c>
      <c r="AE90" s="8">
        <v>308</v>
      </c>
      <c r="AF90" s="8">
        <v>1827</v>
      </c>
      <c r="AG90" s="8">
        <v>2140</v>
      </c>
      <c r="AH90" s="8">
        <v>1637</v>
      </c>
      <c r="AI90" s="8">
        <v>2250</v>
      </c>
      <c r="AJ90" s="8">
        <v>3105</v>
      </c>
      <c r="AK90" s="8">
        <v>737</v>
      </c>
      <c r="AL90" s="8">
        <v>813</v>
      </c>
      <c r="AM90" s="8">
        <v>78</v>
      </c>
      <c r="AN90" s="8">
        <v>23331</v>
      </c>
      <c r="AO90" s="8" t="e">
        <v>#N/A</v>
      </c>
      <c r="AP90" s="8">
        <v>1548</v>
      </c>
      <c r="AQ90" s="2">
        <v>5.3</v>
      </c>
      <c r="AR90" s="2">
        <v>6.5</v>
      </c>
      <c r="AS90" s="2" t="e">
        <v>#N/A</v>
      </c>
      <c r="AT90" s="8">
        <v>73</v>
      </c>
      <c r="AU90" s="8">
        <v>66</v>
      </c>
      <c r="AV90" s="8">
        <v>415</v>
      </c>
      <c r="AW90" s="8">
        <v>46226</v>
      </c>
      <c r="AX90" s="2">
        <v>63</v>
      </c>
      <c r="AY90" s="2">
        <v>72.599999999999994</v>
      </c>
      <c r="AZ90" s="2">
        <v>32.6</v>
      </c>
      <c r="BA90" s="8">
        <v>315</v>
      </c>
      <c r="BB90" s="8">
        <v>27555</v>
      </c>
      <c r="BC90" s="8">
        <v>24030</v>
      </c>
      <c r="BD90" s="8" t="e">
        <v>#N/A</v>
      </c>
      <c r="BE90" s="8">
        <v>26438</v>
      </c>
      <c r="BF90" s="8">
        <v>661</v>
      </c>
      <c r="BG90" s="8">
        <v>2340</v>
      </c>
      <c r="BH90" s="8">
        <v>1548</v>
      </c>
    </row>
    <row r="91" spans="1:60" x14ac:dyDescent="0.25">
      <c r="A91" t="s">
        <v>657</v>
      </c>
      <c r="B91" s="8">
        <v>5526</v>
      </c>
      <c r="C91" s="8">
        <v>22111</v>
      </c>
      <c r="D91" s="8">
        <v>27637</v>
      </c>
      <c r="E91" s="8">
        <v>5081</v>
      </c>
      <c r="F91" s="8">
        <v>22556</v>
      </c>
      <c r="G91" s="2">
        <v>20</v>
      </c>
      <c r="H91" s="2">
        <v>80</v>
      </c>
      <c r="I91" s="2">
        <v>18.399999999999999</v>
      </c>
      <c r="J91" s="2">
        <v>81.599999999999994</v>
      </c>
      <c r="K91" s="8">
        <v>99</v>
      </c>
      <c r="L91" s="8">
        <v>215</v>
      </c>
      <c r="M91" s="8">
        <v>227</v>
      </c>
      <c r="N91" s="8">
        <v>1177</v>
      </c>
      <c r="O91" s="8">
        <v>1457</v>
      </c>
      <c r="P91" s="8">
        <v>1223</v>
      </c>
      <c r="Q91" s="8">
        <v>375</v>
      </c>
      <c r="R91" s="8">
        <v>754</v>
      </c>
      <c r="S91" s="8">
        <v>30012</v>
      </c>
      <c r="T91" s="8">
        <v>377</v>
      </c>
      <c r="U91" s="8">
        <v>76</v>
      </c>
      <c r="V91" s="8">
        <v>3904</v>
      </c>
      <c r="W91" s="8">
        <v>99</v>
      </c>
      <c r="X91" s="8">
        <v>165</v>
      </c>
      <c r="Y91" s="8">
        <v>1936</v>
      </c>
      <c r="Z91" s="8">
        <v>4948</v>
      </c>
      <c r="AA91" s="8">
        <v>1401</v>
      </c>
      <c r="AB91" s="8">
        <v>1821</v>
      </c>
      <c r="AC91" s="8">
        <v>1195</v>
      </c>
      <c r="AD91" s="8">
        <v>1162</v>
      </c>
      <c r="AE91" s="8">
        <v>316</v>
      </c>
      <c r="AF91" s="8">
        <v>1847</v>
      </c>
      <c r="AG91" s="8">
        <v>2177</v>
      </c>
      <c r="AH91" s="8">
        <v>1641</v>
      </c>
      <c r="AI91" s="8">
        <v>2245</v>
      </c>
      <c r="AJ91" s="8">
        <v>3071</v>
      </c>
      <c r="AK91" s="8">
        <v>745</v>
      </c>
      <c r="AL91" s="8">
        <v>806</v>
      </c>
      <c r="AM91" s="8">
        <v>81</v>
      </c>
      <c r="AN91" s="8">
        <v>23456</v>
      </c>
      <c r="AO91" s="8" t="e">
        <v>#N/A</v>
      </c>
      <c r="AP91" s="8">
        <v>1520</v>
      </c>
      <c r="AQ91" s="2">
        <v>5.2</v>
      </c>
      <c r="AR91" s="2">
        <v>6.5</v>
      </c>
      <c r="AS91" s="2" t="e">
        <v>#N/A</v>
      </c>
      <c r="AT91" s="8">
        <v>73</v>
      </c>
      <c r="AU91" s="8">
        <v>65</v>
      </c>
      <c r="AV91" s="8">
        <v>393</v>
      </c>
      <c r="AW91" s="8">
        <v>46307</v>
      </c>
      <c r="AX91" s="2">
        <v>62.8</v>
      </c>
      <c r="AY91" s="2">
        <v>72.5</v>
      </c>
      <c r="AZ91" s="2">
        <v>32.799999999999997</v>
      </c>
      <c r="BA91" s="8">
        <v>321</v>
      </c>
      <c r="BB91" s="8">
        <v>27549</v>
      </c>
      <c r="BC91" s="8">
        <v>24088</v>
      </c>
      <c r="BD91" s="8" t="e">
        <v>#N/A</v>
      </c>
      <c r="BE91" s="8">
        <v>26497</v>
      </c>
      <c r="BF91" s="8">
        <v>656</v>
      </c>
      <c r="BG91" s="8">
        <v>2297</v>
      </c>
      <c r="BH91" s="8">
        <v>1520</v>
      </c>
    </row>
    <row r="92" spans="1:60" x14ac:dyDescent="0.25">
      <c r="A92" t="s">
        <v>658</v>
      </c>
      <c r="B92" s="8">
        <v>5554</v>
      </c>
      <c r="C92" s="8">
        <v>22109</v>
      </c>
      <c r="D92" s="8">
        <v>27663</v>
      </c>
      <c r="E92" s="8">
        <v>5107</v>
      </c>
      <c r="F92" s="8">
        <v>22556</v>
      </c>
      <c r="G92" s="2">
        <v>20.100000000000001</v>
      </c>
      <c r="H92" s="2">
        <v>79.900000000000006</v>
      </c>
      <c r="I92" s="2">
        <v>18.5</v>
      </c>
      <c r="J92" s="2">
        <v>81.5</v>
      </c>
      <c r="K92" s="8">
        <v>97</v>
      </c>
      <c r="L92" s="8">
        <v>215</v>
      </c>
      <c r="M92" s="8">
        <v>228</v>
      </c>
      <c r="N92" s="8">
        <v>1181</v>
      </c>
      <c r="O92" s="8">
        <v>1463</v>
      </c>
      <c r="P92" s="8">
        <v>1235</v>
      </c>
      <c r="Q92" s="8">
        <v>373</v>
      </c>
      <c r="R92" s="8">
        <v>759</v>
      </c>
      <c r="S92" s="8">
        <v>30026</v>
      </c>
      <c r="T92" s="8">
        <v>357</v>
      </c>
      <c r="U92" s="8">
        <v>76</v>
      </c>
      <c r="V92" s="8">
        <v>3879</v>
      </c>
      <c r="W92" s="8">
        <v>100</v>
      </c>
      <c r="X92" s="8">
        <v>169</v>
      </c>
      <c r="Y92" s="8">
        <v>1937</v>
      </c>
      <c r="Z92" s="8">
        <v>4990</v>
      </c>
      <c r="AA92" s="8">
        <v>1400</v>
      </c>
      <c r="AB92" s="8">
        <v>1824</v>
      </c>
      <c r="AC92" s="8">
        <v>1196</v>
      </c>
      <c r="AD92" s="8">
        <v>1165</v>
      </c>
      <c r="AE92" s="8">
        <v>321</v>
      </c>
      <c r="AF92" s="8">
        <v>1856</v>
      </c>
      <c r="AG92" s="8">
        <v>2174</v>
      </c>
      <c r="AH92" s="8">
        <v>1646</v>
      </c>
      <c r="AI92" s="8">
        <v>2241</v>
      </c>
      <c r="AJ92" s="8">
        <v>3074</v>
      </c>
      <c r="AK92" s="8">
        <v>750</v>
      </c>
      <c r="AL92" s="8">
        <v>802</v>
      </c>
      <c r="AM92" s="8">
        <v>68</v>
      </c>
      <c r="AN92" s="8">
        <v>23507</v>
      </c>
      <c r="AO92" s="8" t="e">
        <v>#N/A</v>
      </c>
      <c r="AP92" s="8">
        <v>1481</v>
      </c>
      <c r="AQ92" s="2">
        <v>5.0999999999999996</v>
      </c>
      <c r="AR92" s="2">
        <v>6.6</v>
      </c>
      <c r="AS92" s="2" t="e">
        <v>#N/A</v>
      </c>
      <c r="AT92" s="8">
        <v>75</v>
      </c>
      <c r="AU92" s="8">
        <v>66</v>
      </c>
      <c r="AV92" s="8">
        <v>382</v>
      </c>
      <c r="AW92" s="8">
        <v>46386</v>
      </c>
      <c r="AX92" s="2">
        <v>62.7</v>
      </c>
      <c r="AY92" s="2">
        <v>72.599999999999994</v>
      </c>
      <c r="AZ92" s="2">
        <v>32.700000000000003</v>
      </c>
      <c r="BA92" s="8">
        <v>324.33333333333331</v>
      </c>
      <c r="BB92" s="8">
        <v>27623</v>
      </c>
      <c r="BC92" s="8">
        <v>24102</v>
      </c>
      <c r="BD92" s="8" t="e">
        <v>#N/A</v>
      </c>
      <c r="BE92" s="8">
        <v>26517</v>
      </c>
      <c r="BF92" s="8">
        <v>625</v>
      </c>
      <c r="BG92" s="8">
        <v>2294</v>
      </c>
      <c r="BH92" s="8">
        <v>1481</v>
      </c>
    </row>
    <row r="93" spans="1:60" x14ac:dyDescent="0.25">
      <c r="A93" t="s">
        <v>659</v>
      </c>
      <c r="B93" s="8">
        <v>5581</v>
      </c>
      <c r="C93" s="8">
        <v>22118</v>
      </c>
      <c r="D93" s="8">
        <v>27699</v>
      </c>
      <c r="E93" s="8">
        <v>5137</v>
      </c>
      <c r="F93" s="8">
        <v>22562</v>
      </c>
      <c r="G93" s="2">
        <v>20.100000000000001</v>
      </c>
      <c r="H93" s="2">
        <v>79.900000000000006</v>
      </c>
      <c r="I93" s="2">
        <v>18.5</v>
      </c>
      <c r="J93" s="2">
        <v>81.5</v>
      </c>
      <c r="K93" s="8">
        <v>96</v>
      </c>
      <c r="L93" s="8">
        <v>214</v>
      </c>
      <c r="M93" s="8">
        <v>229</v>
      </c>
      <c r="N93" s="8">
        <v>1185</v>
      </c>
      <c r="O93" s="8">
        <v>1468</v>
      </c>
      <c r="P93" s="8">
        <v>1249</v>
      </c>
      <c r="Q93" s="8">
        <v>375</v>
      </c>
      <c r="R93" s="8">
        <v>771</v>
      </c>
      <c r="S93" s="8">
        <v>30136</v>
      </c>
      <c r="T93" s="8">
        <v>362</v>
      </c>
      <c r="U93" s="8">
        <v>75</v>
      </c>
      <c r="V93" s="8">
        <v>3832</v>
      </c>
      <c r="W93" s="8">
        <v>102</v>
      </c>
      <c r="X93" s="8">
        <v>170</v>
      </c>
      <c r="Y93" s="8">
        <v>1974</v>
      </c>
      <c r="Z93" s="8">
        <v>4985</v>
      </c>
      <c r="AA93" s="8">
        <v>1412</v>
      </c>
      <c r="AB93" s="8">
        <v>1842</v>
      </c>
      <c r="AC93" s="8">
        <v>1207</v>
      </c>
      <c r="AD93" s="8">
        <v>1176</v>
      </c>
      <c r="AE93" s="8">
        <v>323</v>
      </c>
      <c r="AF93" s="8">
        <v>1847</v>
      </c>
      <c r="AG93" s="8">
        <v>2196</v>
      </c>
      <c r="AH93" s="8">
        <v>1647</v>
      </c>
      <c r="AI93" s="8">
        <v>2234</v>
      </c>
      <c r="AJ93" s="8">
        <v>3119</v>
      </c>
      <c r="AK93" s="8">
        <v>750</v>
      </c>
      <c r="AL93" s="8">
        <v>811</v>
      </c>
      <c r="AM93" s="8">
        <v>72</v>
      </c>
      <c r="AN93" s="8">
        <v>23622</v>
      </c>
      <c r="AO93" s="8">
        <v>683.33333333333337</v>
      </c>
      <c r="AP93" s="8">
        <v>1468</v>
      </c>
      <c r="AQ93" s="2">
        <v>5</v>
      </c>
      <c r="AR93" s="2">
        <v>7</v>
      </c>
      <c r="AS93" s="2" t="e">
        <v>#N/A</v>
      </c>
      <c r="AT93" s="8">
        <v>62</v>
      </c>
      <c r="AU93" s="8">
        <v>64</v>
      </c>
      <c r="AV93" s="8">
        <v>378</v>
      </c>
      <c r="AW93" s="8">
        <v>46467</v>
      </c>
      <c r="AX93" s="2">
        <v>62.8</v>
      </c>
      <c r="AY93" s="2">
        <v>72.7</v>
      </c>
      <c r="AZ93" s="2">
        <v>32.799999999999997</v>
      </c>
      <c r="BA93" s="8">
        <v>326.66666666666669</v>
      </c>
      <c r="BB93" s="8">
        <v>27707</v>
      </c>
      <c r="BC93" s="8">
        <v>24188</v>
      </c>
      <c r="BD93" s="8" t="e">
        <v>#N/A</v>
      </c>
      <c r="BE93" s="8">
        <v>26628</v>
      </c>
      <c r="BF93" s="8">
        <v>602</v>
      </c>
      <c r="BG93" s="8">
        <v>2260</v>
      </c>
      <c r="BH93" s="8">
        <v>1468</v>
      </c>
    </row>
    <row r="94" spans="1:60" x14ac:dyDescent="0.25">
      <c r="A94" t="s">
        <v>660</v>
      </c>
      <c r="B94" s="8">
        <v>5605</v>
      </c>
      <c r="C94" s="8">
        <v>22130</v>
      </c>
      <c r="D94" s="8">
        <v>27735</v>
      </c>
      <c r="E94" s="8">
        <v>5156</v>
      </c>
      <c r="F94" s="8">
        <v>22579</v>
      </c>
      <c r="G94" s="2">
        <v>20.2</v>
      </c>
      <c r="H94" s="2">
        <v>79.8</v>
      </c>
      <c r="I94" s="2">
        <v>18.600000000000001</v>
      </c>
      <c r="J94" s="2">
        <v>81.400000000000006</v>
      </c>
      <c r="K94" s="8">
        <v>87</v>
      </c>
      <c r="L94" s="8">
        <v>214</v>
      </c>
      <c r="M94" s="8">
        <v>231</v>
      </c>
      <c r="N94" s="8">
        <v>1188</v>
      </c>
      <c r="O94" s="8">
        <v>1465</v>
      </c>
      <c r="P94" s="8">
        <v>1263</v>
      </c>
      <c r="Q94" s="8">
        <v>378</v>
      </c>
      <c r="R94" s="8">
        <v>778</v>
      </c>
      <c r="S94" s="8">
        <v>30316</v>
      </c>
      <c r="T94" s="8">
        <v>370</v>
      </c>
      <c r="U94" s="8">
        <v>75</v>
      </c>
      <c r="V94" s="8">
        <v>3775</v>
      </c>
      <c r="W94" s="8">
        <v>102</v>
      </c>
      <c r="X94" s="8">
        <v>174</v>
      </c>
      <c r="Y94" s="8">
        <v>2000</v>
      </c>
      <c r="Z94" s="8">
        <v>4978</v>
      </c>
      <c r="AA94" s="8">
        <v>1403</v>
      </c>
      <c r="AB94" s="8">
        <v>1865</v>
      </c>
      <c r="AC94" s="8">
        <v>1213</v>
      </c>
      <c r="AD94" s="8">
        <v>1195</v>
      </c>
      <c r="AE94" s="8">
        <v>320</v>
      </c>
      <c r="AF94" s="8">
        <v>1855</v>
      </c>
      <c r="AG94" s="8">
        <v>2209</v>
      </c>
      <c r="AH94" s="8">
        <v>1647</v>
      </c>
      <c r="AI94" s="8">
        <v>2224</v>
      </c>
      <c r="AJ94" s="8">
        <v>3167</v>
      </c>
      <c r="AK94" s="8">
        <v>773</v>
      </c>
      <c r="AL94" s="8">
        <v>817</v>
      </c>
      <c r="AM94" s="8">
        <v>153</v>
      </c>
      <c r="AN94" s="8">
        <v>23819</v>
      </c>
      <c r="AO94" s="8">
        <v>690</v>
      </c>
      <c r="AP94" s="8">
        <v>1487</v>
      </c>
      <c r="AQ94" s="2">
        <v>5.0999999999999996</v>
      </c>
      <c r="AR94" s="2">
        <v>7.9</v>
      </c>
      <c r="AS94" s="2" t="e">
        <v>#N/A</v>
      </c>
      <c r="AT94" s="8">
        <v>75</v>
      </c>
      <c r="AU94" s="8">
        <v>66</v>
      </c>
      <c r="AV94" s="8">
        <v>369</v>
      </c>
      <c r="AW94" s="8">
        <v>46541</v>
      </c>
      <c r="AX94" s="2">
        <v>62.7</v>
      </c>
      <c r="AY94" s="2">
        <v>72.5</v>
      </c>
      <c r="AZ94" s="2">
        <v>32.700000000000003</v>
      </c>
      <c r="BA94" s="8">
        <v>329.33333333333331</v>
      </c>
      <c r="BB94" s="8">
        <v>27715</v>
      </c>
      <c r="BC94" s="8">
        <v>24181</v>
      </c>
      <c r="BD94" s="8" t="e">
        <v>#N/A</v>
      </c>
      <c r="BE94" s="8">
        <v>26821</v>
      </c>
      <c r="BF94" s="8">
        <v>576</v>
      </c>
      <c r="BG94" s="8">
        <v>2278</v>
      </c>
      <c r="BH94" s="8">
        <v>1487</v>
      </c>
    </row>
    <row r="95" spans="1:60" x14ac:dyDescent="0.25">
      <c r="A95" t="s">
        <v>661</v>
      </c>
      <c r="B95" s="8">
        <v>5629</v>
      </c>
      <c r="C95" s="8">
        <v>22140</v>
      </c>
      <c r="D95" s="8">
        <v>27769</v>
      </c>
      <c r="E95" s="8">
        <v>5159</v>
      </c>
      <c r="F95" s="8">
        <v>22610</v>
      </c>
      <c r="G95" s="2">
        <v>20.3</v>
      </c>
      <c r="H95" s="2">
        <v>79.7</v>
      </c>
      <c r="I95" s="2">
        <v>18.600000000000001</v>
      </c>
      <c r="J95" s="2">
        <v>81.400000000000006</v>
      </c>
      <c r="K95" s="8">
        <v>84</v>
      </c>
      <c r="L95" s="8">
        <v>214</v>
      </c>
      <c r="M95" s="8">
        <v>234</v>
      </c>
      <c r="N95" s="8">
        <v>1197</v>
      </c>
      <c r="O95" s="8">
        <v>1467</v>
      </c>
      <c r="P95" s="8">
        <v>1278</v>
      </c>
      <c r="Q95" s="8">
        <v>366</v>
      </c>
      <c r="R95" s="8">
        <v>788</v>
      </c>
      <c r="S95" s="8">
        <v>30322</v>
      </c>
      <c r="T95" s="8">
        <v>362</v>
      </c>
      <c r="U95" s="8">
        <v>74</v>
      </c>
      <c r="V95" s="8">
        <v>3726</v>
      </c>
      <c r="W95" s="8">
        <v>102</v>
      </c>
      <c r="X95" s="8">
        <v>178</v>
      </c>
      <c r="Y95" s="8">
        <v>2023</v>
      </c>
      <c r="Z95" s="8">
        <v>4984</v>
      </c>
      <c r="AA95" s="8">
        <v>1414</v>
      </c>
      <c r="AB95" s="8">
        <v>1862</v>
      </c>
      <c r="AC95" s="8">
        <v>1212</v>
      </c>
      <c r="AD95" s="8">
        <v>1193</v>
      </c>
      <c r="AE95" s="8">
        <v>324</v>
      </c>
      <c r="AF95" s="8">
        <v>1866</v>
      </c>
      <c r="AG95" s="8">
        <v>2193</v>
      </c>
      <c r="AH95" s="8">
        <v>1663</v>
      </c>
      <c r="AI95" s="8">
        <v>2238</v>
      </c>
      <c r="AJ95" s="8">
        <v>3173</v>
      </c>
      <c r="AK95" s="8">
        <v>776</v>
      </c>
      <c r="AL95" s="8">
        <v>818</v>
      </c>
      <c r="AM95" s="8">
        <v>141</v>
      </c>
      <c r="AN95" s="8">
        <v>23857</v>
      </c>
      <c r="AO95" s="8">
        <v>601.66666666666663</v>
      </c>
      <c r="AP95" s="8">
        <v>1520</v>
      </c>
      <c r="AQ95" s="2">
        <v>5.2</v>
      </c>
      <c r="AR95" s="2">
        <v>8</v>
      </c>
      <c r="AS95" s="2" t="e">
        <v>#N/A</v>
      </c>
      <c r="AT95" s="8">
        <v>66</v>
      </c>
      <c r="AU95" s="8">
        <v>60</v>
      </c>
      <c r="AV95" s="8">
        <v>350</v>
      </c>
      <c r="AW95" s="8">
        <v>46621</v>
      </c>
      <c r="AX95" s="2">
        <v>62.9</v>
      </c>
      <c r="AY95" s="2">
        <v>72.599999999999994</v>
      </c>
      <c r="AZ95" s="2">
        <v>32.5</v>
      </c>
      <c r="BA95" s="8">
        <v>333.33333333333331</v>
      </c>
      <c r="BB95" s="8">
        <v>27803</v>
      </c>
      <c r="BC95" s="8">
        <v>24274</v>
      </c>
      <c r="BD95" s="8" t="e">
        <v>#N/A</v>
      </c>
      <c r="BE95" s="8">
        <v>26823</v>
      </c>
      <c r="BF95" s="8">
        <v>579</v>
      </c>
      <c r="BG95" s="8">
        <v>2316</v>
      </c>
      <c r="BH95" s="8">
        <v>1520</v>
      </c>
    </row>
    <row r="96" spans="1:60" x14ac:dyDescent="0.25">
      <c r="A96" t="s">
        <v>662</v>
      </c>
      <c r="B96" s="8">
        <v>5670</v>
      </c>
      <c r="C96" s="8">
        <v>22186</v>
      </c>
      <c r="D96" s="8">
        <v>27856</v>
      </c>
      <c r="E96" s="8">
        <v>5199</v>
      </c>
      <c r="F96" s="8">
        <v>22657</v>
      </c>
      <c r="G96" s="2">
        <v>20.399999999999999</v>
      </c>
      <c r="H96" s="2">
        <v>79.599999999999994</v>
      </c>
      <c r="I96" s="2">
        <v>18.7</v>
      </c>
      <c r="J96" s="2">
        <v>81.3</v>
      </c>
      <c r="K96" s="8">
        <v>83</v>
      </c>
      <c r="L96" s="8">
        <v>214</v>
      </c>
      <c r="M96" s="8">
        <v>236</v>
      </c>
      <c r="N96" s="8">
        <v>1204</v>
      </c>
      <c r="O96" s="8">
        <v>1471</v>
      </c>
      <c r="P96" s="8">
        <v>1292</v>
      </c>
      <c r="Q96" s="8">
        <v>371</v>
      </c>
      <c r="R96" s="8">
        <v>797</v>
      </c>
      <c r="S96" s="8">
        <v>30313</v>
      </c>
      <c r="T96" s="8">
        <v>369</v>
      </c>
      <c r="U96" s="8">
        <v>74</v>
      </c>
      <c r="V96" s="8">
        <v>3676</v>
      </c>
      <c r="W96" s="8">
        <v>102</v>
      </c>
      <c r="X96" s="8">
        <v>168</v>
      </c>
      <c r="Y96" s="8">
        <v>2003</v>
      </c>
      <c r="Z96" s="8">
        <v>5000</v>
      </c>
      <c r="AA96" s="8">
        <v>1404</v>
      </c>
      <c r="AB96" s="8">
        <v>1864</v>
      </c>
      <c r="AC96" s="8">
        <v>1214</v>
      </c>
      <c r="AD96" s="8">
        <v>1203</v>
      </c>
      <c r="AE96" s="8">
        <v>329</v>
      </c>
      <c r="AF96" s="8">
        <v>1867</v>
      </c>
      <c r="AG96" s="8">
        <v>2211</v>
      </c>
      <c r="AH96" s="8">
        <v>1676</v>
      </c>
      <c r="AI96" s="8">
        <v>2259</v>
      </c>
      <c r="AJ96" s="8">
        <v>3169</v>
      </c>
      <c r="AK96" s="8">
        <v>778</v>
      </c>
      <c r="AL96" s="8">
        <v>814</v>
      </c>
      <c r="AM96" s="8">
        <v>131</v>
      </c>
      <c r="AN96" s="8">
        <v>23920</v>
      </c>
      <c r="AO96" s="8">
        <v>588.66666666666663</v>
      </c>
      <c r="AP96" s="8">
        <v>1515</v>
      </c>
      <c r="AQ96" s="2">
        <v>5.2</v>
      </c>
      <c r="AR96" s="2">
        <v>8.4</v>
      </c>
      <c r="AS96" s="2" t="e">
        <v>#N/A</v>
      </c>
      <c r="AT96" s="8">
        <v>60</v>
      </c>
      <c r="AU96" s="8">
        <v>60</v>
      </c>
      <c r="AV96" s="8">
        <v>334</v>
      </c>
      <c r="AW96" s="8">
        <v>46701</v>
      </c>
      <c r="AX96" s="2">
        <v>62.8</v>
      </c>
      <c r="AY96" s="2">
        <v>72.5</v>
      </c>
      <c r="AZ96" s="2">
        <v>32.5</v>
      </c>
      <c r="BA96" s="8">
        <v>333.33333333333331</v>
      </c>
      <c r="BB96" s="8">
        <v>27797</v>
      </c>
      <c r="BC96" s="8">
        <v>24271</v>
      </c>
      <c r="BD96" s="8" t="e">
        <v>#N/A</v>
      </c>
      <c r="BE96" s="8">
        <v>26818</v>
      </c>
      <c r="BF96" s="8">
        <v>568</v>
      </c>
      <c r="BG96" s="8">
        <v>2357</v>
      </c>
      <c r="BH96" s="8">
        <v>1515</v>
      </c>
    </row>
    <row r="97" spans="1:60" x14ac:dyDescent="0.25">
      <c r="A97" t="s">
        <v>663</v>
      </c>
      <c r="B97" s="8">
        <v>5695</v>
      </c>
      <c r="C97" s="8">
        <v>22213</v>
      </c>
      <c r="D97" s="8">
        <v>27908</v>
      </c>
      <c r="E97" s="8">
        <v>5226</v>
      </c>
      <c r="F97" s="8">
        <v>22682</v>
      </c>
      <c r="G97" s="2">
        <v>20.399999999999999</v>
      </c>
      <c r="H97" s="2">
        <v>79.599999999999994</v>
      </c>
      <c r="I97" s="2">
        <v>18.7</v>
      </c>
      <c r="J97" s="2">
        <v>81.3</v>
      </c>
      <c r="K97" s="8">
        <v>82</v>
      </c>
      <c r="L97" s="8">
        <v>214</v>
      </c>
      <c r="M97" s="8">
        <v>238</v>
      </c>
      <c r="N97" s="8">
        <v>1212</v>
      </c>
      <c r="O97" s="8">
        <v>1473</v>
      </c>
      <c r="P97" s="8">
        <v>1309</v>
      </c>
      <c r="Q97" s="8">
        <v>370</v>
      </c>
      <c r="R97" s="8">
        <v>797</v>
      </c>
      <c r="S97" s="8">
        <v>30419</v>
      </c>
      <c r="T97" s="8">
        <v>364</v>
      </c>
      <c r="U97" s="8">
        <v>70</v>
      </c>
      <c r="V97" s="8">
        <v>3636</v>
      </c>
      <c r="W97" s="8">
        <v>100</v>
      </c>
      <c r="X97" s="8">
        <v>164</v>
      </c>
      <c r="Y97" s="8">
        <v>1997</v>
      </c>
      <c r="Z97" s="8">
        <v>5029</v>
      </c>
      <c r="AA97" s="8">
        <v>1409</v>
      </c>
      <c r="AB97" s="8">
        <v>1900</v>
      </c>
      <c r="AC97" s="8">
        <v>1207</v>
      </c>
      <c r="AD97" s="8">
        <v>1193</v>
      </c>
      <c r="AE97" s="8">
        <v>332</v>
      </c>
      <c r="AF97" s="8">
        <v>1861</v>
      </c>
      <c r="AG97" s="8">
        <v>2213</v>
      </c>
      <c r="AH97" s="8">
        <v>1685</v>
      </c>
      <c r="AI97" s="8">
        <v>2290</v>
      </c>
      <c r="AJ97" s="8">
        <v>3193</v>
      </c>
      <c r="AK97" s="8">
        <v>792</v>
      </c>
      <c r="AL97" s="8">
        <v>840</v>
      </c>
      <c r="AM97" s="8">
        <v>144</v>
      </c>
      <c r="AN97" s="8">
        <v>24088</v>
      </c>
      <c r="AO97" s="8">
        <v>619.66666666666663</v>
      </c>
      <c r="AP97" s="8">
        <v>1520</v>
      </c>
      <c r="AQ97" s="2">
        <v>5.2</v>
      </c>
      <c r="AR97" s="2">
        <v>8</v>
      </c>
      <c r="AS97" s="2" t="e">
        <v>#N/A</v>
      </c>
      <c r="AT97" s="8">
        <v>66</v>
      </c>
      <c r="AU97" s="8">
        <v>58</v>
      </c>
      <c r="AV97" s="8">
        <v>325</v>
      </c>
      <c r="AW97" s="8">
        <v>46782</v>
      </c>
      <c r="AX97" s="2">
        <v>63</v>
      </c>
      <c r="AY97" s="2">
        <v>72.7</v>
      </c>
      <c r="AZ97" s="2">
        <v>32.200000000000003</v>
      </c>
      <c r="BA97" s="8">
        <v>338.33333333333331</v>
      </c>
      <c r="BB97" s="8">
        <v>27933</v>
      </c>
      <c r="BC97" s="8">
        <v>24395</v>
      </c>
      <c r="BD97" s="8" t="e">
        <v>#N/A</v>
      </c>
      <c r="BE97" s="8">
        <v>26848</v>
      </c>
      <c r="BF97" s="8">
        <v>589</v>
      </c>
      <c r="BG97" s="8">
        <v>2317</v>
      </c>
      <c r="BH97" s="8">
        <v>1520</v>
      </c>
    </row>
    <row r="98" spans="1:60" x14ac:dyDescent="0.25">
      <c r="A98" t="s">
        <v>664</v>
      </c>
      <c r="B98" s="8">
        <v>5724</v>
      </c>
      <c r="C98" s="8">
        <v>22299</v>
      </c>
      <c r="D98" s="8">
        <v>28023</v>
      </c>
      <c r="E98" s="8">
        <v>5262</v>
      </c>
      <c r="F98" s="8">
        <v>22761</v>
      </c>
      <c r="G98" s="2">
        <v>20.399999999999999</v>
      </c>
      <c r="H98" s="2">
        <v>79.599999999999994</v>
      </c>
      <c r="I98" s="2">
        <v>18.8</v>
      </c>
      <c r="J98" s="2">
        <v>81.2</v>
      </c>
      <c r="K98" s="8">
        <v>80</v>
      </c>
      <c r="L98" s="8">
        <v>215</v>
      </c>
      <c r="M98" s="8">
        <v>240</v>
      </c>
      <c r="N98" s="8">
        <v>1215</v>
      </c>
      <c r="O98" s="8">
        <v>1500</v>
      </c>
      <c r="P98" s="8">
        <v>1325</v>
      </c>
      <c r="Q98" s="8">
        <v>357</v>
      </c>
      <c r="R98" s="8">
        <v>791</v>
      </c>
      <c r="S98" s="8">
        <v>30507</v>
      </c>
      <c r="T98" s="8">
        <v>352</v>
      </c>
      <c r="U98" s="8">
        <v>67</v>
      </c>
      <c r="V98" s="8">
        <v>3583</v>
      </c>
      <c r="W98" s="8">
        <v>96</v>
      </c>
      <c r="X98" s="8">
        <v>161</v>
      </c>
      <c r="Y98" s="8">
        <v>2014</v>
      </c>
      <c r="Z98" s="8">
        <v>5035</v>
      </c>
      <c r="AA98" s="8">
        <v>1422</v>
      </c>
      <c r="AB98" s="8">
        <v>1925</v>
      </c>
      <c r="AC98" s="8">
        <v>1211</v>
      </c>
      <c r="AD98" s="8">
        <v>1189</v>
      </c>
      <c r="AE98" s="8">
        <v>335</v>
      </c>
      <c r="AF98" s="8">
        <v>1881</v>
      </c>
      <c r="AG98" s="8">
        <v>2203</v>
      </c>
      <c r="AH98" s="8">
        <v>1686</v>
      </c>
      <c r="AI98" s="8">
        <v>2322</v>
      </c>
      <c r="AJ98" s="8">
        <v>3243</v>
      </c>
      <c r="AK98" s="8">
        <v>792</v>
      </c>
      <c r="AL98" s="8">
        <v>839</v>
      </c>
      <c r="AM98" s="8">
        <v>151</v>
      </c>
      <c r="AN98" s="8">
        <v>24234</v>
      </c>
      <c r="AO98" s="8">
        <v>635.33333333333337</v>
      </c>
      <c r="AP98" s="8">
        <v>1566</v>
      </c>
      <c r="AQ98" s="2">
        <v>5.3</v>
      </c>
      <c r="AR98" s="2">
        <v>7.1</v>
      </c>
      <c r="AS98" s="2" t="e">
        <v>#N/A</v>
      </c>
      <c r="AT98" s="8">
        <v>62</v>
      </c>
      <c r="AU98" s="8">
        <v>60</v>
      </c>
      <c r="AV98" s="8">
        <v>336</v>
      </c>
      <c r="AW98" s="8">
        <v>46861</v>
      </c>
      <c r="AX98" s="2">
        <v>63</v>
      </c>
      <c r="AY98" s="2">
        <v>72.599999999999994</v>
      </c>
      <c r="AZ98" s="2">
        <v>32.4</v>
      </c>
      <c r="BA98" s="8">
        <v>340.33333333333331</v>
      </c>
      <c r="BB98" s="8">
        <v>27935</v>
      </c>
      <c r="BC98" s="8">
        <v>24386</v>
      </c>
      <c r="BD98" s="8" t="e">
        <v>#N/A</v>
      </c>
      <c r="BE98" s="8">
        <v>26923</v>
      </c>
      <c r="BF98" s="8">
        <v>570</v>
      </c>
      <c r="BG98" s="8">
        <v>2302</v>
      </c>
      <c r="BH98" s="8">
        <v>1566</v>
      </c>
    </row>
    <row r="99" spans="1:60" x14ac:dyDescent="0.25">
      <c r="A99" t="s">
        <v>665</v>
      </c>
      <c r="B99" s="8">
        <v>5776</v>
      </c>
      <c r="C99" s="8">
        <v>22305</v>
      </c>
      <c r="D99" s="8">
        <v>28081</v>
      </c>
      <c r="E99" s="8">
        <v>5325</v>
      </c>
      <c r="F99" s="8">
        <v>22756</v>
      </c>
      <c r="G99" s="2">
        <v>20.6</v>
      </c>
      <c r="H99" s="2">
        <v>79.400000000000006</v>
      </c>
      <c r="I99" s="2">
        <v>19</v>
      </c>
      <c r="J99" s="2">
        <v>81</v>
      </c>
      <c r="K99" s="8">
        <v>77</v>
      </c>
      <c r="L99" s="8">
        <v>215</v>
      </c>
      <c r="M99" s="8">
        <v>242</v>
      </c>
      <c r="N99" s="8">
        <v>1236</v>
      </c>
      <c r="O99" s="8">
        <v>1510</v>
      </c>
      <c r="P99" s="8">
        <v>1341</v>
      </c>
      <c r="Q99" s="8">
        <v>345</v>
      </c>
      <c r="R99" s="8">
        <v>807</v>
      </c>
      <c r="S99" s="8">
        <v>30487</v>
      </c>
      <c r="T99" s="8">
        <v>335</v>
      </c>
      <c r="U99" s="8">
        <v>65</v>
      </c>
      <c r="V99" s="8">
        <v>3536</v>
      </c>
      <c r="W99" s="8">
        <v>94</v>
      </c>
      <c r="X99" s="8">
        <v>159</v>
      </c>
      <c r="Y99" s="8">
        <v>2021</v>
      </c>
      <c r="Z99" s="8">
        <v>5039</v>
      </c>
      <c r="AA99" s="8">
        <v>1428</v>
      </c>
      <c r="AB99" s="8">
        <v>1925</v>
      </c>
      <c r="AC99" s="8">
        <v>1219</v>
      </c>
      <c r="AD99" s="8">
        <v>1195</v>
      </c>
      <c r="AE99" s="8">
        <v>331</v>
      </c>
      <c r="AF99" s="8">
        <v>1894</v>
      </c>
      <c r="AG99" s="8">
        <v>2195</v>
      </c>
      <c r="AH99" s="8">
        <v>1712</v>
      </c>
      <c r="AI99" s="8">
        <v>2349</v>
      </c>
      <c r="AJ99" s="8">
        <v>3236</v>
      </c>
      <c r="AK99" s="8">
        <v>780</v>
      </c>
      <c r="AL99" s="8">
        <v>832</v>
      </c>
      <c r="AM99" s="8">
        <v>143</v>
      </c>
      <c r="AN99" s="8">
        <v>24278</v>
      </c>
      <c r="AO99" s="8">
        <v>602.66666666666663</v>
      </c>
      <c r="AP99" s="8">
        <v>1516</v>
      </c>
      <c r="AQ99" s="2">
        <v>5.0999999999999996</v>
      </c>
      <c r="AR99" s="2">
        <v>7.1</v>
      </c>
      <c r="AS99" s="2" t="e">
        <v>#N/A</v>
      </c>
      <c r="AT99" s="8">
        <v>74</v>
      </c>
      <c r="AU99" s="8">
        <v>63</v>
      </c>
      <c r="AV99" s="8">
        <v>308</v>
      </c>
      <c r="AW99" s="8">
        <v>46940</v>
      </c>
      <c r="AX99" s="2">
        <v>63.1</v>
      </c>
      <c r="AY99" s="2">
        <v>72.900000000000006</v>
      </c>
      <c r="AZ99" s="2">
        <v>32.200000000000003</v>
      </c>
      <c r="BA99" s="8">
        <v>340.66666666666669</v>
      </c>
      <c r="BB99" s="8">
        <v>28110</v>
      </c>
      <c r="BC99" s="8">
        <v>24576</v>
      </c>
      <c r="BD99" s="8" t="e">
        <v>#N/A</v>
      </c>
      <c r="BE99" s="8">
        <v>26917</v>
      </c>
      <c r="BF99" s="8">
        <v>557</v>
      </c>
      <c r="BG99" s="8">
        <v>2310</v>
      </c>
      <c r="BH99" s="8">
        <v>1516</v>
      </c>
    </row>
    <row r="100" spans="1:60" x14ac:dyDescent="0.25">
      <c r="A100" t="s">
        <v>666</v>
      </c>
      <c r="B100" s="8">
        <v>5827</v>
      </c>
      <c r="C100" s="8">
        <v>22315</v>
      </c>
      <c r="D100" s="8">
        <v>28142</v>
      </c>
      <c r="E100" s="8">
        <v>5374</v>
      </c>
      <c r="F100" s="8">
        <v>22768</v>
      </c>
      <c r="G100" s="2">
        <v>20.7</v>
      </c>
      <c r="H100" s="2">
        <v>79.3</v>
      </c>
      <c r="I100" s="2">
        <v>19.100000000000001</v>
      </c>
      <c r="J100" s="2">
        <v>80.900000000000006</v>
      </c>
      <c r="K100" s="8">
        <v>79</v>
      </c>
      <c r="L100" s="8">
        <v>221</v>
      </c>
      <c r="M100" s="8">
        <v>246</v>
      </c>
      <c r="N100" s="8">
        <v>1246</v>
      </c>
      <c r="O100" s="8">
        <v>1516</v>
      </c>
      <c r="P100" s="8">
        <v>1359</v>
      </c>
      <c r="Q100" s="8">
        <v>345</v>
      </c>
      <c r="R100" s="8">
        <v>812</v>
      </c>
      <c r="S100" s="8">
        <v>30533</v>
      </c>
      <c r="T100" s="8">
        <v>337</v>
      </c>
      <c r="U100" s="8">
        <v>63</v>
      </c>
      <c r="V100" s="8">
        <v>3496</v>
      </c>
      <c r="W100" s="8">
        <v>92</v>
      </c>
      <c r="X100" s="8">
        <v>155</v>
      </c>
      <c r="Y100" s="8">
        <v>2030</v>
      </c>
      <c r="Z100" s="8">
        <v>4980</v>
      </c>
      <c r="AA100" s="8">
        <v>1428</v>
      </c>
      <c r="AB100" s="8">
        <v>1941</v>
      </c>
      <c r="AC100" s="8">
        <v>1229</v>
      </c>
      <c r="AD100" s="8">
        <v>1191</v>
      </c>
      <c r="AE100" s="8">
        <v>339</v>
      </c>
      <c r="AF100" s="8">
        <v>1902</v>
      </c>
      <c r="AG100" s="8">
        <v>2204</v>
      </c>
      <c r="AH100" s="8">
        <v>1736</v>
      </c>
      <c r="AI100" s="8">
        <v>2371</v>
      </c>
      <c r="AJ100" s="8">
        <v>3256</v>
      </c>
      <c r="AK100" s="8">
        <v>789</v>
      </c>
      <c r="AL100" s="8">
        <v>827</v>
      </c>
      <c r="AM100" s="8">
        <v>166</v>
      </c>
      <c r="AN100" s="8">
        <v>24360</v>
      </c>
      <c r="AO100" s="8">
        <v>562.66666666666663</v>
      </c>
      <c r="AP100" s="8">
        <v>1531</v>
      </c>
      <c r="AQ100" s="2">
        <v>5.2</v>
      </c>
      <c r="AR100" s="2">
        <v>7.3</v>
      </c>
      <c r="AS100" s="2" t="e">
        <v>#N/A</v>
      </c>
      <c r="AT100" s="8">
        <v>61</v>
      </c>
      <c r="AU100" s="8">
        <v>62</v>
      </c>
      <c r="AV100" s="8">
        <v>327</v>
      </c>
      <c r="AW100" s="8">
        <v>47020</v>
      </c>
      <c r="AX100" s="2">
        <v>63</v>
      </c>
      <c r="AY100" s="2">
        <v>72.7</v>
      </c>
      <c r="AZ100" s="2">
        <v>32.200000000000003</v>
      </c>
      <c r="BA100" s="8">
        <v>342.33333333333331</v>
      </c>
      <c r="BB100" s="8">
        <v>28099</v>
      </c>
      <c r="BC100" s="8">
        <v>24495</v>
      </c>
      <c r="BD100" s="8" t="e">
        <v>#N/A</v>
      </c>
      <c r="BE100" s="8">
        <v>26865</v>
      </c>
      <c r="BF100" s="8">
        <v>560</v>
      </c>
      <c r="BG100" s="8">
        <v>2239</v>
      </c>
      <c r="BH100" s="8">
        <v>1531</v>
      </c>
    </row>
    <row r="101" spans="1:60" x14ac:dyDescent="0.25">
      <c r="A101" t="s">
        <v>667</v>
      </c>
      <c r="B101" s="8">
        <v>5858</v>
      </c>
      <c r="C101" s="8">
        <v>22378</v>
      </c>
      <c r="D101" s="8">
        <v>28236</v>
      </c>
      <c r="E101" s="8">
        <v>5421</v>
      </c>
      <c r="F101" s="8">
        <v>22815</v>
      </c>
      <c r="G101" s="2">
        <v>20.7</v>
      </c>
      <c r="H101" s="2">
        <v>79.3</v>
      </c>
      <c r="I101" s="2">
        <v>19.2</v>
      </c>
      <c r="J101" s="2">
        <v>80.8</v>
      </c>
      <c r="K101" s="8">
        <v>77</v>
      </c>
      <c r="L101" s="8">
        <v>223</v>
      </c>
      <c r="M101" s="8">
        <v>248</v>
      </c>
      <c r="N101" s="8">
        <v>1257</v>
      </c>
      <c r="O101" s="8">
        <v>1531</v>
      </c>
      <c r="P101" s="8">
        <v>1374</v>
      </c>
      <c r="Q101" s="8">
        <v>350</v>
      </c>
      <c r="R101" s="8">
        <v>798</v>
      </c>
      <c r="S101" s="8">
        <v>30706</v>
      </c>
      <c r="T101" s="8">
        <v>348</v>
      </c>
      <c r="U101" s="8">
        <v>61</v>
      </c>
      <c r="V101" s="8">
        <v>3438</v>
      </c>
      <c r="W101" s="8">
        <v>93</v>
      </c>
      <c r="X101" s="8">
        <v>155</v>
      </c>
      <c r="Y101" s="8">
        <v>2057</v>
      </c>
      <c r="Z101" s="8">
        <v>5011</v>
      </c>
      <c r="AA101" s="8">
        <v>1436</v>
      </c>
      <c r="AB101" s="8">
        <v>1950</v>
      </c>
      <c r="AC101" s="8">
        <v>1241</v>
      </c>
      <c r="AD101" s="8">
        <v>1194</v>
      </c>
      <c r="AE101" s="8">
        <v>336</v>
      </c>
      <c r="AF101" s="8">
        <v>1944</v>
      </c>
      <c r="AG101" s="8">
        <v>2209</v>
      </c>
      <c r="AH101" s="8">
        <v>1748</v>
      </c>
      <c r="AI101" s="8">
        <v>2395</v>
      </c>
      <c r="AJ101" s="8">
        <v>3293</v>
      </c>
      <c r="AK101" s="8">
        <v>792</v>
      </c>
      <c r="AL101" s="8">
        <v>835</v>
      </c>
      <c r="AM101" s="8">
        <v>173</v>
      </c>
      <c r="AN101" s="8">
        <v>24555</v>
      </c>
      <c r="AO101" s="8">
        <v>582.66666666666663</v>
      </c>
      <c r="AP101" s="8">
        <v>1467</v>
      </c>
      <c r="AQ101" s="2">
        <v>4.9000000000000004</v>
      </c>
      <c r="AR101" s="2">
        <v>6.4</v>
      </c>
      <c r="AS101" s="2" t="e">
        <v>#N/A</v>
      </c>
      <c r="AT101" s="8">
        <v>60</v>
      </c>
      <c r="AU101" s="8">
        <v>59</v>
      </c>
      <c r="AV101" s="8">
        <v>314</v>
      </c>
      <c r="AW101" s="8">
        <v>47099</v>
      </c>
      <c r="AX101" s="2">
        <v>63</v>
      </c>
      <c r="AY101" s="2">
        <v>72.900000000000006</v>
      </c>
      <c r="AZ101" s="2">
        <v>32.200000000000003</v>
      </c>
      <c r="BA101" s="8">
        <v>346.66666666666669</v>
      </c>
      <c r="BB101" s="8">
        <v>28226</v>
      </c>
      <c r="BC101" s="8">
        <v>24492</v>
      </c>
      <c r="BD101" s="8" t="e">
        <v>#N/A</v>
      </c>
      <c r="BE101" s="8">
        <v>26967</v>
      </c>
      <c r="BF101" s="8">
        <v>579</v>
      </c>
      <c r="BG101" s="8">
        <v>2223</v>
      </c>
      <c r="BH101" s="8">
        <v>1467</v>
      </c>
    </row>
    <row r="102" spans="1:60" x14ac:dyDescent="0.25">
      <c r="A102" t="s">
        <v>668</v>
      </c>
      <c r="B102" s="8">
        <v>5894</v>
      </c>
      <c r="C102" s="8">
        <v>22391</v>
      </c>
      <c r="D102" s="8">
        <v>28285</v>
      </c>
      <c r="E102" s="8">
        <v>5466</v>
      </c>
      <c r="F102" s="8">
        <v>22819</v>
      </c>
      <c r="G102" s="2">
        <v>20.8</v>
      </c>
      <c r="H102" s="2">
        <v>79.2</v>
      </c>
      <c r="I102" s="2">
        <v>19.3</v>
      </c>
      <c r="J102" s="2">
        <v>80.7</v>
      </c>
      <c r="K102" s="8">
        <v>80</v>
      </c>
      <c r="L102" s="8">
        <v>222</v>
      </c>
      <c r="M102" s="8">
        <v>252</v>
      </c>
      <c r="N102" s="8">
        <v>1260</v>
      </c>
      <c r="O102" s="8">
        <v>1535</v>
      </c>
      <c r="P102" s="8">
        <v>1391</v>
      </c>
      <c r="Q102" s="8">
        <v>354</v>
      </c>
      <c r="R102" s="8">
        <v>803</v>
      </c>
      <c r="S102" s="8">
        <v>30878</v>
      </c>
      <c r="T102" s="8">
        <v>369</v>
      </c>
      <c r="U102" s="8">
        <v>61</v>
      </c>
      <c r="V102" s="8">
        <v>3404</v>
      </c>
      <c r="W102" s="8">
        <v>92</v>
      </c>
      <c r="X102" s="8">
        <v>159</v>
      </c>
      <c r="Y102" s="8">
        <v>2091</v>
      </c>
      <c r="Z102" s="8">
        <v>5033</v>
      </c>
      <c r="AA102" s="8">
        <v>1430</v>
      </c>
      <c r="AB102" s="8">
        <v>1969</v>
      </c>
      <c r="AC102" s="8">
        <v>1227</v>
      </c>
      <c r="AD102" s="8">
        <v>1194</v>
      </c>
      <c r="AE102" s="8">
        <v>344</v>
      </c>
      <c r="AF102" s="8">
        <v>1982</v>
      </c>
      <c r="AG102" s="8">
        <v>2216</v>
      </c>
      <c r="AH102" s="8">
        <v>1746</v>
      </c>
      <c r="AI102" s="8">
        <v>2408</v>
      </c>
      <c r="AJ102" s="8">
        <v>3335</v>
      </c>
      <c r="AK102" s="8">
        <v>811</v>
      </c>
      <c r="AL102" s="8">
        <v>841</v>
      </c>
      <c r="AM102" s="8">
        <v>167</v>
      </c>
      <c r="AN102" s="8">
        <v>24702</v>
      </c>
      <c r="AO102" s="8">
        <v>617.66666666666663</v>
      </c>
      <c r="AP102" s="8">
        <v>1502</v>
      </c>
      <c r="AQ102" s="2">
        <v>5</v>
      </c>
      <c r="AR102" s="2">
        <v>6.3</v>
      </c>
      <c r="AS102" s="2" t="e">
        <v>#N/A</v>
      </c>
      <c r="AT102" s="8">
        <v>64</v>
      </c>
      <c r="AU102" s="8">
        <v>57</v>
      </c>
      <c r="AV102" s="8">
        <v>315</v>
      </c>
      <c r="AW102" s="8">
        <v>47186</v>
      </c>
      <c r="AX102" s="2">
        <v>63.1</v>
      </c>
      <c r="AY102" s="2">
        <v>72.8</v>
      </c>
      <c r="AZ102" s="2">
        <v>32.200000000000003</v>
      </c>
      <c r="BA102" s="8">
        <v>349.33333333333331</v>
      </c>
      <c r="BB102" s="8">
        <v>28256</v>
      </c>
      <c r="BC102" s="8">
        <v>24391</v>
      </c>
      <c r="BD102" s="8" t="e">
        <v>#N/A</v>
      </c>
      <c r="BE102" s="8">
        <v>27040</v>
      </c>
      <c r="BF102" s="8">
        <v>567</v>
      </c>
      <c r="BG102" s="8">
        <v>2160</v>
      </c>
      <c r="BH102" s="8">
        <v>1502</v>
      </c>
    </row>
    <row r="103" spans="1:60" x14ac:dyDescent="0.25">
      <c r="A103" t="s">
        <v>669</v>
      </c>
      <c r="B103" s="8">
        <v>5937</v>
      </c>
      <c r="C103" s="8">
        <v>22462</v>
      </c>
      <c r="D103" s="8">
        <v>28399</v>
      </c>
      <c r="E103" s="8">
        <v>5501</v>
      </c>
      <c r="F103" s="8">
        <v>22898</v>
      </c>
      <c r="G103" s="2">
        <v>20.9</v>
      </c>
      <c r="H103" s="2">
        <v>79.099999999999994</v>
      </c>
      <c r="I103" s="2">
        <v>19.399999999999999</v>
      </c>
      <c r="J103" s="2">
        <v>80.599999999999994</v>
      </c>
      <c r="K103" s="8">
        <v>80</v>
      </c>
      <c r="L103" s="8">
        <v>221</v>
      </c>
      <c r="M103" s="8">
        <v>256</v>
      </c>
      <c r="N103" s="8">
        <v>1258</v>
      </c>
      <c r="O103" s="8">
        <v>1557</v>
      </c>
      <c r="P103" s="8">
        <v>1408</v>
      </c>
      <c r="Q103" s="8">
        <v>363</v>
      </c>
      <c r="R103" s="8">
        <v>795</v>
      </c>
      <c r="S103" s="8">
        <v>30898</v>
      </c>
      <c r="T103" s="8">
        <v>371</v>
      </c>
      <c r="U103" s="8">
        <v>61</v>
      </c>
      <c r="V103" s="8">
        <v>3355</v>
      </c>
      <c r="W103" s="8">
        <v>90</v>
      </c>
      <c r="X103" s="8">
        <v>156</v>
      </c>
      <c r="Y103" s="8">
        <v>2095</v>
      </c>
      <c r="Z103" s="8">
        <v>5043</v>
      </c>
      <c r="AA103" s="8">
        <v>1428</v>
      </c>
      <c r="AB103" s="8">
        <v>1967</v>
      </c>
      <c r="AC103" s="8">
        <v>1207</v>
      </c>
      <c r="AD103" s="8">
        <v>1180</v>
      </c>
      <c r="AE103" s="8">
        <v>346</v>
      </c>
      <c r="AF103" s="8">
        <v>2009</v>
      </c>
      <c r="AG103" s="8">
        <v>2224</v>
      </c>
      <c r="AH103" s="8">
        <v>1757</v>
      </c>
      <c r="AI103" s="8">
        <v>2453</v>
      </c>
      <c r="AJ103" s="8">
        <v>3345</v>
      </c>
      <c r="AK103" s="8">
        <v>820</v>
      </c>
      <c r="AL103" s="8">
        <v>843</v>
      </c>
      <c r="AM103" s="8">
        <v>148</v>
      </c>
      <c r="AN103" s="8">
        <v>24771</v>
      </c>
      <c r="AO103" s="8">
        <v>614.33333333333337</v>
      </c>
      <c r="AP103" s="8">
        <v>1457</v>
      </c>
      <c r="AQ103" s="2">
        <v>4.9000000000000004</v>
      </c>
      <c r="AR103" s="2">
        <v>5.8</v>
      </c>
      <c r="AS103" s="2" t="e">
        <v>#N/A</v>
      </c>
      <c r="AT103" s="8">
        <v>73</v>
      </c>
      <c r="AU103" s="8">
        <v>63</v>
      </c>
      <c r="AV103" s="8">
        <v>314</v>
      </c>
      <c r="AW103" s="8">
        <v>47277</v>
      </c>
      <c r="AX103" s="2">
        <v>63</v>
      </c>
      <c r="AY103" s="2">
        <v>72.8</v>
      </c>
      <c r="AZ103" s="2">
        <v>32</v>
      </c>
      <c r="BA103" s="8">
        <v>353.33333333333331</v>
      </c>
      <c r="BB103" s="8">
        <v>28304</v>
      </c>
      <c r="BC103" s="8">
        <v>24457</v>
      </c>
      <c r="BD103" s="8" t="e">
        <v>#N/A</v>
      </c>
      <c r="BE103" s="8">
        <v>27090</v>
      </c>
      <c r="BF103" s="8">
        <v>566</v>
      </c>
      <c r="BG103" s="8">
        <v>2186</v>
      </c>
      <c r="BH103" s="8">
        <v>1457</v>
      </c>
    </row>
    <row r="104" spans="1:60" x14ac:dyDescent="0.25">
      <c r="A104" t="s">
        <v>670</v>
      </c>
      <c r="B104" s="8">
        <v>5970</v>
      </c>
      <c r="C104" s="8">
        <v>22479</v>
      </c>
      <c r="D104" s="8">
        <v>28449</v>
      </c>
      <c r="E104" s="8">
        <v>5534</v>
      </c>
      <c r="F104" s="8">
        <v>22915</v>
      </c>
      <c r="G104" s="2">
        <v>21</v>
      </c>
      <c r="H104" s="2">
        <v>79</v>
      </c>
      <c r="I104" s="2">
        <v>19.5</v>
      </c>
      <c r="J104" s="2">
        <v>80.5</v>
      </c>
      <c r="K104" s="8">
        <v>79</v>
      </c>
      <c r="L104" s="8">
        <v>219</v>
      </c>
      <c r="M104" s="8">
        <v>260</v>
      </c>
      <c r="N104" s="8">
        <v>1267</v>
      </c>
      <c r="O104" s="8">
        <v>1560</v>
      </c>
      <c r="P104" s="8">
        <v>1426</v>
      </c>
      <c r="Q104" s="8">
        <v>365</v>
      </c>
      <c r="R104" s="8">
        <v>794</v>
      </c>
      <c r="S104" s="8">
        <v>30976</v>
      </c>
      <c r="T104" s="8">
        <v>357</v>
      </c>
      <c r="U104" s="8">
        <v>58</v>
      </c>
      <c r="V104" s="8">
        <v>3314</v>
      </c>
      <c r="W104" s="8">
        <v>88</v>
      </c>
      <c r="X104" s="8">
        <v>155</v>
      </c>
      <c r="Y104" s="8">
        <v>2111</v>
      </c>
      <c r="Z104" s="8">
        <v>5034</v>
      </c>
      <c r="AA104" s="8">
        <v>1420</v>
      </c>
      <c r="AB104" s="8">
        <v>2009</v>
      </c>
      <c r="AC104" s="8">
        <v>1203</v>
      </c>
      <c r="AD104" s="8">
        <v>1174</v>
      </c>
      <c r="AE104" s="8">
        <v>356</v>
      </c>
      <c r="AF104" s="8">
        <v>2003</v>
      </c>
      <c r="AG104" s="8">
        <v>2252</v>
      </c>
      <c r="AH104" s="8">
        <v>1769</v>
      </c>
      <c r="AI104" s="8">
        <v>2474</v>
      </c>
      <c r="AJ104" s="8">
        <v>3373</v>
      </c>
      <c r="AK104" s="8">
        <v>817</v>
      </c>
      <c r="AL104" s="8">
        <v>836</v>
      </c>
      <c r="AM104" s="8">
        <v>175</v>
      </c>
      <c r="AN104" s="8">
        <v>24894</v>
      </c>
      <c r="AO104" s="8">
        <v>593</v>
      </c>
      <c r="AP104" s="8">
        <v>1434</v>
      </c>
      <c r="AQ104" s="2">
        <v>4.8</v>
      </c>
      <c r="AR104" s="2">
        <v>5.9</v>
      </c>
      <c r="AS104" s="2" t="e">
        <v>#N/A</v>
      </c>
      <c r="AT104" s="8">
        <v>64</v>
      </c>
      <c r="AU104" s="8">
        <v>63</v>
      </c>
      <c r="AV104" s="8">
        <v>307</v>
      </c>
      <c r="AW104" s="8">
        <v>47368</v>
      </c>
      <c r="AX104" s="2">
        <v>63.1</v>
      </c>
      <c r="AY104" s="2">
        <v>73</v>
      </c>
      <c r="AZ104" s="2">
        <v>32.1</v>
      </c>
      <c r="BA104" s="8">
        <v>354</v>
      </c>
      <c r="BB104" s="8">
        <v>28459</v>
      </c>
      <c r="BC104" s="8">
        <v>24622</v>
      </c>
      <c r="BD104" s="8" t="e">
        <v>#N/A</v>
      </c>
      <c r="BE104" s="8">
        <v>27163</v>
      </c>
      <c r="BF104" s="8">
        <v>571</v>
      </c>
      <c r="BG104" s="8">
        <v>2133</v>
      </c>
      <c r="BH104" s="8">
        <v>1434</v>
      </c>
    </row>
    <row r="105" spans="1:60" x14ac:dyDescent="0.25">
      <c r="A105" t="s">
        <v>671</v>
      </c>
      <c r="B105" s="8">
        <v>5995</v>
      </c>
      <c r="C105" s="8">
        <v>22469</v>
      </c>
      <c r="D105" s="8">
        <v>28464</v>
      </c>
      <c r="E105" s="8">
        <v>5545</v>
      </c>
      <c r="F105" s="8">
        <v>22919</v>
      </c>
      <c r="G105" s="2">
        <v>21.1</v>
      </c>
      <c r="H105" s="2">
        <v>78.900000000000006</v>
      </c>
      <c r="I105" s="2">
        <v>19.5</v>
      </c>
      <c r="J105" s="2">
        <v>80.5</v>
      </c>
      <c r="K105" s="8">
        <v>78</v>
      </c>
      <c r="L105" s="8">
        <v>218</v>
      </c>
      <c r="M105" s="8">
        <v>264</v>
      </c>
      <c r="N105" s="8">
        <v>1270</v>
      </c>
      <c r="O105" s="8">
        <v>1569</v>
      </c>
      <c r="P105" s="8">
        <v>1430</v>
      </c>
      <c r="Q105" s="8">
        <v>364</v>
      </c>
      <c r="R105" s="8">
        <v>803</v>
      </c>
      <c r="S105" s="8">
        <v>31030</v>
      </c>
      <c r="T105" s="8">
        <v>358</v>
      </c>
      <c r="U105" s="8">
        <v>58</v>
      </c>
      <c r="V105" s="8">
        <v>3290</v>
      </c>
      <c r="W105" s="8">
        <v>83</v>
      </c>
      <c r="X105" s="8">
        <v>155</v>
      </c>
      <c r="Y105" s="8">
        <v>2121</v>
      </c>
      <c r="Z105" s="8">
        <v>5029</v>
      </c>
      <c r="AA105" s="8">
        <v>1427</v>
      </c>
      <c r="AB105" s="8">
        <v>2002</v>
      </c>
      <c r="AC105" s="8">
        <v>1186</v>
      </c>
      <c r="AD105" s="8">
        <v>1177</v>
      </c>
      <c r="AE105" s="8">
        <v>359</v>
      </c>
      <c r="AF105" s="8">
        <v>2016</v>
      </c>
      <c r="AG105" s="8">
        <v>2294</v>
      </c>
      <c r="AH105" s="8">
        <v>1766</v>
      </c>
      <c r="AI105" s="8">
        <v>2485</v>
      </c>
      <c r="AJ105" s="8">
        <v>3398</v>
      </c>
      <c r="AK105" s="8">
        <v>823</v>
      </c>
      <c r="AL105" s="8">
        <v>828</v>
      </c>
      <c r="AM105" s="8">
        <v>175</v>
      </c>
      <c r="AN105" s="8">
        <v>24965</v>
      </c>
      <c r="AO105" s="8">
        <v>645</v>
      </c>
      <c r="AP105" s="8">
        <v>1437</v>
      </c>
      <c r="AQ105" s="2">
        <v>4.8</v>
      </c>
      <c r="AR105" s="2">
        <v>6</v>
      </c>
      <c r="AS105" s="2" t="e">
        <v>#N/A</v>
      </c>
      <c r="AT105" s="8">
        <v>66</v>
      </c>
      <c r="AU105" s="8">
        <v>55</v>
      </c>
      <c r="AV105" s="8">
        <v>286</v>
      </c>
      <c r="AW105" s="8">
        <v>47459</v>
      </c>
      <c r="AX105" s="2">
        <v>63</v>
      </c>
      <c r="AY105" s="2">
        <v>72.900000000000006</v>
      </c>
      <c r="AZ105" s="2">
        <v>32</v>
      </c>
      <c r="BA105" s="8">
        <v>361</v>
      </c>
      <c r="BB105" s="8">
        <v>28470</v>
      </c>
      <c r="BC105" s="8">
        <v>24581</v>
      </c>
      <c r="BD105" s="8" t="e">
        <v>#N/A</v>
      </c>
      <c r="BE105" s="8">
        <v>27223</v>
      </c>
      <c r="BF105" s="8">
        <v>533</v>
      </c>
      <c r="BG105" s="8">
        <v>2080</v>
      </c>
      <c r="BH105" s="8">
        <v>1437</v>
      </c>
    </row>
    <row r="106" spans="1:60" x14ac:dyDescent="0.25">
      <c r="A106" t="s">
        <v>672</v>
      </c>
      <c r="B106" s="8">
        <v>6026</v>
      </c>
      <c r="C106" s="8">
        <v>22518</v>
      </c>
      <c r="D106" s="8">
        <v>28544</v>
      </c>
      <c r="E106" s="8">
        <v>5577</v>
      </c>
      <c r="F106" s="8">
        <v>22967</v>
      </c>
      <c r="G106" s="2">
        <v>21.1</v>
      </c>
      <c r="H106" s="2">
        <v>78.900000000000006</v>
      </c>
      <c r="I106" s="2">
        <v>19.5</v>
      </c>
      <c r="J106" s="2">
        <v>80.5</v>
      </c>
      <c r="K106" s="8">
        <v>76</v>
      </c>
      <c r="L106" s="8">
        <v>216</v>
      </c>
      <c r="M106" s="8">
        <v>265</v>
      </c>
      <c r="N106" s="8">
        <v>1279</v>
      </c>
      <c r="O106" s="8">
        <v>1573</v>
      </c>
      <c r="P106" s="8">
        <v>1443</v>
      </c>
      <c r="Q106" s="8">
        <v>368</v>
      </c>
      <c r="R106" s="8">
        <v>805</v>
      </c>
      <c r="S106" s="8">
        <v>31065</v>
      </c>
      <c r="T106" s="8">
        <v>372</v>
      </c>
      <c r="U106" s="8">
        <v>61</v>
      </c>
      <c r="V106" s="8">
        <v>3238</v>
      </c>
      <c r="W106" s="8">
        <v>80</v>
      </c>
      <c r="X106" s="8">
        <v>155</v>
      </c>
      <c r="Y106" s="8">
        <v>2128</v>
      </c>
      <c r="Z106" s="8">
        <v>5027</v>
      </c>
      <c r="AA106" s="8">
        <v>1435</v>
      </c>
      <c r="AB106" s="8">
        <v>2008</v>
      </c>
      <c r="AC106" s="8">
        <v>1174</v>
      </c>
      <c r="AD106" s="8">
        <v>1170</v>
      </c>
      <c r="AE106" s="8">
        <v>361</v>
      </c>
      <c r="AF106" s="8">
        <v>2032</v>
      </c>
      <c r="AG106" s="8">
        <v>2320</v>
      </c>
      <c r="AH106" s="8">
        <v>1778</v>
      </c>
      <c r="AI106" s="8">
        <v>2482</v>
      </c>
      <c r="AJ106" s="8">
        <v>3448</v>
      </c>
      <c r="AK106" s="8">
        <v>808</v>
      </c>
      <c r="AL106" s="8">
        <v>826</v>
      </c>
      <c r="AM106" s="8">
        <v>159</v>
      </c>
      <c r="AN106" s="8">
        <v>25030</v>
      </c>
      <c r="AO106" s="8">
        <v>679.33333333333337</v>
      </c>
      <c r="AP106" s="8">
        <v>1401</v>
      </c>
      <c r="AQ106" s="2">
        <v>4.7</v>
      </c>
      <c r="AR106" s="2">
        <v>5.3</v>
      </c>
      <c r="AS106" s="2" t="e">
        <v>#N/A</v>
      </c>
      <c r="AT106" s="8">
        <v>51</v>
      </c>
      <c r="AU106" s="8">
        <v>57</v>
      </c>
      <c r="AV106" s="8">
        <v>277</v>
      </c>
      <c r="AW106" s="8">
        <v>47570</v>
      </c>
      <c r="AX106" s="2">
        <v>62.9</v>
      </c>
      <c r="AY106" s="2">
        <v>72.900000000000006</v>
      </c>
      <c r="AZ106" s="2">
        <v>32</v>
      </c>
      <c r="BA106" s="8">
        <v>365.33333333333331</v>
      </c>
      <c r="BB106" s="8">
        <v>28518</v>
      </c>
      <c r="BC106" s="8">
        <v>24714</v>
      </c>
      <c r="BD106" s="8" t="e">
        <v>#N/A</v>
      </c>
      <c r="BE106" s="8">
        <v>27292</v>
      </c>
      <c r="BF106" s="8">
        <v>555</v>
      </c>
      <c r="BG106" s="8">
        <v>2115</v>
      </c>
      <c r="BH106" s="8">
        <v>1401</v>
      </c>
    </row>
    <row r="107" spans="1:60" x14ac:dyDescent="0.25">
      <c r="A107" t="s">
        <v>673</v>
      </c>
      <c r="B107" s="8">
        <v>6039</v>
      </c>
      <c r="C107" s="8">
        <v>22687</v>
      </c>
      <c r="D107" s="8">
        <v>28726</v>
      </c>
      <c r="E107" s="8">
        <v>5597</v>
      </c>
      <c r="F107" s="8">
        <v>23129</v>
      </c>
      <c r="G107" s="2">
        <v>21</v>
      </c>
      <c r="H107" s="2">
        <v>79</v>
      </c>
      <c r="I107" s="2">
        <v>19.5</v>
      </c>
      <c r="J107" s="2">
        <v>80.5</v>
      </c>
      <c r="K107" s="8">
        <v>75</v>
      </c>
      <c r="L107" s="8">
        <v>214</v>
      </c>
      <c r="M107" s="8">
        <v>267</v>
      </c>
      <c r="N107" s="8">
        <v>1278</v>
      </c>
      <c r="O107" s="8">
        <v>1576</v>
      </c>
      <c r="P107" s="8">
        <v>1456</v>
      </c>
      <c r="Q107" s="8">
        <v>368</v>
      </c>
      <c r="R107" s="8">
        <v>805</v>
      </c>
      <c r="S107" s="8">
        <v>31215</v>
      </c>
      <c r="T107" s="8">
        <v>373</v>
      </c>
      <c r="U107" s="8">
        <v>59</v>
      </c>
      <c r="V107" s="8">
        <v>3207</v>
      </c>
      <c r="W107" s="8">
        <v>77</v>
      </c>
      <c r="X107" s="8">
        <v>158</v>
      </c>
      <c r="Y107" s="8">
        <v>2184</v>
      </c>
      <c r="Z107" s="8">
        <v>5065</v>
      </c>
      <c r="AA107" s="8">
        <v>1444</v>
      </c>
      <c r="AB107" s="8">
        <v>2021</v>
      </c>
      <c r="AC107" s="8">
        <v>1164</v>
      </c>
      <c r="AD107" s="8">
        <v>1172</v>
      </c>
      <c r="AE107" s="8">
        <v>369</v>
      </c>
      <c r="AF107" s="8">
        <v>2036</v>
      </c>
      <c r="AG107" s="8">
        <v>2342</v>
      </c>
      <c r="AH107" s="8">
        <v>1779</v>
      </c>
      <c r="AI107" s="8">
        <v>2493</v>
      </c>
      <c r="AJ107" s="8">
        <v>3471</v>
      </c>
      <c r="AK107" s="8">
        <v>816</v>
      </c>
      <c r="AL107" s="8">
        <v>827</v>
      </c>
      <c r="AM107" s="8">
        <v>160</v>
      </c>
      <c r="AN107" s="8">
        <v>25157</v>
      </c>
      <c r="AO107" s="8">
        <v>661</v>
      </c>
      <c r="AP107" s="8">
        <v>1423</v>
      </c>
      <c r="AQ107" s="2">
        <v>4.7</v>
      </c>
      <c r="AR107" s="2">
        <v>5.8</v>
      </c>
      <c r="AS107" s="2" t="e">
        <v>#N/A</v>
      </c>
      <c r="AT107" s="8">
        <v>60</v>
      </c>
      <c r="AU107" s="8">
        <v>66</v>
      </c>
      <c r="AV107" s="8">
        <v>279</v>
      </c>
      <c r="AW107" s="8">
        <v>47689</v>
      </c>
      <c r="AX107" s="2">
        <v>63.1</v>
      </c>
      <c r="AY107" s="2">
        <v>73</v>
      </c>
      <c r="AZ107" s="2">
        <v>32.200000000000003</v>
      </c>
      <c r="BA107" s="8">
        <v>370.33333333333331</v>
      </c>
      <c r="BB107" s="8">
        <v>28673</v>
      </c>
      <c r="BC107" s="8">
        <v>24830</v>
      </c>
      <c r="BD107" s="8" t="e">
        <v>#N/A</v>
      </c>
      <c r="BE107" s="8">
        <v>27438</v>
      </c>
      <c r="BF107" s="8">
        <v>538</v>
      </c>
      <c r="BG107" s="8">
        <v>2073</v>
      </c>
      <c r="BH107" s="8">
        <v>1423</v>
      </c>
    </row>
    <row r="108" spans="1:60" x14ac:dyDescent="0.25">
      <c r="A108" t="s">
        <v>674</v>
      </c>
      <c r="B108" s="8">
        <v>6059</v>
      </c>
      <c r="C108" s="8">
        <v>22700</v>
      </c>
      <c r="D108" s="8">
        <v>28759</v>
      </c>
      <c r="E108" s="8">
        <v>5615</v>
      </c>
      <c r="F108" s="8">
        <v>23144</v>
      </c>
      <c r="G108" s="2">
        <v>21.1</v>
      </c>
      <c r="H108" s="2">
        <v>78.900000000000006</v>
      </c>
      <c r="I108" s="2">
        <v>19.5</v>
      </c>
      <c r="J108" s="2">
        <v>80.5</v>
      </c>
      <c r="K108" s="8">
        <v>74</v>
      </c>
      <c r="L108" s="8">
        <v>212</v>
      </c>
      <c r="M108" s="8">
        <v>271</v>
      </c>
      <c r="N108" s="8">
        <v>1280</v>
      </c>
      <c r="O108" s="8">
        <v>1581</v>
      </c>
      <c r="P108" s="8">
        <v>1466</v>
      </c>
      <c r="Q108" s="8">
        <v>370</v>
      </c>
      <c r="R108" s="8">
        <v>807</v>
      </c>
      <c r="S108" s="8">
        <v>31353</v>
      </c>
      <c r="T108" s="8">
        <v>396</v>
      </c>
      <c r="U108" s="8">
        <v>58</v>
      </c>
      <c r="V108" s="8">
        <v>3174</v>
      </c>
      <c r="W108" s="8">
        <v>75</v>
      </c>
      <c r="X108" s="8">
        <v>160</v>
      </c>
      <c r="Y108" s="8">
        <v>2218</v>
      </c>
      <c r="Z108" s="8">
        <v>5053</v>
      </c>
      <c r="AA108" s="8">
        <v>1456</v>
      </c>
      <c r="AB108" s="8">
        <v>2023</v>
      </c>
      <c r="AC108" s="8">
        <v>1185</v>
      </c>
      <c r="AD108" s="8">
        <v>1178</v>
      </c>
      <c r="AE108" s="8">
        <v>372</v>
      </c>
      <c r="AF108" s="8">
        <v>2066</v>
      </c>
      <c r="AG108" s="8">
        <v>2355</v>
      </c>
      <c r="AH108" s="8">
        <v>1787</v>
      </c>
      <c r="AI108" s="8">
        <v>2503</v>
      </c>
      <c r="AJ108" s="8">
        <v>3499</v>
      </c>
      <c r="AK108" s="8">
        <v>821</v>
      </c>
      <c r="AL108" s="8">
        <v>827</v>
      </c>
      <c r="AM108" s="8">
        <v>147</v>
      </c>
      <c r="AN108" s="8">
        <v>25273</v>
      </c>
      <c r="AO108" s="8">
        <v>613.66666666666663</v>
      </c>
      <c r="AP108" s="8">
        <v>1416</v>
      </c>
      <c r="AQ108" s="2">
        <v>4.7</v>
      </c>
      <c r="AR108" s="2">
        <v>5.6</v>
      </c>
      <c r="AS108" s="2">
        <v>1.9333333333333333</v>
      </c>
      <c r="AT108" s="8">
        <v>58</v>
      </c>
      <c r="AU108" s="8">
        <v>64</v>
      </c>
      <c r="AV108" s="8">
        <v>296</v>
      </c>
      <c r="AW108" s="8">
        <v>47811</v>
      </c>
      <c r="AX108" s="2">
        <v>63.2</v>
      </c>
      <c r="AY108" s="2">
        <v>73.099999999999994</v>
      </c>
      <c r="AZ108" s="2">
        <v>32.200000000000003</v>
      </c>
      <c r="BA108" s="8">
        <v>371</v>
      </c>
      <c r="BB108" s="8">
        <v>28789</v>
      </c>
      <c r="BC108" s="8">
        <v>24949</v>
      </c>
      <c r="BD108" s="8" t="e">
        <v>#N/A</v>
      </c>
      <c r="BE108" s="8">
        <v>27576</v>
      </c>
      <c r="BF108" s="8">
        <v>568</v>
      </c>
      <c r="BG108" s="8">
        <v>2040</v>
      </c>
      <c r="BH108" s="8">
        <v>1416</v>
      </c>
    </row>
    <row r="109" spans="1:60" x14ac:dyDescent="0.25">
      <c r="A109" t="s">
        <v>675</v>
      </c>
      <c r="B109" s="8">
        <v>6090</v>
      </c>
      <c r="C109" s="8">
        <v>22765</v>
      </c>
      <c r="D109" s="8">
        <v>28855</v>
      </c>
      <c r="E109" s="8">
        <v>5646</v>
      </c>
      <c r="F109" s="8">
        <v>23209</v>
      </c>
      <c r="G109" s="2">
        <v>21.1</v>
      </c>
      <c r="H109" s="2">
        <v>78.900000000000006</v>
      </c>
      <c r="I109" s="2">
        <v>19.600000000000001</v>
      </c>
      <c r="J109" s="2">
        <v>80.400000000000006</v>
      </c>
      <c r="K109" s="8">
        <v>72</v>
      </c>
      <c r="L109" s="8">
        <v>210</v>
      </c>
      <c r="M109" s="8">
        <v>272</v>
      </c>
      <c r="N109" s="8">
        <v>1287</v>
      </c>
      <c r="O109" s="8">
        <v>1583</v>
      </c>
      <c r="P109" s="8">
        <v>1480</v>
      </c>
      <c r="Q109" s="8">
        <v>372</v>
      </c>
      <c r="R109" s="8">
        <v>814</v>
      </c>
      <c r="S109" s="8">
        <v>31401</v>
      </c>
      <c r="T109" s="8">
        <v>389</v>
      </c>
      <c r="U109" s="8">
        <v>58</v>
      </c>
      <c r="V109" s="8">
        <v>3120</v>
      </c>
      <c r="W109" s="8">
        <v>73</v>
      </c>
      <c r="X109" s="8">
        <v>158</v>
      </c>
      <c r="Y109" s="8">
        <v>2198</v>
      </c>
      <c r="Z109" s="8">
        <v>5044</v>
      </c>
      <c r="AA109" s="8">
        <v>1471</v>
      </c>
      <c r="AB109" s="8">
        <v>2005</v>
      </c>
      <c r="AC109" s="8">
        <v>1188</v>
      </c>
      <c r="AD109" s="8">
        <v>1166</v>
      </c>
      <c r="AE109" s="8">
        <v>389</v>
      </c>
      <c r="AF109" s="8">
        <v>2105</v>
      </c>
      <c r="AG109" s="8">
        <v>2376</v>
      </c>
      <c r="AH109" s="8">
        <v>1786</v>
      </c>
      <c r="AI109" s="8">
        <v>2517</v>
      </c>
      <c r="AJ109" s="8">
        <v>3528</v>
      </c>
      <c r="AK109" s="8">
        <v>849</v>
      </c>
      <c r="AL109" s="8">
        <v>826</v>
      </c>
      <c r="AM109" s="8">
        <v>155</v>
      </c>
      <c r="AN109" s="8">
        <v>25404</v>
      </c>
      <c r="AO109" s="8">
        <v>645.33333333333337</v>
      </c>
      <c r="AP109" s="8">
        <v>1437</v>
      </c>
      <c r="AQ109" s="2">
        <v>4.8</v>
      </c>
      <c r="AR109" s="2">
        <v>5.2</v>
      </c>
      <c r="AS109" s="2">
        <v>1.1333333333333333</v>
      </c>
      <c r="AT109" s="8">
        <v>44</v>
      </c>
      <c r="AU109" s="8">
        <v>63</v>
      </c>
      <c r="AV109" s="8">
        <v>313</v>
      </c>
      <c r="AW109" s="8">
        <v>47932</v>
      </c>
      <c r="AX109" s="2">
        <v>63.1</v>
      </c>
      <c r="AY109" s="2">
        <v>72.900000000000006</v>
      </c>
      <c r="AZ109" s="2">
        <v>32.1</v>
      </c>
      <c r="BA109" s="8">
        <v>375</v>
      </c>
      <c r="BB109" s="8">
        <v>28802</v>
      </c>
      <c r="BC109" s="8">
        <v>24974</v>
      </c>
      <c r="BD109" s="8" t="e">
        <v>#N/A</v>
      </c>
      <c r="BE109" s="8">
        <v>27624</v>
      </c>
      <c r="BF109" s="8">
        <v>588</v>
      </c>
      <c r="BG109" s="8">
        <v>2144</v>
      </c>
      <c r="BH109" s="8">
        <v>1437</v>
      </c>
    </row>
    <row r="110" spans="1:60" x14ac:dyDescent="0.25">
      <c r="A110" t="s">
        <v>676</v>
      </c>
      <c r="B110" s="8">
        <v>6091</v>
      </c>
      <c r="C110" s="8">
        <v>22822</v>
      </c>
      <c r="D110" s="8">
        <v>28913</v>
      </c>
      <c r="E110" s="8">
        <v>5640</v>
      </c>
      <c r="F110" s="8">
        <v>23273</v>
      </c>
      <c r="G110" s="2">
        <v>21.1</v>
      </c>
      <c r="H110" s="2">
        <v>78.900000000000006</v>
      </c>
      <c r="I110" s="2">
        <v>19.5</v>
      </c>
      <c r="J110" s="2">
        <v>80.5</v>
      </c>
      <c r="K110" s="8">
        <v>69</v>
      </c>
      <c r="L110" s="8">
        <v>208</v>
      </c>
      <c r="M110" s="8">
        <v>271</v>
      </c>
      <c r="N110" s="8">
        <v>1284</v>
      </c>
      <c r="O110" s="8">
        <v>1593</v>
      </c>
      <c r="P110" s="8">
        <v>1485</v>
      </c>
      <c r="Q110" s="8">
        <v>366</v>
      </c>
      <c r="R110" s="8">
        <v>815</v>
      </c>
      <c r="S110" s="8">
        <v>31543</v>
      </c>
      <c r="T110" s="8">
        <v>384</v>
      </c>
      <c r="U110" s="8">
        <v>60</v>
      </c>
      <c r="V110" s="8">
        <v>3099</v>
      </c>
      <c r="W110" s="8">
        <v>75</v>
      </c>
      <c r="X110" s="8">
        <v>158</v>
      </c>
      <c r="Y110" s="8">
        <v>2236</v>
      </c>
      <c r="Z110" s="8">
        <v>5053</v>
      </c>
      <c r="AA110" s="8">
        <v>1479</v>
      </c>
      <c r="AB110" s="8">
        <v>2012</v>
      </c>
      <c r="AC110" s="8">
        <v>1186</v>
      </c>
      <c r="AD110" s="8">
        <v>1162</v>
      </c>
      <c r="AE110" s="8">
        <v>392</v>
      </c>
      <c r="AF110" s="8">
        <v>2143</v>
      </c>
      <c r="AG110" s="8">
        <v>2399</v>
      </c>
      <c r="AH110" s="8">
        <v>1778</v>
      </c>
      <c r="AI110" s="8">
        <v>2547</v>
      </c>
      <c r="AJ110" s="8">
        <v>3549</v>
      </c>
      <c r="AK110" s="8">
        <v>849</v>
      </c>
      <c r="AL110" s="8">
        <v>827</v>
      </c>
      <c r="AM110" s="8">
        <v>155</v>
      </c>
      <c r="AN110" s="8">
        <v>25531</v>
      </c>
      <c r="AO110" s="8">
        <v>646</v>
      </c>
      <c r="AP110" s="8">
        <v>1437</v>
      </c>
      <c r="AQ110" s="2">
        <v>4.7</v>
      </c>
      <c r="AR110" s="2">
        <v>6.2</v>
      </c>
      <c r="AS110" s="2">
        <v>0.46666666666666662</v>
      </c>
      <c r="AT110" s="8">
        <v>44</v>
      </c>
      <c r="AU110" s="8">
        <v>58</v>
      </c>
      <c r="AV110" s="8">
        <v>290</v>
      </c>
      <c r="AW110" s="8">
        <v>48044</v>
      </c>
      <c r="AX110" s="2">
        <v>63.2</v>
      </c>
      <c r="AY110" s="2">
        <v>73</v>
      </c>
      <c r="AZ110" s="2">
        <v>32.200000000000003</v>
      </c>
      <c r="BA110" s="8">
        <v>382.33333333333331</v>
      </c>
      <c r="BB110" s="8">
        <v>28928</v>
      </c>
      <c r="BC110" s="8">
        <v>25066</v>
      </c>
      <c r="BD110" s="8" t="e">
        <v>#N/A</v>
      </c>
      <c r="BE110" s="8">
        <v>27732</v>
      </c>
      <c r="BF110" s="8">
        <v>598</v>
      </c>
      <c r="BG110" s="8">
        <v>2117</v>
      </c>
      <c r="BH110" s="8">
        <v>1437</v>
      </c>
    </row>
    <row r="111" spans="1:60" x14ac:dyDescent="0.25">
      <c r="A111" t="s">
        <v>677</v>
      </c>
      <c r="B111" s="8">
        <v>6087</v>
      </c>
      <c r="C111" s="8">
        <v>22847</v>
      </c>
      <c r="D111" s="8">
        <v>28934</v>
      </c>
      <c r="E111" s="8">
        <v>5646</v>
      </c>
      <c r="F111" s="8">
        <v>23288</v>
      </c>
      <c r="G111" s="2">
        <v>21</v>
      </c>
      <c r="H111" s="2">
        <v>79</v>
      </c>
      <c r="I111" s="2">
        <v>19.5</v>
      </c>
      <c r="J111" s="2">
        <v>80.5</v>
      </c>
      <c r="K111" s="8">
        <v>68</v>
      </c>
      <c r="L111" s="8">
        <v>206</v>
      </c>
      <c r="M111" s="8">
        <v>274</v>
      </c>
      <c r="N111" s="8">
        <v>1284</v>
      </c>
      <c r="O111" s="8">
        <v>1599</v>
      </c>
      <c r="P111" s="8">
        <v>1488</v>
      </c>
      <c r="Q111" s="8">
        <v>366</v>
      </c>
      <c r="R111" s="8">
        <v>801</v>
      </c>
      <c r="S111" s="8">
        <v>31633</v>
      </c>
      <c r="T111" s="8">
        <v>386</v>
      </c>
      <c r="U111" s="8">
        <v>61</v>
      </c>
      <c r="V111" s="8">
        <v>3085</v>
      </c>
      <c r="W111" s="8">
        <v>73</v>
      </c>
      <c r="X111" s="8">
        <v>155</v>
      </c>
      <c r="Y111" s="8">
        <v>2241</v>
      </c>
      <c r="Z111" s="8">
        <v>5024</v>
      </c>
      <c r="AA111" s="8">
        <v>1494</v>
      </c>
      <c r="AB111" s="8">
        <v>1994</v>
      </c>
      <c r="AC111" s="8">
        <v>1195</v>
      </c>
      <c r="AD111" s="8">
        <v>1154</v>
      </c>
      <c r="AE111" s="8">
        <v>400</v>
      </c>
      <c r="AF111" s="8">
        <v>2185</v>
      </c>
      <c r="AG111" s="8">
        <v>2428</v>
      </c>
      <c r="AH111" s="8">
        <v>1781</v>
      </c>
      <c r="AI111" s="8">
        <v>2570</v>
      </c>
      <c r="AJ111" s="8">
        <v>3569</v>
      </c>
      <c r="AK111" s="8">
        <v>858</v>
      </c>
      <c r="AL111" s="8">
        <v>837</v>
      </c>
      <c r="AM111" s="8">
        <v>144</v>
      </c>
      <c r="AN111" s="8">
        <v>25632</v>
      </c>
      <c r="AO111" s="8">
        <v>607.66666666666663</v>
      </c>
      <c r="AP111" s="8">
        <v>1567</v>
      </c>
      <c r="AQ111" s="2">
        <v>5.0999999999999996</v>
      </c>
      <c r="AR111" s="2">
        <v>5.8</v>
      </c>
      <c r="AS111" s="2">
        <v>-0.23333333333333331</v>
      </c>
      <c r="AT111" s="8">
        <v>46</v>
      </c>
      <c r="AU111" s="8">
        <v>61</v>
      </c>
      <c r="AV111" s="8">
        <v>331</v>
      </c>
      <c r="AW111" s="8">
        <v>48150</v>
      </c>
      <c r="AX111" s="2">
        <v>63.2</v>
      </c>
      <c r="AY111" s="2">
        <v>72.7</v>
      </c>
      <c r="AZ111" s="2">
        <v>32.200000000000003</v>
      </c>
      <c r="BA111" s="8">
        <v>386</v>
      </c>
      <c r="BB111" s="8">
        <v>28880</v>
      </c>
      <c r="BC111" s="8">
        <v>24999</v>
      </c>
      <c r="BD111" s="8" t="e">
        <v>#N/A</v>
      </c>
      <c r="BE111" s="8">
        <v>27787</v>
      </c>
      <c r="BF111" s="8">
        <v>606</v>
      </c>
      <c r="BG111" s="8">
        <v>2129</v>
      </c>
      <c r="BH111" s="8">
        <v>1567</v>
      </c>
    </row>
    <row r="112" spans="1:60" x14ac:dyDescent="0.25">
      <c r="A112" t="s">
        <v>678</v>
      </c>
      <c r="B112" s="8">
        <v>6072</v>
      </c>
      <c r="C112" s="8">
        <v>23013</v>
      </c>
      <c r="D112" s="8">
        <v>29085</v>
      </c>
      <c r="E112" s="8">
        <v>5631</v>
      </c>
      <c r="F112" s="8">
        <v>23454</v>
      </c>
      <c r="G112" s="2">
        <v>20.9</v>
      </c>
      <c r="H112" s="2">
        <v>79.099999999999994</v>
      </c>
      <c r="I112" s="2">
        <v>19.399999999999999</v>
      </c>
      <c r="J112" s="2">
        <v>80.599999999999994</v>
      </c>
      <c r="K112" s="8">
        <v>67</v>
      </c>
      <c r="L112" s="8">
        <v>205</v>
      </c>
      <c r="M112" s="8">
        <v>274</v>
      </c>
      <c r="N112" s="8">
        <v>1284</v>
      </c>
      <c r="O112" s="8">
        <v>1603</v>
      </c>
      <c r="P112" s="8">
        <v>1484</v>
      </c>
      <c r="Q112" s="8">
        <v>364</v>
      </c>
      <c r="R112" s="8">
        <v>794</v>
      </c>
      <c r="S112" s="8">
        <v>31702</v>
      </c>
      <c r="T112" s="8">
        <v>374</v>
      </c>
      <c r="U112" s="8">
        <v>59</v>
      </c>
      <c r="V112" s="8">
        <v>3042</v>
      </c>
      <c r="W112" s="8">
        <v>73</v>
      </c>
      <c r="X112" s="8">
        <v>159</v>
      </c>
      <c r="Y112" s="8">
        <v>2256</v>
      </c>
      <c r="Z112" s="8">
        <v>5033</v>
      </c>
      <c r="AA112" s="8">
        <v>1507</v>
      </c>
      <c r="AB112" s="8">
        <v>2006</v>
      </c>
      <c r="AC112" s="8">
        <v>1218</v>
      </c>
      <c r="AD112" s="8">
        <v>1159</v>
      </c>
      <c r="AE112" s="8">
        <v>412</v>
      </c>
      <c r="AF112" s="8">
        <v>2191</v>
      </c>
      <c r="AG112" s="8">
        <v>2423</v>
      </c>
      <c r="AH112" s="8">
        <v>1783</v>
      </c>
      <c r="AI112" s="8">
        <v>2586</v>
      </c>
      <c r="AJ112" s="8">
        <v>3591</v>
      </c>
      <c r="AK112" s="8">
        <v>859</v>
      </c>
      <c r="AL112" s="8">
        <v>837</v>
      </c>
      <c r="AM112" s="8">
        <v>136</v>
      </c>
      <c r="AN112" s="8">
        <v>25739</v>
      </c>
      <c r="AO112" s="8">
        <v>571.33333333333337</v>
      </c>
      <c r="AP112" s="8">
        <v>1604</v>
      </c>
      <c r="AQ112" s="2">
        <v>5.2</v>
      </c>
      <c r="AR112" s="2">
        <v>5.9</v>
      </c>
      <c r="AS112" s="2">
        <v>-0.5</v>
      </c>
      <c r="AT112" s="8">
        <v>39</v>
      </c>
      <c r="AU112" s="8">
        <v>62</v>
      </c>
      <c r="AV112" s="8">
        <v>339</v>
      </c>
      <c r="AW112" s="8">
        <v>48257</v>
      </c>
      <c r="AX112" s="2">
        <v>63.5</v>
      </c>
      <c r="AY112" s="2">
        <v>72.900000000000006</v>
      </c>
      <c r="AZ112" s="2">
        <v>32.1</v>
      </c>
      <c r="BA112" s="8">
        <v>389.66666666666669</v>
      </c>
      <c r="BB112" s="8">
        <v>29048</v>
      </c>
      <c r="BC112" s="8">
        <v>25143</v>
      </c>
      <c r="BD112" s="8" t="e">
        <v>#N/A</v>
      </c>
      <c r="BE112" s="8">
        <v>27825</v>
      </c>
      <c r="BF112" s="8">
        <v>620</v>
      </c>
      <c r="BG112" s="8">
        <v>2101</v>
      </c>
      <c r="BH112" s="8">
        <v>1604</v>
      </c>
    </row>
    <row r="113" spans="1:60" x14ac:dyDescent="0.25">
      <c r="A113" t="s">
        <v>679</v>
      </c>
      <c r="B113" s="8">
        <v>6061</v>
      </c>
      <c r="C113" s="8">
        <v>23079</v>
      </c>
      <c r="D113" s="8">
        <v>29140</v>
      </c>
      <c r="E113" s="8">
        <v>5623</v>
      </c>
      <c r="F113" s="8">
        <v>23517</v>
      </c>
      <c r="G113" s="2">
        <v>20.8</v>
      </c>
      <c r="H113" s="2">
        <v>79.2</v>
      </c>
      <c r="I113" s="2">
        <v>19.3</v>
      </c>
      <c r="J113" s="2">
        <v>80.7</v>
      </c>
      <c r="K113" s="8">
        <v>67</v>
      </c>
      <c r="L113" s="8">
        <v>204</v>
      </c>
      <c r="M113" s="8">
        <v>274</v>
      </c>
      <c r="N113" s="8">
        <v>1283</v>
      </c>
      <c r="O113" s="8">
        <v>1609</v>
      </c>
      <c r="P113" s="8">
        <v>1477</v>
      </c>
      <c r="Q113" s="8">
        <v>364</v>
      </c>
      <c r="R113" s="8">
        <v>782</v>
      </c>
      <c r="S113" s="8">
        <v>31807</v>
      </c>
      <c r="T113" s="8">
        <v>381</v>
      </c>
      <c r="U113" s="8">
        <v>63</v>
      </c>
      <c r="V113" s="8">
        <v>3025</v>
      </c>
      <c r="W113" s="8">
        <v>77</v>
      </c>
      <c r="X113" s="8">
        <v>162</v>
      </c>
      <c r="Y113" s="8">
        <v>2269</v>
      </c>
      <c r="Z113" s="8">
        <v>5014</v>
      </c>
      <c r="AA113" s="8">
        <v>1503</v>
      </c>
      <c r="AB113" s="8">
        <v>2011</v>
      </c>
      <c r="AC113" s="8">
        <v>1228</v>
      </c>
      <c r="AD113" s="8">
        <v>1160</v>
      </c>
      <c r="AE113" s="8">
        <v>416</v>
      </c>
      <c r="AF113" s="8">
        <v>2196</v>
      </c>
      <c r="AG113" s="8">
        <v>2448</v>
      </c>
      <c r="AH113" s="8">
        <v>1780</v>
      </c>
      <c r="AI113" s="8">
        <v>2592</v>
      </c>
      <c r="AJ113" s="8">
        <v>3614</v>
      </c>
      <c r="AK113" s="8">
        <v>881</v>
      </c>
      <c r="AL113" s="8">
        <v>847</v>
      </c>
      <c r="AM113" s="8">
        <v>141</v>
      </c>
      <c r="AN113" s="8">
        <v>25831</v>
      </c>
      <c r="AO113" s="8">
        <v>607.66666666666663</v>
      </c>
      <c r="AP113" s="8">
        <v>1685</v>
      </c>
      <c r="AQ113" s="2">
        <v>5.5</v>
      </c>
      <c r="AR113" s="2">
        <v>5.4</v>
      </c>
      <c r="AS113" s="2">
        <v>-0.43333333333333335</v>
      </c>
      <c r="AT113" s="8">
        <v>43</v>
      </c>
      <c r="AU113" s="8">
        <v>60</v>
      </c>
      <c r="AV113" s="8">
        <v>361</v>
      </c>
      <c r="AW113" s="8">
        <v>48364</v>
      </c>
      <c r="AX113" s="2">
        <v>63.7</v>
      </c>
      <c r="AY113" s="2">
        <v>72.8</v>
      </c>
      <c r="AZ113" s="2">
        <v>32</v>
      </c>
      <c r="BA113" s="8">
        <v>396</v>
      </c>
      <c r="BB113" s="8">
        <v>29106</v>
      </c>
      <c r="BC113" s="8">
        <v>25210</v>
      </c>
      <c r="BD113" s="8" t="e">
        <v>#N/A</v>
      </c>
      <c r="BE113" s="8">
        <v>27952</v>
      </c>
      <c r="BF113" s="8">
        <v>623</v>
      </c>
      <c r="BG113" s="8">
        <v>2159</v>
      </c>
      <c r="BH113" s="8">
        <v>1685</v>
      </c>
    </row>
    <row r="114" spans="1:60" x14ac:dyDescent="0.25">
      <c r="A114" t="s">
        <v>680</v>
      </c>
      <c r="B114" s="8">
        <v>6045</v>
      </c>
      <c r="C114" s="8">
        <v>23144</v>
      </c>
      <c r="D114" s="8">
        <v>29189</v>
      </c>
      <c r="E114" s="8">
        <v>5601</v>
      </c>
      <c r="F114" s="8">
        <v>23588</v>
      </c>
      <c r="G114" s="2">
        <v>20.7</v>
      </c>
      <c r="H114" s="2">
        <v>79.3</v>
      </c>
      <c r="I114" s="2">
        <v>19.2</v>
      </c>
      <c r="J114" s="2">
        <v>80.8</v>
      </c>
      <c r="K114" s="8">
        <v>62</v>
      </c>
      <c r="L114" s="8">
        <v>203</v>
      </c>
      <c r="M114" s="8">
        <v>276</v>
      </c>
      <c r="N114" s="8">
        <v>1283</v>
      </c>
      <c r="O114" s="8">
        <v>1611</v>
      </c>
      <c r="P114" s="8">
        <v>1460</v>
      </c>
      <c r="Q114" s="8">
        <v>367</v>
      </c>
      <c r="R114" s="8">
        <v>780</v>
      </c>
      <c r="S114" s="8">
        <v>31951</v>
      </c>
      <c r="T114" s="8">
        <v>376</v>
      </c>
      <c r="U114" s="8">
        <v>69</v>
      </c>
      <c r="V114" s="8">
        <v>3018</v>
      </c>
      <c r="W114" s="8">
        <v>79</v>
      </c>
      <c r="X114" s="8">
        <v>162</v>
      </c>
      <c r="Y114" s="8">
        <v>2281</v>
      </c>
      <c r="Z114" s="8">
        <v>5034</v>
      </c>
      <c r="AA114" s="8">
        <v>1496</v>
      </c>
      <c r="AB114" s="8">
        <v>2015</v>
      </c>
      <c r="AC114" s="8">
        <v>1240</v>
      </c>
      <c r="AD114" s="8">
        <v>1164</v>
      </c>
      <c r="AE114" s="8">
        <v>421</v>
      </c>
      <c r="AF114" s="8">
        <v>2228</v>
      </c>
      <c r="AG114" s="8">
        <v>2479</v>
      </c>
      <c r="AH114" s="8">
        <v>1780</v>
      </c>
      <c r="AI114" s="8">
        <v>2583</v>
      </c>
      <c r="AJ114" s="8">
        <v>3626</v>
      </c>
      <c r="AK114" s="8">
        <v>898</v>
      </c>
      <c r="AL114" s="8">
        <v>847</v>
      </c>
      <c r="AM114" s="8">
        <v>157</v>
      </c>
      <c r="AN114" s="8">
        <v>25967</v>
      </c>
      <c r="AO114" s="8">
        <v>634.66666666666663</v>
      </c>
      <c r="AP114" s="8">
        <v>1693</v>
      </c>
      <c r="AQ114" s="2">
        <v>5.5</v>
      </c>
      <c r="AR114" s="2">
        <v>5.4</v>
      </c>
      <c r="AS114" s="2">
        <v>-0.56666666666666654</v>
      </c>
      <c r="AT114" s="8">
        <v>48</v>
      </c>
      <c r="AU114" s="8">
        <v>60</v>
      </c>
      <c r="AV114" s="8">
        <v>390</v>
      </c>
      <c r="AW114" s="8">
        <v>48481</v>
      </c>
      <c r="AX114" s="2">
        <v>63.7</v>
      </c>
      <c r="AY114" s="2">
        <v>72.8</v>
      </c>
      <c r="AZ114" s="2">
        <v>32</v>
      </c>
      <c r="BA114" s="8">
        <v>399.33333333333331</v>
      </c>
      <c r="BB114" s="8">
        <v>29183</v>
      </c>
      <c r="BC114" s="8">
        <v>25211</v>
      </c>
      <c r="BD114" s="8" t="e">
        <v>#N/A</v>
      </c>
      <c r="BE114" s="8">
        <v>28021</v>
      </c>
      <c r="BF114" s="8">
        <v>646</v>
      </c>
      <c r="BG114" s="8">
        <v>2162</v>
      </c>
      <c r="BH114" s="8">
        <v>1693</v>
      </c>
    </row>
    <row r="115" spans="1:60" x14ac:dyDescent="0.25">
      <c r="A115" t="s">
        <v>681</v>
      </c>
      <c r="B115" s="8">
        <v>6037</v>
      </c>
      <c r="C115" s="8">
        <v>23165</v>
      </c>
      <c r="D115" s="8">
        <v>29202</v>
      </c>
      <c r="E115" s="8">
        <v>5582</v>
      </c>
      <c r="F115" s="8">
        <v>23620</v>
      </c>
      <c r="G115" s="2">
        <v>20.7</v>
      </c>
      <c r="H115" s="2">
        <v>79.3</v>
      </c>
      <c r="I115" s="2">
        <v>19.100000000000001</v>
      </c>
      <c r="J115" s="2">
        <v>80.900000000000006</v>
      </c>
      <c r="K115" s="8">
        <v>62</v>
      </c>
      <c r="L115" s="8">
        <v>202</v>
      </c>
      <c r="M115" s="8">
        <v>279</v>
      </c>
      <c r="N115" s="8">
        <v>1280</v>
      </c>
      <c r="O115" s="8">
        <v>1611</v>
      </c>
      <c r="P115" s="8">
        <v>1447</v>
      </c>
      <c r="Q115" s="8">
        <v>364</v>
      </c>
      <c r="R115" s="8">
        <v>791</v>
      </c>
      <c r="S115" s="8">
        <v>32071</v>
      </c>
      <c r="T115" s="8">
        <v>387</v>
      </c>
      <c r="U115" s="8">
        <v>67</v>
      </c>
      <c r="V115" s="8">
        <v>2999</v>
      </c>
      <c r="W115" s="8">
        <v>83</v>
      </c>
      <c r="X115" s="8">
        <v>161</v>
      </c>
      <c r="Y115" s="8">
        <v>2342</v>
      </c>
      <c r="Z115" s="8">
        <v>5033</v>
      </c>
      <c r="AA115" s="8">
        <v>1511</v>
      </c>
      <c r="AB115" s="8">
        <v>2012</v>
      </c>
      <c r="AC115" s="8">
        <v>1241</v>
      </c>
      <c r="AD115" s="8">
        <v>1171</v>
      </c>
      <c r="AE115" s="8">
        <v>425</v>
      </c>
      <c r="AF115" s="8">
        <v>2256</v>
      </c>
      <c r="AG115" s="8">
        <v>2522</v>
      </c>
      <c r="AH115" s="8">
        <v>1780</v>
      </c>
      <c r="AI115" s="8">
        <v>2585</v>
      </c>
      <c r="AJ115" s="8">
        <v>3625</v>
      </c>
      <c r="AK115" s="8">
        <v>873</v>
      </c>
      <c r="AL115" s="8">
        <v>853</v>
      </c>
      <c r="AM115" s="8">
        <v>144</v>
      </c>
      <c r="AN115" s="8">
        <v>26031</v>
      </c>
      <c r="AO115" s="8">
        <v>618.66666666666663</v>
      </c>
      <c r="AP115" s="8">
        <v>1701</v>
      </c>
      <c r="AQ115" s="2">
        <v>5.5</v>
      </c>
      <c r="AR115" s="2">
        <v>5.2</v>
      </c>
      <c r="AS115" s="2">
        <v>-0.16666666666666666</v>
      </c>
      <c r="AT115" s="8">
        <v>43</v>
      </c>
      <c r="AU115" s="8">
        <v>59</v>
      </c>
      <c r="AV115" s="8">
        <v>397</v>
      </c>
      <c r="AW115" s="8">
        <v>48602</v>
      </c>
      <c r="AX115" s="2">
        <v>63.6</v>
      </c>
      <c r="AY115" s="2">
        <v>72.7</v>
      </c>
      <c r="AZ115" s="2">
        <v>32.1</v>
      </c>
      <c r="BA115" s="8">
        <v>406.33333333333331</v>
      </c>
      <c r="BB115" s="8">
        <v>29214</v>
      </c>
      <c r="BC115" s="8">
        <v>25217</v>
      </c>
      <c r="BD115" s="8" t="e">
        <v>#N/A</v>
      </c>
      <c r="BE115" s="8">
        <v>28107</v>
      </c>
      <c r="BF115" s="8">
        <v>664</v>
      </c>
      <c r="BG115" s="8">
        <v>2167</v>
      </c>
      <c r="BH115" s="8">
        <v>1701</v>
      </c>
    </row>
    <row r="116" spans="1:60" x14ac:dyDescent="0.25">
      <c r="A116" t="s">
        <v>682</v>
      </c>
      <c r="B116" s="8">
        <v>6033</v>
      </c>
      <c r="C116" s="8">
        <v>23199</v>
      </c>
      <c r="D116" s="8">
        <v>29232</v>
      </c>
      <c r="E116" s="8">
        <v>5587</v>
      </c>
      <c r="F116" s="8">
        <v>23645</v>
      </c>
      <c r="G116" s="2">
        <v>20.6</v>
      </c>
      <c r="H116" s="2">
        <v>79.400000000000006</v>
      </c>
      <c r="I116" s="2">
        <v>19.100000000000001</v>
      </c>
      <c r="J116" s="2">
        <v>80.900000000000006</v>
      </c>
      <c r="K116" s="8">
        <v>62</v>
      </c>
      <c r="L116" s="8">
        <v>199</v>
      </c>
      <c r="M116" s="8">
        <v>282</v>
      </c>
      <c r="N116" s="8">
        <v>1276</v>
      </c>
      <c r="O116" s="8">
        <v>1618</v>
      </c>
      <c r="P116" s="8">
        <v>1448</v>
      </c>
      <c r="Q116" s="8">
        <v>363</v>
      </c>
      <c r="R116" s="8">
        <v>789</v>
      </c>
      <c r="S116" s="8">
        <v>31996</v>
      </c>
      <c r="T116" s="8">
        <v>376</v>
      </c>
      <c r="U116" s="8">
        <v>66</v>
      </c>
      <c r="V116" s="8">
        <v>2988</v>
      </c>
      <c r="W116" s="8">
        <v>85</v>
      </c>
      <c r="X116" s="8">
        <v>160</v>
      </c>
      <c r="Y116" s="8">
        <v>2318</v>
      </c>
      <c r="Z116" s="8">
        <v>5033</v>
      </c>
      <c r="AA116" s="8">
        <v>1501</v>
      </c>
      <c r="AB116" s="8">
        <v>2005</v>
      </c>
      <c r="AC116" s="8">
        <v>1245</v>
      </c>
      <c r="AD116" s="8">
        <v>1174</v>
      </c>
      <c r="AE116" s="8">
        <v>439</v>
      </c>
      <c r="AF116" s="8">
        <v>2256</v>
      </c>
      <c r="AG116" s="8">
        <v>2511</v>
      </c>
      <c r="AH116" s="8">
        <v>1777</v>
      </c>
      <c r="AI116" s="8">
        <v>2586</v>
      </c>
      <c r="AJ116" s="8">
        <v>3630</v>
      </c>
      <c r="AK116" s="8">
        <v>857</v>
      </c>
      <c r="AL116" s="8">
        <v>846</v>
      </c>
      <c r="AM116" s="8">
        <v>144</v>
      </c>
      <c r="AN116" s="8">
        <v>26004</v>
      </c>
      <c r="AO116" s="8">
        <v>615.66666666666663</v>
      </c>
      <c r="AP116" s="8">
        <v>1704</v>
      </c>
      <c r="AQ116" s="2">
        <v>5.5</v>
      </c>
      <c r="AR116" s="2">
        <v>6.1</v>
      </c>
      <c r="AS116" s="2">
        <v>0.56666666666666676</v>
      </c>
      <c r="AT116" s="8">
        <v>40</v>
      </c>
      <c r="AU116" s="8">
        <v>62</v>
      </c>
      <c r="AV116" s="8">
        <v>393</v>
      </c>
      <c r="AW116" s="8">
        <v>48722</v>
      </c>
      <c r="AX116" s="2">
        <v>63.4</v>
      </c>
      <c r="AY116" s="2">
        <v>72.5</v>
      </c>
      <c r="AZ116" s="2">
        <v>32.1</v>
      </c>
      <c r="BA116" s="8">
        <v>415.66666666666669</v>
      </c>
      <c r="BB116" s="8">
        <v>29194</v>
      </c>
      <c r="BC116" s="8">
        <v>25169</v>
      </c>
      <c r="BD116" s="8" t="e">
        <v>#N/A</v>
      </c>
      <c r="BE116" s="8">
        <v>28035</v>
      </c>
      <c r="BF116" s="8">
        <v>660</v>
      </c>
      <c r="BG116" s="8">
        <v>2172</v>
      </c>
      <c r="BH116" s="8">
        <v>1704</v>
      </c>
    </row>
    <row r="117" spans="1:60" x14ac:dyDescent="0.25">
      <c r="A117" t="s">
        <v>683</v>
      </c>
      <c r="B117" s="8">
        <v>6028</v>
      </c>
      <c r="C117" s="8">
        <v>23324</v>
      </c>
      <c r="D117" s="8">
        <v>29352</v>
      </c>
      <c r="E117" s="8">
        <v>5580</v>
      </c>
      <c r="F117" s="8">
        <v>23772</v>
      </c>
      <c r="G117" s="2">
        <v>20.5</v>
      </c>
      <c r="H117" s="2">
        <v>79.5</v>
      </c>
      <c r="I117" s="2">
        <v>19</v>
      </c>
      <c r="J117" s="2">
        <v>81</v>
      </c>
      <c r="K117" s="8">
        <v>61</v>
      </c>
      <c r="L117" s="8">
        <v>197</v>
      </c>
      <c r="M117" s="8">
        <v>283</v>
      </c>
      <c r="N117" s="8">
        <v>1269</v>
      </c>
      <c r="O117" s="8">
        <v>1623</v>
      </c>
      <c r="P117" s="8">
        <v>1443</v>
      </c>
      <c r="Q117" s="8">
        <v>362</v>
      </c>
      <c r="R117" s="8">
        <v>788</v>
      </c>
      <c r="S117" s="8">
        <v>32084</v>
      </c>
      <c r="T117" s="8">
        <v>376</v>
      </c>
      <c r="U117" s="8">
        <v>69</v>
      </c>
      <c r="V117" s="8">
        <v>2985</v>
      </c>
      <c r="W117" s="8">
        <v>85</v>
      </c>
      <c r="X117" s="8">
        <v>158</v>
      </c>
      <c r="Y117" s="8">
        <v>2325</v>
      </c>
      <c r="Z117" s="8">
        <v>5058</v>
      </c>
      <c r="AA117" s="8">
        <v>1510</v>
      </c>
      <c r="AB117" s="8">
        <v>1997</v>
      </c>
      <c r="AC117" s="8">
        <v>1250</v>
      </c>
      <c r="AD117" s="8">
        <v>1180</v>
      </c>
      <c r="AE117" s="8">
        <v>445</v>
      </c>
      <c r="AF117" s="8">
        <v>2271</v>
      </c>
      <c r="AG117" s="8">
        <v>2548</v>
      </c>
      <c r="AH117" s="8">
        <v>1778</v>
      </c>
      <c r="AI117" s="8">
        <v>2600</v>
      </c>
      <c r="AJ117" s="8">
        <v>3602</v>
      </c>
      <c r="AK117" s="8">
        <v>864</v>
      </c>
      <c r="AL117" s="8">
        <v>837</v>
      </c>
      <c r="AM117" s="8">
        <v>145</v>
      </c>
      <c r="AN117" s="8">
        <v>26086</v>
      </c>
      <c r="AO117" s="8">
        <v>662.66666666666663</v>
      </c>
      <c r="AP117" s="8">
        <v>1658</v>
      </c>
      <c r="AQ117" s="2">
        <v>5.4</v>
      </c>
      <c r="AR117" s="2">
        <v>4.5999999999999996</v>
      </c>
      <c r="AS117" s="2">
        <v>1.3999999999999997</v>
      </c>
      <c r="AT117" s="8">
        <v>53</v>
      </c>
      <c r="AU117" s="8">
        <v>62</v>
      </c>
      <c r="AV117" s="8">
        <v>396</v>
      </c>
      <c r="AW117" s="8">
        <v>48843</v>
      </c>
      <c r="AX117" s="2">
        <v>63.4</v>
      </c>
      <c r="AY117" s="2">
        <v>72.7</v>
      </c>
      <c r="AZ117" s="2">
        <v>32.200000000000003</v>
      </c>
      <c r="BA117" s="8">
        <v>414.33333333333331</v>
      </c>
      <c r="BB117" s="8">
        <v>29322</v>
      </c>
      <c r="BC117" s="8">
        <v>25310</v>
      </c>
      <c r="BD117" s="8" t="e">
        <v>#N/A</v>
      </c>
      <c r="BE117" s="8">
        <v>28110</v>
      </c>
      <c r="BF117" s="8">
        <v>682</v>
      </c>
      <c r="BG117" s="8">
        <v>2174</v>
      </c>
      <c r="BH117" s="8">
        <v>1658</v>
      </c>
    </row>
    <row r="118" spans="1:60" x14ac:dyDescent="0.25">
      <c r="A118" t="s">
        <v>684</v>
      </c>
      <c r="B118" s="8">
        <v>6018</v>
      </c>
      <c r="C118" s="8">
        <v>23452</v>
      </c>
      <c r="D118" s="8">
        <v>29470</v>
      </c>
      <c r="E118" s="8">
        <v>5564</v>
      </c>
      <c r="F118" s="8">
        <v>23906</v>
      </c>
      <c r="G118" s="2">
        <v>20.399999999999999</v>
      </c>
      <c r="H118" s="2">
        <v>79.599999999999994</v>
      </c>
      <c r="I118" s="2">
        <v>18.899999999999999</v>
      </c>
      <c r="J118" s="2">
        <v>81.099999999999994</v>
      </c>
      <c r="K118" s="8">
        <v>61</v>
      </c>
      <c r="L118" s="8">
        <v>195</v>
      </c>
      <c r="M118" s="8">
        <v>284</v>
      </c>
      <c r="N118" s="8">
        <v>1269</v>
      </c>
      <c r="O118" s="8">
        <v>1628</v>
      </c>
      <c r="P118" s="8">
        <v>1444</v>
      </c>
      <c r="Q118" s="8">
        <v>360</v>
      </c>
      <c r="R118" s="8">
        <v>774</v>
      </c>
      <c r="S118" s="8">
        <v>32221</v>
      </c>
      <c r="T118" s="8">
        <v>379</v>
      </c>
      <c r="U118" s="8">
        <v>69</v>
      </c>
      <c r="V118" s="8">
        <v>2973</v>
      </c>
      <c r="W118" s="8">
        <v>88</v>
      </c>
      <c r="X118" s="8">
        <v>157</v>
      </c>
      <c r="Y118" s="8">
        <v>2350</v>
      </c>
      <c r="Z118" s="8">
        <v>5053</v>
      </c>
      <c r="AA118" s="8">
        <v>1519</v>
      </c>
      <c r="AB118" s="8">
        <v>2026</v>
      </c>
      <c r="AC118" s="8">
        <v>1245</v>
      </c>
      <c r="AD118" s="8">
        <v>1181</v>
      </c>
      <c r="AE118" s="8">
        <v>465</v>
      </c>
      <c r="AF118" s="8">
        <v>2307</v>
      </c>
      <c r="AG118" s="8">
        <v>2588</v>
      </c>
      <c r="AH118" s="8">
        <v>1771</v>
      </c>
      <c r="AI118" s="8">
        <v>2585</v>
      </c>
      <c r="AJ118" s="8">
        <v>3616</v>
      </c>
      <c r="AK118" s="8">
        <v>870</v>
      </c>
      <c r="AL118" s="8">
        <v>817</v>
      </c>
      <c r="AM118" s="8">
        <v>161</v>
      </c>
      <c r="AN118" s="8">
        <v>26204</v>
      </c>
      <c r="AO118" s="8">
        <v>706</v>
      </c>
      <c r="AP118" s="8">
        <v>1650</v>
      </c>
      <c r="AQ118" s="2">
        <v>5.3</v>
      </c>
      <c r="AR118" s="2">
        <v>5.0999999999999996</v>
      </c>
      <c r="AS118" s="2">
        <v>1.7333333333333332</v>
      </c>
      <c r="AT118" s="8">
        <v>66</v>
      </c>
      <c r="AU118" s="8">
        <v>65</v>
      </c>
      <c r="AV118" s="8">
        <v>391</v>
      </c>
      <c r="AW118" s="8">
        <v>48962</v>
      </c>
      <c r="AX118" s="2">
        <v>63.5</v>
      </c>
      <c r="AY118" s="2">
        <v>72.7</v>
      </c>
      <c r="AZ118" s="2">
        <v>32.1</v>
      </c>
      <c r="BA118" s="8">
        <v>421.66666666666669</v>
      </c>
      <c r="BB118" s="8">
        <v>29420</v>
      </c>
      <c r="BC118" s="8">
        <v>25380</v>
      </c>
      <c r="BD118" s="8" t="e">
        <v>#N/A</v>
      </c>
      <c r="BE118" s="8">
        <v>28231</v>
      </c>
      <c r="BF118" s="8">
        <v>694</v>
      </c>
      <c r="BG118" s="8">
        <v>2176</v>
      </c>
      <c r="BH118" s="8">
        <v>1650</v>
      </c>
    </row>
    <row r="119" spans="1:60" x14ac:dyDescent="0.25">
      <c r="A119" t="s">
        <v>685</v>
      </c>
      <c r="B119" s="8">
        <v>6023</v>
      </c>
      <c r="C119" s="8">
        <v>23591</v>
      </c>
      <c r="D119" s="8">
        <v>29614</v>
      </c>
      <c r="E119" s="8">
        <v>5553</v>
      </c>
      <c r="F119" s="8">
        <v>24061</v>
      </c>
      <c r="G119" s="2">
        <v>20.3</v>
      </c>
      <c r="H119" s="2">
        <v>79.7</v>
      </c>
      <c r="I119" s="2">
        <v>18.8</v>
      </c>
      <c r="J119" s="2">
        <v>81.2</v>
      </c>
      <c r="K119" s="8">
        <v>59</v>
      </c>
      <c r="L119" s="8">
        <v>195</v>
      </c>
      <c r="M119" s="8">
        <v>284</v>
      </c>
      <c r="N119" s="8">
        <v>1257</v>
      </c>
      <c r="O119" s="8">
        <v>1634</v>
      </c>
      <c r="P119" s="8">
        <v>1447</v>
      </c>
      <c r="Q119" s="8">
        <v>354</v>
      </c>
      <c r="R119" s="8">
        <v>792</v>
      </c>
      <c r="S119" s="8">
        <v>32259</v>
      </c>
      <c r="T119" s="8">
        <v>376</v>
      </c>
      <c r="U119" s="8">
        <v>67</v>
      </c>
      <c r="V119" s="8">
        <v>2931</v>
      </c>
      <c r="W119" s="8">
        <v>85</v>
      </c>
      <c r="X119" s="8">
        <v>160</v>
      </c>
      <c r="Y119" s="8">
        <v>2329</v>
      </c>
      <c r="Z119" s="8">
        <v>5081</v>
      </c>
      <c r="AA119" s="8">
        <v>1528</v>
      </c>
      <c r="AB119" s="8">
        <v>2043</v>
      </c>
      <c r="AC119" s="8">
        <v>1235</v>
      </c>
      <c r="AD119" s="8">
        <v>1185</v>
      </c>
      <c r="AE119" s="8">
        <v>470</v>
      </c>
      <c r="AF119" s="8">
        <v>2308</v>
      </c>
      <c r="AG119" s="8">
        <v>2607</v>
      </c>
      <c r="AH119" s="8">
        <v>1767</v>
      </c>
      <c r="AI119" s="8">
        <v>2595</v>
      </c>
      <c r="AJ119" s="8">
        <v>3626</v>
      </c>
      <c r="AK119" s="8">
        <v>865</v>
      </c>
      <c r="AL119" s="8">
        <v>827</v>
      </c>
      <c r="AM119" s="8">
        <v>171</v>
      </c>
      <c r="AN119" s="8">
        <v>26309</v>
      </c>
      <c r="AO119" s="8">
        <v>685</v>
      </c>
      <c r="AP119" s="8">
        <v>1608</v>
      </c>
      <c r="AQ119" s="2">
        <v>5.2</v>
      </c>
      <c r="AR119" s="2">
        <v>4.3</v>
      </c>
      <c r="AS119" s="2">
        <v>1.0999999999999999</v>
      </c>
      <c r="AT119" s="8">
        <v>48</v>
      </c>
      <c r="AU119" s="8">
        <v>67</v>
      </c>
      <c r="AV119" s="8">
        <v>384</v>
      </c>
      <c r="AW119" s="8">
        <v>49079</v>
      </c>
      <c r="AX119" s="2">
        <v>63.5</v>
      </c>
      <c r="AY119" s="2">
        <v>72.900000000000006</v>
      </c>
      <c r="AZ119" s="2">
        <v>31.9</v>
      </c>
      <c r="BA119" s="8">
        <v>423.66666666666669</v>
      </c>
      <c r="BB119" s="8">
        <v>29576</v>
      </c>
      <c r="BC119" s="8">
        <v>25521</v>
      </c>
      <c r="BD119" s="8" t="e">
        <v>#N/A</v>
      </c>
      <c r="BE119" s="8">
        <v>28277</v>
      </c>
      <c r="BF119" s="8">
        <v>729</v>
      </c>
      <c r="BG119" s="8">
        <v>2175</v>
      </c>
      <c r="BH119" s="8">
        <v>1608</v>
      </c>
    </row>
    <row r="120" spans="1:60" x14ac:dyDescent="0.25">
      <c r="A120" t="s">
        <v>686</v>
      </c>
      <c r="B120" s="8">
        <v>5997</v>
      </c>
      <c r="C120" s="8">
        <v>23709</v>
      </c>
      <c r="D120" s="8">
        <v>29706</v>
      </c>
      <c r="E120" s="8">
        <v>5545</v>
      </c>
      <c r="F120" s="8">
        <v>24161</v>
      </c>
      <c r="G120" s="2">
        <v>20.2</v>
      </c>
      <c r="H120" s="2">
        <v>79.8</v>
      </c>
      <c r="I120" s="2">
        <v>18.7</v>
      </c>
      <c r="J120" s="2">
        <v>81.3</v>
      </c>
      <c r="K120" s="8">
        <v>56</v>
      </c>
      <c r="L120" s="8">
        <v>193</v>
      </c>
      <c r="M120" s="8">
        <v>286</v>
      </c>
      <c r="N120" s="8">
        <v>1234</v>
      </c>
      <c r="O120" s="8">
        <v>1630</v>
      </c>
      <c r="P120" s="8">
        <v>1451</v>
      </c>
      <c r="Q120" s="8">
        <v>359</v>
      </c>
      <c r="R120" s="8">
        <v>793</v>
      </c>
      <c r="S120" s="8">
        <v>32277</v>
      </c>
      <c r="T120" s="8">
        <v>387</v>
      </c>
      <c r="U120" s="8">
        <v>68</v>
      </c>
      <c r="V120" s="8">
        <v>2907</v>
      </c>
      <c r="W120" s="8">
        <v>86</v>
      </c>
      <c r="X120" s="8">
        <v>165</v>
      </c>
      <c r="Y120" s="8">
        <v>2306</v>
      </c>
      <c r="Z120" s="8">
        <v>5106</v>
      </c>
      <c r="AA120" s="8">
        <v>1514</v>
      </c>
      <c r="AB120" s="8">
        <v>2036</v>
      </c>
      <c r="AC120" s="8">
        <v>1223</v>
      </c>
      <c r="AD120" s="8">
        <v>1201</v>
      </c>
      <c r="AE120" s="8">
        <v>470</v>
      </c>
      <c r="AF120" s="8">
        <v>2318</v>
      </c>
      <c r="AG120" s="8">
        <v>2618</v>
      </c>
      <c r="AH120" s="8">
        <v>1750</v>
      </c>
      <c r="AI120" s="8">
        <v>2601</v>
      </c>
      <c r="AJ120" s="8">
        <v>3653</v>
      </c>
      <c r="AK120" s="8">
        <v>876</v>
      </c>
      <c r="AL120" s="8">
        <v>823</v>
      </c>
      <c r="AM120" s="8">
        <v>169</v>
      </c>
      <c r="AN120" s="8">
        <v>26359</v>
      </c>
      <c r="AO120" s="8">
        <v>674</v>
      </c>
      <c r="AP120" s="8">
        <v>1622</v>
      </c>
      <c r="AQ120" s="2">
        <v>5.2</v>
      </c>
      <c r="AR120" s="2">
        <v>4.7</v>
      </c>
      <c r="AS120" s="2">
        <v>0.6</v>
      </c>
      <c r="AT120" s="8">
        <v>54</v>
      </c>
      <c r="AU120" s="8">
        <v>63</v>
      </c>
      <c r="AV120" s="8">
        <v>398</v>
      </c>
      <c r="AW120" s="8">
        <v>49197</v>
      </c>
      <c r="AX120" s="2">
        <v>63.6</v>
      </c>
      <c r="AY120" s="2">
        <v>73</v>
      </c>
      <c r="AZ120" s="2">
        <v>32.200000000000003</v>
      </c>
      <c r="BA120" s="8">
        <v>434</v>
      </c>
      <c r="BB120" s="8">
        <v>29684</v>
      </c>
      <c r="BC120" s="8">
        <v>25582</v>
      </c>
      <c r="BD120" s="8" t="e">
        <v>#N/A</v>
      </c>
      <c r="BE120" s="8">
        <v>28285</v>
      </c>
      <c r="BF120" s="8">
        <v>705</v>
      </c>
      <c r="BG120" s="8">
        <v>2225</v>
      </c>
      <c r="BH120" s="8">
        <v>1622</v>
      </c>
    </row>
    <row r="121" spans="1:60" x14ac:dyDescent="0.25">
      <c r="A121" t="s">
        <v>687</v>
      </c>
      <c r="B121" s="8">
        <v>6019</v>
      </c>
      <c r="C121" s="8">
        <v>23677</v>
      </c>
      <c r="D121" s="8">
        <v>29696</v>
      </c>
      <c r="E121" s="8">
        <v>5558</v>
      </c>
      <c r="F121" s="8">
        <v>24138</v>
      </c>
      <c r="G121" s="2">
        <v>20.3</v>
      </c>
      <c r="H121" s="2">
        <v>79.7</v>
      </c>
      <c r="I121" s="2">
        <v>18.7</v>
      </c>
      <c r="J121" s="2">
        <v>81.3</v>
      </c>
      <c r="K121" s="8">
        <v>55</v>
      </c>
      <c r="L121" s="8">
        <v>193</v>
      </c>
      <c r="M121" s="8">
        <v>286</v>
      </c>
      <c r="N121" s="8">
        <v>1226</v>
      </c>
      <c r="O121" s="8">
        <v>1637</v>
      </c>
      <c r="P121" s="8">
        <v>1463</v>
      </c>
      <c r="Q121" s="8">
        <v>359</v>
      </c>
      <c r="R121" s="8">
        <v>799</v>
      </c>
      <c r="S121" s="8">
        <v>32347</v>
      </c>
      <c r="T121" s="8">
        <v>400</v>
      </c>
      <c r="U121" s="8">
        <v>67</v>
      </c>
      <c r="V121" s="8">
        <v>2884</v>
      </c>
      <c r="W121" s="8">
        <v>86</v>
      </c>
      <c r="X121" s="8">
        <v>170</v>
      </c>
      <c r="Y121" s="8">
        <v>2300</v>
      </c>
      <c r="Z121" s="8">
        <v>5094</v>
      </c>
      <c r="AA121" s="8">
        <v>1522</v>
      </c>
      <c r="AB121" s="8">
        <v>2042</v>
      </c>
      <c r="AC121" s="8">
        <v>1234</v>
      </c>
      <c r="AD121" s="8">
        <v>1200</v>
      </c>
      <c r="AE121" s="8">
        <v>478</v>
      </c>
      <c r="AF121" s="8">
        <v>2333</v>
      </c>
      <c r="AG121" s="8">
        <v>2625</v>
      </c>
      <c r="AH121" s="8">
        <v>1743</v>
      </c>
      <c r="AI121" s="8">
        <v>2609</v>
      </c>
      <c r="AJ121" s="8">
        <v>3691</v>
      </c>
      <c r="AK121" s="8">
        <v>896</v>
      </c>
      <c r="AL121" s="8">
        <v>818</v>
      </c>
      <c r="AM121" s="8">
        <v>154</v>
      </c>
      <c r="AN121" s="8">
        <v>26440</v>
      </c>
      <c r="AO121" s="8">
        <v>661.66666666666663</v>
      </c>
      <c r="AP121" s="8">
        <v>1680</v>
      </c>
      <c r="AQ121" s="2">
        <v>5.4</v>
      </c>
      <c r="AR121" s="2">
        <v>4.8</v>
      </c>
      <c r="AS121" s="2">
        <v>-0.26666666666666666</v>
      </c>
      <c r="AT121" s="8">
        <v>58</v>
      </c>
      <c r="AU121" s="8">
        <v>60</v>
      </c>
      <c r="AV121" s="8">
        <v>416</v>
      </c>
      <c r="AW121" s="8">
        <v>49315</v>
      </c>
      <c r="AX121" s="2">
        <v>63.7</v>
      </c>
      <c r="AY121" s="2">
        <v>72.900000000000006</v>
      </c>
      <c r="AZ121" s="2">
        <v>31.8</v>
      </c>
      <c r="BA121" s="8">
        <v>432.33333333333331</v>
      </c>
      <c r="BB121" s="8">
        <v>29722</v>
      </c>
      <c r="BC121" s="8">
        <v>25641</v>
      </c>
      <c r="BD121" s="8" t="e">
        <v>#N/A</v>
      </c>
      <c r="BE121" s="8">
        <v>28357</v>
      </c>
      <c r="BF121" s="8">
        <v>679</v>
      </c>
      <c r="BG121" s="8">
        <v>2257</v>
      </c>
      <c r="BH121" s="8">
        <v>1680</v>
      </c>
    </row>
    <row r="122" spans="1:60" x14ac:dyDescent="0.25">
      <c r="A122" t="s">
        <v>688</v>
      </c>
      <c r="B122" s="8">
        <v>6169</v>
      </c>
      <c r="C122" s="8">
        <v>23366</v>
      </c>
      <c r="D122" s="8">
        <v>29535</v>
      </c>
      <c r="E122" s="8">
        <v>5587</v>
      </c>
      <c r="F122" s="8">
        <v>23948</v>
      </c>
      <c r="G122" s="2">
        <v>20.9</v>
      </c>
      <c r="H122" s="2">
        <v>79.099999999999994</v>
      </c>
      <c r="I122" s="2">
        <v>18.899999999999999</v>
      </c>
      <c r="J122" s="2">
        <v>81.099999999999994</v>
      </c>
      <c r="K122" s="8">
        <v>56</v>
      </c>
      <c r="L122" s="8">
        <v>194</v>
      </c>
      <c r="M122" s="8">
        <v>287</v>
      </c>
      <c r="N122" s="8">
        <v>1208</v>
      </c>
      <c r="O122" s="8">
        <v>1646</v>
      </c>
      <c r="P122" s="8">
        <v>1483</v>
      </c>
      <c r="Q122" s="8">
        <v>395</v>
      </c>
      <c r="R122" s="8">
        <v>894</v>
      </c>
      <c r="S122" s="8">
        <v>32317</v>
      </c>
      <c r="T122" s="8">
        <v>390</v>
      </c>
      <c r="U122" s="8">
        <v>65</v>
      </c>
      <c r="V122" s="8">
        <v>2848</v>
      </c>
      <c r="W122" s="8">
        <v>86</v>
      </c>
      <c r="X122" s="8">
        <v>174</v>
      </c>
      <c r="Y122" s="8">
        <v>2373</v>
      </c>
      <c r="Z122" s="8">
        <v>5060</v>
      </c>
      <c r="AA122" s="8">
        <v>1521</v>
      </c>
      <c r="AB122" s="8">
        <v>2039</v>
      </c>
      <c r="AC122" s="8">
        <v>1239</v>
      </c>
      <c r="AD122" s="8">
        <v>1206</v>
      </c>
      <c r="AE122" s="8">
        <v>483</v>
      </c>
      <c r="AF122" s="8">
        <v>2327</v>
      </c>
      <c r="AG122" s="8">
        <v>2587</v>
      </c>
      <c r="AH122" s="8">
        <v>1717</v>
      </c>
      <c r="AI122" s="8">
        <v>2616</v>
      </c>
      <c r="AJ122" s="8">
        <v>3731</v>
      </c>
      <c r="AK122" s="8">
        <v>887</v>
      </c>
      <c r="AL122" s="8">
        <v>818</v>
      </c>
      <c r="AM122" s="8">
        <v>150</v>
      </c>
      <c r="AN122" s="8">
        <v>26380</v>
      </c>
      <c r="AO122" s="8">
        <v>634.66666666666663</v>
      </c>
      <c r="AP122" s="8">
        <v>1840</v>
      </c>
      <c r="AQ122" s="2">
        <v>5.9</v>
      </c>
      <c r="AR122" s="2">
        <v>6.1</v>
      </c>
      <c r="AS122" s="2">
        <v>-1.4000000000000001</v>
      </c>
      <c r="AT122" s="8">
        <v>57</v>
      </c>
      <c r="AU122" s="8">
        <v>64</v>
      </c>
      <c r="AV122" s="8">
        <v>444</v>
      </c>
      <c r="AW122" s="8">
        <v>49419</v>
      </c>
      <c r="AX122" s="2">
        <v>63.6</v>
      </c>
      <c r="AY122" s="2">
        <v>72.400000000000006</v>
      </c>
      <c r="AZ122" s="2">
        <v>32</v>
      </c>
      <c r="BA122" s="8">
        <v>433.33333333333331</v>
      </c>
      <c r="BB122" s="8">
        <v>29580</v>
      </c>
      <c r="BC122" s="8">
        <v>25566</v>
      </c>
      <c r="BD122" s="8" t="e">
        <v>#N/A</v>
      </c>
      <c r="BE122" s="8">
        <v>28369</v>
      </c>
      <c r="BF122" s="8">
        <v>715</v>
      </c>
      <c r="BG122" s="8">
        <v>2219</v>
      </c>
      <c r="BH122" s="8">
        <v>1840</v>
      </c>
    </row>
    <row r="123" spans="1:60" x14ac:dyDescent="0.25">
      <c r="A123" t="s">
        <v>689</v>
      </c>
      <c r="B123" s="8">
        <v>6429</v>
      </c>
      <c r="C123" s="8">
        <v>23110</v>
      </c>
      <c r="D123" s="8">
        <v>29539</v>
      </c>
      <c r="E123" s="8">
        <v>5608</v>
      </c>
      <c r="F123" s="8">
        <v>23931</v>
      </c>
      <c r="G123" s="2">
        <v>21.8</v>
      </c>
      <c r="H123" s="2">
        <v>78.2</v>
      </c>
      <c r="I123" s="2">
        <v>19</v>
      </c>
      <c r="J123" s="2">
        <v>81</v>
      </c>
      <c r="K123" s="8">
        <v>55</v>
      </c>
      <c r="L123" s="8">
        <v>193</v>
      </c>
      <c r="M123" s="8">
        <v>289</v>
      </c>
      <c r="N123" s="8">
        <v>1210</v>
      </c>
      <c r="O123" s="8">
        <v>1649</v>
      </c>
      <c r="P123" s="8">
        <v>1503</v>
      </c>
      <c r="Q123" s="8">
        <v>395</v>
      </c>
      <c r="R123" s="8">
        <v>1132</v>
      </c>
      <c r="S123" s="8">
        <v>32130</v>
      </c>
      <c r="T123" s="8">
        <v>388</v>
      </c>
      <c r="U123" s="8">
        <v>59</v>
      </c>
      <c r="V123" s="8">
        <v>2694</v>
      </c>
      <c r="W123" s="8">
        <v>92</v>
      </c>
      <c r="X123" s="8">
        <v>177</v>
      </c>
      <c r="Y123" s="8">
        <v>2333</v>
      </c>
      <c r="Z123" s="8">
        <v>5021</v>
      </c>
      <c r="AA123" s="8">
        <v>1527</v>
      </c>
      <c r="AB123" s="8">
        <v>2027</v>
      </c>
      <c r="AC123" s="8">
        <v>1213</v>
      </c>
      <c r="AD123" s="8">
        <v>1209</v>
      </c>
      <c r="AE123" s="8">
        <v>493</v>
      </c>
      <c r="AF123" s="8">
        <v>2374</v>
      </c>
      <c r="AG123" s="8">
        <v>2480</v>
      </c>
      <c r="AH123" s="8">
        <v>1746</v>
      </c>
      <c r="AI123" s="8">
        <v>2671</v>
      </c>
      <c r="AJ123" s="8">
        <v>3761</v>
      </c>
      <c r="AK123" s="8">
        <v>894</v>
      </c>
      <c r="AL123" s="8">
        <v>838</v>
      </c>
      <c r="AM123" s="8">
        <v>133</v>
      </c>
      <c r="AN123" s="8">
        <v>26387</v>
      </c>
      <c r="AO123" s="8">
        <v>525</v>
      </c>
      <c r="AP123" s="8">
        <v>2003</v>
      </c>
      <c r="AQ123" s="2">
        <v>6.4</v>
      </c>
      <c r="AR123" s="2">
        <v>10.3</v>
      </c>
      <c r="AS123" s="2">
        <v>-2.6666666666666665</v>
      </c>
      <c r="AT123" s="8">
        <v>42</v>
      </c>
      <c r="AU123" s="8">
        <v>56</v>
      </c>
      <c r="AV123" s="8">
        <v>454</v>
      </c>
      <c r="AW123" s="8">
        <v>49517</v>
      </c>
      <c r="AX123" s="2">
        <v>63.7</v>
      </c>
      <c r="AY123" s="2">
        <v>72.2</v>
      </c>
      <c r="AZ123" s="2">
        <v>31.9</v>
      </c>
      <c r="BA123" s="8">
        <v>435</v>
      </c>
      <c r="BB123" s="8">
        <v>29528</v>
      </c>
      <c r="BC123" s="8">
        <v>25507</v>
      </c>
      <c r="BD123" s="8" t="e">
        <v>#N/A</v>
      </c>
      <c r="BE123" s="8">
        <v>28142</v>
      </c>
      <c r="BF123" s="8">
        <v>770</v>
      </c>
      <c r="BG123" s="8">
        <v>2177</v>
      </c>
      <c r="BH123" s="8">
        <v>2003</v>
      </c>
    </row>
    <row r="124" spans="1:60" x14ac:dyDescent="0.25">
      <c r="A124" t="s">
        <v>690</v>
      </c>
      <c r="B124" s="8">
        <v>6429</v>
      </c>
      <c r="C124" s="8">
        <v>22843</v>
      </c>
      <c r="D124" s="8">
        <v>29272</v>
      </c>
      <c r="E124" s="8">
        <v>5612</v>
      </c>
      <c r="F124" s="8">
        <v>23660</v>
      </c>
      <c r="G124" s="2">
        <v>22</v>
      </c>
      <c r="H124" s="2">
        <v>78</v>
      </c>
      <c r="I124" s="2">
        <v>19.2</v>
      </c>
      <c r="J124" s="2">
        <v>80.8</v>
      </c>
      <c r="K124" s="8">
        <v>54</v>
      </c>
      <c r="L124" s="8">
        <v>196</v>
      </c>
      <c r="M124" s="8">
        <v>293</v>
      </c>
      <c r="N124" s="8">
        <v>1208</v>
      </c>
      <c r="O124" s="8">
        <v>1662</v>
      </c>
      <c r="P124" s="8">
        <v>1503</v>
      </c>
      <c r="Q124" s="8">
        <v>395</v>
      </c>
      <c r="R124" s="8">
        <v>1120</v>
      </c>
      <c r="S124" s="8">
        <v>31906</v>
      </c>
      <c r="T124" s="8">
        <v>383</v>
      </c>
      <c r="U124" s="8">
        <v>66</v>
      </c>
      <c r="V124" s="8">
        <v>2689</v>
      </c>
      <c r="W124" s="8">
        <v>103</v>
      </c>
      <c r="X124" s="8">
        <v>178</v>
      </c>
      <c r="Y124" s="8">
        <v>2321</v>
      </c>
      <c r="Z124" s="8">
        <v>4933</v>
      </c>
      <c r="AA124" s="8">
        <v>1521</v>
      </c>
      <c r="AB124" s="8">
        <v>1998</v>
      </c>
      <c r="AC124" s="8">
        <v>1221</v>
      </c>
      <c r="AD124" s="8">
        <v>1206</v>
      </c>
      <c r="AE124" s="8">
        <v>481</v>
      </c>
      <c r="AF124" s="8">
        <v>2392</v>
      </c>
      <c r="AG124" s="8">
        <v>2433</v>
      </c>
      <c r="AH124" s="8">
        <v>1746</v>
      </c>
      <c r="AI124" s="8">
        <v>2731</v>
      </c>
      <c r="AJ124" s="8">
        <v>3756</v>
      </c>
      <c r="AK124" s="8">
        <v>838</v>
      </c>
      <c r="AL124" s="8">
        <v>832</v>
      </c>
      <c r="AM124" s="8">
        <v>76</v>
      </c>
      <c r="AN124" s="8">
        <v>26165</v>
      </c>
      <c r="AO124" s="8">
        <v>441</v>
      </c>
      <c r="AP124" s="8">
        <v>2235</v>
      </c>
      <c r="AQ124" s="2">
        <v>7.1</v>
      </c>
      <c r="AR124" s="2">
        <v>11.8</v>
      </c>
      <c r="AS124" s="2">
        <v>-3.3666666666666667</v>
      </c>
      <c r="AT124" s="8">
        <v>59</v>
      </c>
      <c r="AU124" s="8">
        <v>50</v>
      </c>
      <c r="AV124" s="8">
        <v>508</v>
      </c>
      <c r="AW124" s="8">
        <v>49615</v>
      </c>
      <c r="AX124" s="2">
        <v>63.7</v>
      </c>
      <c r="AY124" s="2">
        <v>71.7</v>
      </c>
      <c r="AZ124" s="2">
        <v>31.5</v>
      </c>
      <c r="BA124" s="8">
        <v>418.66666666666669</v>
      </c>
      <c r="BB124" s="8">
        <v>29366</v>
      </c>
      <c r="BC124" s="8">
        <v>25335</v>
      </c>
      <c r="BD124" s="8" t="e">
        <v>#N/A</v>
      </c>
      <c r="BE124" s="8">
        <v>27890</v>
      </c>
      <c r="BF124" s="8">
        <v>875</v>
      </c>
      <c r="BG124" s="8">
        <v>2163</v>
      </c>
      <c r="BH124" s="8">
        <v>2235</v>
      </c>
    </row>
    <row r="125" spans="1:60" x14ac:dyDescent="0.25">
      <c r="A125" t="s">
        <v>691</v>
      </c>
      <c r="B125" s="8">
        <v>6439</v>
      </c>
      <c r="C125" s="8">
        <v>22579</v>
      </c>
      <c r="D125" s="8">
        <v>29018</v>
      </c>
      <c r="E125" s="8">
        <v>5621</v>
      </c>
      <c r="F125" s="8">
        <v>23397</v>
      </c>
      <c r="G125" s="2">
        <v>22.2</v>
      </c>
      <c r="H125" s="2">
        <v>77.8</v>
      </c>
      <c r="I125" s="2">
        <v>19.399999999999999</v>
      </c>
      <c r="J125" s="2">
        <v>80.599999999999994</v>
      </c>
      <c r="K125" s="8">
        <v>54</v>
      </c>
      <c r="L125" s="8">
        <v>197</v>
      </c>
      <c r="M125" s="8">
        <v>294</v>
      </c>
      <c r="N125" s="8">
        <v>1208</v>
      </c>
      <c r="O125" s="8">
        <v>1657</v>
      </c>
      <c r="P125" s="8">
        <v>1530</v>
      </c>
      <c r="Q125" s="8">
        <v>394</v>
      </c>
      <c r="R125" s="8">
        <v>1108</v>
      </c>
      <c r="S125" s="8">
        <v>31728</v>
      </c>
      <c r="T125" s="8">
        <v>390</v>
      </c>
      <c r="U125" s="8">
        <v>61</v>
      </c>
      <c r="V125" s="8">
        <v>2657</v>
      </c>
      <c r="W125" s="8">
        <v>108</v>
      </c>
      <c r="X125" s="8">
        <v>166</v>
      </c>
      <c r="Y125" s="8">
        <v>2243</v>
      </c>
      <c r="Z125" s="8">
        <v>4927</v>
      </c>
      <c r="AA125" s="8">
        <v>1505</v>
      </c>
      <c r="AB125" s="8">
        <v>1989</v>
      </c>
      <c r="AC125" s="8">
        <v>1215</v>
      </c>
      <c r="AD125" s="8">
        <v>1193</v>
      </c>
      <c r="AE125" s="8">
        <v>490</v>
      </c>
      <c r="AF125" s="8">
        <v>2367</v>
      </c>
      <c r="AG125" s="8">
        <v>2388</v>
      </c>
      <c r="AH125" s="8">
        <v>1757</v>
      </c>
      <c r="AI125" s="8">
        <v>2721</v>
      </c>
      <c r="AJ125" s="8">
        <v>3796</v>
      </c>
      <c r="AK125" s="8">
        <v>843</v>
      </c>
      <c r="AL125" s="8">
        <v>828</v>
      </c>
      <c r="AM125" s="8">
        <v>83</v>
      </c>
      <c r="AN125" s="8">
        <v>26102</v>
      </c>
      <c r="AO125" s="8">
        <v>436.66666666666669</v>
      </c>
      <c r="AP125" s="8">
        <v>2448</v>
      </c>
      <c r="AQ125" s="2">
        <v>7.8</v>
      </c>
      <c r="AR125" s="2">
        <v>10.6</v>
      </c>
      <c r="AS125" s="2">
        <v>-3.6333333333333333</v>
      </c>
      <c r="AT125" s="8">
        <v>52</v>
      </c>
      <c r="AU125" s="8">
        <v>46</v>
      </c>
      <c r="AV125" s="8">
        <v>552</v>
      </c>
      <c r="AW125" s="8">
        <v>49712</v>
      </c>
      <c r="AX125" s="2">
        <v>63.4</v>
      </c>
      <c r="AY125" s="2">
        <v>70.8</v>
      </c>
      <c r="AZ125" s="2">
        <v>31.7</v>
      </c>
      <c r="BA125" s="8">
        <v>434</v>
      </c>
      <c r="BB125" s="8">
        <v>29087</v>
      </c>
      <c r="BC125" s="8">
        <v>25043</v>
      </c>
      <c r="BD125" s="8" t="e">
        <v>#N/A</v>
      </c>
      <c r="BE125" s="8">
        <v>27730</v>
      </c>
      <c r="BF125" s="8">
        <v>963</v>
      </c>
      <c r="BG125" s="8">
        <v>2237</v>
      </c>
      <c r="BH125" s="8">
        <v>2448</v>
      </c>
    </row>
    <row r="126" spans="1:60" x14ac:dyDescent="0.25">
      <c r="A126" t="s">
        <v>692</v>
      </c>
      <c r="B126" s="8">
        <v>6463</v>
      </c>
      <c r="C126" s="8">
        <v>22621</v>
      </c>
      <c r="D126" s="8">
        <v>29084</v>
      </c>
      <c r="E126" s="8">
        <v>5646</v>
      </c>
      <c r="F126" s="8">
        <v>23438</v>
      </c>
      <c r="G126" s="2">
        <v>22.2</v>
      </c>
      <c r="H126" s="2">
        <v>77.8</v>
      </c>
      <c r="I126" s="2">
        <v>19.399999999999999</v>
      </c>
      <c r="J126" s="2">
        <v>80.599999999999994</v>
      </c>
      <c r="K126" s="8">
        <v>51</v>
      </c>
      <c r="L126" s="8">
        <v>199</v>
      </c>
      <c r="M126" s="8">
        <v>296</v>
      </c>
      <c r="N126" s="8">
        <v>1220</v>
      </c>
      <c r="O126" s="8">
        <v>1656</v>
      </c>
      <c r="P126" s="8">
        <v>1546</v>
      </c>
      <c r="Q126" s="8">
        <v>407</v>
      </c>
      <c r="R126" s="8">
        <v>1092</v>
      </c>
      <c r="S126" s="8">
        <v>31613</v>
      </c>
      <c r="T126" s="8">
        <v>399</v>
      </c>
      <c r="U126" s="8">
        <v>63</v>
      </c>
      <c r="V126" s="8">
        <v>2639</v>
      </c>
      <c r="W126" s="8">
        <v>118</v>
      </c>
      <c r="X126" s="8">
        <v>168</v>
      </c>
      <c r="Y126" s="8">
        <v>2185</v>
      </c>
      <c r="Z126" s="8">
        <v>4874</v>
      </c>
      <c r="AA126" s="8">
        <v>1509</v>
      </c>
      <c r="AB126" s="8">
        <v>1965</v>
      </c>
      <c r="AC126" s="8">
        <v>1186</v>
      </c>
      <c r="AD126" s="8">
        <v>1149</v>
      </c>
      <c r="AE126" s="8">
        <v>496</v>
      </c>
      <c r="AF126" s="8">
        <v>2405</v>
      </c>
      <c r="AG126" s="8">
        <v>2346</v>
      </c>
      <c r="AH126" s="8">
        <v>1764</v>
      </c>
      <c r="AI126" s="8">
        <v>2729</v>
      </c>
      <c r="AJ126" s="8">
        <v>3860</v>
      </c>
      <c r="AK126" s="8">
        <v>842</v>
      </c>
      <c r="AL126" s="8">
        <v>835</v>
      </c>
      <c r="AM126" s="8">
        <v>80</v>
      </c>
      <c r="AN126" s="8">
        <v>26040</v>
      </c>
      <c r="AO126" s="8">
        <v>453</v>
      </c>
      <c r="AP126" s="8">
        <v>2475</v>
      </c>
      <c r="AQ126" s="2">
        <v>7.8</v>
      </c>
      <c r="AR126" s="2">
        <v>8.1999999999999993</v>
      </c>
      <c r="AS126" s="2">
        <v>-3.7666666666666671</v>
      </c>
      <c r="AT126" s="8">
        <v>49</v>
      </c>
      <c r="AU126" s="8">
        <v>52</v>
      </c>
      <c r="AV126" s="8">
        <v>631</v>
      </c>
      <c r="AW126" s="8">
        <v>49820</v>
      </c>
      <c r="AX126" s="2">
        <v>63.3</v>
      </c>
      <c r="AY126" s="2">
        <v>70.599999999999994</v>
      </c>
      <c r="AZ126" s="2">
        <v>31.5</v>
      </c>
      <c r="BA126" s="8">
        <v>431.66666666666669</v>
      </c>
      <c r="BB126" s="8">
        <v>29069</v>
      </c>
      <c r="BC126" s="8">
        <v>25002</v>
      </c>
      <c r="BD126" s="8" t="e">
        <v>#N/A</v>
      </c>
      <c r="BE126" s="8">
        <v>27575</v>
      </c>
      <c r="BF126" s="8">
        <v>1001</v>
      </c>
      <c r="BG126" s="8">
        <v>2346</v>
      </c>
      <c r="BH126" s="8">
        <v>2475</v>
      </c>
    </row>
    <row r="127" spans="1:60" x14ac:dyDescent="0.25">
      <c r="A127" t="s">
        <v>693</v>
      </c>
      <c r="B127" s="8">
        <v>6460</v>
      </c>
      <c r="C127" s="8">
        <v>22597</v>
      </c>
      <c r="D127" s="8">
        <v>29057</v>
      </c>
      <c r="E127" s="8">
        <v>5658</v>
      </c>
      <c r="F127" s="8">
        <v>23399</v>
      </c>
      <c r="G127" s="2">
        <v>22.2</v>
      </c>
      <c r="H127" s="2">
        <v>77.8</v>
      </c>
      <c r="I127" s="2">
        <v>19.5</v>
      </c>
      <c r="J127" s="2">
        <v>80.5</v>
      </c>
      <c r="K127" s="8">
        <v>51</v>
      </c>
      <c r="L127" s="8">
        <v>199</v>
      </c>
      <c r="M127" s="8">
        <v>295</v>
      </c>
      <c r="N127" s="8">
        <v>1213</v>
      </c>
      <c r="O127" s="8">
        <v>1673</v>
      </c>
      <c r="P127" s="8">
        <v>1552</v>
      </c>
      <c r="Q127" s="8">
        <v>404</v>
      </c>
      <c r="R127" s="8">
        <v>1070</v>
      </c>
      <c r="S127" s="8">
        <v>31478</v>
      </c>
      <c r="T127" s="8">
        <v>381</v>
      </c>
      <c r="U127" s="8">
        <v>62</v>
      </c>
      <c r="V127" s="8">
        <v>2621</v>
      </c>
      <c r="W127" s="8">
        <v>114</v>
      </c>
      <c r="X127" s="8">
        <v>169</v>
      </c>
      <c r="Y127" s="8">
        <v>2158</v>
      </c>
      <c r="Z127" s="8">
        <v>4823</v>
      </c>
      <c r="AA127" s="8">
        <v>1486</v>
      </c>
      <c r="AB127" s="8">
        <v>1960</v>
      </c>
      <c r="AC127" s="8">
        <v>1193</v>
      </c>
      <c r="AD127" s="8">
        <v>1128</v>
      </c>
      <c r="AE127" s="8">
        <v>480</v>
      </c>
      <c r="AF127" s="8">
        <v>2409</v>
      </c>
      <c r="AG127" s="8">
        <v>2370</v>
      </c>
      <c r="AH127" s="8">
        <v>1765</v>
      </c>
      <c r="AI127" s="8">
        <v>2745</v>
      </c>
      <c r="AJ127" s="8">
        <v>3867</v>
      </c>
      <c r="AK127" s="8">
        <v>818</v>
      </c>
      <c r="AL127" s="8">
        <v>851</v>
      </c>
      <c r="AM127" s="8">
        <v>77</v>
      </c>
      <c r="AN127" s="8">
        <v>25971</v>
      </c>
      <c r="AO127" s="8">
        <v>453.33333333333331</v>
      </c>
      <c r="AP127" s="8">
        <v>2453</v>
      </c>
      <c r="AQ127" s="2">
        <v>7.8</v>
      </c>
      <c r="AR127" s="2">
        <v>6.7</v>
      </c>
      <c r="AS127" s="2">
        <v>-3.6</v>
      </c>
      <c r="AT127" s="8">
        <v>47</v>
      </c>
      <c r="AU127" s="8">
        <v>49</v>
      </c>
      <c r="AV127" s="8">
        <v>663</v>
      </c>
      <c r="AW127" s="8">
        <v>49932</v>
      </c>
      <c r="AX127" s="2">
        <v>63.2</v>
      </c>
      <c r="AY127" s="2">
        <v>70.599999999999994</v>
      </c>
      <c r="AZ127" s="2">
        <v>31.5</v>
      </c>
      <c r="BA127" s="8">
        <v>433</v>
      </c>
      <c r="BB127" s="8">
        <v>29102</v>
      </c>
      <c r="BC127" s="8">
        <v>24988</v>
      </c>
      <c r="BD127" s="8" t="e">
        <v>#N/A</v>
      </c>
      <c r="BE127" s="8">
        <v>27438</v>
      </c>
      <c r="BF127" s="8">
        <v>1038</v>
      </c>
      <c r="BG127" s="8">
        <v>2420</v>
      </c>
      <c r="BH127" s="8">
        <v>2453</v>
      </c>
    </row>
    <row r="128" spans="1:60" x14ac:dyDescent="0.25">
      <c r="A128" t="s">
        <v>694</v>
      </c>
      <c r="B128" s="8">
        <v>6446</v>
      </c>
      <c r="C128" s="8">
        <v>22602</v>
      </c>
      <c r="D128" s="8">
        <v>29048</v>
      </c>
      <c r="E128" s="8">
        <v>5652</v>
      </c>
      <c r="F128" s="8">
        <v>23396</v>
      </c>
      <c r="G128" s="2">
        <v>22.2</v>
      </c>
      <c r="H128" s="2">
        <v>77.8</v>
      </c>
      <c r="I128" s="2">
        <v>19.5</v>
      </c>
      <c r="J128" s="2">
        <v>80.5</v>
      </c>
      <c r="K128" s="8">
        <v>51</v>
      </c>
      <c r="L128" s="8">
        <v>199</v>
      </c>
      <c r="M128" s="8">
        <v>295</v>
      </c>
      <c r="N128" s="8">
        <v>1213</v>
      </c>
      <c r="O128" s="8">
        <v>1671</v>
      </c>
      <c r="P128" s="8">
        <v>1557</v>
      </c>
      <c r="Q128" s="8">
        <v>399</v>
      </c>
      <c r="R128" s="8">
        <v>1064</v>
      </c>
      <c r="S128" s="8">
        <v>31476</v>
      </c>
      <c r="T128" s="8">
        <v>398</v>
      </c>
      <c r="U128" s="8">
        <v>61</v>
      </c>
      <c r="V128" s="8">
        <v>2572</v>
      </c>
      <c r="W128" s="8">
        <v>130</v>
      </c>
      <c r="X128" s="8">
        <v>173</v>
      </c>
      <c r="Y128" s="8">
        <v>2065</v>
      </c>
      <c r="Z128" s="8">
        <v>4814</v>
      </c>
      <c r="AA128" s="8">
        <v>1460</v>
      </c>
      <c r="AB128" s="8">
        <v>1964</v>
      </c>
      <c r="AC128" s="8">
        <v>1168</v>
      </c>
      <c r="AD128" s="8">
        <v>1107</v>
      </c>
      <c r="AE128" s="8">
        <v>480</v>
      </c>
      <c r="AF128" s="8">
        <v>2441</v>
      </c>
      <c r="AG128" s="8">
        <v>2446</v>
      </c>
      <c r="AH128" s="8">
        <v>1762</v>
      </c>
      <c r="AI128" s="8">
        <v>2753</v>
      </c>
      <c r="AJ128" s="8">
        <v>3933</v>
      </c>
      <c r="AK128" s="8">
        <v>840</v>
      </c>
      <c r="AL128" s="8">
        <v>845</v>
      </c>
      <c r="AM128" s="8">
        <v>67</v>
      </c>
      <c r="AN128" s="8">
        <v>26077</v>
      </c>
      <c r="AO128" s="8">
        <v>441.66666666666669</v>
      </c>
      <c r="AP128" s="8">
        <v>2526</v>
      </c>
      <c r="AQ128" s="2">
        <v>8</v>
      </c>
      <c r="AR128" s="2">
        <v>7.1</v>
      </c>
      <c r="AS128" s="2">
        <v>-2.9</v>
      </c>
      <c r="AT128" s="8">
        <v>43</v>
      </c>
      <c r="AU128" s="8">
        <v>43</v>
      </c>
      <c r="AV128" s="8">
        <v>768</v>
      </c>
      <c r="AW128" s="8">
        <v>50043</v>
      </c>
      <c r="AX128" s="2">
        <v>63</v>
      </c>
      <c r="AY128" s="2">
        <v>70.2</v>
      </c>
      <c r="AZ128" s="2">
        <v>31.6</v>
      </c>
      <c r="BA128" s="8">
        <v>436.33333333333331</v>
      </c>
      <c r="BB128" s="8">
        <v>29013</v>
      </c>
      <c r="BC128" s="8">
        <v>24844</v>
      </c>
      <c r="BD128" s="8" t="e">
        <v>#N/A</v>
      </c>
      <c r="BE128" s="8">
        <v>27354</v>
      </c>
      <c r="BF128" s="8">
        <v>1071</v>
      </c>
      <c r="BG128" s="8">
        <v>2408</v>
      </c>
      <c r="BH128" s="8">
        <v>2526</v>
      </c>
    </row>
    <row r="129" spans="1:60" x14ac:dyDescent="0.25">
      <c r="A129" t="s">
        <v>695</v>
      </c>
      <c r="B129" s="8">
        <v>6436</v>
      </c>
      <c r="C129" s="8">
        <v>22889</v>
      </c>
      <c r="D129" s="8">
        <v>29325</v>
      </c>
      <c r="E129" s="8">
        <v>5633</v>
      </c>
      <c r="F129" s="8">
        <v>23692</v>
      </c>
      <c r="G129" s="2">
        <v>21.9</v>
      </c>
      <c r="H129" s="2">
        <v>78.099999999999994</v>
      </c>
      <c r="I129" s="2">
        <v>19.2</v>
      </c>
      <c r="J129" s="2">
        <v>80.8</v>
      </c>
      <c r="K129" s="8">
        <v>49</v>
      </c>
      <c r="L129" s="8">
        <v>197</v>
      </c>
      <c r="M129" s="8">
        <v>292</v>
      </c>
      <c r="N129" s="8">
        <v>1200</v>
      </c>
      <c r="O129" s="8">
        <v>1688</v>
      </c>
      <c r="P129" s="8">
        <v>1559</v>
      </c>
      <c r="Q129" s="8">
        <v>398</v>
      </c>
      <c r="R129" s="8">
        <v>1055</v>
      </c>
      <c r="S129" s="8">
        <v>31558</v>
      </c>
      <c r="T129" s="8">
        <v>419</v>
      </c>
      <c r="U129" s="8">
        <v>61</v>
      </c>
      <c r="V129" s="8">
        <v>2570</v>
      </c>
      <c r="W129" s="8">
        <v>134</v>
      </c>
      <c r="X129" s="8">
        <v>177</v>
      </c>
      <c r="Y129" s="8">
        <v>2107</v>
      </c>
      <c r="Z129" s="8">
        <v>4836</v>
      </c>
      <c r="AA129" s="8">
        <v>1463</v>
      </c>
      <c r="AB129" s="8">
        <v>1949</v>
      </c>
      <c r="AC129" s="8">
        <v>1172</v>
      </c>
      <c r="AD129" s="8">
        <v>1125</v>
      </c>
      <c r="AE129" s="8">
        <v>486</v>
      </c>
      <c r="AF129" s="8">
        <v>2420</v>
      </c>
      <c r="AG129" s="8">
        <v>2426</v>
      </c>
      <c r="AH129" s="8">
        <v>1739</v>
      </c>
      <c r="AI129" s="8">
        <v>2772</v>
      </c>
      <c r="AJ129" s="8">
        <v>3936</v>
      </c>
      <c r="AK129" s="8">
        <v>855</v>
      </c>
      <c r="AL129" s="8">
        <v>832</v>
      </c>
      <c r="AM129" s="8">
        <v>78</v>
      </c>
      <c r="AN129" s="8">
        <v>26090</v>
      </c>
      <c r="AO129" s="8">
        <v>490.66666666666669</v>
      </c>
      <c r="AP129" s="8">
        <v>2488</v>
      </c>
      <c r="AQ129" s="2">
        <v>7.9</v>
      </c>
      <c r="AR129" s="2">
        <v>6.1</v>
      </c>
      <c r="AS129" s="2">
        <v>-2.3333333333333335</v>
      </c>
      <c r="AT129" s="8">
        <v>57</v>
      </c>
      <c r="AU129" s="8">
        <v>52</v>
      </c>
      <c r="AV129" s="8">
        <v>803</v>
      </c>
      <c r="AW129" s="8">
        <v>50155</v>
      </c>
      <c r="AX129" s="2">
        <v>63.2</v>
      </c>
      <c r="AY129" s="2">
        <v>70.400000000000006</v>
      </c>
      <c r="AZ129" s="2">
        <v>31.6</v>
      </c>
      <c r="BA129" s="8">
        <v>434.33333333333331</v>
      </c>
      <c r="BB129" s="8">
        <v>29192</v>
      </c>
      <c r="BC129" s="8">
        <v>25019</v>
      </c>
      <c r="BD129" s="8" t="e">
        <v>#N/A</v>
      </c>
      <c r="BE129" s="8">
        <v>27391</v>
      </c>
      <c r="BF129" s="8">
        <v>1076</v>
      </c>
      <c r="BG129" s="8">
        <v>2369</v>
      </c>
      <c r="BH129" s="8">
        <v>2488</v>
      </c>
    </row>
    <row r="130" spans="1:60" x14ac:dyDescent="0.25">
      <c r="A130" t="s">
        <v>696</v>
      </c>
      <c r="B130" s="8">
        <v>6382</v>
      </c>
      <c r="C130" s="8">
        <v>22926</v>
      </c>
      <c r="D130" s="8">
        <v>29308</v>
      </c>
      <c r="E130" s="8">
        <v>5578</v>
      </c>
      <c r="F130" s="8">
        <v>23730</v>
      </c>
      <c r="G130" s="2">
        <v>21.8</v>
      </c>
      <c r="H130" s="2">
        <v>78.2</v>
      </c>
      <c r="I130" s="2">
        <v>19</v>
      </c>
      <c r="J130" s="2">
        <v>81</v>
      </c>
      <c r="K130" s="8">
        <v>49</v>
      </c>
      <c r="L130" s="8">
        <v>196</v>
      </c>
      <c r="M130" s="8">
        <v>290</v>
      </c>
      <c r="N130" s="8">
        <v>1181</v>
      </c>
      <c r="O130" s="8">
        <v>1664</v>
      </c>
      <c r="P130" s="8">
        <v>1551</v>
      </c>
      <c r="Q130" s="8">
        <v>398</v>
      </c>
      <c r="R130" s="8">
        <v>1053</v>
      </c>
      <c r="S130" s="8">
        <v>31514</v>
      </c>
      <c r="T130" s="8">
        <v>410</v>
      </c>
      <c r="U130" s="8">
        <v>64</v>
      </c>
      <c r="V130" s="8">
        <v>2565</v>
      </c>
      <c r="W130" s="8">
        <v>122</v>
      </c>
      <c r="X130" s="8">
        <v>180</v>
      </c>
      <c r="Y130" s="8">
        <v>2086</v>
      </c>
      <c r="Z130" s="8">
        <v>4846</v>
      </c>
      <c r="AA130" s="8">
        <v>1459</v>
      </c>
      <c r="AB130" s="8">
        <v>1952</v>
      </c>
      <c r="AC130" s="8">
        <v>1195</v>
      </c>
      <c r="AD130" s="8">
        <v>1115</v>
      </c>
      <c r="AE130" s="8">
        <v>473</v>
      </c>
      <c r="AF130" s="8">
        <v>2393</v>
      </c>
      <c r="AG130" s="8">
        <v>2434</v>
      </c>
      <c r="AH130" s="8">
        <v>1725</v>
      </c>
      <c r="AI130" s="8">
        <v>2763</v>
      </c>
      <c r="AJ130" s="8">
        <v>3951</v>
      </c>
      <c r="AK130" s="8">
        <v>880</v>
      </c>
      <c r="AL130" s="8">
        <v>819</v>
      </c>
      <c r="AM130" s="8">
        <v>84</v>
      </c>
      <c r="AN130" s="8">
        <v>26087</v>
      </c>
      <c r="AO130" s="8">
        <v>470.33333333333331</v>
      </c>
      <c r="AP130" s="8">
        <v>2470</v>
      </c>
      <c r="AQ130" s="2">
        <v>7.8</v>
      </c>
      <c r="AR130" s="2">
        <v>5.8</v>
      </c>
      <c r="AS130" s="2">
        <v>-1.6000000000000003</v>
      </c>
      <c r="AT130" s="8">
        <v>68</v>
      </c>
      <c r="AU130" s="8">
        <v>47</v>
      </c>
      <c r="AV130" s="8">
        <v>823</v>
      </c>
      <c r="AW130" s="8">
        <v>50268</v>
      </c>
      <c r="AX130" s="2">
        <v>63.4</v>
      </c>
      <c r="AY130" s="2">
        <v>70.7</v>
      </c>
      <c r="AZ130" s="2">
        <v>31.6</v>
      </c>
      <c r="BA130" s="8">
        <v>438.66666666666669</v>
      </c>
      <c r="BB130" s="8">
        <v>29385</v>
      </c>
      <c r="BC130" s="8">
        <v>25106</v>
      </c>
      <c r="BD130" s="8" t="e">
        <v>#N/A</v>
      </c>
      <c r="BE130" s="8">
        <v>27361</v>
      </c>
      <c r="BF130" s="8">
        <v>1153</v>
      </c>
      <c r="BG130" s="8">
        <v>2413</v>
      </c>
      <c r="BH130" s="8">
        <v>2470</v>
      </c>
    </row>
    <row r="131" spans="1:60" x14ac:dyDescent="0.25">
      <c r="A131" t="s">
        <v>697</v>
      </c>
      <c r="B131" s="8">
        <v>6341</v>
      </c>
      <c r="C131" s="8">
        <v>23050</v>
      </c>
      <c r="D131" s="8">
        <v>29391</v>
      </c>
      <c r="E131" s="8">
        <v>5547</v>
      </c>
      <c r="F131" s="8">
        <v>23844</v>
      </c>
      <c r="G131" s="2">
        <v>21.6</v>
      </c>
      <c r="H131" s="2">
        <v>78.400000000000006</v>
      </c>
      <c r="I131" s="2">
        <v>18.899999999999999</v>
      </c>
      <c r="J131" s="2">
        <v>81.099999999999994</v>
      </c>
      <c r="K131" s="8">
        <v>47</v>
      </c>
      <c r="L131" s="8">
        <v>196</v>
      </c>
      <c r="M131" s="8">
        <v>286</v>
      </c>
      <c r="N131" s="8">
        <v>1175</v>
      </c>
      <c r="O131" s="8">
        <v>1658</v>
      </c>
      <c r="P131" s="8">
        <v>1545</v>
      </c>
      <c r="Q131" s="8">
        <v>391</v>
      </c>
      <c r="R131" s="8">
        <v>1040</v>
      </c>
      <c r="S131" s="8">
        <v>31567</v>
      </c>
      <c r="T131" s="8">
        <v>439</v>
      </c>
      <c r="U131" s="8">
        <v>65</v>
      </c>
      <c r="V131" s="8">
        <v>2567</v>
      </c>
      <c r="W131" s="8">
        <v>121</v>
      </c>
      <c r="X131" s="8">
        <v>180</v>
      </c>
      <c r="Y131" s="8">
        <v>2055</v>
      </c>
      <c r="Z131" s="8">
        <v>4869</v>
      </c>
      <c r="AA131" s="8">
        <v>1460</v>
      </c>
      <c r="AB131" s="8">
        <v>1943</v>
      </c>
      <c r="AC131" s="8">
        <v>1193</v>
      </c>
      <c r="AD131" s="8">
        <v>1116</v>
      </c>
      <c r="AE131" s="8">
        <v>450</v>
      </c>
      <c r="AF131" s="8">
        <v>2407</v>
      </c>
      <c r="AG131" s="8">
        <v>2461</v>
      </c>
      <c r="AH131" s="8">
        <v>1705</v>
      </c>
      <c r="AI131" s="8">
        <v>2737</v>
      </c>
      <c r="AJ131" s="8">
        <v>4011</v>
      </c>
      <c r="AK131" s="8">
        <v>884</v>
      </c>
      <c r="AL131" s="8">
        <v>835</v>
      </c>
      <c r="AM131" s="8">
        <v>70</v>
      </c>
      <c r="AN131" s="8">
        <v>26142</v>
      </c>
      <c r="AO131" s="8">
        <v>483.33333333333331</v>
      </c>
      <c r="AP131" s="8">
        <v>2503</v>
      </c>
      <c r="AQ131" s="2">
        <v>7.9</v>
      </c>
      <c r="AR131" s="2">
        <v>5.9</v>
      </c>
      <c r="AS131" s="2">
        <v>-1.2</v>
      </c>
      <c r="AT131" s="8">
        <v>50</v>
      </c>
      <c r="AU131" s="8">
        <v>49</v>
      </c>
      <c r="AV131" s="8">
        <v>838</v>
      </c>
      <c r="AW131" s="8">
        <v>50383</v>
      </c>
      <c r="AX131" s="2">
        <v>63.2</v>
      </c>
      <c r="AY131" s="2">
        <v>70.400000000000006</v>
      </c>
      <c r="AZ131" s="2">
        <v>31.8</v>
      </c>
      <c r="BA131" s="8">
        <v>440</v>
      </c>
      <c r="BB131" s="8">
        <v>29324</v>
      </c>
      <c r="BC131" s="8">
        <v>25098</v>
      </c>
      <c r="BD131" s="8" t="e">
        <v>#N/A</v>
      </c>
      <c r="BE131" s="8">
        <v>27319</v>
      </c>
      <c r="BF131" s="8">
        <v>1192</v>
      </c>
      <c r="BG131" s="8">
        <v>2406</v>
      </c>
      <c r="BH131" s="8">
        <v>2503</v>
      </c>
    </row>
    <row r="132" spans="1:60" x14ac:dyDescent="0.25">
      <c r="A132" t="s">
        <v>698</v>
      </c>
      <c r="B132" s="8">
        <v>6316</v>
      </c>
      <c r="C132" s="8">
        <v>23120</v>
      </c>
      <c r="D132" s="8">
        <v>29436</v>
      </c>
      <c r="E132" s="8">
        <v>5526</v>
      </c>
      <c r="F132" s="8">
        <v>23910</v>
      </c>
      <c r="G132" s="2">
        <v>21.5</v>
      </c>
      <c r="H132" s="2">
        <v>78.5</v>
      </c>
      <c r="I132" s="2">
        <v>18.8</v>
      </c>
      <c r="J132" s="2">
        <v>81.2</v>
      </c>
      <c r="K132" s="8">
        <v>46</v>
      </c>
      <c r="L132" s="8">
        <v>194</v>
      </c>
      <c r="M132" s="8">
        <v>282</v>
      </c>
      <c r="N132" s="8">
        <v>1164</v>
      </c>
      <c r="O132" s="8">
        <v>1659</v>
      </c>
      <c r="P132" s="8">
        <v>1539</v>
      </c>
      <c r="Q132" s="8">
        <v>390</v>
      </c>
      <c r="R132" s="8">
        <v>1042</v>
      </c>
      <c r="S132" s="8">
        <v>31634</v>
      </c>
      <c r="T132" s="8">
        <v>403</v>
      </c>
      <c r="U132" s="8">
        <v>62</v>
      </c>
      <c r="V132" s="8">
        <v>2562</v>
      </c>
      <c r="W132" s="8">
        <v>131</v>
      </c>
      <c r="X132" s="8">
        <v>190</v>
      </c>
      <c r="Y132" s="8">
        <v>2061</v>
      </c>
      <c r="Z132" s="8">
        <v>4849</v>
      </c>
      <c r="AA132" s="8">
        <v>1500</v>
      </c>
      <c r="AB132" s="8">
        <v>1937</v>
      </c>
      <c r="AC132" s="8">
        <v>1225</v>
      </c>
      <c r="AD132" s="8">
        <v>1129</v>
      </c>
      <c r="AE132" s="8">
        <v>465</v>
      </c>
      <c r="AF132" s="8">
        <v>2404</v>
      </c>
      <c r="AG132" s="8">
        <v>2462</v>
      </c>
      <c r="AH132" s="8">
        <v>1687</v>
      </c>
      <c r="AI132" s="8">
        <v>2767</v>
      </c>
      <c r="AJ132" s="8">
        <v>4010</v>
      </c>
      <c r="AK132" s="8">
        <v>876</v>
      </c>
      <c r="AL132" s="8">
        <v>842</v>
      </c>
      <c r="AM132" s="8">
        <v>73</v>
      </c>
      <c r="AN132" s="8">
        <v>26226</v>
      </c>
      <c r="AO132" s="8">
        <v>459</v>
      </c>
      <c r="AP132" s="8">
        <v>2483</v>
      </c>
      <c r="AQ132" s="2">
        <v>7.8</v>
      </c>
      <c r="AR132" s="2">
        <v>4.9000000000000004</v>
      </c>
      <c r="AS132" s="2">
        <v>-0.83333333333333337</v>
      </c>
      <c r="AT132" s="8">
        <v>57</v>
      </c>
      <c r="AU132" s="8">
        <v>45</v>
      </c>
      <c r="AV132" s="8">
        <v>859</v>
      </c>
      <c r="AW132" s="8">
        <v>50497</v>
      </c>
      <c r="AX132" s="2">
        <v>63.2</v>
      </c>
      <c r="AY132" s="2">
        <v>70.5</v>
      </c>
      <c r="AZ132" s="2">
        <v>31.7</v>
      </c>
      <c r="BA132" s="8">
        <v>448.66666666666669</v>
      </c>
      <c r="BB132" s="8">
        <v>29441</v>
      </c>
      <c r="BC132" s="8">
        <v>25235</v>
      </c>
      <c r="BD132" s="8" t="e">
        <v>#N/A</v>
      </c>
      <c r="BE132" s="8">
        <v>27405</v>
      </c>
      <c r="BF132" s="8">
        <v>1188</v>
      </c>
      <c r="BG132" s="8">
        <v>2394</v>
      </c>
      <c r="BH132" s="8">
        <v>2483</v>
      </c>
    </row>
    <row r="133" spans="1:60" x14ac:dyDescent="0.25">
      <c r="A133" t="s">
        <v>699</v>
      </c>
      <c r="B133" s="8">
        <v>6238</v>
      </c>
      <c r="C133" s="8">
        <v>23107</v>
      </c>
      <c r="D133" s="8">
        <v>29345</v>
      </c>
      <c r="E133" s="8">
        <v>5454</v>
      </c>
      <c r="F133" s="8">
        <v>23891</v>
      </c>
      <c r="G133" s="2">
        <v>21.3</v>
      </c>
      <c r="H133" s="2">
        <v>78.7</v>
      </c>
      <c r="I133" s="2">
        <v>18.600000000000001</v>
      </c>
      <c r="J133" s="2">
        <v>81.400000000000006</v>
      </c>
      <c r="K133" s="8">
        <v>45</v>
      </c>
      <c r="L133" s="8">
        <v>193</v>
      </c>
      <c r="M133" s="8">
        <v>277</v>
      </c>
      <c r="N133" s="8">
        <v>1120</v>
      </c>
      <c r="O133" s="8">
        <v>1662</v>
      </c>
      <c r="P133" s="8">
        <v>1531</v>
      </c>
      <c r="Q133" s="8">
        <v>385</v>
      </c>
      <c r="R133" s="8">
        <v>1027</v>
      </c>
      <c r="S133" s="8">
        <v>31557</v>
      </c>
      <c r="T133" s="8">
        <v>404</v>
      </c>
      <c r="U133" s="8">
        <v>61</v>
      </c>
      <c r="V133" s="8">
        <v>2564</v>
      </c>
      <c r="W133" s="8">
        <v>121</v>
      </c>
      <c r="X133" s="8">
        <v>190</v>
      </c>
      <c r="Y133" s="8">
        <v>2062</v>
      </c>
      <c r="Z133" s="8">
        <v>4807</v>
      </c>
      <c r="AA133" s="8">
        <v>1493</v>
      </c>
      <c r="AB133" s="8">
        <v>1989</v>
      </c>
      <c r="AC133" s="8">
        <v>1230</v>
      </c>
      <c r="AD133" s="8">
        <v>1132</v>
      </c>
      <c r="AE133" s="8">
        <v>467</v>
      </c>
      <c r="AF133" s="8">
        <v>2429</v>
      </c>
      <c r="AG133" s="8">
        <v>2445</v>
      </c>
      <c r="AH133" s="8">
        <v>1636</v>
      </c>
      <c r="AI133" s="8">
        <v>2752</v>
      </c>
      <c r="AJ133" s="8">
        <v>3992</v>
      </c>
      <c r="AK133" s="8">
        <v>872</v>
      </c>
      <c r="AL133" s="8">
        <v>835</v>
      </c>
      <c r="AM133" s="8">
        <v>76</v>
      </c>
      <c r="AN133" s="8">
        <v>26155</v>
      </c>
      <c r="AO133" s="8">
        <v>467.66666666666669</v>
      </c>
      <c r="AP133" s="8">
        <v>2540</v>
      </c>
      <c r="AQ133" s="2">
        <v>7.9</v>
      </c>
      <c r="AR133" s="2">
        <v>6.2</v>
      </c>
      <c r="AS133" s="2">
        <v>-0.6333333333333333</v>
      </c>
      <c r="AT133" s="8">
        <v>59</v>
      </c>
      <c r="AU133" s="8">
        <v>47</v>
      </c>
      <c r="AV133" s="8">
        <v>846</v>
      </c>
      <c r="AW133" s="8">
        <v>50611</v>
      </c>
      <c r="AX133" s="2">
        <v>63.2</v>
      </c>
      <c r="AY133" s="2">
        <v>70.5</v>
      </c>
      <c r="AZ133" s="2">
        <v>31.3</v>
      </c>
      <c r="BA133" s="8">
        <v>445.33333333333331</v>
      </c>
      <c r="BB133" s="8">
        <v>29447</v>
      </c>
      <c r="BC133" s="8">
        <v>25247</v>
      </c>
      <c r="BD133" s="8" t="e">
        <v>#N/A</v>
      </c>
      <c r="BE133" s="8">
        <v>27342</v>
      </c>
      <c r="BF133" s="8">
        <v>1270</v>
      </c>
      <c r="BG133" s="8">
        <v>2316</v>
      </c>
      <c r="BH133" s="8">
        <v>2540</v>
      </c>
    </row>
    <row r="134" spans="1:60" x14ac:dyDescent="0.25">
      <c r="A134" t="s">
        <v>700</v>
      </c>
      <c r="B134" s="8">
        <v>6200</v>
      </c>
      <c r="C134" s="8">
        <v>23106</v>
      </c>
      <c r="D134" s="8">
        <v>29306</v>
      </c>
      <c r="E134" s="8">
        <v>5420</v>
      </c>
      <c r="F134" s="8">
        <v>23886</v>
      </c>
      <c r="G134" s="2">
        <v>21.2</v>
      </c>
      <c r="H134" s="2">
        <v>78.8</v>
      </c>
      <c r="I134" s="2">
        <v>18.5</v>
      </c>
      <c r="J134" s="2">
        <v>81.5</v>
      </c>
      <c r="K134" s="8">
        <v>44</v>
      </c>
      <c r="L134" s="8">
        <v>191</v>
      </c>
      <c r="M134" s="8">
        <v>273</v>
      </c>
      <c r="N134" s="8">
        <v>1109</v>
      </c>
      <c r="O134" s="8">
        <v>1668</v>
      </c>
      <c r="P134" s="8">
        <v>1523</v>
      </c>
      <c r="Q134" s="8">
        <v>378</v>
      </c>
      <c r="R134" s="8">
        <v>1015</v>
      </c>
      <c r="S134" s="8">
        <v>31785</v>
      </c>
      <c r="T134" s="8">
        <v>434</v>
      </c>
      <c r="U134" s="8">
        <v>64</v>
      </c>
      <c r="V134" s="8">
        <v>2566</v>
      </c>
      <c r="W134" s="8">
        <v>122</v>
      </c>
      <c r="X134" s="8">
        <v>187</v>
      </c>
      <c r="Y134" s="8">
        <v>2087</v>
      </c>
      <c r="Z134" s="8">
        <v>4820</v>
      </c>
      <c r="AA134" s="8">
        <v>1488</v>
      </c>
      <c r="AB134" s="8">
        <v>2011</v>
      </c>
      <c r="AC134" s="8">
        <v>1233</v>
      </c>
      <c r="AD134" s="8">
        <v>1127</v>
      </c>
      <c r="AE134" s="8">
        <v>480</v>
      </c>
      <c r="AF134" s="8">
        <v>2462</v>
      </c>
      <c r="AG134" s="8">
        <v>2516</v>
      </c>
      <c r="AH134" s="8">
        <v>1616</v>
      </c>
      <c r="AI134" s="8">
        <v>2759</v>
      </c>
      <c r="AJ134" s="8">
        <v>3999</v>
      </c>
      <c r="AK134" s="8">
        <v>878</v>
      </c>
      <c r="AL134" s="8">
        <v>853</v>
      </c>
      <c r="AM134" s="8">
        <v>80</v>
      </c>
      <c r="AN134" s="8">
        <v>26323</v>
      </c>
      <c r="AO134" s="8">
        <v>477.66666666666669</v>
      </c>
      <c r="AP134" s="8">
        <v>2661</v>
      </c>
      <c r="AQ134" s="2">
        <v>8.3000000000000007</v>
      </c>
      <c r="AR134" s="2">
        <v>5.9</v>
      </c>
      <c r="AS134" s="2">
        <v>-0.6</v>
      </c>
      <c r="AT134" s="8">
        <v>57</v>
      </c>
      <c r="AU134" s="8">
        <v>48</v>
      </c>
      <c r="AV134" s="8">
        <v>878</v>
      </c>
      <c r="AW134" s="8">
        <v>50704</v>
      </c>
      <c r="AX134" s="2">
        <v>63</v>
      </c>
      <c r="AY134" s="2">
        <v>70.099999999999994</v>
      </c>
      <c r="AZ134" s="2">
        <v>31.7</v>
      </c>
      <c r="BA134" s="8">
        <v>448</v>
      </c>
      <c r="BB134" s="8">
        <v>29284</v>
      </c>
      <c r="BC134" s="8">
        <v>24972</v>
      </c>
      <c r="BD134" s="8" t="e">
        <v>#N/A</v>
      </c>
      <c r="BE134" s="8">
        <v>27414</v>
      </c>
      <c r="BF134" s="8">
        <v>1275</v>
      </c>
      <c r="BG134" s="8">
        <v>2289</v>
      </c>
      <c r="BH134" s="8">
        <v>2661</v>
      </c>
    </row>
    <row r="135" spans="1:60" x14ac:dyDescent="0.25">
      <c r="A135" t="s">
        <v>701</v>
      </c>
      <c r="B135" s="8">
        <v>6162</v>
      </c>
      <c r="C135" s="8">
        <v>23196</v>
      </c>
      <c r="D135" s="8">
        <v>29358</v>
      </c>
      <c r="E135" s="8">
        <v>5388</v>
      </c>
      <c r="F135" s="8">
        <v>23970</v>
      </c>
      <c r="G135" s="2">
        <v>21</v>
      </c>
      <c r="H135" s="2">
        <v>79</v>
      </c>
      <c r="I135" s="2">
        <v>18.399999999999999</v>
      </c>
      <c r="J135" s="2">
        <v>81.599999999999994</v>
      </c>
      <c r="K135" s="8">
        <v>45</v>
      </c>
      <c r="L135" s="8">
        <v>190</v>
      </c>
      <c r="M135" s="8">
        <v>270</v>
      </c>
      <c r="N135" s="8">
        <v>1093</v>
      </c>
      <c r="O135" s="8">
        <v>1664</v>
      </c>
      <c r="P135" s="8">
        <v>1515</v>
      </c>
      <c r="Q135" s="8">
        <v>380</v>
      </c>
      <c r="R135" s="8">
        <v>1002</v>
      </c>
      <c r="S135" s="8">
        <v>31803</v>
      </c>
      <c r="T135" s="8">
        <v>434</v>
      </c>
      <c r="U135" s="8">
        <v>67</v>
      </c>
      <c r="V135" s="8">
        <v>2539</v>
      </c>
      <c r="W135" s="8">
        <v>121</v>
      </c>
      <c r="X135" s="8">
        <v>188</v>
      </c>
      <c r="Y135" s="8">
        <v>2095</v>
      </c>
      <c r="Z135" s="8">
        <v>4835</v>
      </c>
      <c r="AA135" s="8">
        <v>1494</v>
      </c>
      <c r="AB135" s="8">
        <v>1995</v>
      </c>
      <c r="AC135" s="8">
        <v>1227</v>
      </c>
      <c r="AD135" s="8">
        <v>1119</v>
      </c>
      <c r="AE135" s="8">
        <v>484</v>
      </c>
      <c r="AF135" s="8">
        <v>2481</v>
      </c>
      <c r="AG135" s="8">
        <v>2562</v>
      </c>
      <c r="AH135" s="8">
        <v>1597</v>
      </c>
      <c r="AI135" s="8">
        <v>2757</v>
      </c>
      <c r="AJ135" s="8">
        <v>4003</v>
      </c>
      <c r="AK135" s="8">
        <v>880</v>
      </c>
      <c r="AL135" s="8">
        <v>855</v>
      </c>
      <c r="AM135" s="8">
        <v>69</v>
      </c>
      <c r="AN135" s="8">
        <v>26357</v>
      </c>
      <c r="AO135" s="8">
        <v>467.33333333333331</v>
      </c>
      <c r="AP135" s="8">
        <v>2688</v>
      </c>
      <c r="AQ135" s="2">
        <v>8.4</v>
      </c>
      <c r="AR135" s="2">
        <v>6.6</v>
      </c>
      <c r="AS135" s="2">
        <v>-0.93333333333333324</v>
      </c>
      <c r="AT135" s="8">
        <v>61</v>
      </c>
      <c r="AU135" s="8">
        <v>55</v>
      </c>
      <c r="AV135" s="8">
        <v>867</v>
      </c>
      <c r="AW135" s="8">
        <v>50788</v>
      </c>
      <c r="AX135" s="2">
        <v>63.1</v>
      </c>
      <c r="AY135" s="2">
        <v>70.2</v>
      </c>
      <c r="AZ135" s="2">
        <v>31.6</v>
      </c>
      <c r="BA135" s="8">
        <v>449.66666666666669</v>
      </c>
      <c r="BB135" s="8">
        <v>29352</v>
      </c>
      <c r="BC135" s="8">
        <v>25016</v>
      </c>
      <c r="BD135" s="8" t="e">
        <v>#N/A</v>
      </c>
      <c r="BE135" s="8">
        <v>27469</v>
      </c>
      <c r="BF135" s="8">
        <v>1363</v>
      </c>
      <c r="BG135" s="8">
        <v>2305</v>
      </c>
      <c r="BH135" s="8">
        <v>2688</v>
      </c>
    </row>
    <row r="136" spans="1:60" x14ac:dyDescent="0.25">
      <c r="A136" t="s">
        <v>702</v>
      </c>
      <c r="B136" s="8">
        <v>6123</v>
      </c>
      <c r="C136" s="8">
        <v>23387</v>
      </c>
      <c r="D136" s="8">
        <v>29510</v>
      </c>
      <c r="E136" s="8">
        <v>5353</v>
      </c>
      <c r="F136" s="8">
        <v>24157</v>
      </c>
      <c r="G136" s="2">
        <v>20.7</v>
      </c>
      <c r="H136" s="2">
        <v>79.3</v>
      </c>
      <c r="I136" s="2">
        <v>18.100000000000001</v>
      </c>
      <c r="J136" s="2">
        <v>81.900000000000006</v>
      </c>
      <c r="K136" s="8">
        <v>44</v>
      </c>
      <c r="L136" s="8">
        <v>187</v>
      </c>
      <c r="M136" s="8">
        <v>268</v>
      </c>
      <c r="N136" s="8">
        <v>1080</v>
      </c>
      <c r="O136" s="8">
        <v>1683</v>
      </c>
      <c r="P136" s="8">
        <v>1507</v>
      </c>
      <c r="Q136" s="8">
        <v>367</v>
      </c>
      <c r="R136" s="8">
        <v>988</v>
      </c>
      <c r="S136" s="8">
        <v>32147</v>
      </c>
      <c r="T136" s="8">
        <v>429</v>
      </c>
      <c r="U136" s="8">
        <v>73</v>
      </c>
      <c r="V136" s="8">
        <v>2580</v>
      </c>
      <c r="W136" s="8">
        <v>122</v>
      </c>
      <c r="X136" s="8">
        <v>191</v>
      </c>
      <c r="Y136" s="8">
        <v>2090</v>
      </c>
      <c r="Z136" s="8">
        <v>4924</v>
      </c>
      <c r="AA136" s="8">
        <v>1514</v>
      </c>
      <c r="AB136" s="8">
        <v>2041</v>
      </c>
      <c r="AC136" s="8">
        <v>1230</v>
      </c>
      <c r="AD136" s="8">
        <v>1155</v>
      </c>
      <c r="AE136" s="8">
        <v>493</v>
      </c>
      <c r="AF136" s="8">
        <v>2490</v>
      </c>
      <c r="AG136" s="8">
        <v>2583</v>
      </c>
      <c r="AH136" s="8">
        <v>1579</v>
      </c>
      <c r="AI136" s="8">
        <v>2805</v>
      </c>
      <c r="AJ136" s="8">
        <v>4040</v>
      </c>
      <c r="AK136" s="8">
        <v>902</v>
      </c>
      <c r="AL136" s="8">
        <v>834</v>
      </c>
      <c r="AM136" s="8">
        <v>71</v>
      </c>
      <c r="AN136" s="8">
        <v>26664</v>
      </c>
      <c r="AO136" s="8">
        <v>444</v>
      </c>
      <c r="AP136" s="8">
        <v>2633</v>
      </c>
      <c r="AQ136" s="2">
        <v>8.1999999999999993</v>
      </c>
      <c r="AR136" s="2">
        <v>6.9</v>
      </c>
      <c r="AS136" s="2">
        <v>-1.0333333333333334</v>
      </c>
      <c r="AT136" s="8">
        <v>70</v>
      </c>
      <c r="AU136" s="8">
        <v>50</v>
      </c>
      <c r="AV136" s="8">
        <v>887</v>
      </c>
      <c r="AW136" s="8">
        <v>50873</v>
      </c>
      <c r="AX136" s="2">
        <v>63.1</v>
      </c>
      <c r="AY136" s="2">
        <v>70.5</v>
      </c>
      <c r="AZ136" s="2">
        <v>31.7</v>
      </c>
      <c r="BA136" s="8">
        <v>450.66666666666669</v>
      </c>
      <c r="BB136" s="8">
        <v>29470</v>
      </c>
      <c r="BC136" s="8">
        <v>25042</v>
      </c>
      <c r="BD136" s="8" t="e">
        <v>#N/A</v>
      </c>
      <c r="BE136" s="8">
        <v>27694</v>
      </c>
      <c r="BF136" s="8">
        <v>1414</v>
      </c>
      <c r="BG136" s="8">
        <v>2371</v>
      </c>
      <c r="BH136" s="8">
        <v>2633</v>
      </c>
    </row>
    <row r="137" spans="1:60" x14ac:dyDescent="0.25">
      <c r="A137" t="s">
        <v>703</v>
      </c>
      <c r="B137" s="8">
        <v>6082</v>
      </c>
      <c r="C137" s="8">
        <v>23686</v>
      </c>
      <c r="D137" s="8">
        <v>29768</v>
      </c>
      <c r="E137" s="8">
        <v>5318</v>
      </c>
      <c r="F137" s="8">
        <v>24450</v>
      </c>
      <c r="G137" s="2">
        <v>20.399999999999999</v>
      </c>
      <c r="H137" s="2">
        <v>79.599999999999994</v>
      </c>
      <c r="I137" s="2">
        <v>17.899999999999999</v>
      </c>
      <c r="J137" s="2">
        <v>82.1</v>
      </c>
      <c r="K137" s="8">
        <v>46</v>
      </c>
      <c r="L137" s="8">
        <v>186</v>
      </c>
      <c r="M137" s="8">
        <v>266</v>
      </c>
      <c r="N137" s="8">
        <v>1078</v>
      </c>
      <c r="O137" s="8">
        <v>1663</v>
      </c>
      <c r="P137" s="8">
        <v>1504</v>
      </c>
      <c r="Q137" s="8">
        <v>362</v>
      </c>
      <c r="R137" s="8">
        <v>981</v>
      </c>
      <c r="S137" s="8">
        <v>32093</v>
      </c>
      <c r="T137" s="8">
        <v>426</v>
      </c>
      <c r="U137" s="8">
        <v>77</v>
      </c>
      <c r="V137" s="8">
        <v>2603</v>
      </c>
      <c r="W137" s="8">
        <v>123</v>
      </c>
      <c r="X137" s="8">
        <v>195</v>
      </c>
      <c r="Y137" s="8">
        <v>2072</v>
      </c>
      <c r="Z137" s="8">
        <v>4878</v>
      </c>
      <c r="AA137" s="8">
        <v>1511</v>
      </c>
      <c r="AB137" s="8">
        <v>2043</v>
      </c>
      <c r="AC137" s="8">
        <v>1226</v>
      </c>
      <c r="AD137" s="8">
        <v>1145</v>
      </c>
      <c r="AE137" s="8">
        <v>495</v>
      </c>
      <c r="AF137" s="8">
        <v>2531</v>
      </c>
      <c r="AG137" s="8">
        <v>2636</v>
      </c>
      <c r="AH137" s="8">
        <v>1577</v>
      </c>
      <c r="AI137" s="8">
        <v>2771</v>
      </c>
      <c r="AJ137" s="8">
        <v>3998</v>
      </c>
      <c r="AK137" s="8">
        <v>897</v>
      </c>
      <c r="AL137" s="8">
        <v>822</v>
      </c>
      <c r="AM137" s="8">
        <v>65</v>
      </c>
      <c r="AN137" s="8">
        <v>26596</v>
      </c>
      <c r="AO137" s="8">
        <v>482.33333333333331</v>
      </c>
      <c r="AP137" s="8">
        <v>2575</v>
      </c>
      <c r="AQ137" s="2">
        <v>8</v>
      </c>
      <c r="AR137" s="2">
        <v>6</v>
      </c>
      <c r="AS137" s="2">
        <v>-1.1000000000000001</v>
      </c>
      <c r="AT137" s="8">
        <v>70</v>
      </c>
      <c r="AU137" s="8">
        <v>45</v>
      </c>
      <c r="AV137" s="8">
        <v>888</v>
      </c>
      <c r="AW137" s="8">
        <v>50957</v>
      </c>
      <c r="AX137" s="2">
        <v>63.3</v>
      </c>
      <c r="AY137" s="2">
        <v>70.900000000000006</v>
      </c>
      <c r="AZ137" s="2">
        <v>31.7</v>
      </c>
      <c r="BA137" s="8">
        <v>453.66666666666669</v>
      </c>
      <c r="BB137" s="8">
        <v>29689</v>
      </c>
      <c r="BC137" s="8">
        <v>25187</v>
      </c>
      <c r="BD137" s="8" t="e">
        <v>#N/A</v>
      </c>
      <c r="BE137" s="8">
        <v>27591</v>
      </c>
      <c r="BF137" s="8">
        <v>1427</v>
      </c>
      <c r="BG137" s="8">
        <v>2418</v>
      </c>
      <c r="BH137" s="8">
        <v>2575</v>
      </c>
    </row>
    <row r="138" spans="1:60" x14ac:dyDescent="0.25">
      <c r="A138" t="s">
        <v>704</v>
      </c>
      <c r="B138" s="8">
        <v>6058</v>
      </c>
      <c r="C138" s="8">
        <v>23718</v>
      </c>
      <c r="D138" s="8">
        <v>29776</v>
      </c>
      <c r="E138" s="8">
        <v>5299</v>
      </c>
      <c r="F138" s="8">
        <v>24477</v>
      </c>
      <c r="G138" s="2">
        <v>20.3</v>
      </c>
      <c r="H138" s="2">
        <v>79.7</v>
      </c>
      <c r="I138" s="2">
        <v>17.8</v>
      </c>
      <c r="J138" s="2">
        <v>82.2</v>
      </c>
      <c r="K138" s="8">
        <v>46</v>
      </c>
      <c r="L138" s="8">
        <v>183</v>
      </c>
      <c r="M138" s="8">
        <v>264</v>
      </c>
      <c r="N138" s="8">
        <v>1070</v>
      </c>
      <c r="O138" s="8">
        <v>1660</v>
      </c>
      <c r="P138" s="8">
        <v>1502</v>
      </c>
      <c r="Q138" s="8">
        <v>356</v>
      </c>
      <c r="R138" s="8">
        <v>978</v>
      </c>
      <c r="S138" s="8">
        <v>32035</v>
      </c>
      <c r="T138" s="8">
        <v>404</v>
      </c>
      <c r="U138" s="8">
        <v>78</v>
      </c>
      <c r="V138" s="8">
        <v>2587</v>
      </c>
      <c r="W138" s="8">
        <v>126</v>
      </c>
      <c r="X138" s="8">
        <v>194</v>
      </c>
      <c r="Y138" s="8">
        <v>2070</v>
      </c>
      <c r="Z138" s="8">
        <v>4836</v>
      </c>
      <c r="AA138" s="8">
        <v>1513</v>
      </c>
      <c r="AB138" s="8">
        <v>2041</v>
      </c>
      <c r="AC138" s="8">
        <v>1238</v>
      </c>
      <c r="AD138" s="8">
        <v>1128</v>
      </c>
      <c r="AE138" s="8">
        <v>509</v>
      </c>
      <c r="AF138" s="8">
        <v>2500</v>
      </c>
      <c r="AG138" s="8">
        <v>2664</v>
      </c>
      <c r="AH138" s="8">
        <v>1564</v>
      </c>
      <c r="AI138" s="8">
        <v>2774</v>
      </c>
      <c r="AJ138" s="8">
        <v>4018</v>
      </c>
      <c r="AK138" s="8">
        <v>915</v>
      </c>
      <c r="AL138" s="8">
        <v>809</v>
      </c>
      <c r="AM138" s="8">
        <v>69</v>
      </c>
      <c r="AN138" s="8">
        <v>26577</v>
      </c>
      <c r="AO138" s="8">
        <v>501</v>
      </c>
      <c r="AP138" s="8">
        <v>2537</v>
      </c>
      <c r="AQ138" s="2">
        <v>7.8</v>
      </c>
      <c r="AR138" s="2">
        <v>5.0999999999999996</v>
      </c>
      <c r="AS138" s="2">
        <v>-0.66666666666666663</v>
      </c>
      <c r="AT138" s="8">
        <v>67</v>
      </c>
      <c r="AU138" s="8">
        <v>52</v>
      </c>
      <c r="AV138" s="8">
        <v>902</v>
      </c>
      <c r="AW138" s="8">
        <v>51045</v>
      </c>
      <c r="AX138" s="2">
        <v>63.3</v>
      </c>
      <c r="AY138" s="2">
        <v>71.099999999999994</v>
      </c>
      <c r="AZ138" s="2">
        <v>32</v>
      </c>
      <c r="BA138" s="8">
        <v>455.66666666666669</v>
      </c>
      <c r="BB138" s="8">
        <v>29788</v>
      </c>
      <c r="BC138" s="8">
        <v>25255</v>
      </c>
      <c r="BD138" s="8" t="e">
        <v>#N/A</v>
      </c>
      <c r="BE138" s="8">
        <v>27528</v>
      </c>
      <c r="BF138" s="8">
        <v>1412</v>
      </c>
      <c r="BG138" s="8">
        <v>2365</v>
      </c>
      <c r="BH138" s="8">
        <v>2537</v>
      </c>
    </row>
    <row r="139" spans="1:60" x14ac:dyDescent="0.25">
      <c r="A139" t="s">
        <v>705</v>
      </c>
      <c r="B139" s="8">
        <v>6044</v>
      </c>
      <c r="C139" s="8">
        <v>23886</v>
      </c>
      <c r="D139" s="8">
        <v>29930</v>
      </c>
      <c r="E139" s="8">
        <v>5284</v>
      </c>
      <c r="F139" s="8">
        <v>24646</v>
      </c>
      <c r="G139" s="2">
        <v>20.2</v>
      </c>
      <c r="H139" s="2">
        <v>79.8</v>
      </c>
      <c r="I139" s="2">
        <v>17.7</v>
      </c>
      <c r="J139" s="2">
        <v>82.3</v>
      </c>
      <c r="K139" s="8">
        <v>46</v>
      </c>
      <c r="L139" s="8">
        <v>179</v>
      </c>
      <c r="M139" s="8">
        <v>263</v>
      </c>
      <c r="N139" s="8">
        <v>1069</v>
      </c>
      <c r="O139" s="8">
        <v>1659</v>
      </c>
      <c r="P139" s="8">
        <v>1505</v>
      </c>
      <c r="Q139" s="8">
        <v>351</v>
      </c>
      <c r="R139" s="8">
        <v>970</v>
      </c>
      <c r="S139" s="8">
        <v>31990</v>
      </c>
      <c r="T139" s="8">
        <v>380</v>
      </c>
      <c r="U139" s="8">
        <v>73</v>
      </c>
      <c r="V139" s="8">
        <v>2547</v>
      </c>
      <c r="W139" s="8">
        <v>120</v>
      </c>
      <c r="X139" s="8">
        <v>194</v>
      </c>
      <c r="Y139" s="8">
        <v>2053</v>
      </c>
      <c r="Z139" s="8">
        <v>4859</v>
      </c>
      <c r="AA139" s="8">
        <v>1517</v>
      </c>
      <c r="AB139" s="8">
        <v>2007</v>
      </c>
      <c r="AC139" s="8">
        <v>1264</v>
      </c>
      <c r="AD139" s="8">
        <v>1144</v>
      </c>
      <c r="AE139" s="8">
        <v>505</v>
      </c>
      <c r="AF139" s="8">
        <v>2575</v>
      </c>
      <c r="AG139" s="8">
        <v>2565</v>
      </c>
      <c r="AH139" s="8">
        <v>1562</v>
      </c>
      <c r="AI139" s="8">
        <v>2765</v>
      </c>
      <c r="AJ139" s="8">
        <v>4055</v>
      </c>
      <c r="AK139" s="8">
        <v>899</v>
      </c>
      <c r="AL139" s="8">
        <v>831</v>
      </c>
      <c r="AM139" s="8">
        <v>75</v>
      </c>
      <c r="AN139" s="8">
        <v>26624</v>
      </c>
      <c r="AO139" s="8">
        <v>503.66666666666669</v>
      </c>
      <c r="AP139" s="8">
        <v>2534</v>
      </c>
      <c r="AQ139" s="2">
        <v>7.8</v>
      </c>
      <c r="AR139" s="2">
        <v>5.8</v>
      </c>
      <c r="AS139" s="2">
        <v>-0.6</v>
      </c>
      <c r="AT139" s="8">
        <v>73</v>
      </c>
      <c r="AU139" s="8">
        <v>54</v>
      </c>
      <c r="AV139" s="8">
        <v>885</v>
      </c>
      <c r="AW139" s="8">
        <v>51135</v>
      </c>
      <c r="AX139" s="2">
        <v>63.5</v>
      </c>
      <c r="AY139" s="2">
        <v>71.400000000000006</v>
      </c>
      <c r="AZ139" s="2">
        <v>31.9</v>
      </c>
      <c r="BA139" s="8">
        <v>454.66666666666669</v>
      </c>
      <c r="BB139" s="8">
        <v>29945</v>
      </c>
      <c r="BC139" s="8">
        <v>25369</v>
      </c>
      <c r="BD139" s="8" t="e">
        <v>#N/A</v>
      </c>
      <c r="BE139" s="8">
        <v>27547</v>
      </c>
      <c r="BF139" s="8">
        <v>1392</v>
      </c>
      <c r="BG139" s="8">
        <v>2344</v>
      </c>
      <c r="BH139" s="8">
        <v>2534</v>
      </c>
    </row>
    <row r="140" spans="1:60" x14ac:dyDescent="0.25">
      <c r="A140" t="s">
        <v>706</v>
      </c>
      <c r="B140" s="8">
        <v>6024</v>
      </c>
      <c r="C140" s="8">
        <v>23906</v>
      </c>
      <c r="D140" s="8">
        <v>29930</v>
      </c>
      <c r="E140" s="8">
        <v>5280</v>
      </c>
      <c r="F140" s="8">
        <v>24650</v>
      </c>
      <c r="G140" s="2">
        <v>20.100000000000001</v>
      </c>
      <c r="H140" s="2">
        <v>79.900000000000006</v>
      </c>
      <c r="I140" s="2">
        <v>17.600000000000001</v>
      </c>
      <c r="J140" s="2">
        <v>82.4</v>
      </c>
      <c r="K140" s="8">
        <v>45</v>
      </c>
      <c r="L140" s="8">
        <v>178</v>
      </c>
      <c r="M140" s="8">
        <v>261</v>
      </c>
      <c r="N140" s="8">
        <v>1072</v>
      </c>
      <c r="O140" s="8">
        <v>1659</v>
      </c>
      <c r="P140" s="8">
        <v>1508</v>
      </c>
      <c r="Q140" s="8">
        <v>347</v>
      </c>
      <c r="R140" s="8">
        <v>956</v>
      </c>
      <c r="S140" s="8">
        <v>32173</v>
      </c>
      <c r="T140" s="8">
        <v>373</v>
      </c>
      <c r="U140" s="8">
        <v>71</v>
      </c>
      <c r="V140" s="8">
        <v>2546</v>
      </c>
      <c r="W140" s="8">
        <v>126</v>
      </c>
      <c r="X140" s="8">
        <v>196</v>
      </c>
      <c r="Y140" s="8">
        <v>2049</v>
      </c>
      <c r="Z140" s="8">
        <v>4900</v>
      </c>
      <c r="AA140" s="8">
        <v>1501</v>
      </c>
      <c r="AB140" s="8">
        <v>1997</v>
      </c>
      <c r="AC140" s="8">
        <v>1268</v>
      </c>
      <c r="AD140" s="8">
        <v>1139</v>
      </c>
      <c r="AE140" s="8">
        <v>510</v>
      </c>
      <c r="AF140" s="8">
        <v>2604</v>
      </c>
      <c r="AG140" s="8">
        <v>2602</v>
      </c>
      <c r="AH140" s="8">
        <v>1562</v>
      </c>
      <c r="AI140" s="8">
        <v>2787</v>
      </c>
      <c r="AJ140" s="8">
        <v>4122</v>
      </c>
      <c r="AK140" s="8">
        <v>902</v>
      </c>
      <c r="AL140" s="8">
        <v>845</v>
      </c>
      <c r="AM140" s="8">
        <v>75</v>
      </c>
      <c r="AN140" s="8">
        <v>26813</v>
      </c>
      <c r="AO140" s="8">
        <v>482.66666666666669</v>
      </c>
      <c r="AP140" s="8">
        <v>2540</v>
      </c>
      <c r="AQ140" s="2">
        <v>7.8</v>
      </c>
      <c r="AR140" s="2">
        <v>5.6</v>
      </c>
      <c r="AS140" s="2">
        <v>-0.56666666666666676</v>
      </c>
      <c r="AT140" s="8">
        <v>57</v>
      </c>
      <c r="AU140" s="8">
        <v>55</v>
      </c>
      <c r="AV140" s="8">
        <v>907</v>
      </c>
      <c r="AW140" s="8">
        <v>51225</v>
      </c>
      <c r="AX140" s="2">
        <v>63.3</v>
      </c>
      <c r="AY140" s="2">
        <v>71.2</v>
      </c>
      <c r="AZ140" s="2">
        <v>32</v>
      </c>
      <c r="BA140" s="8">
        <v>452.66666666666669</v>
      </c>
      <c r="BB140" s="8">
        <v>29884</v>
      </c>
      <c r="BC140" s="8">
        <v>25398</v>
      </c>
      <c r="BD140" s="8" t="e">
        <v>#N/A</v>
      </c>
      <c r="BE140" s="8">
        <v>27703</v>
      </c>
      <c r="BF140" s="8">
        <v>1418</v>
      </c>
      <c r="BG140" s="8">
        <v>2327</v>
      </c>
      <c r="BH140" s="8">
        <v>2540</v>
      </c>
    </row>
    <row r="141" spans="1:60" x14ac:dyDescent="0.25">
      <c r="A141" t="s">
        <v>707</v>
      </c>
      <c r="B141" s="8">
        <v>6024</v>
      </c>
      <c r="C141" s="8">
        <v>24025</v>
      </c>
      <c r="D141" s="8">
        <v>30049</v>
      </c>
      <c r="E141" s="8">
        <v>5285</v>
      </c>
      <c r="F141" s="8">
        <v>24764</v>
      </c>
      <c r="G141" s="2">
        <v>20</v>
      </c>
      <c r="H141" s="2">
        <v>80</v>
      </c>
      <c r="I141" s="2">
        <v>17.600000000000001</v>
      </c>
      <c r="J141" s="2">
        <v>82.4</v>
      </c>
      <c r="K141" s="8">
        <v>44</v>
      </c>
      <c r="L141" s="8">
        <v>175</v>
      </c>
      <c r="M141" s="8">
        <v>261</v>
      </c>
      <c r="N141" s="8">
        <v>1072</v>
      </c>
      <c r="O141" s="8">
        <v>1683</v>
      </c>
      <c r="P141" s="8">
        <v>1505</v>
      </c>
      <c r="Q141" s="8">
        <v>343</v>
      </c>
      <c r="R141" s="8">
        <v>944</v>
      </c>
      <c r="S141" s="8">
        <v>32236</v>
      </c>
      <c r="T141" s="8">
        <v>380</v>
      </c>
      <c r="U141" s="8">
        <v>69</v>
      </c>
      <c r="V141" s="8">
        <v>2560</v>
      </c>
      <c r="W141" s="8">
        <v>122</v>
      </c>
      <c r="X141" s="8">
        <v>189</v>
      </c>
      <c r="Y141" s="8">
        <v>2045</v>
      </c>
      <c r="Z141" s="8">
        <v>4850</v>
      </c>
      <c r="AA141" s="8">
        <v>1489</v>
      </c>
      <c r="AB141" s="8">
        <v>2089</v>
      </c>
      <c r="AC141" s="8">
        <v>1269</v>
      </c>
      <c r="AD141" s="8">
        <v>1118</v>
      </c>
      <c r="AE141" s="8">
        <v>542</v>
      </c>
      <c r="AF141" s="8">
        <v>2630</v>
      </c>
      <c r="AG141" s="8">
        <v>2595</v>
      </c>
      <c r="AH141" s="8">
        <v>1560</v>
      </c>
      <c r="AI141" s="8">
        <v>2818</v>
      </c>
      <c r="AJ141" s="8">
        <v>4099</v>
      </c>
      <c r="AK141" s="8">
        <v>909</v>
      </c>
      <c r="AL141" s="8">
        <v>836</v>
      </c>
      <c r="AM141" s="8">
        <v>69</v>
      </c>
      <c r="AN141" s="8">
        <v>26873</v>
      </c>
      <c r="AO141" s="8">
        <v>542</v>
      </c>
      <c r="AP141" s="8">
        <v>2515</v>
      </c>
      <c r="AQ141" s="2">
        <v>7.7</v>
      </c>
      <c r="AR141" s="2">
        <v>4.9000000000000004</v>
      </c>
      <c r="AS141" s="2">
        <v>-0.53333333333333333</v>
      </c>
      <c r="AT141" s="8">
        <v>52</v>
      </c>
      <c r="AU141" s="8">
        <v>37</v>
      </c>
      <c r="AV141" s="8">
        <v>913</v>
      </c>
      <c r="AW141" s="8">
        <v>51316</v>
      </c>
      <c r="AX141" s="2">
        <v>63.3</v>
      </c>
      <c r="AY141" s="2">
        <v>71.3</v>
      </c>
      <c r="AZ141" s="2">
        <v>32</v>
      </c>
      <c r="BA141" s="8">
        <v>465</v>
      </c>
      <c r="BB141" s="8">
        <v>29990</v>
      </c>
      <c r="BC141" s="8">
        <v>25462</v>
      </c>
      <c r="BD141" s="8" t="e">
        <v>#N/A</v>
      </c>
      <c r="BE141" s="8">
        <v>27825</v>
      </c>
      <c r="BF141" s="8">
        <v>1455</v>
      </c>
      <c r="BG141" s="8">
        <v>2300</v>
      </c>
      <c r="BH141" s="8">
        <v>2515</v>
      </c>
    </row>
    <row r="142" spans="1:60" x14ac:dyDescent="0.25">
      <c r="A142" t="s">
        <v>708</v>
      </c>
      <c r="B142" s="8">
        <v>6028</v>
      </c>
      <c r="C142" s="8">
        <v>24252</v>
      </c>
      <c r="D142" s="8">
        <v>30280</v>
      </c>
      <c r="E142" s="8">
        <v>5300</v>
      </c>
      <c r="F142" s="8">
        <v>24980</v>
      </c>
      <c r="G142" s="2">
        <v>19.899999999999999</v>
      </c>
      <c r="H142" s="2">
        <v>80.099999999999994</v>
      </c>
      <c r="I142" s="2">
        <v>17.5</v>
      </c>
      <c r="J142" s="2">
        <v>82.5</v>
      </c>
      <c r="K142" s="8">
        <v>44</v>
      </c>
      <c r="L142" s="8">
        <v>174</v>
      </c>
      <c r="M142" s="8">
        <v>259</v>
      </c>
      <c r="N142" s="8">
        <v>1073</v>
      </c>
      <c r="O142" s="8">
        <v>1693</v>
      </c>
      <c r="P142" s="8">
        <v>1512</v>
      </c>
      <c r="Q142" s="8">
        <v>341</v>
      </c>
      <c r="R142" s="8">
        <v>936</v>
      </c>
      <c r="S142" s="8">
        <v>32464</v>
      </c>
      <c r="T142" s="8">
        <v>374</v>
      </c>
      <c r="U142" s="8">
        <v>68</v>
      </c>
      <c r="V142" s="8">
        <v>2575</v>
      </c>
      <c r="W142" s="8">
        <v>121</v>
      </c>
      <c r="X142" s="8">
        <v>193</v>
      </c>
      <c r="Y142" s="8">
        <v>2073</v>
      </c>
      <c r="Z142" s="8">
        <v>4850</v>
      </c>
      <c r="AA142" s="8">
        <v>1506</v>
      </c>
      <c r="AB142" s="8">
        <v>2113</v>
      </c>
      <c r="AC142" s="8">
        <v>1276</v>
      </c>
      <c r="AD142" s="8">
        <v>1107</v>
      </c>
      <c r="AE142" s="8">
        <v>546</v>
      </c>
      <c r="AF142" s="8">
        <v>2670</v>
      </c>
      <c r="AG142" s="8">
        <v>2615</v>
      </c>
      <c r="AH142" s="8">
        <v>1553</v>
      </c>
      <c r="AI142" s="8">
        <v>2846</v>
      </c>
      <c r="AJ142" s="8">
        <v>4114</v>
      </c>
      <c r="AK142" s="8">
        <v>915</v>
      </c>
      <c r="AL142" s="8">
        <v>888</v>
      </c>
      <c r="AM142" s="8">
        <v>63</v>
      </c>
      <c r="AN142" s="8">
        <v>27061</v>
      </c>
      <c r="AO142" s="8">
        <v>560.66666666666663</v>
      </c>
      <c r="AP142" s="8">
        <v>2483</v>
      </c>
      <c r="AQ142" s="2">
        <v>7.6</v>
      </c>
      <c r="AR142" s="2">
        <v>4.9000000000000004</v>
      </c>
      <c r="AS142" s="2">
        <v>-0.56666666666666665</v>
      </c>
      <c r="AT142" s="8">
        <v>67</v>
      </c>
      <c r="AU142" s="8">
        <v>54</v>
      </c>
      <c r="AV142" s="8">
        <v>893</v>
      </c>
      <c r="AW142" s="8">
        <v>51412</v>
      </c>
      <c r="AX142" s="2">
        <v>63.5</v>
      </c>
      <c r="AY142" s="2">
        <v>71.599999999999994</v>
      </c>
      <c r="AZ142" s="2">
        <v>32.200000000000003</v>
      </c>
      <c r="BA142" s="8">
        <v>460</v>
      </c>
      <c r="BB142" s="8">
        <v>30163</v>
      </c>
      <c r="BC142" s="8">
        <v>25579</v>
      </c>
      <c r="BD142" s="8" t="e">
        <v>#N/A</v>
      </c>
      <c r="BE142" s="8">
        <v>27938</v>
      </c>
      <c r="BF142" s="8">
        <v>1462</v>
      </c>
      <c r="BG142" s="8">
        <v>2341</v>
      </c>
      <c r="BH142" s="8">
        <v>2483</v>
      </c>
    </row>
    <row r="143" spans="1:60" x14ac:dyDescent="0.25">
      <c r="A143" t="s">
        <v>709</v>
      </c>
      <c r="B143" s="8">
        <v>5858</v>
      </c>
      <c r="C143" s="8">
        <v>24532</v>
      </c>
      <c r="D143" s="8">
        <v>30390</v>
      </c>
      <c r="E143" s="8">
        <v>5287</v>
      </c>
      <c r="F143" s="8">
        <v>25103</v>
      </c>
      <c r="G143" s="2">
        <v>19.3</v>
      </c>
      <c r="H143" s="2">
        <v>80.7</v>
      </c>
      <c r="I143" s="2">
        <v>17.399999999999999</v>
      </c>
      <c r="J143" s="2">
        <v>82.6</v>
      </c>
      <c r="K143" s="8">
        <v>43</v>
      </c>
      <c r="L143" s="8">
        <v>169</v>
      </c>
      <c r="M143" s="8">
        <v>258</v>
      </c>
      <c r="N143" s="8">
        <v>1061</v>
      </c>
      <c r="O143" s="8">
        <v>1699</v>
      </c>
      <c r="P143" s="8">
        <v>1516</v>
      </c>
      <c r="Q143" s="8">
        <v>337</v>
      </c>
      <c r="R143" s="8">
        <v>772</v>
      </c>
      <c r="S143" s="8">
        <v>32836</v>
      </c>
      <c r="T143" s="8">
        <v>414</v>
      </c>
      <c r="U143" s="8">
        <v>72</v>
      </c>
      <c r="V143" s="8">
        <v>2576</v>
      </c>
      <c r="W143" s="8">
        <v>122</v>
      </c>
      <c r="X143" s="8">
        <v>198</v>
      </c>
      <c r="Y143" s="8">
        <v>2113</v>
      </c>
      <c r="Z143" s="8">
        <v>4901</v>
      </c>
      <c r="AA143" s="8">
        <v>1505</v>
      </c>
      <c r="AB143" s="8">
        <v>2135</v>
      </c>
      <c r="AC143" s="8">
        <v>1309</v>
      </c>
      <c r="AD143" s="8">
        <v>1115</v>
      </c>
      <c r="AE143" s="8">
        <v>547</v>
      </c>
      <c r="AF143" s="8">
        <v>2733</v>
      </c>
      <c r="AG143" s="8">
        <v>2671</v>
      </c>
      <c r="AH143" s="8">
        <v>1540</v>
      </c>
      <c r="AI143" s="8">
        <v>2862</v>
      </c>
      <c r="AJ143" s="8">
        <v>4133</v>
      </c>
      <c r="AK143" s="8">
        <v>919</v>
      </c>
      <c r="AL143" s="8">
        <v>892</v>
      </c>
      <c r="AM143" s="8">
        <v>78</v>
      </c>
      <c r="AN143" s="8">
        <v>27341</v>
      </c>
      <c r="AO143" s="8">
        <v>574.66666666666663</v>
      </c>
      <c r="AP143" s="8">
        <v>2358</v>
      </c>
      <c r="AQ143" s="2">
        <v>7.2</v>
      </c>
      <c r="AR143" s="2">
        <v>4.3</v>
      </c>
      <c r="AS143" s="2">
        <v>-0.23333333333333331</v>
      </c>
      <c r="AT143" s="8">
        <v>81</v>
      </c>
      <c r="AU143" s="8">
        <v>60</v>
      </c>
      <c r="AV143" s="8">
        <v>847</v>
      </c>
      <c r="AW143" s="8">
        <v>51511</v>
      </c>
      <c r="AX143" s="2">
        <v>63.5</v>
      </c>
      <c r="AY143" s="2">
        <v>72</v>
      </c>
      <c r="AZ143" s="2">
        <v>32</v>
      </c>
      <c r="BA143" s="8">
        <v>461</v>
      </c>
      <c r="BB143" s="8">
        <v>30350</v>
      </c>
      <c r="BC143" s="8">
        <v>25615</v>
      </c>
      <c r="BD143" s="8" t="e">
        <v>#N/A</v>
      </c>
      <c r="BE143" s="8">
        <v>28139</v>
      </c>
      <c r="BF143" s="8">
        <v>1430</v>
      </c>
      <c r="BG143" s="8">
        <v>2315</v>
      </c>
      <c r="BH143" s="8">
        <v>2358</v>
      </c>
    </row>
    <row r="144" spans="1:60" x14ac:dyDescent="0.25">
      <c r="A144" t="s">
        <v>710</v>
      </c>
      <c r="B144" s="8">
        <v>5749</v>
      </c>
      <c r="C144" s="8">
        <v>24956</v>
      </c>
      <c r="D144" s="8">
        <v>30705</v>
      </c>
      <c r="E144" s="8">
        <v>5280</v>
      </c>
      <c r="F144" s="8">
        <v>25425</v>
      </c>
      <c r="G144" s="2">
        <v>18.7</v>
      </c>
      <c r="H144" s="2">
        <v>81.3</v>
      </c>
      <c r="I144" s="2">
        <v>17.2</v>
      </c>
      <c r="J144" s="2">
        <v>82.8</v>
      </c>
      <c r="K144" s="8">
        <v>43</v>
      </c>
      <c r="L144" s="8">
        <v>166</v>
      </c>
      <c r="M144" s="8">
        <v>257</v>
      </c>
      <c r="N144" s="8">
        <v>1059</v>
      </c>
      <c r="O144" s="8">
        <v>1699</v>
      </c>
      <c r="P144" s="8">
        <v>1523</v>
      </c>
      <c r="Q144" s="8">
        <v>333</v>
      </c>
      <c r="R144" s="8">
        <v>668</v>
      </c>
      <c r="S144" s="8">
        <v>33134</v>
      </c>
      <c r="T144" s="8">
        <v>447</v>
      </c>
      <c r="U144" s="8">
        <v>67</v>
      </c>
      <c r="V144" s="8">
        <v>2580</v>
      </c>
      <c r="W144" s="8">
        <v>120</v>
      </c>
      <c r="X144" s="8">
        <v>196</v>
      </c>
      <c r="Y144" s="8">
        <v>2120</v>
      </c>
      <c r="Z144" s="8">
        <v>4878</v>
      </c>
      <c r="AA144" s="8">
        <v>1515</v>
      </c>
      <c r="AB144" s="8">
        <v>2148</v>
      </c>
      <c r="AC144" s="8">
        <v>1345</v>
      </c>
      <c r="AD144" s="8">
        <v>1124</v>
      </c>
      <c r="AE144" s="8">
        <v>552</v>
      </c>
      <c r="AF144" s="8">
        <v>2783</v>
      </c>
      <c r="AG144" s="8">
        <v>2710</v>
      </c>
      <c r="AH144" s="8">
        <v>1540</v>
      </c>
      <c r="AI144" s="8">
        <v>2878</v>
      </c>
      <c r="AJ144" s="8">
        <v>4197</v>
      </c>
      <c r="AK144" s="8">
        <v>944</v>
      </c>
      <c r="AL144" s="8">
        <v>901</v>
      </c>
      <c r="AM144" s="8">
        <v>86</v>
      </c>
      <c r="AN144" s="8">
        <v>27603</v>
      </c>
      <c r="AO144" s="8">
        <v>592.33333333333337</v>
      </c>
      <c r="AP144" s="8">
        <v>2212</v>
      </c>
      <c r="AQ144" s="2">
        <v>6.7</v>
      </c>
      <c r="AR144" s="2">
        <v>4.9000000000000004</v>
      </c>
      <c r="AS144" s="2">
        <v>0.3666666666666667</v>
      </c>
      <c r="AT144" s="8">
        <v>72</v>
      </c>
      <c r="AU144" s="8">
        <v>62</v>
      </c>
      <c r="AV144" s="8">
        <v>817</v>
      </c>
      <c r="AW144" s="8">
        <v>51610</v>
      </c>
      <c r="AX144" s="2">
        <v>63.6</v>
      </c>
      <c r="AY144" s="2">
        <v>72.5</v>
      </c>
      <c r="AZ144" s="2">
        <v>32.1</v>
      </c>
      <c r="BA144" s="8">
        <v>461.33333333333331</v>
      </c>
      <c r="BB144" s="8">
        <v>30595</v>
      </c>
      <c r="BC144" s="8">
        <v>25706</v>
      </c>
      <c r="BD144" s="8" t="e">
        <v>#N/A</v>
      </c>
      <c r="BE144" s="8">
        <v>28342</v>
      </c>
      <c r="BF144" s="8">
        <v>1419</v>
      </c>
      <c r="BG144" s="8">
        <v>2307</v>
      </c>
      <c r="BH144" s="8">
        <v>2212</v>
      </c>
    </row>
    <row r="145" spans="1:60" x14ac:dyDescent="0.25">
      <c r="A145" t="s">
        <v>711</v>
      </c>
      <c r="B145" s="8">
        <v>5737</v>
      </c>
      <c r="C145" s="8">
        <v>25033</v>
      </c>
      <c r="D145" s="8">
        <v>30770</v>
      </c>
      <c r="E145" s="8">
        <v>5271</v>
      </c>
      <c r="F145" s="8">
        <v>25499</v>
      </c>
      <c r="G145" s="2">
        <v>18.600000000000001</v>
      </c>
      <c r="H145" s="2">
        <v>81.400000000000006</v>
      </c>
      <c r="I145" s="2">
        <v>17.100000000000001</v>
      </c>
      <c r="J145" s="2">
        <v>82.9</v>
      </c>
      <c r="K145" s="8">
        <v>43</v>
      </c>
      <c r="L145" s="8">
        <v>164</v>
      </c>
      <c r="M145" s="8">
        <v>256</v>
      </c>
      <c r="N145" s="8">
        <v>1059</v>
      </c>
      <c r="O145" s="8">
        <v>1694</v>
      </c>
      <c r="P145" s="8">
        <v>1528</v>
      </c>
      <c r="Q145" s="8">
        <v>322</v>
      </c>
      <c r="R145" s="8">
        <v>668</v>
      </c>
      <c r="S145" s="8">
        <v>33446</v>
      </c>
      <c r="T145" s="8">
        <v>437</v>
      </c>
      <c r="U145" s="8">
        <v>66</v>
      </c>
      <c r="V145" s="8">
        <v>2621</v>
      </c>
      <c r="W145" s="8">
        <v>115</v>
      </c>
      <c r="X145" s="8">
        <v>197</v>
      </c>
      <c r="Y145" s="8">
        <v>2125</v>
      </c>
      <c r="Z145" s="8">
        <v>4936</v>
      </c>
      <c r="AA145" s="8">
        <v>1511</v>
      </c>
      <c r="AB145" s="8">
        <v>2193</v>
      </c>
      <c r="AC145" s="8">
        <v>1355</v>
      </c>
      <c r="AD145" s="8">
        <v>1132</v>
      </c>
      <c r="AE145" s="8">
        <v>550</v>
      </c>
      <c r="AF145" s="8">
        <v>2826</v>
      </c>
      <c r="AG145" s="8">
        <v>2818</v>
      </c>
      <c r="AH145" s="8">
        <v>1540</v>
      </c>
      <c r="AI145" s="8">
        <v>2887</v>
      </c>
      <c r="AJ145" s="8">
        <v>4203</v>
      </c>
      <c r="AK145" s="8">
        <v>946</v>
      </c>
      <c r="AL145" s="8">
        <v>893</v>
      </c>
      <c r="AM145" s="8">
        <v>95</v>
      </c>
      <c r="AN145" s="8">
        <v>27885</v>
      </c>
      <c r="AO145" s="8">
        <v>669.33333333333337</v>
      </c>
      <c r="AP145" s="8">
        <v>2061</v>
      </c>
      <c r="AQ145" s="2">
        <v>6.3</v>
      </c>
      <c r="AR145" s="2">
        <v>4.4000000000000004</v>
      </c>
      <c r="AS145" s="2">
        <v>0.6333333333333333</v>
      </c>
      <c r="AT145" s="8">
        <v>72</v>
      </c>
      <c r="AU145" s="8">
        <v>52</v>
      </c>
      <c r="AV145" s="8">
        <v>740</v>
      </c>
      <c r="AW145" s="8">
        <v>51710</v>
      </c>
      <c r="AX145" s="2">
        <v>63.5</v>
      </c>
      <c r="AY145" s="2">
        <v>72.8</v>
      </c>
      <c r="AZ145" s="2">
        <v>32.200000000000003</v>
      </c>
      <c r="BA145" s="8">
        <v>465.33333333333331</v>
      </c>
      <c r="BB145" s="8">
        <v>30771</v>
      </c>
      <c r="BC145" s="8">
        <v>25858</v>
      </c>
      <c r="BD145" s="8" t="e">
        <v>#N/A</v>
      </c>
      <c r="BE145" s="8">
        <v>28660</v>
      </c>
      <c r="BF145" s="8">
        <v>1347</v>
      </c>
      <c r="BG145" s="8">
        <v>2303</v>
      </c>
      <c r="BH145" s="8">
        <v>2061</v>
      </c>
    </row>
    <row r="146" spans="1:60" x14ac:dyDescent="0.25">
      <c r="A146" t="s">
        <v>712</v>
      </c>
      <c r="B146" s="8">
        <v>5722</v>
      </c>
      <c r="C146" s="8">
        <v>25192</v>
      </c>
      <c r="D146" s="8">
        <v>30914</v>
      </c>
      <c r="E146" s="8">
        <v>5258</v>
      </c>
      <c r="F146" s="8">
        <v>25656</v>
      </c>
      <c r="G146" s="2">
        <v>18.5</v>
      </c>
      <c r="H146" s="2">
        <v>81.5</v>
      </c>
      <c r="I146" s="2">
        <v>17</v>
      </c>
      <c r="J146" s="2">
        <v>83</v>
      </c>
      <c r="K146" s="8">
        <v>43</v>
      </c>
      <c r="L146" s="8">
        <v>163</v>
      </c>
      <c r="M146" s="8">
        <v>256</v>
      </c>
      <c r="N146" s="8">
        <v>1053</v>
      </c>
      <c r="O146" s="8">
        <v>1689</v>
      </c>
      <c r="P146" s="8">
        <v>1534</v>
      </c>
      <c r="Q146" s="8">
        <v>319</v>
      </c>
      <c r="R146" s="8">
        <v>663</v>
      </c>
      <c r="S146" s="8">
        <v>33575</v>
      </c>
      <c r="T146" s="8">
        <v>444</v>
      </c>
      <c r="U146" s="8">
        <v>68</v>
      </c>
      <c r="V146" s="8">
        <v>2640</v>
      </c>
      <c r="W146" s="8">
        <v>121</v>
      </c>
      <c r="X146" s="8">
        <v>195</v>
      </c>
      <c r="Y146" s="8">
        <v>2134</v>
      </c>
      <c r="Z146" s="8">
        <v>4961</v>
      </c>
      <c r="AA146" s="8">
        <v>1534</v>
      </c>
      <c r="AB146" s="8">
        <v>2197</v>
      </c>
      <c r="AC146" s="8">
        <v>1361</v>
      </c>
      <c r="AD146" s="8">
        <v>1128</v>
      </c>
      <c r="AE146" s="8">
        <v>539</v>
      </c>
      <c r="AF146" s="8">
        <v>2813</v>
      </c>
      <c r="AG146" s="8">
        <v>2842</v>
      </c>
      <c r="AH146" s="8">
        <v>1530</v>
      </c>
      <c r="AI146" s="8">
        <v>2884</v>
      </c>
      <c r="AJ146" s="8">
        <v>4222</v>
      </c>
      <c r="AK146" s="8">
        <v>970</v>
      </c>
      <c r="AL146" s="8">
        <v>908</v>
      </c>
      <c r="AM146" s="8">
        <v>84</v>
      </c>
      <c r="AN146" s="8">
        <v>27973</v>
      </c>
      <c r="AO146" s="8">
        <v>699.66666666666663</v>
      </c>
      <c r="AP146" s="8">
        <v>1962</v>
      </c>
      <c r="AQ146" s="2">
        <v>6</v>
      </c>
      <c r="AR146" s="2">
        <v>3.5</v>
      </c>
      <c r="AS146" s="2">
        <v>1.3666666666666669</v>
      </c>
      <c r="AT146" s="8">
        <v>72</v>
      </c>
      <c r="AU146" s="8">
        <v>58</v>
      </c>
      <c r="AV146" s="8">
        <v>690</v>
      </c>
      <c r="AW146" s="8">
        <v>51807</v>
      </c>
      <c r="AX146" s="2">
        <v>63.4</v>
      </c>
      <c r="AY146" s="2">
        <v>73</v>
      </c>
      <c r="AZ146" s="2">
        <v>32.200000000000003</v>
      </c>
      <c r="BA146" s="8">
        <v>465</v>
      </c>
      <c r="BB146" s="8">
        <v>30899</v>
      </c>
      <c r="BC146" s="8">
        <v>26058</v>
      </c>
      <c r="BD146" s="8">
        <v>26831444</v>
      </c>
      <c r="BE146" s="8">
        <v>28812</v>
      </c>
      <c r="BF146" s="8">
        <v>1336</v>
      </c>
      <c r="BG146" s="8">
        <v>2279</v>
      </c>
      <c r="BH146" s="8">
        <v>1962</v>
      </c>
    </row>
    <row r="147" spans="1:60" x14ac:dyDescent="0.25">
      <c r="A147" t="s">
        <v>713</v>
      </c>
      <c r="B147" s="8">
        <v>5711</v>
      </c>
      <c r="C147" s="8">
        <v>25356</v>
      </c>
      <c r="D147" s="8">
        <v>31067</v>
      </c>
      <c r="E147" s="8">
        <v>5254</v>
      </c>
      <c r="F147" s="8">
        <v>25813</v>
      </c>
      <c r="G147" s="2">
        <v>18.399999999999999</v>
      </c>
      <c r="H147" s="2">
        <v>81.599999999999994</v>
      </c>
      <c r="I147" s="2">
        <v>16.899999999999999</v>
      </c>
      <c r="J147" s="2">
        <v>83.1</v>
      </c>
      <c r="K147" s="8">
        <v>42</v>
      </c>
      <c r="L147" s="8">
        <v>162</v>
      </c>
      <c r="M147" s="8">
        <v>255</v>
      </c>
      <c r="N147" s="8">
        <v>1045</v>
      </c>
      <c r="O147" s="8">
        <v>1691</v>
      </c>
      <c r="P147" s="8">
        <v>1538</v>
      </c>
      <c r="Q147" s="8">
        <v>314</v>
      </c>
      <c r="R147" s="8">
        <v>663</v>
      </c>
      <c r="S147" s="8">
        <v>33686</v>
      </c>
      <c r="T147" s="8">
        <v>420</v>
      </c>
      <c r="U147" s="8">
        <v>70</v>
      </c>
      <c r="V147" s="8">
        <v>2631</v>
      </c>
      <c r="W147" s="8">
        <v>125</v>
      </c>
      <c r="X147" s="8">
        <v>194</v>
      </c>
      <c r="Y147" s="8">
        <v>2153</v>
      </c>
      <c r="Z147" s="8">
        <v>4979</v>
      </c>
      <c r="AA147" s="8">
        <v>1560</v>
      </c>
      <c r="AB147" s="8">
        <v>2204</v>
      </c>
      <c r="AC147" s="8">
        <v>1365</v>
      </c>
      <c r="AD147" s="8">
        <v>1113</v>
      </c>
      <c r="AE147" s="8">
        <v>566</v>
      </c>
      <c r="AF147" s="8">
        <v>2840</v>
      </c>
      <c r="AG147" s="8">
        <v>2894</v>
      </c>
      <c r="AH147" s="8">
        <v>1519</v>
      </c>
      <c r="AI147" s="8">
        <v>2902</v>
      </c>
      <c r="AJ147" s="8">
        <v>4223</v>
      </c>
      <c r="AK147" s="8">
        <v>943</v>
      </c>
      <c r="AL147" s="8">
        <v>904</v>
      </c>
      <c r="AM147" s="8">
        <v>79</v>
      </c>
      <c r="AN147" s="8">
        <v>28094</v>
      </c>
      <c r="AO147" s="8">
        <v>709.66666666666663</v>
      </c>
      <c r="AP147" s="8">
        <v>1870</v>
      </c>
      <c r="AQ147" s="2">
        <v>5.7</v>
      </c>
      <c r="AR147" s="2">
        <v>4.0999999999999996</v>
      </c>
      <c r="AS147" s="2">
        <v>1.7</v>
      </c>
      <c r="AT147" s="8">
        <v>67</v>
      </c>
      <c r="AU147" s="8">
        <v>55</v>
      </c>
      <c r="AV147" s="8">
        <v>638</v>
      </c>
      <c r="AW147" s="8">
        <v>51903</v>
      </c>
      <c r="AX147" s="2">
        <v>63.3</v>
      </c>
      <c r="AY147" s="2">
        <v>73.2</v>
      </c>
      <c r="AZ147" s="2">
        <v>32.200000000000003</v>
      </c>
      <c r="BA147" s="8">
        <v>472.33333333333331</v>
      </c>
      <c r="BB147" s="8">
        <v>31008</v>
      </c>
      <c r="BC147" s="8">
        <v>26216</v>
      </c>
      <c r="BD147" s="8">
        <v>26969918</v>
      </c>
      <c r="BE147" s="8">
        <v>28973</v>
      </c>
      <c r="BF147" s="8">
        <v>1310</v>
      </c>
      <c r="BG147" s="8">
        <v>2280</v>
      </c>
      <c r="BH147" s="8">
        <v>1870</v>
      </c>
    </row>
    <row r="148" spans="1:60" x14ac:dyDescent="0.25">
      <c r="A148" t="s">
        <v>714</v>
      </c>
      <c r="B148" s="8">
        <v>5689</v>
      </c>
      <c r="C148" s="8">
        <v>25501</v>
      </c>
      <c r="D148" s="8">
        <v>31190</v>
      </c>
      <c r="E148" s="8">
        <v>5244</v>
      </c>
      <c r="F148" s="8">
        <v>25946</v>
      </c>
      <c r="G148" s="2">
        <v>18.2</v>
      </c>
      <c r="H148" s="2">
        <v>81.8</v>
      </c>
      <c r="I148" s="2">
        <v>16.8</v>
      </c>
      <c r="J148" s="2">
        <v>83.2</v>
      </c>
      <c r="K148" s="8">
        <v>40</v>
      </c>
      <c r="L148" s="8">
        <v>160</v>
      </c>
      <c r="M148" s="8">
        <v>255</v>
      </c>
      <c r="N148" s="8">
        <v>1034</v>
      </c>
      <c r="O148" s="8">
        <v>1688</v>
      </c>
      <c r="P148" s="8">
        <v>1545</v>
      </c>
      <c r="Q148" s="8">
        <v>308</v>
      </c>
      <c r="R148" s="8">
        <v>656</v>
      </c>
      <c r="S148" s="8">
        <v>33806</v>
      </c>
      <c r="T148" s="8">
        <v>390</v>
      </c>
      <c r="U148" s="8">
        <v>75</v>
      </c>
      <c r="V148" s="8">
        <v>2650</v>
      </c>
      <c r="W148" s="8">
        <v>132</v>
      </c>
      <c r="X148" s="8">
        <v>195</v>
      </c>
      <c r="Y148" s="8">
        <v>2141</v>
      </c>
      <c r="Z148" s="8">
        <v>5032</v>
      </c>
      <c r="AA148" s="8">
        <v>1544</v>
      </c>
      <c r="AB148" s="8">
        <v>2209</v>
      </c>
      <c r="AC148" s="8">
        <v>1388</v>
      </c>
      <c r="AD148" s="8">
        <v>1118</v>
      </c>
      <c r="AE148" s="8">
        <v>556</v>
      </c>
      <c r="AF148" s="8">
        <v>2891</v>
      </c>
      <c r="AG148" s="8">
        <v>2870</v>
      </c>
      <c r="AH148" s="8">
        <v>1503</v>
      </c>
      <c r="AI148" s="8">
        <v>2936</v>
      </c>
      <c r="AJ148" s="8">
        <v>4223</v>
      </c>
      <c r="AK148" s="8">
        <v>955</v>
      </c>
      <c r="AL148" s="8">
        <v>932</v>
      </c>
      <c r="AM148" s="8">
        <v>66</v>
      </c>
      <c r="AN148" s="8">
        <v>28223</v>
      </c>
      <c r="AO148" s="8">
        <v>707</v>
      </c>
      <c r="AP148" s="8">
        <v>1826</v>
      </c>
      <c r="AQ148" s="2">
        <v>5.5</v>
      </c>
      <c r="AR148" s="2">
        <v>4.2</v>
      </c>
      <c r="AS148" s="2">
        <v>1.5333333333333332</v>
      </c>
      <c r="AT148" s="8">
        <v>69</v>
      </c>
      <c r="AU148" s="8">
        <v>65</v>
      </c>
      <c r="AV148" s="8">
        <v>589</v>
      </c>
      <c r="AW148" s="8">
        <v>52000</v>
      </c>
      <c r="AX148" s="2">
        <v>63.5</v>
      </c>
      <c r="AY148" s="2">
        <v>73.400000000000006</v>
      </c>
      <c r="AZ148" s="2">
        <v>32.1</v>
      </c>
      <c r="BA148" s="8">
        <v>474</v>
      </c>
      <c r="BB148" s="8">
        <v>31218</v>
      </c>
      <c r="BC148" s="8">
        <v>26409</v>
      </c>
      <c r="BD148" s="8">
        <v>27222686</v>
      </c>
      <c r="BE148" s="8">
        <v>29198</v>
      </c>
      <c r="BF148" s="8">
        <v>1325</v>
      </c>
      <c r="BG148" s="8">
        <v>2309</v>
      </c>
      <c r="BH148" s="8">
        <v>1826</v>
      </c>
    </row>
    <row r="149" spans="1:60" x14ac:dyDescent="0.25">
      <c r="A149" t="s">
        <v>715</v>
      </c>
      <c r="B149" s="8">
        <v>5671</v>
      </c>
      <c r="C149" s="8">
        <v>25576</v>
      </c>
      <c r="D149" s="8">
        <v>31247</v>
      </c>
      <c r="E149" s="8">
        <v>5228</v>
      </c>
      <c r="F149" s="8">
        <v>26019</v>
      </c>
      <c r="G149" s="2">
        <v>18.100000000000001</v>
      </c>
      <c r="H149" s="2">
        <v>81.900000000000006</v>
      </c>
      <c r="I149" s="2">
        <v>16.7</v>
      </c>
      <c r="J149" s="2">
        <v>83.3</v>
      </c>
      <c r="K149" s="8">
        <v>40</v>
      </c>
      <c r="L149" s="8">
        <v>159</v>
      </c>
      <c r="M149" s="8">
        <v>254</v>
      </c>
      <c r="N149" s="8">
        <v>1020</v>
      </c>
      <c r="O149" s="8">
        <v>1689</v>
      </c>
      <c r="P149" s="8">
        <v>1551</v>
      </c>
      <c r="Q149" s="8">
        <v>305</v>
      </c>
      <c r="R149" s="8">
        <v>655</v>
      </c>
      <c r="S149" s="8">
        <v>33892</v>
      </c>
      <c r="T149" s="8">
        <v>388</v>
      </c>
      <c r="U149" s="8">
        <v>74</v>
      </c>
      <c r="V149" s="8">
        <v>2641</v>
      </c>
      <c r="W149" s="8">
        <v>133</v>
      </c>
      <c r="X149" s="8">
        <v>200</v>
      </c>
      <c r="Y149" s="8">
        <v>2121</v>
      </c>
      <c r="Z149" s="8">
        <v>5010</v>
      </c>
      <c r="AA149" s="8">
        <v>1611</v>
      </c>
      <c r="AB149" s="8">
        <v>2241</v>
      </c>
      <c r="AC149" s="8">
        <v>1384</v>
      </c>
      <c r="AD149" s="8">
        <v>1112</v>
      </c>
      <c r="AE149" s="8">
        <v>569</v>
      </c>
      <c r="AF149" s="8">
        <v>2914</v>
      </c>
      <c r="AG149" s="8">
        <v>2851</v>
      </c>
      <c r="AH149" s="8">
        <v>1491</v>
      </c>
      <c r="AI149" s="8">
        <v>2952</v>
      </c>
      <c r="AJ149" s="8">
        <v>4242</v>
      </c>
      <c r="AK149" s="8">
        <v>988</v>
      </c>
      <c r="AL149" s="8">
        <v>901</v>
      </c>
      <c r="AM149" s="8">
        <v>68</v>
      </c>
      <c r="AN149" s="8">
        <v>28335</v>
      </c>
      <c r="AO149" s="8">
        <v>737</v>
      </c>
      <c r="AP149" s="8">
        <v>1848</v>
      </c>
      <c r="AQ149" s="2">
        <v>5.6</v>
      </c>
      <c r="AR149" s="2">
        <v>4.3</v>
      </c>
      <c r="AS149" s="2">
        <v>1.6333333333333335</v>
      </c>
      <c r="AT149" s="8">
        <v>81</v>
      </c>
      <c r="AU149" s="8">
        <v>65</v>
      </c>
      <c r="AV149" s="8">
        <v>577</v>
      </c>
      <c r="AW149" s="8">
        <v>52096</v>
      </c>
      <c r="AX149" s="2">
        <v>63.4</v>
      </c>
      <c r="AY149" s="2">
        <v>73.400000000000006</v>
      </c>
      <c r="AZ149" s="2">
        <v>32.1</v>
      </c>
      <c r="BA149" s="8">
        <v>478.66666666666669</v>
      </c>
      <c r="BB149" s="8">
        <v>31170</v>
      </c>
      <c r="BC149" s="8">
        <v>26385</v>
      </c>
      <c r="BD149" s="8">
        <v>27400933.333333332</v>
      </c>
      <c r="BE149" s="8">
        <v>29279</v>
      </c>
      <c r="BF149" s="8">
        <v>1291</v>
      </c>
      <c r="BG149" s="8">
        <v>2337</v>
      </c>
      <c r="BH149" s="8">
        <v>1848</v>
      </c>
    </row>
    <row r="150" spans="1:60" x14ac:dyDescent="0.25">
      <c r="A150" t="s">
        <v>716</v>
      </c>
      <c r="B150" s="8">
        <v>5659</v>
      </c>
      <c r="C150" s="8">
        <v>25838</v>
      </c>
      <c r="D150" s="8">
        <v>31497</v>
      </c>
      <c r="E150" s="8">
        <v>5216</v>
      </c>
      <c r="F150" s="8">
        <v>26281</v>
      </c>
      <c r="G150" s="2">
        <v>18</v>
      </c>
      <c r="H150" s="2">
        <v>82</v>
      </c>
      <c r="I150" s="2">
        <v>16.600000000000001</v>
      </c>
      <c r="J150" s="2">
        <v>83.4</v>
      </c>
      <c r="K150" s="8">
        <v>38</v>
      </c>
      <c r="L150" s="8">
        <v>159</v>
      </c>
      <c r="M150" s="8">
        <v>252</v>
      </c>
      <c r="N150" s="8">
        <v>1016</v>
      </c>
      <c r="O150" s="8">
        <v>1682</v>
      </c>
      <c r="P150" s="8">
        <v>1559</v>
      </c>
      <c r="Q150" s="8">
        <v>302</v>
      </c>
      <c r="R150" s="8">
        <v>652</v>
      </c>
      <c r="S150" s="8">
        <v>34083</v>
      </c>
      <c r="T150" s="8">
        <v>428</v>
      </c>
      <c r="U150" s="8">
        <v>67</v>
      </c>
      <c r="V150" s="8">
        <v>2620</v>
      </c>
      <c r="W150" s="8">
        <v>134</v>
      </c>
      <c r="X150" s="8">
        <v>201</v>
      </c>
      <c r="Y150" s="8">
        <v>2183</v>
      </c>
      <c r="Z150" s="8">
        <v>5024</v>
      </c>
      <c r="AA150" s="8">
        <v>1615</v>
      </c>
      <c r="AB150" s="8">
        <v>2267</v>
      </c>
      <c r="AC150" s="8">
        <v>1381</v>
      </c>
      <c r="AD150" s="8">
        <v>1109</v>
      </c>
      <c r="AE150" s="8">
        <v>564</v>
      </c>
      <c r="AF150" s="8">
        <v>2949</v>
      </c>
      <c r="AG150" s="8">
        <v>2919</v>
      </c>
      <c r="AH150" s="8">
        <v>1478</v>
      </c>
      <c r="AI150" s="8">
        <v>2957</v>
      </c>
      <c r="AJ150" s="8">
        <v>4222</v>
      </c>
      <c r="AK150" s="8">
        <v>983</v>
      </c>
      <c r="AL150" s="8">
        <v>923</v>
      </c>
      <c r="AM150" s="8">
        <v>58</v>
      </c>
      <c r="AN150" s="8">
        <v>28451</v>
      </c>
      <c r="AO150" s="8">
        <v>755</v>
      </c>
      <c r="AP150" s="8">
        <v>1760</v>
      </c>
      <c r="AQ150" s="2">
        <v>5.3</v>
      </c>
      <c r="AR150" s="2">
        <v>4.2</v>
      </c>
      <c r="AS150" s="2">
        <v>2.2999999999999998</v>
      </c>
      <c r="AT150" s="8">
        <v>72</v>
      </c>
      <c r="AU150" s="8">
        <v>63</v>
      </c>
      <c r="AV150" s="8">
        <v>516</v>
      </c>
      <c r="AW150" s="8">
        <v>52196</v>
      </c>
      <c r="AX150" s="2">
        <v>63.5</v>
      </c>
      <c r="AY150" s="2">
        <v>73.7</v>
      </c>
      <c r="AZ150" s="2">
        <v>31.9</v>
      </c>
      <c r="BA150" s="8">
        <v>480.66666666666669</v>
      </c>
      <c r="BB150" s="8">
        <v>31393</v>
      </c>
      <c r="BC150" s="8">
        <v>26554</v>
      </c>
      <c r="BD150" s="8">
        <v>27564772</v>
      </c>
      <c r="BE150" s="8">
        <v>29405</v>
      </c>
      <c r="BF150" s="8">
        <v>1255</v>
      </c>
      <c r="BG150" s="8">
        <v>2261</v>
      </c>
      <c r="BH150" s="8">
        <v>1760</v>
      </c>
    </row>
    <row r="151" spans="1:60" x14ac:dyDescent="0.25">
      <c r="A151" t="s">
        <v>717</v>
      </c>
      <c r="B151" s="8">
        <v>5665</v>
      </c>
      <c r="C151" s="8">
        <v>25938</v>
      </c>
      <c r="D151" s="8">
        <v>31603</v>
      </c>
      <c r="E151" s="8">
        <v>5225</v>
      </c>
      <c r="F151" s="8">
        <v>26378</v>
      </c>
      <c r="G151" s="2">
        <v>17.899999999999999</v>
      </c>
      <c r="H151" s="2">
        <v>82.1</v>
      </c>
      <c r="I151" s="2">
        <v>16.5</v>
      </c>
      <c r="J151" s="2">
        <v>83.5</v>
      </c>
      <c r="K151" s="8">
        <v>38</v>
      </c>
      <c r="L151" s="8">
        <v>159</v>
      </c>
      <c r="M151" s="8">
        <v>250</v>
      </c>
      <c r="N151" s="8">
        <v>1015</v>
      </c>
      <c r="O151" s="8">
        <v>1681</v>
      </c>
      <c r="P151" s="8">
        <v>1571</v>
      </c>
      <c r="Q151" s="8">
        <v>300</v>
      </c>
      <c r="R151" s="8">
        <v>650</v>
      </c>
      <c r="S151" s="8">
        <v>34157</v>
      </c>
      <c r="T151" s="8">
        <v>417</v>
      </c>
      <c r="U151" s="8">
        <v>65</v>
      </c>
      <c r="V151" s="8">
        <v>2626</v>
      </c>
      <c r="W151" s="8">
        <v>140</v>
      </c>
      <c r="X151" s="8">
        <v>194</v>
      </c>
      <c r="Y151" s="8">
        <v>2183</v>
      </c>
      <c r="Z151" s="8">
        <v>5020</v>
      </c>
      <c r="AA151" s="8">
        <v>1657</v>
      </c>
      <c r="AB151" s="8">
        <v>2281</v>
      </c>
      <c r="AC151" s="8">
        <v>1376</v>
      </c>
      <c r="AD151" s="8">
        <v>1110</v>
      </c>
      <c r="AE151" s="8">
        <v>568</v>
      </c>
      <c r="AF151" s="8">
        <v>2967</v>
      </c>
      <c r="AG151" s="8">
        <v>2911</v>
      </c>
      <c r="AH151" s="8">
        <v>1478</v>
      </c>
      <c r="AI151" s="8">
        <v>2969</v>
      </c>
      <c r="AJ151" s="8">
        <v>4232</v>
      </c>
      <c r="AK151" s="8">
        <v>981</v>
      </c>
      <c r="AL151" s="8">
        <v>916</v>
      </c>
      <c r="AM151" s="8">
        <v>64</v>
      </c>
      <c r="AN151" s="8">
        <v>28531</v>
      </c>
      <c r="AO151" s="8">
        <v>747</v>
      </c>
      <c r="AP151" s="8">
        <v>1688</v>
      </c>
      <c r="AQ151" s="2">
        <v>5.0999999999999996</v>
      </c>
      <c r="AR151" s="2">
        <v>3.7</v>
      </c>
      <c r="AS151" s="2">
        <v>2.3333333333333335</v>
      </c>
      <c r="AT151" s="8">
        <v>79</v>
      </c>
      <c r="AU151" s="8">
        <v>64</v>
      </c>
      <c r="AV151" s="8">
        <v>490</v>
      </c>
      <c r="AW151" s="8">
        <v>52299</v>
      </c>
      <c r="AX151" s="2">
        <v>63.7</v>
      </c>
      <c r="AY151" s="2">
        <v>74.099999999999994</v>
      </c>
      <c r="AZ151" s="2">
        <v>32.299999999999997</v>
      </c>
      <c r="BA151" s="8">
        <v>481.66666666666669</v>
      </c>
      <c r="BB151" s="8">
        <v>31602</v>
      </c>
      <c r="BC151" s="8">
        <v>26666</v>
      </c>
      <c r="BD151" s="8">
        <v>27692803</v>
      </c>
      <c r="BE151" s="8">
        <v>29513</v>
      </c>
      <c r="BF151" s="8">
        <v>1236</v>
      </c>
      <c r="BG151" s="8">
        <v>2250</v>
      </c>
      <c r="BH151" s="8">
        <v>1688</v>
      </c>
    </row>
    <row r="152" spans="1:60" x14ac:dyDescent="0.25">
      <c r="A152" t="s">
        <v>718</v>
      </c>
      <c r="B152" s="8">
        <v>5661</v>
      </c>
      <c r="C152" s="8">
        <v>26007</v>
      </c>
      <c r="D152" s="8">
        <v>31668</v>
      </c>
      <c r="E152" s="8">
        <v>5224</v>
      </c>
      <c r="F152" s="8">
        <v>26444</v>
      </c>
      <c r="G152" s="2">
        <v>17.899999999999999</v>
      </c>
      <c r="H152" s="2">
        <v>82.1</v>
      </c>
      <c r="I152" s="2">
        <v>16.5</v>
      </c>
      <c r="J152" s="2">
        <v>83.5</v>
      </c>
      <c r="K152" s="8">
        <v>39</v>
      </c>
      <c r="L152" s="8">
        <v>158</v>
      </c>
      <c r="M152" s="8">
        <v>248</v>
      </c>
      <c r="N152" s="8">
        <v>1010</v>
      </c>
      <c r="O152" s="8">
        <v>1680</v>
      </c>
      <c r="P152" s="8">
        <v>1579</v>
      </c>
      <c r="Q152" s="8">
        <v>294</v>
      </c>
      <c r="R152" s="8">
        <v>652</v>
      </c>
      <c r="S152" s="8">
        <v>34369</v>
      </c>
      <c r="T152" s="8">
        <v>402</v>
      </c>
      <c r="U152" s="8">
        <v>63</v>
      </c>
      <c r="V152" s="8">
        <v>2636</v>
      </c>
      <c r="W152" s="8">
        <v>146</v>
      </c>
      <c r="X152" s="8">
        <v>201</v>
      </c>
      <c r="Y152" s="8">
        <v>2229</v>
      </c>
      <c r="Z152" s="8">
        <v>5019</v>
      </c>
      <c r="AA152" s="8">
        <v>1690</v>
      </c>
      <c r="AB152" s="8">
        <v>2278</v>
      </c>
      <c r="AC152" s="8">
        <v>1387</v>
      </c>
      <c r="AD152" s="8">
        <v>1119</v>
      </c>
      <c r="AE152" s="8">
        <v>556</v>
      </c>
      <c r="AF152" s="8">
        <v>3008</v>
      </c>
      <c r="AG152" s="8">
        <v>2944</v>
      </c>
      <c r="AH152" s="8">
        <v>1484</v>
      </c>
      <c r="AI152" s="8">
        <v>2960</v>
      </c>
      <c r="AJ152" s="8">
        <v>4284</v>
      </c>
      <c r="AK152" s="8">
        <v>964</v>
      </c>
      <c r="AL152" s="8">
        <v>927</v>
      </c>
      <c r="AM152" s="8">
        <v>71</v>
      </c>
      <c r="AN152" s="8">
        <v>28691</v>
      </c>
      <c r="AO152" s="8">
        <v>724.66666666666663</v>
      </c>
      <c r="AP152" s="8">
        <v>1688</v>
      </c>
      <c r="AQ152" s="2">
        <v>5.0999999999999996</v>
      </c>
      <c r="AR152" s="2">
        <v>4.2</v>
      </c>
      <c r="AS152" s="2">
        <v>1.6333333333333335</v>
      </c>
      <c r="AT152" s="8">
        <v>72</v>
      </c>
      <c r="AU152" s="8">
        <v>68</v>
      </c>
      <c r="AV152" s="8">
        <v>468</v>
      </c>
      <c r="AW152" s="8">
        <v>52401</v>
      </c>
      <c r="AX152" s="2">
        <v>63.6</v>
      </c>
      <c r="AY152" s="2">
        <v>74.099999999999994</v>
      </c>
      <c r="AZ152" s="2">
        <v>32.1</v>
      </c>
      <c r="BA152" s="8">
        <v>485.33333333333331</v>
      </c>
      <c r="BB152" s="8">
        <v>31636</v>
      </c>
      <c r="BC152" s="8">
        <v>26665</v>
      </c>
      <c r="BD152" s="8">
        <v>27794734.333333332</v>
      </c>
      <c r="BE152" s="8">
        <v>29709</v>
      </c>
      <c r="BF152" s="8">
        <v>1198</v>
      </c>
      <c r="BG152" s="8">
        <v>2196</v>
      </c>
      <c r="BH152" s="8">
        <v>1688</v>
      </c>
    </row>
    <row r="153" spans="1:60" x14ac:dyDescent="0.25">
      <c r="A153" t="s">
        <v>719</v>
      </c>
      <c r="B153" s="8">
        <v>5649</v>
      </c>
      <c r="C153" s="8">
        <v>26196</v>
      </c>
      <c r="D153" s="8">
        <v>31845</v>
      </c>
      <c r="E153" s="8">
        <v>5218</v>
      </c>
      <c r="F153" s="8">
        <v>26627</v>
      </c>
      <c r="G153" s="2">
        <v>17.7</v>
      </c>
      <c r="H153" s="2">
        <v>82.3</v>
      </c>
      <c r="I153" s="2">
        <v>16.399999999999999</v>
      </c>
      <c r="J153" s="2">
        <v>83.6</v>
      </c>
      <c r="K153" s="8">
        <v>39</v>
      </c>
      <c r="L153" s="8">
        <v>158</v>
      </c>
      <c r="M153" s="8">
        <v>247</v>
      </c>
      <c r="N153" s="8">
        <v>1003</v>
      </c>
      <c r="O153" s="8">
        <v>1676</v>
      </c>
      <c r="P153" s="8">
        <v>1589</v>
      </c>
      <c r="Q153" s="8">
        <v>293</v>
      </c>
      <c r="R153" s="8">
        <v>645</v>
      </c>
      <c r="S153" s="8">
        <v>34562</v>
      </c>
      <c r="T153" s="8">
        <v>385</v>
      </c>
      <c r="U153" s="8">
        <v>62</v>
      </c>
      <c r="V153" s="8">
        <v>2655</v>
      </c>
      <c r="W153" s="8">
        <v>141</v>
      </c>
      <c r="X153" s="8">
        <v>199</v>
      </c>
      <c r="Y153" s="8">
        <v>2239</v>
      </c>
      <c r="Z153" s="8">
        <v>5038</v>
      </c>
      <c r="AA153" s="8">
        <v>1716</v>
      </c>
      <c r="AB153" s="8">
        <v>2340</v>
      </c>
      <c r="AC153" s="8">
        <v>1423</v>
      </c>
      <c r="AD153" s="8">
        <v>1120</v>
      </c>
      <c r="AE153" s="8">
        <v>581</v>
      </c>
      <c r="AF153" s="8">
        <v>3022</v>
      </c>
      <c r="AG153" s="8">
        <v>2955</v>
      </c>
      <c r="AH153" s="8">
        <v>1480</v>
      </c>
      <c r="AI153" s="8">
        <v>2960</v>
      </c>
      <c r="AJ153" s="8">
        <v>4285</v>
      </c>
      <c r="AK153" s="8">
        <v>965</v>
      </c>
      <c r="AL153" s="8">
        <v>920</v>
      </c>
      <c r="AM153" s="8">
        <v>76</v>
      </c>
      <c r="AN153" s="8">
        <v>28881</v>
      </c>
      <c r="AO153" s="8">
        <v>754</v>
      </c>
      <c r="AP153" s="8">
        <v>1645</v>
      </c>
      <c r="AQ153" s="2">
        <v>4.9000000000000004</v>
      </c>
      <c r="AR153" s="2">
        <v>4.2</v>
      </c>
      <c r="AS153" s="2">
        <v>1.4000000000000001</v>
      </c>
      <c r="AT153" s="8">
        <v>68</v>
      </c>
      <c r="AU153" s="8">
        <v>64</v>
      </c>
      <c r="AV153" s="8">
        <v>447</v>
      </c>
      <c r="AW153" s="8">
        <v>52504</v>
      </c>
      <c r="AX153" s="2">
        <v>63.7</v>
      </c>
      <c r="AY153" s="2">
        <v>74.400000000000006</v>
      </c>
      <c r="AZ153" s="2">
        <v>32</v>
      </c>
      <c r="BA153" s="8">
        <v>491</v>
      </c>
      <c r="BB153" s="8">
        <v>31813</v>
      </c>
      <c r="BC153" s="8">
        <v>26757</v>
      </c>
      <c r="BD153" s="8">
        <v>27868690.333333332</v>
      </c>
      <c r="BE153" s="8">
        <v>29827</v>
      </c>
      <c r="BF153" s="8">
        <v>1154</v>
      </c>
      <c r="BG153" s="8">
        <v>2191</v>
      </c>
      <c r="BH153" s="8">
        <v>1645</v>
      </c>
    </row>
    <row r="154" spans="1:60" x14ac:dyDescent="0.25">
      <c r="A154" t="s">
        <v>720</v>
      </c>
      <c r="B154" s="8">
        <v>5647</v>
      </c>
      <c r="C154" s="8">
        <v>26216</v>
      </c>
      <c r="D154" s="8">
        <v>31863</v>
      </c>
      <c r="E154" s="8">
        <v>5218</v>
      </c>
      <c r="F154" s="8">
        <v>26645</v>
      </c>
      <c r="G154" s="2">
        <v>17.7</v>
      </c>
      <c r="H154" s="2">
        <v>82.3</v>
      </c>
      <c r="I154" s="2">
        <v>16.399999999999999</v>
      </c>
      <c r="J154" s="2">
        <v>83.6</v>
      </c>
      <c r="K154" s="8">
        <v>38</v>
      </c>
      <c r="L154" s="8">
        <v>158</v>
      </c>
      <c r="M154" s="8">
        <v>247</v>
      </c>
      <c r="N154" s="8">
        <v>1002</v>
      </c>
      <c r="O154" s="8">
        <v>1678</v>
      </c>
      <c r="P154" s="8">
        <v>1596</v>
      </c>
      <c r="Q154" s="8">
        <v>286</v>
      </c>
      <c r="R154" s="8">
        <v>643</v>
      </c>
      <c r="S154" s="8">
        <v>34595</v>
      </c>
      <c r="T154" s="8">
        <v>404</v>
      </c>
      <c r="U154" s="8">
        <v>62</v>
      </c>
      <c r="V154" s="8">
        <v>2626</v>
      </c>
      <c r="W154" s="8">
        <v>137</v>
      </c>
      <c r="X154" s="8">
        <v>207</v>
      </c>
      <c r="Y154" s="8">
        <v>2206</v>
      </c>
      <c r="Z154" s="8">
        <v>5001</v>
      </c>
      <c r="AA154" s="8">
        <v>1737</v>
      </c>
      <c r="AB154" s="8">
        <v>2374</v>
      </c>
      <c r="AC154" s="8">
        <v>1417</v>
      </c>
      <c r="AD154" s="8">
        <v>1138</v>
      </c>
      <c r="AE154" s="8">
        <v>557</v>
      </c>
      <c r="AF154" s="8">
        <v>3053</v>
      </c>
      <c r="AG154" s="8">
        <v>2948</v>
      </c>
      <c r="AH154" s="8">
        <v>1475</v>
      </c>
      <c r="AI154" s="8">
        <v>2959</v>
      </c>
      <c r="AJ154" s="8">
        <v>4273</v>
      </c>
      <c r="AK154" s="8">
        <v>1007</v>
      </c>
      <c r="AL154" s="8">
        <v>920</v>
      </c>
      <c r="AM154" s="8">
        <v>92</v>
      </c>
      <c r="AN154" s="8">
        <v>28952</v>
      </c>
      <c r="AO154" s="8">
        <v>769</v>
      </c>
      <c r="AP154" s="8">
        <v>1619</v>
      </c>
      <c r="AQ154" s="2">
        <v>4.8</v>
      </c>
      <c r="AR154" s="2">
        <v>4.3</v>
      </c>
      <c r="AS154" s="2">
        <v>1.3</v>
      </c>
      <c r="AT154" s="8">
        <v>64</v>
      </c>
      <c r="AU154" s="8">
        <v>56</v>
      </c>
      <c r="AV154" s="8">
        <v>434</v>
      </c>
      <c r="AW154" s="8">
        <v>52585</v>
      </c>
      <c r="AX154" s="2">
        <v>63.7</v>
      </c>
      <c r="AY154" s="2">
        <v>74.400000000000006</v>
      </c>
      <c r="AZ154" s="2">
        <v>32</v>
      </c>
      <c r="BA154" s="8">
        <v>493</v>
      </c>
      <c r="BB154" s="8">
        <v>31878</v>
      </c>
      <c r="BC154" s="8">
        <v>26826</v>
      </c>
      <c r="BD154" s="8">
        <v>27965558.333333332</v>
      </c>
      <c r="BE154" s="8">
        <v>29897</v>
      </c>
      <c r="BF154" s="8">
        <v>1144</v>
      </c>
      <c r="BG154" s="8">
        <v>2231</v>
      </c>
      <c r="BH154" s="8">
        <v>1619</v>
      </c>
    </row>
    <row r="155" spans="1:60" x14ac:dyDescent="0.25">
      <c r="A155" t="s">
        <v>721</v>
      </c>
      <c r="B155" s="8">
        <v>5634</v>
      </c>
      <c r="C155" s="8">
        <v>26284</v>
      </c>
      <c r="D155" s="8">
        <v>31918</v>
      </c>
      <c r="E155" s="8">
        <v>5208</v>
      </c>
      <c r="F155" s="8">
        <v>26710</v>
      </c>
      <c r="G155" s="2">
        <v>17.7</v>
      </c>
      <c r="H155" s="2">
        <v>82.3</v>
      </c>
      <c r="I155" s="2">
        <v>16.3</v>
      </c>
      <c r="J155" s="2">
        <v>83.7</v>
      </c>
      <c r="K155" s="8">
        <v>39</v>
      </c>
      <c r="L155" s="8">
        <v>158</v>
      </c>
      <c r="M155" s="8">
        <v>246</v>
      </c>
      <c r="N155" s="8">
        <v>1003</v>
      </c>
      <c r="O155" s="8">
        <v>1671</v>
      </c>
      <c r="P155" s="8">
        <v>1601</v>
      </c>
      <c r="Q155" s="8">
        <v>280</v>
      </c>
      <c r="R155" s="8">
        <v>635</v>
      </c>
      <c r="S155" s="8">
        <v>34669</v>
      </c>
      <c r="T155" s="8">
        <v>413</v>
      </c>
      <c r="U155" s="8">
        <v>61</v>
      </c>
      <c r="V155" s="8">
        <v>2634</v>
      </c>
      <c r="W155" s="8">
        <v>145</v>
      </c>
      <c r="X155" s="8">
        <v>213</v>
      </c>
      <c r="Y155" s="8">
        <v>2250</v>
      </c>
      <c r="Z155" s="8">
        <v>4991</v>
      </c>
      <c r="AA155" s="8">
        <v>1724</v>
      </c>
      <c r="AB155" s="8">
        <v>2369</v>
      </c>
      <c r="AC155" s="8">
        <v>1433</v>
      </c>
      <c r="AD155" s="8">
        <v>1121</v>
      </c>
      <c r="AE155" s="8">
        <v>553</v>
      </c>
      <c r="AF155" s="8">
        <v>3053</v>
      </c>
      <c r="AG155" s="8">
        <v>2977</v>
      </c>
      <c r="AH155" s="8">
        <v>1470</v>
      </c>
      <c r="AI155" s="8">
        <v>2969</v>
      </c>
      <c r="AJ155" s="8">
        <v>4283</v>
      </c>
      <c r="AK155" s="8">
        <v>1024</v>
      </c>
      <c r="AL155" s="8">
        <v>914</v>
      </c>
      <c r="AM155" s="8">
        <v>71</v>
      </c>
      <c r="AN155" s="8">
        <v>28954</v>
      </c>
      <c r="AO155" s="8">
        <v>755</v>
      </c>
      <c r="AP155" s="8">
        <v>1587</v>
      </c>
      <c r="AQ155" s="2">
        <v>4.7</v>
      </c>
      <c r="AR155" s="2">
        <v>4.5</v>
      </c>
      <c r="AS155" s="2">
        <v>1.1000000000000001</v>
      </c>
      <c r="AT155" s="8">
        <v>76</v>
      </c>
      <c r="AU155" s="8">
        <v>51</v>
      </c>
      <c r="AV155" s="8">
        <v>404</v>
      </c>
      <c r="AW155" s="8">
        <v>52654</v>
      </c>
      <c r="AX155" s="2">
        <v>63.6</v>
      </c>
      <c r="AY155" s="2">
        <v>74.5</v>
      </c>
      <c r="AZ155" s="2">
        <v>32.1</v>
      </c>
      <c r="BA155" s="8">
        <v>494.66666666666669</v>
      </c>
      <c r="BB155" s="8">
        <v>31914</v>
      </c>
      <c r="BC155" s="8">
        <v>26836</v>
      </c>
      <c r="BD155" s="8">
        <v>28051686</v>
      </c>
      <c r="BE155" s="8">
        <v>29913</v>
      </c>
      <c r="BF155" s="8">
        <v>1116</v>
      </c>
      <c r="BG155" s="8">
        <v>2189</v>
      </c>
      <c r="BH155" s="8">
        <v>1587</v>
      </c>
    </row>
    <row r="156" spans="1:60" x14ac:dyDescent="0.25">
      <c r="A156" t="s">
        <v>722</v>
      </c>
      <c r="B156" s="8">
        <v>5636</v>
      </c>
      <c r="C156" s="8">
        <v>26391</v>
      </c>
      <c r="D156" s="8">
        <v>32027</v>
      </c>
      <c r="E156" s="8">
        <v>5210</v>
      </c>
      <c r="F156" s="8">
        <v>26817</v>
      </c>
      <c r="G156" s="2">
        <v>17.600000000000001</v>
      </c>
      <c r="H156" s="2">
        <v>82.4</v>
      </c>
      <c r="I156" s="2">
        <v>16.3</v>
      </c>
      <c r="J156" s="2">
        <v>83.7</v>
      </c>
      <c r="K156" s="8">
        <v>40</v>
      </c>
      <c r="L156" s="8">
        <v>157</v>
      </c>
      <c r="M156" s="8">
        <v>245</v>
      </c>
      <c r="N156" s="8">
        <v>1005</v>
      </c>
      <c r="O156" s="8">
        <v>1668</v>
      </c>
      <c r="P156" s="8">
        <v>1613</v>
      </c>
      <c r="Q156" s="8">
        <v>277</v>
      </c>
      <c r="R156" s="8">
        <v>629</v>
      </c>
      <c r="S156" s="8">
        <v>34846</v>
      </c>
      <c r="T156" s="8">
        <v>421</v>
      </c>
      <c r="U156" s="8">
        <v>56</v>
      </c>
      <c r="V156" s="8">
        <v>2649</v>
      </c>
      <c r="W156" s="8">
        <v>144</v>
      </c>
      <c r="X156" s="8">
        <v>216</v>
      </c>
      <c r="Y156" s="8">
        <v>2328</v>
      </c>
      <c r="Z156" s="8">
        <v>5004</v>
      </c>
      <c r="AA156" s="8">
        <v>1732</v>
      </c>
      <c r="AB156" s="8">
        <v>2373</v>
      </c>
      <c r="AC156" s="8">
        <v>1463</v>
      </c>
      <c r="AD156" s="8">
        <v>1115</v>
      </c>
      <c r="AE156" s="8">
        <v>582</v>
      </c>
      <c r="AF156" s="8">
        <v>3037</v>
      </c>
      <c r="AG156" s="8">
        <v>2989</v>
      </c>
      <c r="AH156" s="8">
        <v>1466</v>
      </c>
      <c r="AI156" s="8">
        <v>2941</v>
      </c>
      <c r="AJ156" s="8">
        <v>4334</v>
      </c>
      <c r="AK156" s="8">
        <v>1013</v>
      </c>
      <c r="AL156" s="8">
        <v>914</v>
      </c>
      <c r="AM156" s="8">
        <v>66</v>
      </c>
      <c r="AN156" s="8">
        <v>29030</v>
      </c>
      <c r="AO156" s="8">
        <v>747</v>
      </c>
      <c r="AP156" s="8">
        <v>1530</v>
      </c>
      <c r="AQ156" s="2">
        <v>4.5999999999999996</v>
      </c>
      <c r="AR156" s="2">
        <v>3.5</v>
      </c>
      <c r="AS156" s="2">
        <v>1.2999999999999998</v>
      </c>
      <c r="AT156" s="8">
        <v>74</v>
      </c>
      <c r="AU156" s="8">
        <v>58</v>
      </c>
      <c r="AV156" s="8">
        <v>385</v>
      </c>
      <c r="AW156" s="8">
        <v>52724</v>
      </c>
      <c r="AX156" s="2">
        <v>63.6</v>
      </c>
      <c r="AY156" s="2">
        <v>74.7</v>
      </c>
      <c r="AZ156" s="2">
        <v>32.200000000000003</v>
      </c>
      <c r="BA156" s="8">
        <v>496.66666666666669</v>
      </c>
      <c r="BB156" s="8">
        <v>32017</v>
      </c>
      <c r="BC156" s="8">
        <v>26937</v>
      </c>
      <c r="BD156" s="8">
        <v>28132678.666666668</v>
      </c>
      <c r="BE156" s="8">
        <v>30122</v>
      </c>
      <c r="BF156" s="8">
        <v>1026</v>
      </c>
      <c r="BG156" s="8">
        <v>2117</v>
      </c>
      <c r="BH156" s="8">
        <v>1530</v>
      </c>
    </row>
    <row r="157" spans="1:60" x14ac:dyDescent="0.25">
      <c r="A157" t="s">
        <v>723</v>
      </c>
      <c r="B157" s="8">
        <v>5638</v>
      </c>
      <c r="C157" s="8">
        <v>26568</v>
      </c>
      <c r="D157" s="8">
        <v>32206</v>
      </c>
      <c r="E157" s="8">
        <v>5219</v>
      </c>
      <c r="F157" s="8">
        <v>26987</v>
      </c>
      <c r="G157" s="2">
        <v>17.5</v>
      </c>
      <c r="H157" s="2">
        <v>82.5</v>
      </c>
      <c r="I157" s="2">
        <v>16.2</v>
      </c>
      <c r="J157" s="2">
        <v>83.8</v>
      </c>
      <c r="K157" s="8">
        <v>39</v>
      </c>
      <c r="L157" s="8">
        <v>156</v>
      </c>
      <c r="M157" s="8">
        <v>245</v>
      </c>
      <c r="N157" s="8">
        <v>1012</v>
      </c>
      <c r="O157" s="8">
        <v>1662</v>
      </c>
      <c r="P157" s="8">
        <v>1623</v>
      </c>
      <c r="Q157" s="8">
        <v>273</v>
      </c>
      <c r="R157" s="8">
        <v>629</v>
      </c>
      <c r="S157" s="8">
        <v>34856</v>
      </c>
      <c r="T157" s="8">
        <v>407</v>
      </c>
      <c r="U157" s="8">
        <v>59</v>
      </c>
      <c r="V157" s="8">
        <v>2680</v>
      </c>
      <c r="W157" s="8">
        <v>147</v>
      </c>
      <c r="X157" s="8">
        <v>218</v>
      </c>
      <c r="Y157" s="8">
        <v>2322</v>
      </c>
      <c r="Z157" s="8">
        <v>5019</v>
      </c>
      <c r="AA157" s="8">
        <v>1725</v>
      </c>
      <c r="AB157" s="8">
        <v>2402</v>
      </c>
      <c r="AC157" s="8">
        <v>1503</v>
      </c>
      <c r="AD157" s="8">
        <v>1120</v>
      </c>
      <c r="AE157" s="8">
        <v>557</v>
      </c>
      <c r="AF157" s="8">
        <v>2990</v>
      </c>
      <c r="AG157" s="8">
        <v>2983</v>
      </c>
      <c r="AH157" s="8">
        <v>1487</v>
      </c>
      <c r="AI157" s="8">
        <v>2922</v>
      </c>
      <c r="AJ157" s="8">
        <v>4360</v>
      </c>
      <c r="AK157" s="8">
        <v>989</v>
      </c>
      <c r="AL157" s="8">
        <v>905</v>
      </c>
      <c r="AM157" s="8">
        <v>63</v>
      </c>
      <c r="AN157" s="8">
        <v>29025</v>
      </c>
      <c r="AO157" s="8">
        <v>795.33333333333337</v>
      </c>
      <c r="AP157" s="8">
        <v>1488</v>
      </c>
      <c r="AQ157" s="2">
        <v>4.4000000000000004</v>
      </c>
      <c r="AR157" s="2">
        <v>4.0999999999999996</v>
      </c>
      <c r="AS157" s="2">
        <v>1.8</v>
      </c>
      <c r="AT157" s="8">
        <v>71</v>
      </c>
      <c r="AU157" s="8">
        <v>65</v>
      </c>
      <c r="AV157" s="8">
        <v>373</v>
      </c>
      <c r="AW157" s="8">
        <v>52793</v>
      </c>
      <c r="AX157" s="2">
        <v>63.7</v>
      </c>
      <c r="AY157" s="2">
        <v>75</v>
      </c>
      <c r="AZ157" s="2">
        <v>32.299999999999997</v>
      </c>
      <c r="BA157" s="8">
        <v>503.33333333333331</v>
      </c>
      <c r="BB157" s="8">
        <v>32138</v>
      </c>
      <c r="BC157" s="8">
        <v>27075</v>
      </c>
      <c r="BD157" s="8">
        <v>28244394</v>
      </c>
      <c r="BE157" s="8">
        <v>30112</v>
      </c>
      <c r="BF157" s="8">
        <v>1025</v>
      </c>
      <c r="BG157" s="8">
        <v>2045</v>
      </c>
      <c r="BH157" s="8">
        <v>1488</v>
      </c>
    </row>
    <row r="158" spans="1:60" x14ac:dyDescent="0.25">
      <c r="A158" t="s">
        <v>724</v>
      </c>
      <c r="B158" s="8">
        <v>5629</v>
      </c>
      <c r="C158" s="8">
        <v>26536</v>
      </c>
      <c r="D158" s="8">
        <v>32165</v>
      </c>
      <c r="E158" s="8">
        <v>5216</v>
      </c>
      <c r="F158" s="8">
        <v>26949</v>
      </c>
      <c r="G158" s="2">
        <v>17.5</v>
      </c>
      <c r="H158" s="2">
        <v>82.5</v>
      </c>
      <c r="I158" s="2">
        <v>16.2</v>
      </c>
      <c r="J158" s="2">
        <v>83.8</v>
      </c>
      <c r="K158" s="8">
        <v>38</v>
      </c>
      <c r="L158" s="8">
        <v>156</v>
      </c>
      <c r="M158" s="8">
        <v>245</v>
      </c>
      <c r="N158" s="8">
        <v>1017</v>
      </c>
      <c r="O158" s="8">
        <v>1650</v>
      </c>
      <c r="P158" s="8">
        <v>1629</v>
      </c>
      <c r="Q158" s="8">
        <v>273</v>
      </c>
      <c r="R158" s="8">
        <v>626</v>
      </c>
      <c r="S158" s="8">
        <v>34960</v>
      </c>
      <c r="T158" s="8">
        <v>416</v>
      </c>
      <c r="U158" s="8">
        <v>57</v>
      </c>
      <c r="V158" s="8">
        <v>2693</v>
      </c>
      <c r="W158" s="8">
        <v>144</v>
      </c>
      <c r="X158" s="8">
        <v>221</v>
      </c>
      <c r="Y158" s="8">
        <v>2349</v>
      </c>
      <c r="Z158" s="8">
        <v>4976</v>
      </c>
      <c r="AA158" s="8">
        <v>1697</v>
      </c>
      <c r="AB158" s="8">
        <v>2390</v>
      </c>
      <c r="AC158" s="8">
        <v>1487</v>
      </c>
      <c r="AD158" s="8">
        <v>1106</v>
      </c>
      <c r="AE158" s="8">
        <v>573</v>
      </c>
      <c r="AF158" s="8">
        <v>3025</v>
      </c>
      <c r="AG158" s="8">
        <v>3063</v>
      </c>
      <c r="AH158" s="8">
        <v>1484</v>
      </c>
      <c r="AI158" s="8">
        <v>2928</v>
      </c>
      <c r="AJ158" s="8">
        <v>4332</v>
      </c>
      <c r="AK158" s="8">
        <v>1041</v>
      </c>
      <c r="AL158" s="8">
        <v>906</v>
      </c>
      <c r="AM158" s="8">
        <v>71</v>
      </c>
      <c r="AN158" s="8">
        <v>29080</v>
      </c>
      <c r="AO158" s="8">
        <v>817.33333333333337</v>
      </c>
      <c r="AP158" s="8">
        <v>1432</v>
      </c>
      <c r="AQ158" s="2">
        <v>4.3</v>
      </c>
      <c r="AR158" s="2">
        <v>3.8</v>
      </c>
      <c r="AS158" s="2">
        <v>2.0499999999999998</v>
      </c>
      <c r="AT158" s="8">
        <v>74</v>
      </c>
      <c r="AU158" s="8">
        <v>67</v>
      </c>
      <c r="AV158" s="8">
        <v>391</v>
      </c>
      <c r="AW158" s="8">
        <v>52862</v>
      </c>
      <c r="AX158" s="2">
        <v>63.5</v>
      </c>
      <c r="AY158" s="2">
        <v>74.900000000000006</v>
      </c>
      <c r="AZ158" s="2">
        <v>32</v>
      </c>
      <c r="BA158" s="8">
        <v>505.33333333333331</v>
      </c>
      <c r="BB158" s="8">
        <v>32134</v>
      </c>
      <c r="BC158" s="8">
        <v>27074</v>
      </c>
      <c r="BD158" s="8">
        <v>28337681</v>
      </c>
      <c r="BE158" s="8">
        <v>30232</v>
      </c>
      <c r="BF158" s="8">
        <v>1045</v>
      </c>
      <c r="BG158" s="8">
        <v>2027</v>
      </c>
      <c r="BH158" s="8">
        <v>1432</v>
      </c>
    </row>
    <row r="159" spans="1:60" x14ac:dyDescent="0.25">
      <c r="A159" t="s">
        <v>725</v>
      </c>
      <c r="B159" s="8">
        <v>5497</v>
      </c>
      <c r="C159" s="8">
        <v>26813</v>
      </c>
      <c r="D159" s="8">
        <v>32310</v>
      </c>
      <c r="E159" s="8">
        <v>5222</v>
      </c>
      <c r="F159" s="8">
        <v>27088</v>
      </c>
      <c r="G159" s="2">
        <v>17</v>
      </c>
      <c r="H159" s="2">
        <v>83</v>
      </c>
      <c r="I159" s="2">
        <v>16.2</v>
      </c>
      <c r="J159" s="2">
        <v>83.8</v>
      </c>
      <c r="K159" s="8">
        <v>37</v>
      </c>
      <c r="L159" s="8">
        <v>156</v>
      </c>
      <c r="M159" s="8">
        <v>246</v>
      </c>
      <c r="N159" s="8">
        <v>1017</v>
      </c>
      <c r="O159" s="8">
        <v>1644</v>
      </c>
      <c r="P159" s="8">
        <v>1639</v>
      </c>
      <c r="Q159" s="8">
        <v>230</v>
      </c>
      <c r="R159" s="8">
        <v>525</v>
      </c>
      <c r="S159" s="8">
        <v>34874</v>
      </c>
      <c r="T159" s="8">
        <v>419</v>
      </c>
      <c r="U159" s="8">
        <v>59</v>
      </c>
      <c r="V159" s="8">
        <v>2699</v>
      </c>
      <c r="W159" s="8">
        <v>144</v>
      </c>
      <c r="X159" s="8">
        <v>228</v>
      </c>
      <c r="Y159" s="8">
        <v>2330</v>
      </c>
      <c r="Z159" s="8">
        <v>4995</v>
      </c>
      <c r="AA159" s="8">
        <v>1697</v>
      </c>
      <c r="AB159" s="8">
        <v>2348</v>
      </c>
      <c r="AC159" s="8">
        <v>1468</v>
      </c>
      <c r="AD159" s="8">
        <v>1114</v>
      </c>
      <c r="AE159" s="8">
        <v>589</v>
      </c>
      <c r="AF159" s="8">
        <v>3026</v>
      </c>
      <c r="AG159" s="8">
        <v>3015</v>
      </c>
      <c r="AH159" s="8">
        <v>1482</v>
      </c>
      <c r="AI159" s="8">
        <v>2915</v>
      </c>
      <c r="AJ159" s="8">
        <v>4361</v>
      </c>
      <c r="AK159" s="8">
        <v>1018</v>
      </c>
      <c r="AL159" s="8">
        <v>911</v>
      </c>
      <c r="AM159" s="8">
        <v>56</v>
      </c>
      <c r="AN159" s="8">
        <v>28994</v>
      </c>
      <c r="AO159" s="8">
        <v>818.66666666666663</v>
      </c>
      <c r="AP159" s="8">
        <v>1467</v>
      </c>
      <c r="AQ159" s="2">
        <v>4.4000000000000004</v>
      </c>
      <c r="AR159" s="2">
        <v>3.9</v>
      </c>
      <c r="AS159" s="2">
        <v>2.4000000000000004</v>
      </c>
      <c r="AT159" s="8">
        <v>75</v>
      </c>
      <c r="AU159" s="8">
        <v>71</v>
      </c>
      <c r="AV159" s="8">
        <v>368</v>
      </c>
      <c r="AW159" s="8">
        <v>52930</v>
      </c>
      <c r="AX159" s="2">
        <v>63.6</v>
      </c>
      <c r="AY159" s="2">
        <v>75.099999999999994</v>
      </c>
      <c r="AZ159" s="2">
        <v>31.9</v>
      </c>
      <c r="BA159" s="8">
        <v>508.33333333333331</v>
      </c>
      <c r="BB159" s="8">
        <v>32222</v>
      </c>
      <c r="BC159" s="8">
        <v>27174</v>
      </c>
      <c r="BD159" s="8">
        <v>28437559</v>
      </c>
      <c r="BE159" s="8">
        <v>30200</v>
      </c>
      <c r="BF159" s="8">
        <v>996</v>
      </c>
      <c r="BG159" s="8">
        <v>2018</v>
      </c>
      <c r="BH159" s="8">
        <v>1467</v>
      </c>
    </row>
    <row r="160" spans="1:60" x14ac:dyDescent="0.25">
      <c r="A160" t="s">
        <v>726</v>
      </c>
      <c r="B160" s="8">
        <v>5498</v>
      </c>
      <c r="C160" s="8">
        <v>26957</v>
      </c>
      <c r="D160" s="8">
        <v>32455</v>
      </c>
      <c r="E160" s="8">
        <v>5230</v>
      </c>
      <c r="F160" s="8">
        <v>27225</v>
      </c>
      <c r="G160" s="2">
        <v>16.899999999999999</v>
      </c>
      <c r="H160" s="2">
        <v>83.1</v>
      </c>
      <c r="I160" s="2">
        <v>16.100000000000001</v>
      </c>
      <c r="J160" s="2">
        <v>83.9</v>
      </c>
      <c r="K160" s="8">
        <v>35</v>
      </c>
      <c r="L160" s="8">
        <v>155</v>
      </c>
      <c r="M160" s="8">
        <v>246</v>
      </c>
      <c r="N160" s="8">
        <v>1022</v>
      </c>
      <c r="O160" s="8">
        <v>1644</v>
      </c>
      <c r="P160" s="8">
        <v>1642</v>
      </c>
      <c r="Q160" s="8">
        <v>228</v>
      </c>
      <c r="R160" s="8">
        <v>527</v>
      </c>
      <c r="S160" s="8">
        <v>34946</v>
      </c>
      <c r="T160" s="8">
        <v>413</v>
      </c>
      <c r="U160" s="8">
        <v>62</v>
      </c>
      <c r="V160" s="8">
        <v>2696</v>
      </c>
      <c r="W160" s="8">
        <v>147</v>
      </c>
      <c r="X160" s="8">
        <v>226</v>
      </c>
      <c r="Y160" s="8">
        <v>2316</v>
      </c>
      <c r="Z160" s="8">
        <v>4999</v>
      </c>
      <c r="AA160" s="8">
        <v>1695</v>
      </c>
      <c r="AB160" s="8">
        <v>2397</v>
      </c>
      <c r="AC160" s="8">
        <v>1474</v>
      </c>
      <c r="AD160" s="8">
        <v>1125</v>
      </c>
      <c r="AE160" s="8">
        <v>591</v>
      </c>
      <c r="AF160" s="8">
        <v>3026</v>
      </c>
      <c r="AG160" s="8">
        <v>2999</v>
      </c>
      <c r="AH160" s="8">
        <v>1485</v>
      </c>
      <c r="AI160" s="8">
        <v>2940</v>
      </c>
      <c r="AJ160" s="8">
        <v>4353</v>
      </c>
      <c r="AK160" s="8">
        <v>1005</v>
      </c>
      <c r="AL160" s="8">
        <v>941</v>
      </c>
      <c r="AM160" s="8">
        <v>59</v>
      </c>
      <c r="AN160" s="8">
        <v>29086</v>
      </c>
      <c r="AO160" s="8">
        <v>791</v>
      </c>
      <c r="AP160" s="8">
        <v>1422</v>
      </c>
      <c r="AQ160" s="2">
        <v>4.2</v>
      </c>
      <c r="AR160" s="2">
        <v>3.5</v>
      </c>
      <c r="AS160" s="2">
        <v>2.6</v>
      </c>
      <c r="AT160" s="8">
        <v>69</v>
      </c>
      <c r="AU160" s="8">
        <v>60</v>
      </c>
      <c r="AV160" s="8">
        <v>358</v>
      </c>
      <c r="AW160" s="8">
        <v>52997</v>
      </c>
      <c r="AX160" s="2">
        <v>63.8</v>
      </c>
      <c r="AY160" s="2">
        <v>75.5</v>
      </c>
      <c r="AZ160" s="2">
        <v>31.9</v>
      </c>
      <c r="BA160" s="8">
        <v>511</v>
      </c>
      <c r="BB160" s="8">
        <v>32410</v>
      </c>
      <c r="BC160" s="8">
        <v>27425</v>
      </c>
      <c r="BD160" s="8">
        <v>28494408</v>
      </c>
      <c r="BE160" s="8">
        <v>30263</v>
      </c>
      <c r="BF160" s="8">
        <v>1011</v>
      </c>
      <c r="BG160" s="8">
        <v>1996</v>
      </c>
      <c r="BH160" s="8">
        <v>1422</v>
      </c>
    </row>
    <row r="161" spans="1:60" x14ac:dyDescent="0.25">
      <c r="A161" t="s">
        <v>727</v>
      </c>
      <c r="B161" s="8">
        <v>5496</v>
      </c>
      <c r="C161" s="8">
        <v>26975</v>
      </c>
      <c r="D161" s="8">
        <v>32471</v>
      </c>
      <c r="E161" s="8">
        <v>5244</v>
      </c>
      <c r="F161" s="8">
        <v>27227</v>
      </c>
      <c r="G161" s="2">
        <v>16.899999999999999</v>
      </c>
      <c r="H161" s="2">
        <v>83.1</v>
      </c>
      <c r="I161" s="2">
        <v>16.100000000000001</v>
      </c>
      <c r="J161" s="2">
        <v>83.9</v>
      </c>
      <c r="K161" s="8">
        <v>35</v>
      </c>
      <c r="L161" s="8">
        <v>154</v>
      </c>
      <c r="M161" s="8">
        <v>247</v>
      </c>
      <c r="N161" s="8">
        <v>1028</v>
      </c>
      <c r="O161" s="8">
        <v>1644</v>
      </c>
      <c r="P161" s="8">
        <v>1650</v>
      </c>
      <c r="Q161" s="8">
        <v>223</v>
      </c>
      <c r="R161" s="8">
        <v>518</v>
      </c>
      <c r="S161" s="8">
        <v>34972</v>
      </c>
      <c r="T161" s="8">
        <v>409</v>
      </c>
      <c r="U161" s="8">
        <v>63</v>
      </c>
      <c r="V161" s="8">
        <v>2715</v>
      </c>
      <c r="W161" s="8">
        <v>150</v>
      </c>
      <c r="X161" s="8">
        <v>227</v>
      </c>
      <c r="Y161" s="8">
        <v>2311</v>
      </c>
      <c r="Z161" s="8">
        <v>4992</v>
      </c>
      <c r="AA161" s="8">
        <v>1727</v>
      </c>
      <c r="AB161" s="8">
        <v>2435</v>
      </c>
      <c r="AC161" s="8">
        <v>1473</v>
      </c>
      <c r="AD161" s="8">
        <v>1111</v>
      </c>
      <c r="AE161" s="8">
        <v>567</v>
      </c>
      <c r="AF161" s="8">
        <v>3029</v>
      </c>
      <c r="AG161" s="8">
        <v>3006</v>
      </c>
      <c r="AH161" s="8">
        <v>1492</v>
      </c>
      <c r="AI161" s="8">
        <v>2935</v>
      </c>
      <c r="AJ161" s="8">
        <v>4332</v>
      </c>
      <c r="AK161" s="8">
        <v>1006</v>
      </c>
      <c r="AL161" s="8">
        <v>926</v>
      </c>
      <c r="AM161" s="8">
        <v>66</v>
      </c>
      <c r="AN161" s="8">
        <v>29098</v>
      </c>
      <c r="AO161" s="8">
        <v>842.66666666666663</v>
      </c>
      <c r="AP161" s="8">
        <v>1367</v>
      </c>
      <c r="AQ161" s="2">
        <v>4</v>
      </c>
      <c r="AR161" s="2">
        <v>3.6</v>
      </c>
      <c r="AS161" s="2">
        <v>2.5</v>
      </c>
      <c r="AT161" s="8">
        <v>71</v>
      </c>
      <c r="AU161" s="8">
        <v>63</v>
      </c>
      <c r="AV161" s="8">
        <v>354</v>
      </c>
      <c r="AW161" s="8">
        <v>53065</v>
      </c>
      <c r="AX161" s="2">
        <v>63.7</v>
      </c>
      <c r="AY161" s="2">
        <v>75.400000000000006</v>
      </c>
      <c r="AZ161" s="2">
        <v>31.9</v>
      </c>
      <c r="BA161" s="8">
        <v>515</v>
      </c>
      <c r="BB161" s="8">
        <v>32451</v>
      </c>
      <c r="BC161" s="8">
        <v>27452</v>
      </c>
      <c r="BD161" s="8">
        <v>28562145</v>
      </c>
      <c r="BE161" s="8">
        <v>30261</v>
      </c>
      <c r="BF161" s="8">
        <v>975</v>
      </c>
      <c r="BG161" s="8">
        <v>1941</v>
      </c>
      <c r="BH161" s="8">
        <v>1367</v>
      </c>
    </row>
    <row r="162" spans="1:60" x14ac:dyDescent="0.25">
      <c r="A162" t="s">
        <v>728</v>
      </c>
      <c r="B162" s="8">
        <v>5490</v>
      </c>
      <c r="C162" s="8">
        <v>27070</v>
      </c>
      <c r="D162" s="8">
        <v>32560</v>
      </c>
      <c r="E162" s="8">
        <v>5255</v>
      </c>
      <c r="F162" s="8">
        <v>27305</v>
      </c>
      <c r="G162" s="2">
        <v>16.899999999999999</v>
      </c>
      <c r="H162" s="2">
        <v>83.1</v>
      </c>
      <c r="I162" s="2">
        <v>16.100000000000001</v>
      </c>
      <c r="J162" s="2">
        <v>83.9</v>
      </c>
      <c r="K162" s="8">
        <v>34</v>
      </c>
      <c r="L162" s="8">
        <v>153</v>
      </c>
      <c r="M162" s="8">
        <v>247</v>
      </c>
      <c r="N162" s="8">
        <v>1033</v>
      </c>
      <c r="O162" s="8">
        <v>1636</v>
      </c>
      <c r="P162" s="8">
        <v>1663</v>
      </c>
      <c r="Q162" s="8">
        <v>215</v>
      </c>
      <c r="R162" s="8">
        <v>511</v>
      </c>
      <c r="S162" s="8">
        <v>35075</v>
      </c>
      <c r="T162" s="8">
        <v>411</v>
      </c>
      <c r="U162" s="8">
        <v>61</v>
      </c>
      <c r="V162" s="8">
        <v>2700</v>
      </c>
      <c r="W162" s="8">
        <v>154</v>
      </c>
      <c r="X162" s="8">
        <v>227</v>
      </c>
      <c r="Y162" s="8">
        <v>2321</v>
      </c>
      <c r="Z162" s="8">
        <v>4994</v>
      </c>
      <c r="AA162" s="8">
        <v>1740</v>
      </c>
      <c r="AB162" s="8">
        <v>2421</v>
      </c>
      <c r="AC162" s="8">
        <v>1460</v>
      </c>
      <c r="AD162" s="8">
        <v>1124</v>
      </c>
      <c r="AE162" s="8">
        <v>587</v>
      </c>
      <c r="AF162" s="8">
        <v>3083</v>
      </c>
      <c r="AG162" s="8">
        <v>3036</v>
      </c>
      <c r="AH162" s="8">
        <v>1495</v>
      </c>
      <c r="AI162" s="8">
        <v>2934</v>
      </c>
      <c r="AJ162" s="8">
        <v>4352</v>
      </c>
      <c r="AK162" s="8">
        <v>1000</v>
      </c>
      <c r="AL162" s="8">
        <v>917</v>
      </c>
      <c r="AM162" s="8">
        <v>57</v>
      </c>
      <c r="AN162" s="8">
        <v>29201</v>
      </c>
      <c r="AO162" s="8">
        <v>864</v>
      </c>
      <c r="AP162" s="8">
        <v>1382</v>
      </c>
      <c r="AQ162" s="2">
        <v>4.0999999999999996</v>
      </c>
      <c r="AR162" s="2">
        <v>3.1</v>
      </c>
      <c r="AS162" s="2">
        <v>2.7</v>
      </c>
      <c r="AT162" s="8">
        <v>75</v>
      </c>
      <c r="AU162" s="8">
        <v>72</v>
      </c>
      <c r="AV162" s="8">
        <v>368</v>
      </c>
      <c r="AW162" s="8">
        <v>53141</v>
      </c>
      <c r="AX162" s="2">
        <v>63.8</v>
      </c>
      <c r="AY162" s="2">
        <v>75.400000000000006</v>
      </c>
      <c r="AZ162" s="2">
        <v>32.200000000000003</v>
      </c>
      <c r="BA162" s="8">
        <v>521.33333333333337</v>
      </c>
      <c r="BB162" s="8">
        <v>32497</v>
      </c>
      <c r="BC162" s="8">
        <v>27510</v>
      </c>
      <c r="BD162" s="8">
        <v>28652674.666666668</v>
      </c>
      <c r="BE162" s="8">
        <v>30421</v>
      </c>
      <c r="BF162" s="8">
        <v>912</v>
      </c>
      <c r="BG162" s="8">
        <v>1896</v>
      </c>
      <c r="BH162" s="8">
        <v>1382</v>
      </c>
    </row>
    <row r="163" spans="1:60" x14ac:dyDescent="0.25">
      <c r="A163" t="s">
        <v>729</v>
      </c>
      <c r="B163" s="8">
        <v>5507</v>
      </c>
      <c r="C163" s="8">
        <v>27279</v>
      </c>
      <c r="D163" s="8">
        <v>32786</v>
      </c>
      <c r="E163" s="8">
        <v>5269</v>
      </c>
      <c r="F163" s="8">
        <v>27517</v>
      </c>
      <c r="G163" s="2">
        <v>16.8</v>
      </c>
      <c r="H163" s="2">
        <v>83.2</v>
      </c>
      <c r="I163" s="2">
        <v>16.100000000000001</v>
      </c>
      <c r="J163" s="2">
        <v>83.9</v>
      </c>
      <c r="K163" s="8">
        <v>35</v>
      </c>
      <c r="L163" s="8">
        <v>153</v>
      </c>
      <c r="M163" s="8">
        <v>247</v>
      </c>
      <c r="N163" s="8">
        <v>1038</v>
      </c>
      <c r="O163" s="8">
        <v>1637</v>
      </c>
      <c r="P163" s="8">
        <v>1671</v>
      </c>
      <c r="Q163" s="8">
        <v>214</v>
      </c>
      <c r="R163" s="8">
        <v>507</v>
      </c>
      <c r="S163" s="8">
        <v>35244</v>
      </c>
      <c r="T163" s="8">
        <v>380</v>
      </c>
      <c r="U163" s="8">
        <v>59</v>
      </c>
      <c r="V163" s="8">
        <v>2683</v>
      </c>
      <c r="W163" s="8">
        <v>148</v>
      </c>
      <c r="X163" s="8">
        <v>224</v>
      </c>
      <c r="Y163" s="8">
        <v>2352</v>
      </c>
      <c r="Z163" s="8">
        <v>5008</v>
      </c>
      <c r="AA163" s="8">
        <v>1806</v>
      </c>
      <c r="AB163" s="8">
        <v>2454</v>
      </c>
      <c r="AC163" s="8">
        <v>1479</v>
      </c>
      <c r="AD163" s="8">
        <v>1123</v>
      </c>
      <c r="AE163" s="8">
        <v>591</v>
      </c>
      <c r="AF163" s="8">
        <v>3126</v>
      </c>
      <c r="AG163" s="8">
        <v>3009</v>
      </c>
      <c r="AH163" s="8">
        <v>1505</v>
      </c>
      <c r="AI163" s="8">
        <v>2947</v>
      </c>
      <c r="AJ163" s="8">
        <v>4348</v>
      </c>
      <c r="AK163" s="8">
        <v>1018</v>
      </c>
      <c r="AL163" s="8">
        <v>938</v>
      </c>
      <c r="AM163" s="8">
        <v>45</v>
      </c>
      <c r="AN163" s="8">
        <v>29397</v>
      </c>
      <c r="AO163" s="8">
        <v>852.66666666666663</v>
      </c>
      <c r="AP163" s="8">
        <v>1369</v>
      </c>
      <c r="AQ163" s="2">
        <v>4</v>
      </c>
      <c r="AR163" s="2">
        <v>3.3</v>
      </c>
      <c r="AS163" s="2">
        <v>3.0999999999999996</v>
      </c>
      <c r="AT163" s="8">
        <v>81</v>
      </c>
      <c r="AU163" s="8">
        <v>70</v>
      </c>
      <c r="AV163" s="8">
        <v>350</v>
      </c>
      <c r="AW163" s="8">
        <v>53221</v>
      </c>
      <c r="AX163" s="2">
        <v>64</v>
      </c>
      <c r="AY163" s="2">
        <v>75.7</v>
      </c>
      <c r="AZ163" s="2">
        <v>32</v>
      </c>
      <c r="BA163" s="8">
        <v>527.33333333333337</v>
      </c>
      <c r="BB163" s="8">
        <v>32669</v>
      </c>
      <c r="BC163" s="8">
        <v>27590</v>
      </c>
      <c r="BD163" s="8">
        <v>28741704.333333332</v>
      </c>
      <c r="BE163" s="8">
        <v>30480</v>
      </c>
      <c r="BF163" s="8">
        <v>892</v>
      </c>
      <c r="BG163" s="8">
        <v>1839</v>
      </c>
      <c r="BH163" s="8">
        <v>1369</v>
      </c>
    </row>
    <row r="164" spans="1:60" x14ac:dyDescent="0.25">
      <c r="A164" t="s">
        <v>730</v>
      </c>
      <c r="B164" s="8">
        <v>5519</v>
      </c>
      <c r="C164" s="8">
        <v>27325</v>
      </c>
      <c r="D164" s="8">
        <v>32844</v>
      </c>
      <c r="E164" s="8">
        <v>5285</v>
      </c>
      <c r="F164" s="8">
        <v>27559</v>
      </c>
      <c r="G164" s="2">
        <v>16.8</v>
      </c>
      <c r="H164" s="2">
        <v>83.2</v>
      </c>
      <c r="I164" s="2">
        <v>16.100000000000001</v>
      </c>
      <c r="J164" s="2">
        <v>83.9</v>
      </c>
      <c r="K164" s="8">
        <v>36</v>
      </c>
      <c r="L164" s="8">
        <v>153</v>
      </c>
      <c r="M164" s="8">
        <v>249</v>
      </c>
      <c r="N164" s="8">
        <v>1049</v>
      </c>
      <c r="O164" s="8">
        <v>1635</v>
      </c>
      <c r="P164" s="8">
        <v>1682</v>
      </c>
      <c r="Q164" s="8">
        <v>213</v>
      </c>
      <c r="R164" s="8">
        <v>500</v>
      </c>
      <c r="S164" s="8">
        <v>35438</v>
      </c>
      <c r="T164" s="8">
        <v>387</v>
      </c>
      <c r="U164" s="8">
        <v>62</v>
      </c>
      <c r="V164" s="8">
        <v>2705</v>
      </c>
      <c r="W164" s="8">
        <v>141</v>
      </c>
      <c r="X164" s="8">
        <v>228</v>
      </c>
      <c r="Y164" s="8">
        <v>2361</v>
      </c>
      <c r="Z164" s="8">
        <v>5033</v>
      </c>
      <c r="AA164" s="8">
        <v>1781</v>
      </c>
      <c r="AB164" s="8">
        <v>2466</v>
      </c>
      <c r="AC164" s="8">
        <v>1489</v>
      </c>
      <c r="AD164" s="8">
        <v>1132</v>
      </c>
      <c r="AE164" s="8">
        <v>579</v>
      </c>
      <c r="AF164" s="8">
        <v>3180</v>
      </c>
      <c r="AG164" s="8">
        <v>3015</v>
      </c>
      <c r="AH164" s="8">
        <v>1510</v>
      </c>
      <c r="AI164" s="8">
        <v>2954</v>
      </c>
      <c r="AJ164" s="8">
        <v>4378</v>
      </c>
      <c r="AK164" s="8">
        <v>1031</v>
      </c>
      <c r="AL164" s="8">
        <v>954</v>
      </c>
      <c r="AM164" s="8">
        <v>54</v>
      </c>
      <c r="AN164" s="8">
        <v>29555</v>
      </c>
      <c r="AO164" s="8">
        <v>819.66666666666663</v>
      </c>
      <c r="AP164" s="8">
        <v>1304</v>
      </c>
      <c r="AQ164" s="2">
        <v>3.8</v>
      </c>
      <c r="AR164" s="2">
        <v>3.3</v>
      </c>
      <c r="AS164" s="2">
        <v>3.25</v>
      </c>
      <c r="AT164" s="8">
        <v>79</v>
      </c>
      <c r="AU164" s="8">
        <v>70</v>
      </c>
      <c r="AV164" s="8">
        <v>345</v>
      </c>
      <c r="AW164" s="8">
        <v>53301</v>
      </c>
      <c r="AX164" s="2">
        <v>63.9</v>
      </c>
      <c r="AY164" s="2">
        <v>75.900000000000006</v>
      </c>
      <c r="AZ164" s="2">
        <v>32.299999999999997</v>
      </c>
      <c r="BA164" s="8">
        <v>527.33333333333337</v>
      </c>
      <c r="BB164" s="8">
        <v>32773</v>
      </c>
      <c r="BC164" s="8">
        <v>27692</v>
      </c>
      <c r="BD164" s="8">
        <v>28835086.333333332</v>
      </c>
      <c r="BE164" s="8">
        <v>30614</v>
      </c>
      <c r="BF164" s="8">
        <v>911</v>
      </c>
      <c r="BG164" s="8">
        <v>1862</v>
      </c>
      <c r="BH164" s="8">
        <v>1304</v>
      </c>
    </row>
    <row r="165" spans="1:60" x14ac:dyDescent="0.25">
      <c r="A165" t="s">
        <v>731</v>
      </c>
      <c r="B165" s="8">
        <v>5536</v>
      </c>
      <c r="C165" s="8">
        <v>27370</v>
      </c>
      <c r="D165" s="8">
        <v>32906</v>
      </c>
      <c r="E165" s="8">
        <v>5305</v>
      </c>
      <c r="F165" s="8">
        <v>27601</v>
      </c>
      <c r="G165" s="2">
        <v>16.8</v>
      </c>
      <c r="H165" s="2">
        <v>83.2</v>
      </c>
      <c r="I165" s="2">
        <v>16.100000000000001</v>
      </c>
      <c r="J165" s="2">
        <v>83.9</v>
      </c>
      <c r="K165" s="8">
        <v>36</v>
      </c>
      <c r="L165" s="8">
        <v>153</v>
      </c>
      <c r="M165" s="8">
        <v>249</v>
      </c>
      <c r="N165" s="8">
        <v>1053</v>
      </c>
      <c r="O165" s="8">
        <v>1636</v>
      </c>
      <c r="P165" s="8">
        <v>1695</v>
      </c>
      <c r="Q165" s="8">
        <v>216</v>
      </c>
      <c r="R165" s="8">
        <v>502</v>
      </c>
      <c r="S165" s="8">
        <v>35546</v>
      </c>
      <c r="T165" s="8">
        <v>398</v>
      </c>
      <c r="U165" s="8">
        <v>60</v>
      </c>
      <c r="V165" s="8">
        <v>2689</v>
      </c>
      <c r="W165" s="8">
        <v>141</v>
      </c>
      <c r="X165" s="8">
        <v>223</v>
      </c>
      <c r="Y165" s="8">
        <v>2339</v>
      </c>
      <c r="Z165" s="8">
        <v>5017</v>
      </c>
      <c r="AA165" s="8">
        <v>1814</v>
      </c>
      <c r="AB165" s="8">
        <v>2512</v>
      </c>
      <c r="AC165" s="8">
        <v>1494</v>
      </c>
      <c r="AD165" s="8">
        <v>1135</v>
      </c>
      <c r="AE165" s="8">
        <v>591</v>
      </c>
      <c r="AF165" s="8">
        <v>3216</v>
      </c>
      <c r="AG165" s="8">
        <v>3016</v>
      </c>
      <c r="AH165" s="8">
        <v>1511</v>
      </c>
      <c r="AI165" s="8">
        <v>2939</v>
      </c>
      <c r="AJ165" s="8">
        <v>4414</v>
      </c>
      <c r="AK165" s="8">
        <v>1027</v>
      </c>
      <c r="AL165" s="8">
        <v>949</v>
      </c>
      <c r="AM165" s="8">
        <v>60</v>
      </c>
      <c r="AN165" s="8">
        <v>29695</v>
      </c>
      <c r="AO165" s="8">
        <v>837</v>
      </c>
      <c r="AP165" s="8">
        <v>1331</v>
      </c>
      <c r="AQ165" s="2">
        <v>3.9</v>
      </c>
      <c r="AR165" s="2">
        <v>3.7</v>
      </c>
      <c r="AS165" s="2">
        <v>3.1</v>
      </c>
      <c r="AT165" s="8">
        <v>70</v>
      </c>
      <c r="AU165" s="8">
        <v>58</v>
      </c>
      <c r="AV165" s="8">
        <v>339</v>
      </c>
      <c r="AW165" s="8">
        <v>53381</v>
      </c>
      <c r="AX165" s="2">
        <v>64.2</v>
      </c>
      <c r="AY165" s="2">
        <v>76.099999999999994</v>
      </c>
      <c r="AZ165" s="2">
        <v>32.1</v>
      </c>
      <c r="BA165" s="8">
        <v>536</v>
      </c>
      <c r="BB165" s="8">
        <v>32965</v>
      </c>
      <c r="BC165" s="8">
        <v>27812</v>
      </c>
      <c r="BD165" s="8">
        <v>28900159</v>
      </c>
      <c r="BE165" s="8">
        <v>30687</v>
      </c>
      <c r="BF165" s="8">
        <v>925</v>
      </c>
      <c r="BG165" s="8">
        <v>1840</v>
      </c>
      <c r="BH165" s="8">
        <v>1331</v>
      </c>
    </row>
    <row r="166" spans="1:60" x14ac:dyDescent="0.25">
      <c r="A166" t="s">
        <v>732</v>
      </c>
      <c r="B166" s="8">
        <v>5561</v>
      </c>
      <c r="C166" s="8">
        <v>27344</v>
      </c>
      <c r="D166" s="8">
        <v>32905</v>
      </c>
      <c r="E166" s="8">
        <v>5329</v>
      </c>
      <c r="F166" s="8">
        <v>27576</v>
      </c>
      <c r="G166" s="2">
        <v>16.899999999999999</v>
      </c>
      <c r="H166" s="2">
        <v>83.1</v>
      </c>
      <c r="I166" s="2">
        <v>16.2</v>
      </c>
      <c r="J166" s="2">
        <v>83.8</v>
      </c>
      <c r="K166" s="8">
        <v>35</v>
      </c>
      <c r="L166" s="8">
        <v>154</v>
      </c>
      <c r="M166" s="8">
        <v>252</v>
      </c>
      <c r="N166" s="8">
        <v>1057</v>
      </c>
      <c r="O166" s="8">
        <v>1630</v>
      </c>
      <c r="P166" s="8">
        <v>1711</v>
      </c>
      <c r="Q166" s="8">
        <v>213</v>
      </c>
      <c r="R166" s="8">
        <v>511</v>
      </c>
      <c r="S166" s="8">
        <v>35615</v>
      </c>
      <c r="T166" s="8">
        <v>403</v>
      </c>
      <c r="U166" s="8">
        <v>61</v>
      </c>
      <c r="V166" s="8">
        <v>2694</v>
      </c>
      <c r="W166" s="8">
        <v>139</v>
      </c>
      <c r="X166" s="8">
        <v>220</v>
      </c>
      <c r="Y166" s="8">
        <v>2308</v>
      </c>
      <c r="Z166" s="8">
        <v>5001</v>
      </c>
      <c r="AA166" s="8">
        <v>1803</v>
      </c>
      <c r="AB166" s="8">
        <v>2506</v>
      </c>
      <c r="AC166" s="8">
        <v>1505</v>
      </c>
      <c r="AD166" s="8">
        <v>1143</v>
      </c>
      <c r="AE166" s="8">
        <v>612</v>
      </c>
      <c r="AF166" s="8">
        <v>3205</v>
      </c>
      <c r="AG166" s="8">
        <v>3054</v>
      </c>
      <c r="AH166" s="8">
        <v>1524</v>
      </c>
      <c r="AI166" s="8">
        <v>2948</v>
      </c>
      <c r="AJ166" s="8">
        <v>4432</v>
      </c>
      <c r="AK166" s="8">
        <v>1039</v>
      </c>
      <c r="AL166" s="8">
        <v>968</v>
      </c>
      <c r="AM166" s="8">
        <v>51</v>
      </c>
      <c r="AN166" s="8">
        <v>29791</v>
      </c>
      <c r="AO166" s="8">
        <v>836.66666666666663</v>
      </c>
      <c r="AP166" s="8">
        <v>1326</v>
      </c>
      <c r="AQ166" s="2">
        <v>3.9</v>
      </c>
      <c r="AR166" s="2">
        <v>4.3</v>
      </c>
      <c r="AS166" s="2">
        <v>3</v>
      </c>
      <c r="AT166" s="8">
        <v>79</v>
      </c>
      <c r="AU166" s="8">
        <v>71</v>
      </c>
      <c r="AV166" s="8">
        <v>311</v>
      </c>
      <c r="AW166" s="8">
        <v>53435</v>
      </c>
      <c r="AX166" s="2">
        <v>64</v>
      </c>
      <c r="AY166" s="2">
        <v>76</v>
      </c>
      <c r="AZ166" s="2">
        <v>32</v>
      </c>
      <c r="BA166" s="8">
        <v>542</v>
      </c>
      <c r="BB166" s="8">
        <v>32894</v>
      </c>
      <c r="BC166" s="8">
        <v>27762</v>
      </c>
      <c r="BD166" s="8">
        <v>28932859.333333332</v>
      </c>
      <c r="BE166" s="8">
        <v>30819</v>
      </c>
      <c r="BF166" s="8">
        <v>881</v>
      </c>
      <c r="BG166" s="8">
        <v>1880</v>
      </c>
      <c r="BH166" s="8">
        <v>1326</v>
      </c>
    </row>
    <row r="167" spans="1:60" x14ac:dyDescent="0.25">
      <c r="A167" t="s">
        <v>733</v>
      </c>
      <c r="B167" s="8">
        <v>5577</v>
      </c>
      <c r="C167" s="8">
        <v>27526</v>
      </c>
      <c r="D167" s="8">
        <v>33103</v>
      </c>
      <c r="E167" s="8">
        <v>5344</v>
      </c>
      <c r="F167" s="8">
        <v>27759</v>
      </c>
      <c r="G167" s="2">
        <v>16.8</v>
      </c>
      <c r="H167" s="2">
        <v>83.2</v>
      </c>
      <c r="I167" s="2">
        <v>16.100000000000001</v>
      </c>
      <c r="J167" s="2">
        <v>83.9</v>
      </c>
      <c r="K167" s="8">
        <v>35</v>
      </c>
      <c r="L167" s="8">
        <v>154</v>
      </c>
      <c r="M167" s="8">
        <v>253</v>
      </c>
      <c r="N167" s="8">
        <v>1065</v>
      </c>
      <c r="O167" s="8">
        <v>1624</v>
      </c>
      <c r="P167" s="8">
        <v>1727</v>
      </c>
      <c r="Q167" s="8">
        <v>212</v>
      </c>
      <c r="R167" s="8">
        <v>504</v>
      </c>
      <c r="S167" s="8">
        <v>35661</v>
      </c>
      <c r="T167" s="8">
        <v>405</v>
      </c>
      <c r="U167" s="8">
        <v>62</v>
      </c>
      <c r="V167" s="8">
        <v>2675</v>
      </c>
      <c r="W167" s="8">
        <v>146</v>
      </c>
      <c r="X167" s="8">
        <v>219</v>
      </c>
      <c r="Y167" s="8">
        <v>2325</v>
      </c>
      <c r="Z167" s="8">
        <v>4971</v>
      </c>
      <c r="AA167" s="8">
        <v>1806</v>
      </c>
      <c r="AB167" s="8">
        <v>2512</v>
      </c>
      <c r="AC167" s="8">
        <v>1533</v>
      </c>
      <c r="AD167" s="8">
        <v>1131</v>
      </c>
      <c r="AE167" s="8">
        <v>633</v>
      </c>
      <c r="AF167" s="8">
        <v>3179</v>
      </c>
      <c r="AG167" s="8">
        <v>3045</v>
      </c>
      <c r="AH167" s="8">
        <v>1534</v>
      </c>
      <c r="AI167" s="8">
        <v>2959</v>
      </c>
      <c r="AJ167" s="8">
        <v>4441</v>
      </c>
      <c r="AK167" s="8">
        <v>1050</v>
      </c>
      <c r="AL167" s="8">
        <v>981</v>
      </c>
      <c r="AM167" s="8">
        <v>53</v>
      </c>
      <c r="AN167" s="8">
        <v>29829</v>
      </c>
      <c r="AO167" s="8">
        <v>804</v>
      </c>
      <c r="AP167" s="8">
        <v>1285</v>
      </c>
      <c r="AQ167" s="2">
        <v>3.7</v>
      </c>
      <c r="AR167" s="2">
        <v>4</v>
      </c>
      <c r="AS167" s="2">
        <v>2.8</v>
      </c>
      <c r="AT167" s="8">
        <v>77</v>
      </c>
      <c r="AU167" s="8">
        <v>72</v>
      </c>
      <c r="AV167" s="8">
        <v>294</v>
      </c>
      <c r="AW167" s="8">
        <v>53475</v>
      </c>
      <c r="AX167" s="2">
        <v>64.2</v>
      </c>
      <c r="AY167" s="2">
        <v>76.400000000000006</v>
      </c>
      <c r="AZ167" s="2">
        <v>31.8</v>
      </c>
      <c r="BA167" s="8">
        <v>541</v>
      </c>
      <c r="BB167" s="8">
        <v>33055</v>
      </c>
      <c r="BC167" s="8">
        <v>27855</v>
      </c>
      <c r="BD167" s="8">
        <v>28981853.333333332</v>
      </c>
      <c r="BE167" s="8">
        <v>30780</v>
      </c>
      <c r="BF167" s="8">
        <v>919</v>
      </c>
      <c r="BG167" s="8">
        <v>1914</v>
      </c>
      <c r="BH167" s="8">
        <v>1285</v>
      </c>
    </row>
    <row r="168" spans="1:60" x14ac:dyDescent="0.25">
      <c r="A168" t="s">
        <v>734</v>
      </c>
      <c r="B168" s="8">
        <v>5605</v>
      </c>
      <c r="C168" s="8">
        <v>27215</v>
      </c>
      <c r="D168" s="8">
        <v>32820</v>
      </c>
      <c r="E168" s="8">
        <v>5369</v>
      </c>
      <c r="F168" s="8">
        <v>27451</v>
      </c>
      <c r="G168" s="2">
        <v>17.100000000000001</v>
      </c>
      <c r="H168" s="2">
        <v>82.9</v>
      </c>
      <c r="I168" s="2">
        <v>16.399999999999999</v>
      </c>
      <c r="J168" s="2">
        <v>83.6</v>
      </c>
      <c r="K168" s="8">
        <v>36</v>
      </c>
      <c r="L168" s="8">
        <v>155</v>
      </c>
      <c r="M168" s="8">
        <v>258</v>
      </c>
      <c r="N168" s="8">
        <v>1067</v>
      </c>
      <c r="O168" s="8">
        <v>1622</v>
      </c>
      <c r="P168" s="8">
        <v>1744</v>
      </c>
      <c r="Q168" s="8">
        <v>210</v>
      </c>
      <c r="R168" s="8">
        <v>512</v>
      </c>
      <c r="S168" s="8">
        <v>35609</v>
      </c>
      <c r="T168" s="8">
        <v>384</v>
      </c>
      <c r="U168" s="8">
        <v>68</v>
      </c>
      <c r="V168" s="8">
        <v>2676</v>
      </c>
      <c r="W168" s="8">
        <v>147</v>
      </c>
      <c r="X168" s="8">
        <v>219</v>
      </c>
      <c r="Y168" s="8">
        <v>2293</v>
      </c>
      <c r="Z168" s="8">
        <v>4938</v>
      </c>
      <c r="AA168" s="8">
        <v>1802</v>
      </c>
      <c r="AB168" s="8">
        <v>2519</v>
      </c>
      <c r="AC168" s="8">
        <v>1554</v>
      </c>
      <c r="AD168" s="8">
        <v>1137</v>
      </c>
      <c r="AE168" s="8">
        <v>641</v>
      </c>
      <c r="AF168" s="8">
        <v>3220</v>
      </c>
      <c r="AG168" s="8">
        <v>3037</v>
      </c>
      <c r="AH168" s="8">
        <v>1546</v>
      </c>
      <c r="AI168" s="8">
        <v>2958</v>
      </c>
      <c r="AJ168" s="8">
        <v>4450</v>
      </c>
      <c r="AK168" s="8">
        <v>1032</v>
      </c>
      <c r="AL168" s="8">
        <v>931</v>
      </c>
      <c r="AM168" s="8">
        <v>58</v>
      </c>
      <c r="AN168" s="8">
        <v>29823</v>
      </c>
      <c r="AO168" s="8">
        <v>770</v>
      </c>
      <c r="AP168" s="8">
        <v>1411</v>
      </c>
      <c r="AQ168" s="2">
        <v>4.0999999999999996</v>
      </c>
      <c r="AR168" s="2">
        <v>3.8</v>
      </c>
      <c r="AS168" s="2">
        <v>2.2999999999999998</v>
      </c>
      <c r="AT168" s="8">
        <v>77</v>
      </c>
      <c r="AU168" s="8">
        <v>72</v>
      </c>
      <c r="AV168" s="8">
        <v>311</v>
      </c>
      <c r="AW168" s="8">
        <v>53515</v>
      </c>
      <c r="AX168" s="2">
        <v>64.2</v>
      </c>
      <c r="AY168" s="2">
        <v>75.900000000000006</v>
      </c>
      <c r="AZ168" s="2">
        <v>31.2</v>
      </c>
      <c r="BA168" s="8">
        <v>538.33333333333337</v>
      </c>
      <c r="BB168" s="8">
        <v>32972</v>
      </c>
      <c r="BC168" s="8">
        <v>27879</v>
      </c>
      <c r="BD168" s="8">
        <v>29035653.666666668</v>
      </c>
      <c r="BE168" s="8">
        <v>30926</v>
      </c>
      <c r="BF168" s="8">
        <v>895</v>
      </c>
      <c r="BG168" s="8">
        <v>1954</v>
      </c>
      <c r="BH168" s="8">
        <v>1411</v>
      </c>
    </row>
    <row r="169" spans="1:60" x14ac:dyDescent="0.25">
      <c r="A169" t="s">
        <v>735</v>
      </c>
      <c r="B169" s="8">
        <v>5692</v>
      </c>
      <c r="C169" s="8">
        <v>26886</v>
      </c>
      <c r="D169" s="8">
        <v>32578</v>
      </c>
      <c r="E169" s="8">
        <v>5413</v>
      </c>
      <c r="F169" s="8">
        <v>27165</v>
      </c>
      <c r="G169" s="2">
        <v>17.5</v>
      </c>
      <c r="H169" s="2">
        <v>82.5</v>
      </c>
      <c r="I169" s="2">
        <v>16.600000000000001</v>
      </c>
      <c r="J169" s="2">
        <v>83.4</v>
      </c>
      <c r="K169" s="8">
        <v>36</v>
      </c>
      <c r="L169" s="8">
        <v>157</v>
      </c>
      <c r="M169" s="8">
        <v>261</v>
      </c>
      <c r="N169" s="8">
        <v>1071</v>
      </c>
      <c r="O169" s="8">
        <v>1618</v>
      </c>
      <c r="P169" s="8">
        <v>1783</v>
      </c>
      <c r="Q169" s="8">
        <v>208</v>
      </c>
      <c r="R169" s="8">
        <v>561</v>
      </c>
      <c r="S169" s="8">
        <v>35135</v>
      </c>
      <c r="T169" s="8">
        <v>377</v>
      </c>
      <c r="U169" s="8">
        <v>61</v>
      </c>
      <c r="V169" s="8">
        <v>2618</v>
      </c>
      <c r="W169" s="8">
        <v>146</v>
      </c>
      <c r="X169" s="8">
        <v>218</v>
      </c>
      <c r="Y169" s="8">
        <v>2276</v>
      </c>
      <c r="Z169" s="8">
        <v>4976</v>
      </c>
      <c r="AA169" s="8">
        <v>1802</v>
      </c>
      <c r="AB169" s="8">
        <v>2347</v>
      </c>
      <c r="AC169" s="8">
        <v>1526</v>
      </c>
      <c r="AD169" s="8">
        <v>1129</v>
      </c>
      <c r="AE169" s="8">
        <v>626</v>
      </c>
      <c r="AF169" s="8">
        <v>3127</v>
      </c>
      <c r="AG169" s="8">
        <v>2928</v>
      </c>
      <c r="AH169" s="8">
        <v>1561</v>
      </c>
      <c r="AI169" s="8">
        <v>2964</v>
      </c>
      <c r="AJ169" s="8">
        <v>4490</v>
      </c>
      <c r="AK169" s="8">
        <v>985</v>
      </c>
      <c r="AL169" s="8">
        <v>935</v>
      </c>
      <c r="AM169" s="8">
        <v>42</v>
      </c>
      <c r="AN169" s="8">
        <v>29439</v>
      </c>
      <c r="AO169" s="8">
        <v>345.33333333333331</v>
      </c>
      <c r="AP169" s="8">
        <v>1388</v>
      </c>
      <c r="AQ169" s="2">
        <v>4.0999999999999996</v>
      </c>
      <c r="AR169" s="2">
        <v>4.8</v>
      </c>
      <c r="AS169" s="2">
        <v>4.9999999999999989E-2</v>
      </c>
      <c r="AT169" s="8">
        <v>67</v>
      </c>
      <c r="AU169" s="8">
        <v>65</v>
      </c>
      <c r="AV169" s="8">
        <v>245</v>
      </c>
      <c r="AW169" s="8">
        <v>53555</v>
      </c>
      <c r="AX169" s="2">
        <v>63.5</v>
      </c>
      <c r="AY169" s="2">
        <v>75.400000000000006</v>
      </c>
      <c r="AZ169" s="2">
        <v>25.9</v>
      </c>
      <c r="BA169" s="8">
        <v>523.33333333333337</v>
      </c>
      <c r="BB169" s="8">
        <v>32636</v>
      </c>
      <c r="BC169" s="8">
        <v>27833</v>
      </c>
      <c r="BD169" s="8">
        <v>28442091</v>
      </c>
      <c r="BE169" s="8">
        <v>30629</v>
      </c>
      <c r="BF169" s="8">
        <v>912</v>
      </c>
      <c r="BG169" s="8">
        <v>2233</v>
      </c>
      <c r="BH169" s="8">
        <v>1388</v>
      </c>
    </row>
    <row r="170" spans="1:60" x14ac:dyDescent="0.25">
      <c r="A170" t="s">
        <v>736</v>
      </c>
      <c r="B170" s="8">
        <v>5698</v>
      </c>
      <c r="C170" s="8">
        <v>26622</v>
      </c>
      <c r="D170" s="8">
        <v>32320</v>
      </c>
      <c r="E170" s="8">
        <v>5420</v>
      </c>
      <c r="F170" s="8">
        <v>26900</v>
      </c>
      <c r="G170" s="2">
        <v>17.600000000000001</v>
      </c>
      <c r="H170" s="2">
        <v>82.4</v>
      </c>
      <c r="I170" s="2">
        <v>16.8</v>
      </c>
      <c r="J170" s="2">
        <v>83.2</v>
      </c>
      <c r="K170" s="8">
        <v>36</v>
      </c>
      <c r="L170" s="8">
        <v>157</v>
      </c>
      <c r="M170" s="8">
        <v>263</v>
      </c>
      <c r="N170" s="8">
        <v>1081</v>
      </c>
      <c r="O170" s="8">
        <v>1623</v>
      </c>
      <c r="P170" s="8">
        <v>1778</v>
      </c>
      <c r="Q170" s="8">
        <v>210</v>
      </c>
      <c r="R170" s="8">
        <v>554</v>
      </c>
      <c r="S170" s="8">
        <v>34594</v>
      </c>
      <c r="T170" s="8">
        <v>417</v>
      </c>
      <c r="U170" s="8">
        <v>54</v>
      </c>
      <c r="V170" s="8">
        <v>2570</v>
      </c>
      <c r="W170" s="8">
        <v>143</v>
      </c>
      <c r="X170" s="8">
        <v>223</v>
      </c>
      <c r="Y170" s="8">
        <v>2143</v>
      </c>
      <c r="Z170" s="8">
        <v>4842</v>
      </c>
      <c r="AA170" s="8">
        <v>1785</v>
      </c>
      <c r="AB170" s="8">
        <v>2285</v>
      </c>
      <c r="AC170" s="8">
        <v>1517</v>
      </c>
      <c r="AD170" s="8">
        <v>1115</v>
      </c>
      <c r="AE170" s="8">
        <v>614</v>
      </c>
      <c r="AF170" s="8">
        <v>3116</v>
      </c>
      <c r="AG170" s="8">
        <v>2927</v>
      </c>
      <c r="AH170" s="8">
        <v>1564</v>
      </c>
      <c r="AI170" s="8">
        <v>2952</v>
      </c>
      <c r="AJ170" s="8">
        <v>4457</v>
      </c>
      <c r="AK170" s="8">
        <v>931</v>
      </c>
      <c r="AL170" s="8">
        <v>889</v>
      </c>
      <c r="AM170" s="8">
        <v>50</v>
      </c>
      <c r="AN170" s="8">
        <v>29043</v>
      </c>
      <c r="AO170" s="8">
        <v>508</v>
      </c>
      <c r="AP170" s="8">
        <v>1691</v>
      </c>
      <c r="AQ170" s="2">
        <v>5</v>
      </c>
      <c r="AR170" s="2">
        <v>11.4</v>
      </c>
      <c r="AS170" s="2">
        <v>-2.1500000000000004</v>
      </c>
      <c r="AT170" s="8">
        <v>65</v>
      </c>
      <c r="AU170" s="8">
        <v>59</v>
      </c>
      <c r="AV170" s="8">
        <v>349</v>
      </c>
      <c r="AW170" s="8">
        <v>53618</v>
      </c>
      <c r="AX170" s="2">
        <v>63.5</v>
      </c>
      <c r="AY170" s="2">
        <v>74.599999999999994</v>
      </c>
      <c r="AZ170" s="2">
        <v>28.2</v>
      </c>
      <c r="BA170" s="8">
        <v>547</v>
      </c>
      <c r="BB170" s="8">
        <v>32352</v>
      </c>
      <c r="BC170" s="8">
        <v>27799</v>
      </c>
      <c r="BD170" s="8">
        <v>28258382</v>
      </c>
      <c r="BE170" s="8">
        <v>30223</v>
      </c>
      <c r="BF170" s="8">
        <v>909</v>
      </c>
      <c r="BG170" s="8">
        <v>2037</v>
      </c>
      <c r="BH170" s="8">
        <v>1691</v>
      </c>
    </row>
    <row r="171" spans="1:60" x14ac:dyDescent="0.25">
      <c r="A171" t="s">
        <v>737</v>
      </c>
      <c r="B171" s="8">
        <v>5733</v>
      </c>
      <c r="C171" s="8">
        <v>26539</v>
      </c>
      <c r="D171" s="8">
        <v>32272</v>
      </c>
      <c r="E171" s="8">
        <v>5450</v>
      </c>
      <c r="F171" s="8">
        <v>26822</v>
      </c>
      <c r="G171" s="2">
        <v>17.8</v>
      </c>
      <c r="H171" s="2">
        <v>82.2</v>
      </c>
      <c r="I171" s="2">
        <v>16.899999999999999</v>
      </c>
      <c r="J171" s="2">
        <v>83.1</v>
      </c>
      <c r="K171" s="8">
        <v>35</v>
      </c>
      <c r="L171" s="8">
        <v>159</v>
      </c>
      <c r="M171" s="8">
        <v>264</v>
      </c>
      <c r="N171" s="8">
        <v>1096</v>
      </c>
      <c r="O171" s="8">
        <v>1623</v>
      </c>
      <c r="P171" s="8">
        <v>1792</v>
      </c>
      <c r="Q171" s="8">
        <v>210</v>
      </c>
      <c r="R171" s="8">
        <v>550</v>
      </c>
      <c r="S171" s="8">
        <v>34522</v>
      </c>
      <c r="T171" s="8">
        <v>380</v>
      </c>
      <c r="U171" s="8">
        <v>53</v>
      </c>
      <c r="V171" s="8">
        <v>2556</v>
      </c>
      <c r="W171" s="8">
        <v>146</v>
      </c>
      <c r="X171" s="8">
        <v>223</v>
      </c>
      <c r="Y171" s="8">
        <v>2154</v>
      </c>
      <c r="Z171" s="8">
        <v>4831</v>
      </c>
      <c r="AA171" s="8">
        <v>1754</v>
      </c>
      <c r="AB171" s="8">
        <v>2195</v>
      </c>
      <c r="AC171" s="8">
        <v>1510</v>
      </c>
      <c r="AD171" s="8">
        <v>1143</v>
      </c>
      <c r="AE171" s="8">
        <v>645</v>
      </c>
      <c r="AF171" s="8">
        <v>3140</v>
      </c>
      <c r="AG171" s="8">
        <v>2920</v>
      </c>
      <c r="AH171" s="8">
        <v>1587</v>
      </c>
      <c r="AI171" s="8">
        <v>2939</v>
      </c>
      <c r="AJ171" s="8">
        <v>4502</v>
      </c>
      <c r="AK171" s="8">
        <v>917</v>
      </c>
      <c r="AL171" s="8">
        <v>883</v>
      </c>
      <c r="AM171" s="8">
        <v>46</v>
      </c>
      <c r="AN171" s="8">
        <v>29011</v>
      </c>
      <c r="AO171" s="8">
        <v>590.33333333333337</v>
      </c>
      <c r="AP171" s="8">
        <v>1794</v>
      </c>
      <c r="AQ171" s="2">
        <v>5.3</v>
      </c>
      <c r="AR171" s="2">
        <v>12.7</v>
      </c>
      <c r="AS171" s="2">
        <v>-2.4500000000000002</v>
      </c>
      <c r="AT171" s="8">
        <v>57</v>
      </c>
      <c r="AU171" s="8">
        <v>54</v>
      </c>
      <c r="AV171" s="8">
        <v>388</v>
      </c>
      <c r="AW171" s="8">
        <v>53692</v>
      </c>
      <c r="AX171" s="2">
        <v>63.4</v>
      </c>
      <c r="AY171" s="2">
        <v>74.3</v>
      </c>
      <c r="AZ171" s="2">
        <v>30.2</v>
      </c>
      <c r="BA171" s="8">
        <v>566</v>
      </c>
      <c r="BB171" s="8">
        <v>32266</v>
      </c>
      <c r="BC171" s="8">
        <v>27845</v>
      </c>
      <c r="BD171" s="8">
        <v>28126450.666666668</v>
      </c>
      <c r="BE171" s="8">
        <v>30218</v>
      </c>
      <c r="BF171" s="8">
        <v>1036</v>
      </c>
      <c r="BG171" s="8">
        <v>2014</v>
      </c>
      <c r="BH171" s="8">
        <v>1794</v>
      </c>
    </row>
    <row r="172" spans="1:60" x14ac:dyDescent="0.25">
      <c r="A172" t="s">
        <v>738</v>
      </c>
      <c r="B172" s="8">
        <v>5812</v>
      </c>
      <c r="C172" s="8">
        <v>26501</v>
      </c>
      <c r="D172" s="8">
        <v>32313</v>
      </c>
      <c r="E172" s="8">
        <v>5530</v>
      </c>
      <c r="F172" s="8">
        <v>26783</v>
      </c>
      <c r="G172" s="2">
        <v>18</v>
      </c>
      <c r="H172" s="2">
        <v>82</v>
      </c>
      <c r="I172" s="2">
        <v>17.100000000000001</v>
      </c>
      <c r="J172" s="2">
        <v>82.9</v>
      </c>
      <c r="K172" s="8">
        <v>35</v>
      </c>
      <c r="L172" s="8">
        <v>160</v>
      </c>
      <c r="M172" s="8">
        <v>268</v>
      </c>
      <c r="N172" s="8">
        <v>1126</v>
      </c>
      <c r="O172" s="8">
        <v>1621</v>
      </c>
      <c r="P172" s="8">
        <v>1835</v>
      </c>
      <c r="Q172" s="8">
        <v>211</v>
      </c>
      <c r="R172" s="8">
        <v>552</v>
      </c>
      <c r="S172" s="8">
        <v>34734</v>
      </c>
      <c r="T172" s="8">
        <v>375</v>
      </c>
      <c r="U172" s="8">
        <v>53</v>
      </c>
      <c r="V172" s="8">
        <v>2537</v>
      </c>
      <c r="W172" s="8">
        <v>145</v>
      </c>
      <c r="X172" s="8">
        <v>218</v>
      </c>
      <c r="Y172" s="8">
        <v>2171</v>
      </c>
      <c r="Z172" s="8">
        <v>4809</v>
      </c>
      <c r="AA172" s="8">
        <v>1825</v>
      </c>
      <c r="AB172" s="8">
        <v>2235</v>
      </c>
      <c r="AC172" s="8">
        <v>1517</v>
      </c>
      <c r="AD172" s="8">
        <v>1155</v>
      </c>
      <c r="AE172" s="8">
        <v>637</v>
      </c>
      <c r="AF172" s="8">
        <v>3159</v>
      </c>
      <c r="AG172" s="8">
        <v>2935</v>
      </c>
      <c r="AH172" s="8">
        <v>1611</v>
      </c>
      <c r="AI172" s="8">
        <v>2934</v>
      </c>
      <c r="AJ172" s="8">
        <v>4568</v>
      </c>
      <c r="AK172" s="8">
        <v>894</v>
      </c>
      <c r="AL172" s="8">
        <v>905</v>
      </c>
      <c r="AM172" s="8">
        <v>52</v>
      </c>
      <c r="AN172" s="8">
        <v>29235</v>
      </c>
      <c r="AO172" s="8">
        <v>602.33333333333337</v>
      </c>
      <c r="AP172" s="8">
        <v>1667</v>
      </c>
      <c r="AQ172" s="2">
        <v>4.9000000000000004</v>
      </c>
      <c r="AR172" s="2">
        <v>5.5</v>
      </c>
      <c r="AS172" s="2">
        <v>-2.4500000000000002</v>
      </c>
      <c r="AT172" s="8">
        <v>65</v>
      </c>
      <c r="AU172" s="8">
        <v>63</v>
      </c>
      <c r="AV172" s="8">
        <v>397</v>
      </c>
      <c r="AW172" s="8">
        <v>53767</v>
      </c>
      <c r="AX172" s="2">
        <v>63.2</v>
      </c>
      <c r="AY172" s="2">
        <v>74.400000000000006</v>
      </c>
      <c r="AZ172" s="2">
        <v>29.5</v>
      </c>
      <c r="BA172" s="8">
        <v>559.66666666666663</v>
      </c>
      <c r="BB172" s="8">
        <v>32308</v>
      </c>
      <c r="BC172" s="8">
        <v>27945</v>
      </c>
      <c r="BD172" s="8">
        <v>28175701.333333332</v>
      </c>
      <c r="BE172" s="8">
        <v>30407</v>
      </c>
      <c r="BF172" s="8">
        <v>1027</v>
      </c>
      <c r="BG172" s="8">
        <v>1947</v>
      </c>
      <c r="BH172" s="8">
        <v>1667</v>
      </c>
    </row>
    <row r="173" spans="1:60" x14ac:dyDescent="0.25">
      <c r="A173" t="s">
        <v>739</v>
      </c>
      <c r="B173" s="8">
        <v>5816</v>
      </c>
      <c r="C173" s="8">
        <v>26709</v>
      </c>
      <c r="D173" s="8">
        <v>32525</v>
      </c>
      <c r="E173" s="8">
        <v>5541</v>
      </c>
      <c r="F173" s="8">
        <v>26984</v>
      </c>
      <c r="G173" s="2">
        <v>17.899999999999999</v>
      </c>
      <c r="H173" s="2">
        <v>82.1</v>
      </c>
      <c r="I173" s="2">
        <v>17</v>
      </c>
      <c r="J173" s="2">
        <v>83</v>
      </c>
      <c r="K173" s="8">
        <v>34</v>
      </c>
      <c r="L173" s="8">
        <v>160</v>
      </c>
      <c r="M173" s="8">
        <v>269</v>
      </c>
      <c r="N173" s="8">
        <v>1119</v>
      </c>
      <c r="O173" s="8">
        <v>1625</v>
      </c>
      <c r="P173" s="8">
        <v>1847</v>
      </c>
      <c r="Q173" s="8">
        <v>209</v>
      </c>
      <c r="R173" s="8">
        <v>553</v>
      </c>
      <c r="S173" s="8">
        <v>35072</v>
      </c>
      <c r="T173" s="8">
        <v>374</v>
      </c>
      <c r="U173" s="8">
        <v>54</v>
      </c>
      <c r="V173" s="8">
        <v>2544</v>
      </c>
      <c r="W173" s="8">
        <v>147</v>
      </c>
      <c r="X173" s="8">
        <v>230</v>
      </c>
      <c r="Y173" s="8">
        <v>2241</v>
      </c>
      <c r="Z173" s="8">
        <v>4771</v>
      </c>
      <c r="AA173" s="8">
        <v>1811</v>
      </c>
      <c r="AB173" s="8">
        <v>2370</v>
      </c>
      <c r="AC173" s="8">
        <v>1495</v>
      </c>
      <c r="AD173" s="8">
        <v>1162</v>
      </c>
      <c r="AE173" s="8">
        <v>633</v>
      </c>
      <c r="AF173" s="8">
        <v>3166</v>
      </c>
      <c r="AG173" s="8">
        <v>2996</v>
      </c>
      <c r="AH173" s="8">
        <v>1612</v>
      </c>
      <c r="AI173" s="8">
        <v>2942</v>
      </c>
      <c r="AJ173" s="8">
        <v>4584</v>
      </c>
      <c r="AK173" s="8">
        <v>959</v>
      </c>
      <c r="AL173" s="8">
        <v>918</v>
      </c>
      <c r="AM173" s="8">
        <v>63</v>
      </c>
      <c r="AN173" s="8">
        <v>29481</v>
      </c>
      <c r="AO173" s="8">
        <v>887.33333333333337</v>
      </c>
      <c r="AP173" s="8">
        <v>1588</v>
      </c>
      <c r="AQ173" s="2">
        <v>4.7</v>
      </c>
      <c r="AR173" s="2">
        <v>3.6</v>
      </c>
      <c r="AS173" s="2">
        <v>-0.8</v>
      </c>
      <c r="AT173" s="8">
        <v>71</v>
      </c>
      <c r="AU173" s="8">
        <v>69</v>
      </c>
      <c r="AV173" s="8">
        <v>448</v>
      </c>
      <c r="AW173" s="8">
        <v>53842</v>
      </c>
      <c r="AX173" s="2">
        <v>63.2</v>
      </c>
      <c r="AY173" s="2">
        <v>74.7</v>
      </c>
      <c r="AZ173" s="2">
        <v>31</v>
      </c>
      <c r="BA173" s="8">
        <v>577.33333333333337</v>
      </c>
      <c r="BB173" s="8">
        <v>32454</v>
      </c>
      <c r="BC173" s="8">
        <v>28080</v>
      </c>
      <c r="BD173" s="8">
        <v>28506861</v>
      </c>
      <c r="BE173" s="8">
        <v>30671</v>
      </c>
      <c r="BF173" s="8">
        <v>995</v>
      </c>
      <c r="BG173" s="8">
        <v>1836</v>
      </c>
      <c r="BH173" s="8">
        <v>1588</v>
      </c>
    </row>
    <row r="174" spans="1:60" x14ac:dyDescent="0.25">
      <c r="A174" t="s">
        <v>740</v>
      </c>
      <c r="B174" s="8">
        <v>5836</v>
      </c>
      <c r="C174" s="8">
        <v>26854</v>
      </c>
      <c r="D174" s="8">
        <v>32690</v>
      </c>
      <c r="E174" s="8">
        <v>5558</v>
      </c>
      <c r="F174" s="8">
        <v>27132</v>
      </c>
      <c r="G174" s="2">
        <v>17.899999999999999</v>
      </c>
      <c r="H174" s="2">
        <v>82.1</v>
      </c>
      <c r="I174" s="2">
        <v>17</v>
      </c>
      <c r="J174" s="2">
        <v>83</v>
      </c>
      <c r="K174" s="8">
        <v>35</v>
      </c>
      <c r="L174" s="8">
        <v>160</v>
      </c>
      <c r="M174" s="8">
        <v>271</v>
      </c>
      <c r="N174" s="8">
        <v>1127</v>
      </c>
      <c r="O174" s="8">
        <v>1628</v>
      </c>
      <c r="P174" s="8">
        <v>1850</v>
      </c>
      <c r="Q174" s="8">
        <v>212</v>
      </c>
      <c r="R174" s="8">
        <v>555</v>
      </c>
      <c r="S174" s="8">
        <v>35286</v>
      </c>
      <c r="T174" s="8">
        <v>367</v>
      </c>
      <c r="U174" s="8">
        <v>52</v>
      </c>
      <c r="V174" s="8">
        <v>2537</v>
      </c>
      <c r="W174" s="8">
        <v>146</v>
      </c>
      <c r="X174" s="8">
        <v>235</v>
      </c>
      <c r="Y174" s="8">
        <v>2225</v>
      </c>
      <c r="Z174" s="8">
        <v>4823</v>
      </c>
      <c r="AA174" s="8">
        <v>1817</v>
      </c>
      <c r="AB174" s="8">
        <v>2464</v>
      </c>
      <c r="AC174" s="8">
        <v>1533</v>
      </c>
      <c r="AD174" s="8">
        <v>1161</v>
      </c>
      <c r="AE174" s="8">
        <v>639</v>
      </c>
      <c r="AF174" s="8">
        <v>3185</v>
      </c>
      <c r="AG174" s="8">
        <v>2985</v>
      </c>
      <c r="AH174" s="8">
        <v>1612</v>
      </c>
      <c r="AI174" s="8">
        <v>2944</v>
      </c>
      <c r="AJ174" s="8">
        <v>4599</v>
      </c>
      <c r="AK174" s="8">
        <v>978</v>
      </c>
      <c r="AL174" s="8">
        <v>919</v>
      </c>
      <c r="AM174" s="8">
        <v>64</v>
      </c>
      <c r="AN174" s="8">
        <v>29723</v>
      </c>
      <c r="AO174" s="8">
        <v>1142.6666666666667</v>
      </c>
      <c r="AP174" s="8">
        <v>1500</v>
      </c>
      <c r="AQ174" s="2">
        <v>4.4000000000000004</v>
      </c>
      <c r="AR174" s="2">
        <v>3.8</v>
      </c>
      <c r="AS174" s="2">
        <v>2.8499999999999996</v>
      </c>
      <c r="AT174" s="8">
        <v>80</v>
      </c>
      <c r="AU174" s="8">
        <v>75</v>
      </c>
      <c r="AV174" s="8">
        <v>471</v>
      </c>
      <c r="AW174" s="8">
        <v>53949</v>
      </c>
      <c r="AX174" s="2">
        <v>63.4</v>
      </c>
      <c r="AY174" s="2">
        <v>75</v>
      </c>
      <c r="AZ174" s="2">
        <v>31.6</v>
      </c>
      <c r="BA174" s="8">
        <v>583.66666666666663</v>
      </c>
      <c r="BB174" s="8">
        <v>32712</v>
      </c>
      <c r="BC174" s="8">
        <v>28328</v>
      </c>
      <c r="BD174" s="8">
        <v>28930828</v>
      </c>
      <c r="BE174" s="8">
        <v>31004</v>
      </c>
      <c r="BF174" s="8">
        <v>1000</v>
      </c>
      <c r="BG174" s="8">
        <v>1780</v>
      </c>
      <c r="BH174" s="8">
        <v>1500</v>
      </c>
    </row>
    <row r="175" spans="1:60" x14ac:dyDescent="0.25">
      <c r="A175" t="s">
        <v>741</v>
      </c>
      <c r="B175" s="8">
        <v>5858</v>
      </c>
      <c r="C175" s="8">
        <v>26882</v>
      </c>
      <c r="D175" s="8">
        <v>32740</v>
      </c>
      <c r="E175" s="8">
        <v>5577</v>
      </c>
      <c r="F175" s="8">
        <v>27163</v>
      </c>
      <c r="G175" s="2">
        <v>17.899999999999999</v>
      </c>
      <c r="H175" s="2">
        <v>82.1</v>
      </c>
      <c r="I175" s="2">
        <v>17</v>
      </c>
      <c r="J175" s="2">
        <v>83</v>
      </c>
      <c r="K175" s="8">
        <v>35</v>
      </c>
      <c r="L175" s="8">
        <v>159</v>
      </c>
      <c r="M175" s="8">
        <v>270</v>
      </c>
      <c r="N175" s="8">
        <v>1132</v>
      </c>
      <c r="O175" s="8">
        <v>1630</v>
      </c>
      <c r="P175" s="8">
        <v>1862</v>
      </c>
      <c r="Q175" s="8">
        <v>211</v>
      </c>
      <c r="R175" s="8">
        <v>555</v>
      </c>
      <c r="S175" s="8">
        <v>35328</v>
      </c>
      <c r="T175" s="8">
        <v>348</v>
      </c>
      <c r="U175" s="8">
        <v>51</v>
      </c>
      <c r="V175" s="8">
        <v>2553</v>
      </c>
      <c r="W175" s="8">
        <v>140</v>
      </c>
      <c r="X175" s="8">
        <v>231</v>
      </c>
      <c r="Y175" s="8">
        <v>2223</v>
      </c>
      <c r="Z175" s="8">
        <v>4760</v>
      </c>
      <c r="AA175" s="8">
        <v>1824</v>
      </c>
      <c r="AB175" s="8">
        <v>2495</v>
      </c>
      <c r="AC175" s="8">
        <v>1564</v>
      </c>
      <c r="AD175" s="8">
        <v>1143</v>
      </c>
      <c r="AE175" s="8">
        <v>618</v>
      </c>
      <c r="AF175" s="8">
        <v>3208</v>
      </c>
      <c r="AG175" s="8">
        <v>3027</v>
      </c>
      <c r="AH175" s="8">
        <v>1618</v>
      </c>
      <c r="AI175" s="8">
        <v>2977</v>
      </c>
      <c r="AJ175" s="8">
        <v>4589</v>
      </c>
      <c r="AK175" s="8">
        <v>987</v>
      </c>
      <c r="AL175" s="8">
        <v>915</v>
      </c>
      <c r="AM175" s="8">
        <v>57</v>
      </c>
      <c r="AN175" s="8">
        <v>29782</v>
      </c>
      <c r="AO175" s="8">
        <v>1227.3333333333333</v>
      </c>
      <c r="AP175" s="8">
        <v>1430</v>
      </c>
      <c r="AQ175" s="2">
        <v>4.2</v>
      </c>
      <c r="AR175" s="2">
        <v>2.6</v>
      </c>
      <c r="AS175" s="2">
        <v>4</v>
      </c>
      <c r="AT175" s="8">
        <v>81</v>
      </c>
      <c r="AU175" s="8">
        <v>75</v>
      </c>
      <c r="AV175" s="8">
        <v>434</v>
      </c>
      <c r="AW175" s="8">
        <v>54073</v>
      </c>
      <c r="AX175" s="2">
        <v>63.2</v>
      </c>
      <c r="AY175" s="2">
        <v>75.099999999999994</v>
      </c>
      <c r="AZ175" s="2">
        <v>31.7</v>
      </c>
      <c r="BA175" s="8">
        <v>594.66666666666663</v>
      </c>
      <c r="BB175" s="8">
        <v>32729</v>
      </c>
      <c r="BC175" s="8">
        <v>28419</v>
      </c>
      <c r="BD175" s="8">
        <v>29164801</v>
      </c>
      <c r="BE175" s="8">
        <v>31149</v>
      </c>
      <c r="BF175" s="8">
        <v>912</v>
      </c>
      <c r="BG175" s="8">
        <v>1742</v>
      </c>
      <c r="BH175" s="8">
        <v>1430</v>
      </c>
    </row>
    <row r="176" spans="1:60" x14ac:dyDescent="0.25">
      <c r="A176" t="s">
        <v>742</v>
      </c>
      <c r="B176" s="8">
        <v>5873</v>
      </c>
      <c r="C176" s="8">
        <v>27003</v>
      </c>
      <c r="D176" s="8">
        <v>32876</v>
      </c>
      <c r="E176" s="8">
        <v>5596</v>
      </c>
      <c r="F176" s="8">
        <v>27280</v>
      </c>
      <c r="G176" s="2">
        <v>17.899999999999999</v>
      </c>
      <c r="H176" s="2">
        <v>82.1</v>
      </c>
      <c r="I176" s="2">
        <v>17</v>
      </c>
      <c r="J176" s="2">
        <v>83</v>
      </c>
      <c r="K176" s="8">
        <v>35</v>
      </c>
      <c r="L176" s="8">
        <v>159</v>
      </c>
      <c r="M176" s="8">
        <v>272</v>
      </c>
      <c r="N176" s="8">
        <v>1143</v>
      </c>
      <c r="O176" s="8">
        <v>1632</v>
      </c>
      <c r="P176" s="8">
        <v>1874</v>
      </c>
      <c r="Q176" s="8">
        <v>212</v>
      </c>
      <c r="R176" s="8">
        <v>547</v>
      </c>
      <c r="S176" s="8">
        <v>35712</v>
      </c>
      <c r="T176" s="8">
        <v>345</v>
      </c>
      <c r="U176" s="8">
        <v>51</v>
      </c>
      <c r="V176" s="8">
        <v>2612</v>
      </c>
      <c r="W176" s="8">
        <v>129</v>
      </c>
      <c r="X176" s="8">
        <v>239</v>
      </c>
      <c r="Y176" s="8">
        <v>2255</v>
      </c>
      <c r="Z176" s="8">
        <v>4797</v>
      </c>
      <c r="AA176" s="8">
        <v>1823</v>
      </c>
      <c r="AB176" s="8">
        <v>2558</v>
      </c>
      <c r="AC176" s="8">
        <v>1577</v>
      </c>
      <c r="AD176" s="8">
        <v>1114</v>
      </c>
      <c r="AE176" s="8">
        <v>629</v>
      </c>
      <c r="AF176" s="8">
        <v>3273</v>
      </c>
      <c r="AG176" s="8">
        <v>3071</v>
      </c>
      <c r="AH176" s="8">
        <v>1638</v>
      </c>
      <c r="AI176" s="8">
        <v>3023</v>
      </c>
      <c r="AJ176" s="8">
        <v>4618</v>
      </c>
      <c r="AK176" s="8">
        <v>989</v>
      </c>
      <c r="AL176" s="8">
        <v>915</v>
      </c>
      <c r="AM176" s="8">
        <v>55</v>
      </c>
      <c r="AN176" s="8">
        <v>30080</v>
      </c>
      <c r="AO176" s="8">
        <v>1258.6666666666667</v>
      </c>
      <c r="AP176" s="8">
        <v>1290</v>
      </c>
      <c r="AQ176" s="2">
        <v>3.8</v>
      </c>
      <c r="AR176" s="2">
        <v>2.5</v>
      </c>
      <c r="AS176" s="2">
        <v>4</v>
      </c>
      <c r="AT176" s="8">
        <v>81</v>
      </c>
      <c r="AU176" s="8">
        <v>76</v>
      </c>
      <c r="AV176" s="8">
        <v>376</v>
      </c>
      <c r="AW176" s="8">
        <v>54198</v>
      </c>
      <c r="AX176" s="2">
        <v>62.9</v>
      </c>
      <c r="AY176" s="2">
        <v>75.099999999999994</v>
      </c>
      <c r="AZ176" s="2">
        <v>31.8</v>
      </c>
      <c r="BA176" s="8">
        <v>605.33333333333337</v>
      </c>
      <c r="BB176" s="8">
        <v>32784</v>
      </c>
      <c r="BC176" s="8">
        <v>28424</v>
      </c>
      <c r="BD176" s="8">
        <v>29408272.666666668</v>
      </c>
      <c r="BE176" s="8">
        <v>31405</v>
      </c>
      <c r="BF176" s="8">
        <v>895</v>
      </c>
      <c r="BG176" s="8">
        <v>1812</v>
      </c>
      <c r="BH176" s="8">
        <v>1290</v>
      </c>
    </row>
    <row r="177" spans="1:60" x14ac:dyDescent="0.25">
      <c r="A177" t="s">
        <v>743</v>
      </c>
      <c r="B177" s="8">
        <v>5880</v>
      </c>
      <c r="C177" s="8">
        <v>27038</v>
      </c>
      <c r="D177" s="8">
        <v>32918</v>
      </c>
      <c r="E177" s="8">
        <v>5609</v>
      </c>
      <c r="F177" s="8">
        <v>27309</v>
      </c>
      <c r="G177" s="2">
        <v>17.899999999999999</v>
      </c>
      <c r="H177" s="2">
        <v>82.1</v>
      </c>
      <c r="I177" s="2">
        <v>17</v>
      </c>
      <c r="J177" s="2">
        <v>83</v>
      </c>
      <c r="K177" s="8">
        <v>34</v>
      </c>
      <c r="L177" s="8">
        <v>157</v>
      </c>
      <c r="M177" s="8">
        <v>272</v>
      </c>
      <c r="N177" s="8">
        <v>1143</v>
      </c>
      <c r="O177" s="8">
        <v>1632</v>
      </c>
      <c r="P177" s="8">
        <v>1884</v>
      </c>
      <c r="Q177" s="8">
        <v>213</v>
      </c>
      <c r="R177" s="8">
        <v>547</v>
      </c>
      <c r="S177" s="8">
        <v>35920</v>
      </c>
      <c r="T177" s="8">
        <v>368</v>
      </c>
      <c r="U177" s="8">
        <v>51</v>
      </c>
      <c r="V177" s="8">
        <v>2612</v>
      </c>
      <c r="W177" s="8">
        <v>131</v>
      </c>
      <c r="X177" s="8">
        <v>237</v>
      </c>
      <c r="Y177" s="8">
        <v>2251</v>
      </c>
      <c r="Z177" s="8">
        <v>4751</v>
      </c>
      <c r="AA177" s="8">
        <v>1843</v>
      </c>
      <c r="AB177" s="8">
        <v>2595</v>
      </c>
      <c r="AC177" s="8">
        <v>1608</v>
      </c>
      <c r="AD177" s="8">
        <v>1094</v>
      </c>
      <c r="AE177" s="8">
        <v>652</v>
      </c>
      <c r="AF177" s="8">
        <v>3261</v>
      </c>
      <c r="AG177" s="8">
        <v>3136</v>
      </c>
      <c r="AH177" s="8">
        <v>1628</v>
      </c>
      <c r="AI177" s="8">
        <v>3057</v>
      </c>
      <c r="AJ177" s="8">
        <v>4636</v>
      </c>
      <c r="AK177" s="8">
        <v>1019</v>
      </c>
      <c r="AL177" s="8">
        <v>935</v>
      </c>
      <c r="AM177" s="8">
        <v>56</v>
      </c>
      <c r="AN177" s="8">
        <v>30270</v>
      </c>
      <c r="AO177" s="8">
        <v>1320.3333333333333</v>
      </c>
      <c r="AP177" s="8">
        <v>1296</v>
      </c>
      <c r="AQ177" s="2">
        <v>3.8</v>
      </c>
      <c r="AR177" s="2">
        <v>1.9</v>
      </c>
      <c r="AS177" s="2">
        <v>4</v>
      </c>
      <c r="AT177" s="8">
        <v>80</v>
      </c>
      <c r="AU177" s="8">
        <v>72</v>
      </c>
      <c r="AV177" s="8">
        <v>360</v>
      </c>
      <c r="AW177" s="8">
        <v>54322</v>
      </c>
      <c r="AX177" s="2">
        <v>63.1</v>
      </c>
      <c r="AY177" s="2">
        <v>75.099999999999994</v>
      </c>
      <c r="AZ177" s="2">
        <v>31.7</v>
      </c>
      <c r="BA177" s="8">
        <v>611.33333333333337</v>
      </c>
      <c r="BB177" s="8">
        <v>33007</v>
      </c>
      <c r="BC177" s="8">
        <v>28619</v>
      </c>
      <c r="BD177" s="8">
        <v>29555097</v>
      </c>
      <c r="BE177" s="8">
        <v>31605</v>
      </c>
      <c r="BF177" s="8">
        <v>830</v>
      </c>
      <c r="BG177" s="8">
        <v>1842</v>
      </c>
      <c r="BH177" s="8">
        <v>1296</v>
      </c>
    </row>
    <row r="178" spans="1:60" x14ac:dyDescent="0.25">
      <c r="A178" t="s">
        <v>744</v>
      </c>
      <c r="B178" s="8">
        <v>5900</v>
      </c>
      <c r="C178" s="8">
        <v>27068</v>
      </c>
      <c r="D178" s="8">
        <v>32968</v>
      </c>
      <c r="E178" s="8">
        <v>5625</v>
      </c>
      <c r="F178" s="8">
        <v>27343</v>
      </c>
      <c r="G178" s="2">
        <v>17.899999999999999</v>
      </c>
      <c r="H178" s="2">
        <v>82.1</v>
      </c>
      <c r="I178" s="2">
        <v>17.100000000000001</v>
      </c>
      <c r="J178" s="2">
        <v>82.9</v>
      </c>
      <c r="K178" s="8">
        <v>34</v>
      </c>
      <c r="L178" s="8">
        <v>156</v>
      </c>
      <c r="M178" s="8">
        <v>274</v>
      </c>
      <c r="N178" s="8">
        <v>1148</v>
      </c>
      <c r="O178" s="8">
        <v>1624</v>
      </c>
      <c r="P178" s="8">
        <v>1899</v>
      </c>
      <c r="Q178" s="8">
        <v>212</v>
      </c>
      <c r="R178" s="8">
        <v>554</v>
      </c>
      <c r="S178" s="8">
        <v>35985</v>
      </c>
      <c r="T178" s="8">
        <v>362</v>
      </c>
      <c r="U178" s="8">
        <v>52</v>
      </c>
      <c r="V178" s="8">
        <v>2617</v>
      </c>
      <c r="W178" s="8">
        <v>123</v>
      </c>
      <c r="X178" s="8">
        <v>240</v>
      </c>
      <c r="Y178" s="8">
        <v>2201</v>
      </c>
      <c r="Z178" s="8">
        <v>4749</v>
      </c>
      <c r="AA178" s="8">
        <v>1877</v>
      </c>
      <c r="AB178" s="8">
        <v>2670</v>
      </c>
      <c r="AC178" s="8">
        <v>1624</v>
      </c>
      <c r="AD178" s="8">
        <v>1087</v>
      </c>
      <c r="AE178" s="8">
        <v>662</v>
      </c>
      <c r="AF178" s="8">
        <v>3276</v>
      </c>
      <c r="AG178" s="8">
        <v>3128</v>
      </c>
      <c r="AH178" s="8">
        <v>1638</v>
      </c>
      <c r="AI178" s="8">
        <v>3009</v>
      </c>
      <c r="AJ178" s="8">
        <v>4647</v>
      </c>
      <c r="AK178" s="8">
        <v>1023</v>
      </c>
      <c r="AL178" s="8">
        <v>944</v>
      </c>
      <c r="AM178" s="8">
        <v>55</v>
      </c>
      <c r="AN178" s="8">
        <v>30390</v>
      </c>
      <c r="AO178" s="8">
        <v>1253.6666666666667</v>
      </c>
      <c r="AP178" s="8">
        <v>1278</v>
      </c>
      <c r="AQ178" s="2">
        <v>3.7</v>
      </c>
      <c r="AR178" s="2">
        <v>2.7</v>
      </c>
      <c r="AS178" s="2">
        <v>4</v>
      </c>
      <c r="AT178" s="8">
        <v>80</v>
      </c>
      <c r="AU178" s="8">
        <v>73</v>
      </c>
      <c r="AV178" s="8">
        <v>324</v>
      </c>
      <c r="AW178" s="8">
        <v>54472</v>
      </c>
      <c r="AX178" s="2">
        <v>62.8</v>
      </c>
      <c r="AY178" s="2">
        <v>74.900000000000006</v>
      </c>
      <c r="AZ178" s="2">
        <v>31.8</v>
      </c>
      <c r="BA178" s="8">
        <v>622</v>
      </c>
      <c r="BB178" s="8">
        <v>32904</v>
      </c>
      <c r="BC178" s="8">
        <v>28522</v>
      </c>
      <c r="BD178" s="8">
        <v>29707623.666666668</v>
      </c>
      <c r="BE178" s="8">
        <v>31699</v>
      </c>
      <c r="BF178" s="8">
        <v>809</v>
      </c>
      <c r="BG178" s="8">
        <v>1807</v>
      </c>
      <c r="BH178" s="8">
        <v>1278</v>
      </c>
    </row>
    <row r="179" spans="1:60" x14ac:dyDescent="0.25">
      <c r="A179" t="s">
        <v>745</v>
      </c>
      <c r="B179" s="8">
        <v>5930</v>
      </c>
      <c r="C179" s="8">
        <v>27234</v>
      </c>
      <c r="D179" s="8">
        <v>33164</v>
      </c>
      <c r="E179" s="8">
        <v>5653</v>
      </c>
      <c r="F179" s="8">
        <v>27511</v>
      </c>
      <c r="G179" s="2">
        <v>17.899999999999999</v>
      </c>
      <c r="H179" s="2">
        <v>82.1</v>
      </c>
      <c r="I179" s="2">
        <v>17</v>
      </c>
      <c r="J179" s="2">
        <v>83</v>
      </c>
      <c r="K179" s="8">
        <v>34</v>
      </c>
      <c r="L179" s="8">
        <v>154</v>
      </c>
      <c r="M179" s="8">
        <v>276</v>
      </c>
      <c r="N179" s="8">
        <v>1153</v>
      </c>
      <c r="O179" s="8">
        <v>1628</v>
      </c>
      <c r="P179" s="8">
        <v>1916</v>
      </c>
      <c r="Q179" s="8">
        <v>211</v>
      </c>
      <c r="R179" s="8">
        <v>555</v>
      </c>
      <c r="S179" s="8">
        <v>36181</v>
      </c>
      <c r="T179" s="8">
        <v>350</v>
      </c>
      <c r="U179" s="8">
        <v>53</v>
      </c>
      <c r="V179" s="8">
        <v>2621</v>
      </c>
      <c r="W179" s="8">
        <v>121</v>
      </c>
      <c r="X179" s="8">
        <v>241</v>
      </c>
      <c r="Y179" s="8">
        <v>2225</v>
      </c>
      <c r="Z179" s="8">
        <v>4743</v>
      </c>
      <c r="AA179" s="8">
        <v>1890</v>
      </c>
      <c r="AB179" s="8">
        <v>2713</v>
      </c>
      <c r="AC179" s="8">
        <v>1624</v>
      </c>
      <c r="AD179" s="8">
        <v>1119</v>
      </c>
      <c r="AE179" s="8">
        <v>682</v>
      </c>
      <c r="AF179" s="8">
        <v>3353</v>
      </c>
      <c r="AG179" s="8">
        <v>3099</v>
      </c>
      <c r="AH179" s="8">
        <v>1644</v>
      </c>
      <c r="AI179" s="8">
        <v>2993</v>
      </c>
      <c r="AJ179" s="8">
        <v>4679</v>
      </c>
      <c r="AK179" s="8">
        <v>1029</v>
      </c>
      <c r="AL179" s="8">
        <v>951</v>
      </c>
      <c r="AM179" s="8">
        <v>51</v>
      </c>
      <c r="AN179" s="8">
        <v>30570</v>
      </c>
      <c r="AO179" s="8">
        <v>1136.6666666666667</v>
      </c>
      <c r="AP179" s="8">
        <v>1355</v>
      </c>
      <c r="AQ179" s="2">
        <v>3.9</v>
      </c>
      <c r="AR179" s="2">
        <v>3.4</v>
      </c>
      <c r="AS179" s="2">
        <v>3</v>
      </c>
      <c r="AT179" s="8">
        <v>85</v>
      </c>
      <c r="AU179" s="8">
        <v>79</v>
      </c>
      <c r="AV179" s="8">
        <v>285</v>
      </c>
      <c r="AW179" s="8">
        <v>54636</v>
      </c>
      <c r="AX179" s="2">
        <v>63.1</v>
      </c>
      <c r="AY179" s="2">
        <v>75.099999999999994</v>
      </c>
      <c r="AZ179" s="2">
        <v>31.7</v>
      </c>
      <c r="BA179" s="8">
        <v>634.33333333333337</v>
      </c>
      <c r="BB179" s="8">
        <v>33114</v>
      </c>
      <c r="BC179" s="8">
        <v>28676</v>
      </c>
      <c r="BD179" s="8">
        <v>29873112.333333332</v>
      </c>
      <c r="BE179" s="8">
        <v>31816</v>
      </c>
      <c r="BF179" s="8">
        <v>803</v>
      </c>
      <c r="BG179" s="8">
        <v>1798</v>
      </c>
      <c r="BH179" s="8">
        <v>1355</v>
      </c>
    </row>
    <row r="180" spans="1:60" x14ac:dyDescent="0.25">
      <c r="A180" t="s">
        <v>746</v>
      </c>
      <c r="B180" s="8">
        <v>5966</v>
      </c>
      <c r="C180" s="8">
        <v>27510</v>
      </c>
      <c r="D180" s="8">
        <v>33476</v>
      </c>
      <c r="E180" s="8">
        <v>5689</v>
      </c>
      <c r="F180" s="8">
        <v>27787</v>
      </c>
      <c r="G180" s="2">
        <v>17.8</v>
      </c>
      <c r="H180" s="2">
        <v>82.2</v>
      </c>
      <c r="I180" s="2">
        <v>17</v>
      </c>
      <c r="J180" s="2">
        <v>83</v>
      </c>
      <c r="K180" s="8">
        <v>34</v>
      </c>
      <c r="L180" s="8">
        <v>153</v>
      </c>
      <c r="M180" s="8">
        <v>280</v>
      </c>
      <c r="N180" s="8">
        <v>1159</v>
      </c>
      <c r="O180" s="8">
        <v>1634</v>
      </c>
      <c r="P180" s="8">
        <v>1938</v>
      </c>
      <c r="Q180" s="8">
        <v>210</v>
      </c>
      <c r="R180" s="8">
        <v>555</v>
      </c>
      <c r="S180" s="8">
        <v>36537</v>
      </c>
      <c r="T180" s="8">
        <v>367</v>
      </c>
      <c r="U180" s="8">
        <v>57</v>
      </c>
      <c r="V180" s="8">
        <v>2613</v>
      </c>
      <c r="W180" s="8">
        <v>121</v>
      </c>
      <c r="X180" s="8">
        <v>251</v>
      </c>
      <c r="Y180" s="8">
        <v>2258</v>
      </c>
      <c r="Z180" s="8">
        <v>4775</v>
      </c>
      <c r="AA180" s="8">
        <v>1896</v>
      </c>
      <c r="AB180" s="8">
        <v>2699</v>
      </c>
      <c r="AC180" s="8">
        <v>1656</v>
      </c>
      <c r="AD180" s="8">
        <v>1140</v>
      </c>
      <c r="AE180" s="8">
        <v>704</v>
      </c>
      <c r="AF180" s="8">
        <v>3419</v>
      </c>
      <c r="AG180" s="8">
        <v>3102</v>
      </c>
      <c r="AH180" s="8">
        <v>1663</v>
      </c>
      <c r="AI180" s="8">
        <v>3019</v>
      </c>
      <c r="AJ180" s="8">
        <v>4767</v>
      </c>
      <c r="AK180" s="8">
        <v>1035</v>
      </c>
      <c r="AL180" s="8">
        <v>944</v>
      </c>
      <c r="AM180" s="8">
        <v>51</v>
      </c>
      <c r="AN180" s="8">
        <v>30870</v>
      </c>
      <c r="AO180" s="8">
        <v>1093.3333333333333</v>
      </c>
      <c r="AP180" s="8">
        <v>1386</v>
      </c>
      <c r="AQ180" s="2">
        <v>4</v>
      </c>
      <c r="AR180" s="2">
        <v>2.8</v>
      </c>
      <c r="AS180" s="2">
        <v>2</v>
      </c>
      <c r="AT180" s="8">
        <v>83</v>
      </c>
      <c r="AU180" s="8">
        <v>80</v>
      </c>
      <c r="AV180" s="8">
        <v>327</v>
      </c>
      <c r="AW180" s="8">
        <v>54799</v>
      </c>
      <c r="AX180" s="2">
        <v>63.3</v>
      </c>
      <c r="AY180" s="2">
        <v>75.3</v>
      </c>
      <c r="AZ180" s="2">
        <v>31.7</v>
      </c>
      <c r="BA180" s="8">
        <v>643.33333333333337</v>
      </c>
      <c r="BB180" s="8">
        <v>33320</v>
      </c>
      <c r="BC180" s="8">
        <v>28766</v>
      </c>
      <c r="BD180" s="8">
        <v>30010593.666666668</v>
      </c>
      <c r="BE180" s="8">
        <v>32041</v>
      </c>
      <c r="BF180" s="8">
        <v>838</v>
      </c>
      <c r="BG180" s="8">
        <v>1852</v>
      </c>
      <c r="BH180" s="8">
        <v>1386</v>
      </c>
    </row>
    <row r="181" spans="1:60" x14ac:dyDescent="0.25">
      <c r="A181" t="s">
        <v>747</v>
      </c>
      <c r="B181" s="8">
        <v>6000</v>
      </c>
      <c r="C181" s="8">
        <v>27283</v>
      </c>
      <c r="D181" s="8">
        <v>33283</v>
      </c>
      <c r="E181" s="8">
        <v>5728</v>
      </c>
      <c r="F181" s="8">
        <v>27555</v>
      </c>
      <c r="G181" s="2">
        <v>18</v>
      </c>
      <c r="H181" s="2">
        <v>82</v>
      </c>
      <c r="I181" s="2">
        <v>17.2</v>
      </c>
      <c r="J181" s="2">
        <v>82.8</v>
      </c>
      <c r="K181" s="8">
        <v>33</v>
      </c>
      <c r="L181" s="8">
        <v>151</v>
      </c>
      <c r="M181" s="8">
        <v>280</v>
      </c>
      <c r="N181" s="8">
        <v>1175</v>
      </c>
      <c r="O181" s="8">
        <v>1637</v>
      </c>
      <c r="P181" s="8">
        <v>1963</v>
      </c>
      <c r="Q181" s="8">
        <v>212</v>
      </c>
      <c r="R181" s="8">
        <v>552</v>
      </c>
      <c r="S181" s="8">
        <v>36304</v>
      </c>
      <c r="T181" s="8">
        <v>338</v>
      </c>
      <c r="U181" s="8">
        <v>50</v>
      </c>
      <c r="V181" s="8">
        <v>2576</v>
      </c>
      <c r="W181" s="8">
        <v>127</v>
      </c>
      <c r="X181" s="8">
        <v>250</v>
      </c>
      <c r="Y181" s="8">
        <v>2260</v>
      </c>
      <c r="Z181" s="8">
        <v>4713</v>
      </c>
      <c r="AA181" s="8">
        <v>1846</v>
      </c>
      <c r="AB181" s="8">
        <v>2701</v>
      </c>
      <c r="AC181" s="8">
        <v>1646</v>
      </c>
      <c r="AD181" s="8">
        <v>1137</v>
      </c>
      <c r="AE181" s="8">
        <v>685</v>
      </c>
      <c r="AF181" s="8">
        <v>3359</v>
      </c>
      <c r="AG181" s="8">
        <v>3138</v>
      </c>
      <c r="AH181" s="8">
        <v>1678</v>
      </c>
      <c r="AI181" s="8">
        <v>3025</v>
      </c>
      <c r="AJ181" s="8">
        <v>4775</v>
      </c>
      <c r="AK181" s="8">
        <v>1049</v>
      </c>
      <c r="AL181" s="8">
        <v>894</v>
      </c>
      <c r="AM181" s="8">
        <v>57</v>
      </c>
      <c r="AN181" s="8">
        <v>30703</v>
      </c>
      <c r="AO181" s="8">
        <v>1059.6666666666667</v>
      </c>
      <c r="AP181" s="8">
        <v>1470</v>
      </c>
      <c r="AQ181" s="2">
        <v>4.2</v>
      </c>
      <c r="AR181" s="2">
        <v>3.8</v>
      </c>
      <c r="AS181" s="2">
        <v>2</v>
      </c>
      <c r="AT181" s="8">
        <v>84</v>
      </c>
      <c r="AU181" s="8">
        <v>77</v>
      </c>
      <c r="AV181" s="8">
        <v>300</v>
      </c>
      <c r="AW181" s="8">
        <v>54963</v>
      </c>
      <c r="AX181" s="2">
        <v>63.4</v>
      </c>
      <c r="AY181" s="2">
        <v>75.2</v>
      </c>
      <c r="AZ181" s="2">
        <v>31.7</v>
      </c>
      <c r="BA181" s="8">
        <v>658.66666666666663</v>
      </c>
      <c r="BB181" s="8">
        <v>33356</v>
      </c>
      <c r="BC181" s="8">
        <v>28852</v>
      </c>
      <c r="BD181" s="8">
        <v>30140104.333333332</v>
      </c>
      <c r="BE181" s="8">
        <v>32005</v>
      </c>
      <c r="BF181" s="8">
        <v>818</v>
      </c>
      <c r="BG181" s="8">
        <v>1769</v>
      </c>
      <c r="BH181" s="8">
        <v>1470</v>
      </c>
    </row>
    <row r="182" spans="1:60" x14ac:dyDescent="0.25">
      <c r="A182" t="s">
        <v>748</v>
      </c>
      <c r="B182" s="8">
        <v>6055</v>
      </c>
      <c r="C182" s="8">
        <v>27306</v>
      </c>
      <c r="D182" s="8">
        <v>33361</v>
      </c>
      <c r="E182" s="8">
        <v>5777</v>
      </c>
      <c r="F182" s="8">
        <v>27584</v>
      </c>
      <c r="G182" s="2">
        <v>18.100000000000001</v>
      </c>
      <c r="H182" s="2">
        <v>81.900000000000006</v>
      </c>
      <c r="I182" s="2">
        <v>17.3</v>
      </c>
      <c r="J182" s="2">
        <v>82.7</v>
      </c>
      <c r="K182" s="8">
        <v>34</v>
      </c>
      <c r="L182" s="8">
        <v>150</v>
      </c>
      <c r="M182" s="8">
        <v>281</v>
      </c>
      <c r="N182" s="8">
        <v>1184</v>
      </c>
      <c r="O182" s="8">
        <v>1657</v>
      </c>
      <c r="P182" s="8">
        <v>1983</v>
      </c>
      <c r="Q182" s="8">
        <v>209</v>
      </c>
      <c r="R182" s="8">
        <v>559</v>
      </c>
      <c r="S182" s="8">
        <v>36429</v>
      </c>
      <c r="T182" s="8">
        <v>377</v>
      </c>
      <c r="U182" s="8">
        <v>51</v>
      </c>
      <c r="V182" s="8">
        <v>2599</v>
      </c>
      <c r="W182" s="8">
        <v>126</v>
      </c>
      <c r="X182" s="8">
        <v>242</v>
      </c>
      <c r="Y182" s="8">
        <v>2247</v>
      </c>
      <c r="Z182" s="8">
        <v>4761</v>
      </c>
      <c r="AA182" s="8">
        <v>1848</v>
      </c>
      <c r="AB182" s="8">
        <v>2680</v>
      </c>
      <c r="AC182" s="8">
        <v>1589</v>
      </c>
      <c r="AD182" s="8">
        <v>1131</v>
      </c>
      <c r="AE182" s="8">
        <v>695</v>
      </c>
      <c r="AF182" s="8">
        <v>3439</v>
      </c>
      <c r="AG182" s="8">
        <v>3070</v>
      </c>
      <c r="AH182" s="8">
        <v>1677</v>
      </c>
      <c r="AI182" s="8">
        <v>3025</v>
      </c>
      <c r="AJ182" s="8">
        <v>4822</v>
      </c>
      <c r="AK182" s="8">
        <v>1078</v>
      </c>
      <c r="AL182" s="8">
        <v>904</v>
      </c>
      <c r="AM182" s="8">
        <v>66</v>
      </c>
      <c r="AN182" s="8">
        <v>30788</v>
      </c>
      <c r="AO182" s="8">
        <v>1002</v>
      </c>
      <c r="AP182" s="8">
        <v>1430</v>
      </c>
      <c r="AQ182" s="2">
        <v>4.0999999999999996</v>
      </c>
      <c r="AR182" s="2">
        <v>2.6</v>
      </c>
      <c r="AS182" s="2">
        <v>2</v>
      </c>
      <c r="AT182" s="8">
        <v>77</v>
      </c>
      <c r="AU182" s="8">
        <v>70</v>
      </c>
      <c r="AV182" s="8">
        <v>252</v>
      </c>
      <c r="AW182" s="8">
        <v>55126</v>
      </c>
      <c r="AX182" s="2">
        <v>63</v>
      </c>
      <c r="AY182" s="2">
        <v>74.8</v>
      </c>
      <c r="AZ182" s="2">
        <v>31.5</v>
      </c>
      <c r="BA182" s="8">
        <v>670</v>
      </c>
      <c r="BB182" s="8">
        <v>33326</v>
      </c>
      <c r="BC182" s="8">
        <v>28829</v>
      </c>
      <c r="BD182" s="8">
        <v>30202655</v>
      </c>
      <c r="BE182" s="8">
        <v>32137</v>
      </c>
      <c r="BF182" s="8">
        <v>805</v>
      </c>
      <c r="BG182" s="8">
        <v>1802</v>
      </c>
      <c r="BH182" s="8">
        <v>1430</v>
      </c>
    </row>
    <row r="183" spans="1:60" x14ac:dyDescent="0.25">
      <c r="A183" t="s">
        <v>749</v>
      </c>
      <c r="B183" s="8">
        <v>6090</v>
      </c>
      <c r="C183" s="8">
        <v>27233</v>
      </c>
      <c r="D183" s="8">
        <v>33323</v>
      </c>
      <c r="E183" s="8">
        <v>5809</v>
      </c>
      <c r="F183" s="8">
        <v>27514</v>
      </c>
      <c r="G183" s="2">
        <v>18.3</v>
      </c>
      <c r="H183" s="2">
        <v>81.7</v>
      </c>
      <c r="I183" s="2">
        <v>17.399999999999999</v>
      </c>
      <c r="J183" s="2">
        <v>82.6</v>
      </c>
      <c r="K183" s="8">
        <v>34</v>
      </c>
      <c r="L183" s="8">
        <v>149</v>
      </c>
      <c r="M183" s="8">
        <v>281</v>
      </c>
      <c r="N183" s="8">
        <v>1196</v>
      </c>
      <c r="O183" s="8">
        <v>1656</v>
      </c>
      <c r="P183" s="8">
        <v>2004</v>
      </c>
      <c r="Q183" s="8">
        <v>208</v>
      </c>
      <c r="R183" s="8">
        <v>562</v>
      </c>
      <c r="S183" s="8">
        <v>36506</v>
      </c>
      <c r="T183" s="8">
        <v>403</v>
      </c>
      <c r="U183" s="8">
        <v>50</v>
      </c>
      <c r="V183" s="8">
        <v>2599</v>
      </c>
      <c r="W183" s="8">
        <v>130</v>
      </c>
      <c r="X183" s="8">
        <v>240</v>
      </c>
      <c r="Y183" s="8">
        <v>2213</v>
      </c>
      <c r="Z183" s="8">
        <v>4766</v>
      </c>
      <c r="AA183" s="8">
        <v>1909</v>
      </c>
      <c r="AB183" s="8">
        <v>2643</v>
      </c>
      <c r="AC183" s="8">
        <v>1633</v>
      </c>
      <c r="AD183" s="8">
        <v>1164</v>
      </c>
      <c r="AE183" s="8">
        <v>693</v>
      </c>
      <c r="AF183" s="8">
        <v>3378</v>
      </c>
      <c r="AG183" s="8">
        <v>3011</v>
      </c>
      <c r="AH183" s="8">
        <v>1689</v>
      </c>
      <c r="AI183" s="8">
        <v>3065</v>
      </c>
      <c r="AJ183" s="8">
        <v>4880</v>
      </c>
      <c r="AK183" s="8">
        <v>1084</v>
      </c>
      <c r="AL183" s="8">
        <v>902</v>
      </c>
      <c r="AM183" s="8">
        <v>53</v>
      </c>
      <c r="AN183" s="8">
        <v>30870</v>
      </c>
      <c r="AO183" s="8">
        <v>912</v>
      </c>
      <c r="AP183" s="8">
        <v>1344</v>
      </c>
      <c r="AQ183" s="2">
        <v>3.9</v>
      </c>
      <c r="AR183" s="2">
        <v>3.9</v>
      </c>
      <c r="AS183" s="2">
        <v>2</v>
      </c>
      <c r="AT183" s="8">
        <v>79</v>
      </c>
      <c r="AU183" s="8">
        <v>75</v>
      </c>
      <c r="AV183" s="8">
        <v>266</v>
      </c>
      <c r="AW183" s="8">
        <v>55290</v>
      </c>
      <c r="AX183" s="2">
        <v>62.8</v>
      </c>
      <c r="AY183" s="2">
        <v>74.8</v>
      </c>
      <c r="AZ183" s="2">
        <v>31.6</v>
      </c>
      <c r="BA183" s="8">
        <v>671</v>
      </c>
      <c r="BB183" s="8">
        <v>33377</v>
      </c>
      <c r="BC183" s="8">
        <v>28819</v>
      </c>
      <c r="BD183" s="8">
        <v>30302125.666666668</v>
      </c>
      <c r="BE183" s="8">
        <v>32185</v>
      </c>
      <c r="BF183" s="8">
        <v>825</v>
      </c>
      <c r="BG183" s="8">
        <v>1888</v>
      </c>
      <c r="BH183" s="8">
        <v>1344</v>
      </c>
    </row>
    <row r="184" spans="1:60" x14ac:dyDescent="0.25">
      <c r="A184" t="s">
        <v>750</v>
      </c>
      <c r="B184" s="8">
        <v>6116</v>
      </c>
      <c r="C184" s="8">
        <v>27232</v>
      </c>
      <c r="D184" s="8">
        <v>33348</v>
      </c>
      <c r="E184" s="8">
        <v>5835</v>
      </c>
      <c r="F184" s="8">
        <v>27513</v>
      </c>
      <c r="G184" s="2">
        <v>18.3</v>
      </c>
      <c r="H184" s="2">
        <v>81.7</v>
      </c>
      <c r="I184" s="2">
        <v>17.5</v>
      </c>
      <c r="J184" s="2">
        <v>82.5</v>
      </c>
      <c r="K184" s="8">
        <v>35</v>
      </c>
      <c r="L184" s="8">
        <v>149</v>
      </c>
      <c r="M184" s="8">
        <v>282</v>
      </c>
      <c r="N184" s="8">
        <v>1208</v>
      </c>
      <c r="O184" s="8">
        <v>1654</v>
      </c>
      <c r="P184" s="8">
        <v>2017</v>
      </c>
      <c r="Q184" s="8">
        <v>206</v>
      </c>
      <c r="R184" s="8">
        <v>563</v>
      </c>
      <c r="S184" s="8">
        <v>36791</v>
      </c>
      <c r="T184" s="8">
        <v>372</v>
      </c>
      <c r="U184" s="8">
        <v>48</v>
      </c>
      <c r="V184" s="8">
        <v>2579</v>
      </c>
      <c r="W184" s="8">
        <v>131</v>
      </c>
      <c r="X184" s="8">
        <v>246</v>
      </c>
      <c r="Y184" s="8">
        <v>2234</v>
      </c>
      <c r="Z184" s="8">
        <v>4776</v>
      </c>
      <c r="AA184" s="8">
        <v>1907</v>
      </c>
      <c r="AB184" s="8">
        <v>2666</v>
      </c>
      <c r="AC184" s="8">
        <v>1623</v>
      </c>
      <c r="AD184" s="8">
        <v>1156</v>
      </c>
      <c r="AE184" s="8">
        <v>702</v>
      </c>
      <c r="AF184" s="8">
        <v>3448</v>
      </c>
      <c r="AG184" s="8">
        <v>2999</v>
      </c>
      <c r="AH184" s="8">
        <v>1706</v>
      </c>
      <c r="AI184" s="8">
        <v>3070</v>
      </c>
      <c r="AJ184" s="8">
        <v>4970</v>
      </c>
      <c r="AK184" s="8">
        <v>1117</v>
      </c>
      <c r="AL184" s="8">
        <v>970</v>
      </c>
      <c r="AM184" s="8">
        <v>70</v>
      </c>
      <c r="AN184" s="8">
        <v>31181</v>
      </c>
      <c r="AO184" s="8">
        <v>899.33333333333337</v>
      </c>
      <c r="AP184" s="8">
        <v>1510</v>
      </c>
      <c r="AQ184" s="2">
        <v>4.3</v>
      </c>
      <c r="AR184" s="2">
        <v>3.1</v>
      </c>
      <c r="AS184" s="2">
        <v>2</v>
      </c>
      <c r="AT184" s="8">
        <v>69</v>
      </c>
      <c r="AU184" s="8">
        <v>65</v>
      </c>
      <c r="AV184" s="8">
        <v>341</v>
      </c>
      <c r="AW184" s="8">
        <v>55454</v>
      </c>
      <c r="AX184" s="2">
        <v>62.8</v>
      </c>
      <c r="AY184" s="2">
        <v>74.5</v>
      </c>
      <c r="AZ184" s="2">
        <v>32</v>
      </c>
      <c r="BA184" s="8">
        <v>682.33333333333337</v>
      </c>
      <c r="BB184" s="8">
        <v>33331</v>
      </c>
      <c r="BC184" s="8">
        <v>28927</v>
      </c>
      <c r="BD184" s="8">
        <v>30370354.333333332</v>
      </c>
      <c r="BE184" s="8">
        <v>32277</v>
      </c>
      <c r="BF184" s="8">
        <v>783</v>
      </c>
      <c r="BG184" s="8">
        <v>1748</v>
      </c>
      <c r="BH184" s="8">
        <v>1510</v>
      </c>
    </row>
    <row r="185" spans="1:60" x14ac:dyDescent="0.25">
      <c r="A185" t="s">
        <v>751</v>
      </c>
      <c r="B185" s="8">
        <v>6092</v>
      </c>
      <c r="C185" s="8">
        <v>27505</v>
      </c>
      <c r="D185" s="8">
        <v>33597</v>
      </c>
      <c r="E185" s="8">
        <v>5860</v>
      </c>
      <c r="F185" s="8">
        <v>27737</v>
      </c>
      <c r="G185" s="2">
        <v>18.100000000000001</v>
      </c>
      <c r="H185" s="2">
        <v>81.900000000000006</v>
      </c>
      <c r="I185" s="2">
        <v>17.399999999999999</v>
      </c>
      <c r="J185" s="2">
        <v>82.6</v>
      </c>
      <c r="K185" s="8">
        <v>35</v>
      </c>
      <c r="L185" s="8">
        <v>147</v>
      </c>
      <c r="M185" s="8">
        <v>282</v>
      </c>
      <c r="N185" s="8">
        <v>1216</v>
      </c>
      <c r="O185" s="8">
        <v>1654</v>
      </c>
      <c r="P185" s="8">
        <v>2028</v>
      </c>
      <c r="Q185" s="8">
        <v>205</v>
      </c>
      <c r="R185" s="8">
        <v>527</v>
      </c>
      <c r="S185" s="8">
        <v>36720</v>
      </c>
      <c r="T185" s="8">
        <v>350</v>
      </c>
      <c r="U185" s="8">
        <v>50</v>
      </c>
      <c r="V185" s="8">
        <v>2572</v>
      </c>
      <c r="W185" s="8">
        <v>137</v>
      </c>
      <c r="X185" s="8">
        <v>242</v>
      </c>
      <c r="Y185" s="8">
        <v>2158</v>
      </c>
      <c r="Z185" s="8">
        <v>4752</v>
      </c>
      <c r="AA185" s="8">
        <v>1882</v>
      </c>
      <c r="AB185" s="8">
        <v>2683</v>
      </c>
      <c r="AC185" s="8">
        <v>1615</v>
      </c>
      <c r="AD185" s="8">
        <v>1168</v>
      </c>
      <c r="AE185" s="8">
        <v>704</v>
      </c>
      <c r="AF185" s="8">
        <v>3477</v>
      </c>
      <c r="AG185" s="8">
        <v>2983</v>
      </c>
      <c r="AH185" s="8">
        <v>1720</v>
      </c>
      <c r="AI185" s="8">
        <v>3063</v>
      </c>
      <c r="AJ185" s="8">
        <v>5053</v>
      </c>
      <c r="AK185" s="8">
        <v>1116</v>
      </c>
      <c r="AL185" s="8">
        <v>933</v>
      </c>
      <c r="AM185" s="8">
        <v>64</v>
      </c>
      <c r="AN185" s="8">
        <v>31211</v>
      </c>
      <c r="AO185" s="8">
        <v>900</v>
      </c>
      <c r="AP185" s="8">
        <v>1465</v>
      </c>
      <c r="AQ185" s="2">
        <v>4.2</v>
      </c>
      <c r="AR185" s="2">
        <v>3.8</v>
      </c>
      <c r="AS185" s="2">
        <v>2</v>
      </c>
      <c r="AT185" s="8">
        <v>79</v>
      </c>
      <c r="AU185" s="8">
        <v>74</v>
      </c>
      <c r="AV185" s="8">
        <v>340</v>
      </c>
      <c r="AW185" s="8">
        <v>55617</v>
      </c>
      <c r="AX185" s="2">
        <v>62.9</v>
      </c>
      <c r="AY185" s="2">
        <v>74.599999999999994</v>
      </c>
      <c r="AZ185" s="2">
        <v>32</v>
      </c>
      <c r="BA185" s="8">
        <v>692</v>
      </c>
      <c r="BB185" s="8">
        <v>33496</v>
      </c>
      <c r="BC185" s="8">
        <v>29023</v>
      </c>
      <c r="BD185" s="8">
        <v>30404355</v>
      </c>
      <c r="BE185" s="8">
        <v>32301</v>
      </c>
      <c r="BF185" s="8">
        <v>874</v>
      </c>
      <c r="BG185" s="8">
        <v>1820</v>
      </c>
      <c r="BH185" s="8">
        <v>1465</v>
      </c>
    </row>
    <row r="186" spans="1:60" x14ac:dyDescent="0.25">
      <c r="A186" t="s">
        <v>752</v>
      </c>
      <c r="B186" s="8">
        <v>6118</v>
      </c>
      <c r="C186" s="8">
        <v>27652</v>
      </c>
      <c r="D186" s="8">
        <v>33770</v>
      </c>
      <c r="E186" s="8">
        <v>5875</v>
      </c>
      <c r="F186" s="8">
        <v>27895</v>
      </c>
      <c r="G186" s="2">
        <v>18.100000000000001</v>
      </c>
      <c r="H186" s="2">
        <v>81.900000000000006</v>
      </c>
      <c r="I186" s="2">
        <v>17.399999999999999</v>
      </c>
      <c r="J186" s="2">
        <v>82.6</v>
      </c>
      <c r="K186" s="8">
        <v>35</v>
      </c>
      <c r="L186" s="8">
        <v>147</v>
      </c>
      <c r="M186" s="8">
        <v>282</v>
      </c>
      <c r="N186" s="8">
        <v>1220</v>
      </c>
      <c r="O186" s="8">
        <v>1658</v>
      </c>
      <c r="P186" s="8">
        <v>2040</v>
      </c>
      <c r="Q186" s="8">
        <v>204</v>
      </c>
      <c r="R186" s="8">
        <v>530</v>
      </c>
      <c r="S186" s="8">
        <v>36793</v>
      </c>
      <c r="T186" s="8">
        <v>361</v>
      </c>
      <c r="U186" s="8">
        <v>46</v>
      </c>
      <c r="V186" s="8">
        <v>2580</v>
      </c>
      <c r="W186" s="8">
        <v>141</v>
      </c>
      <c r="X186" s="8">
        <v>242</v>
      </c>
      <c r="Y186" s="8">
        <v>2227</v>
      </c>
      <c r="Z186" s="8">
        <v>4741</v>
      </c>
      <c r="AA186" s="8">
        <v>1883</v>
      </c>
      <c r="AB186" s="8">
        <v>2702</v>
      </c>
      <c r="AC186" s="8">
        <v>1638</v>
      </c>
      <c r="AD186" s="8">
        <v>1183</v>
      </c>
      <c r="AE186" s="8">
        <v>680</v>
      </c>
      <c r="AF186" s="8">
        <v>3511</v>
      </c>
      <c r="AG186" s="8">
        <v>2958</v>
      </c>
      <c r="AH186" s="8">
        <v>1722</v>
      </c>
      <c r="AI186" s="8">
        <v>3065</v>
      </c>
      <c r="AJ186" s="8">
        <v>5046</v>
      </c>
      <c r="AK186" s="8">
        <v>1100</v>
      </c>
      <c r="AL186" s="8">
        <v>928</v>
      </c>
      <c r="AM186" s="8">
        <v>38</v>
      </c>
      <c r="AN186" s="8">
        <v>31195</v>
      </c>
      <c r="AO186" s="8">
        <v>853.33333333333337</v>
      </c>
      <c r="AP186" s="8">
        <v>1509</v>
      </c>
      <c r="AQ186" s="2">
        <v>4.3</v>
      </c>
      <c r="AR186" s="2">
        <v>3.2</v>
      </c>
      <c r="AS186" s="2">
        <v>1</v>
      </c>
      <c r="AT186" s="8">
        <v>81</v>
      </c>
      <c r="AU186" s="8">
        <v>74</v>
      </c>
      <c r="AV186" s="8">
        <v>341</v>
      </c>
      <c r="AW186" s="8">
        <v>55771</v>
      </c>
      <c r="AX186" s="2">
        <v>63.2</v>
      </c>
      <c r="AY186" s="2">
        <v>74.900000000000006</v>
      </c>
      <c r="AZ186" s="2">
        <v>32.1</v>
      </c>
      <c r="BA186" s="8">
        <v>701</v>
      </c>
      <c r="BB186" s="8">
        <v>33749</v>
      </c>
      <c r="BC186" s="8">
        <v>29239</v>
      </c>
      <c r="BD186" s="8">
        <v>30399554</v>
      </c>
      <c r="BE186" s="8">
        <v>32342</v>
      </c>
      <c r="BF186" s="8">
        <v>907</v>
      </c>
      <c r="BG186" s="8">
        <v>1912</v>
      </c>
      <c r="BH186" s="8">
        <v>1509</v>
      </c>
    </row>
    <row r="187" spans="1:60" x14ac:dyDescent="0.25">
      <c r="A187" t="s">
        <v>1290</v>
      </c>
      <c r="AO187" s="8">
        <v>792.33333333333337</v>
      </c>
      <c r="AT187" s="8">
        <v>81</v>
      </c>
      <c r="AU187" s="8">
        <v>78</v>
      </c>
      <c r="BD187" s="8">
        <v>30381680.666666668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D8A5-EAFC-48BB-AF33-AC7EE44712B6}">
  <sheetPr codeName="Sheet10"/>
  <dimension ref="A1:J94"/>
  <sheetViews>
    <sheetView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sheetData>
    <row r="1" spans="1:10" x14ac:dyDescent="0.25">
      <c r="B1" t="str">
        <f>DataQ!F1</f>
        <v>JAN010B.db</v>
      </c>
      <c r="C1" t="str">
        <f>DataQ!G1</f>
        <v>JAN010B.db</v>
      </c>
      <c r="D1" t="str">
        <f>DataQ!H1</f>
        <v>JAN010B.db</v>
      </c>
      <c r="E1" t="str">
        <f>DataQ!I1</f>
        <v>JAN010B.db</v>
      </c>
      <c r="F1" t="str">
        <f>DataQ!J1</f>
        <v>JAN010B.db</v>
      </c>
      <c r="G1" t="str">
        <f>DataQ!K1</f>
        <v>JAN010B.db</v>
      </c>
      <c r="H1" t="str">
        <f>DataQ!L1</f>
        <v>JAN010B.db</v>
      </c>
      <c r="I1" t="str">
        <f>DataQ!M1</f>
        <v>JAN010B.db</v>
      </c>
      <c r="J1" t="str">
        <f>DataQ!N1</f>
        <v>JAN010B.db</v>
      </c>
    </row>
    <row r="2" spans="1:10" x14ac:dyDescent="0.25">
      <c r="B2" t="str">
        <f>DataQ!F2</f>
        <v>UK</v>
      </c>
      <c r="C2" t="str">
        <f>DataQ!G2</f>
        <v>UK</v>
      </c>
      <c r="D2" t="str">
        <f>DataQ!H2</f>
        <v>UK</v>
      </c>
      <c r="E2" t="str">
        <f>DataQ!I2</f>
        <v>UK</v>
      </c>
      <c r="F2" t="str">
        <f>DataQ!J2</f>
        <v>UK</v>
      </c>
      <c r="G2" t="str">
        <f>DataQ!K2</f>
        <v>UK</v>
      </c>
      <c r="H2" t="str">
        <f>DataQ!L2</f>
        <v>UK</v>
      </c>
      <c r="I2" t="str">
        <f>DataQ!M2</f>
        <v>UK</v>
      </c>
      <c r="J2" t="str">
        <f>DataQ!N2</f>
        <v>UK</v>
      </c>
    </row>
    <row r="3" spans="1:10" x14ac:dyDescent="0.25">
      <c r="B3" t="str">
        <f>DataQ!F3</f>
        <v>WC</v>
      </c>
      <c r="C3" t="str">
        <f>DataQ!G3</f>
        <v>TP</v>
      </c>
      <c r="D3" t="str">
        <f>DataQ!H3</f>
        <v>WAGEWKLY</v>
      </c>
      <c r="E3" t="str">
        <f>DataQ!I3</f>
        <v>COGTP</v>
      </c>
      <c r="F3" t="str">
        <f>DataQ!J3</f>
        <v>GDP!</v>
      </c>
      <c r="G3" t="str">
        <f>DataQ!K3</f>
        <v>PEWFP</v>
      </c>
      <c r="H3" t="str">
        <f>DataQ!L3</f>
        <v>PEDY!</v>
      </c>
      <c r="I3" t="str">
        <f>DataQ!M3</f>
        <v>PEDY</v>
      </c>
      <c r="J3" t="str">
        <f>DataQ!N3</f>
        <v>PC</v>
      </c>
    </row>
    <row r="4" spans="1:10" x14ac:dyDescent="0.25">
      <c r="B4" t="str">
        <f>DataQ!F4</f>
        <v>GBR</v>
      </c>
      <c r="C4" t="str">
        <f>DataQ!G4</f>
        <v>GBR</v>
      </c>
      <c r="D4" t="str">
        <f>DataQ!H4</f>
        <v>GBR</v>
      </c>
      <c r="E4" t="str">
        <f>DataQ!I4</f>
        <v>GBR</v>
      </c>
      <c r="F4" t="str">
        <f>DataQ!J4</f>
        <v>GBR</v>
      </c>
      <c r="G4" t="str">
        <f>DataQ!K4</f>
        <v>GBR</v>
      </c>
      <c r="H4" t="str">
        <f>DataQ!L4</f>
        <v>GBR</v>
      </c>
      <c r="I4" t="str">
        <f>DataQ!M4</f>
        <v>GBR</v>
      </c>
      <c r="J4" t="str">
        <f>DataQ!N4</f>
        <v>GBR</v>
      </c>
    </row>
    <row r="5" spans="1:10" x14ac:dyDescent="0.25">
      <c r="B5" t="str">
        <f>DataQ!F5</f>
        <v>L</v>
      </c>
      <c r="C5" t="str">
        <f>DataQ!G5</f>
        <v>L</v>
      </c>
      <c r="D5" t="str">
        <f>DataQ!H5</f>
        <v>L</v>
      </c>
      <c r="E5" t="str">
        <f>DataQ!I5</f>
        <v>L</v>
      </c>
      <c r="F5" t="str">
        <f>DataQ!J5</f>
        <v>L</v>
      </c>
      <c r="G5" t="str">
        <f>DataQ!K5</f>
        <v>L</v>
      </c>
      <c r="H5" t="str">
        <f>DataQ!L5</f>
        <v>L</v>
      </c>
      <c r="I5" t="str">
        <f>DataQ!M5</f>
        <v>L</v>
      </c>
      <c r="J5" t="str">
        <f>DataQ!N5</f>
        <v>L</v>
      </c>
    </row>
    <row r="6" spans="1:10" x14ac:dyDescent="0.25">
      <c r="B6" t="str">
        <f>DataQ!F6</f>
        <v>202403</v>
      </c>
      <c r="C6" t="str">
        <f>DataQ!G6</f>
        <v>202403</v>
      </c>
      <c r="D6" t="str">
        <f>DataQ!H6</f>
        <v>202403</v>
      </c>
      <c r="E6" t="str">
        <f>DataQ!I6</f>
        <v>202403</v>
      </c>
      <c r="F6" t="str">
        <f>DataQ!J6</f>
        <v>202403</v>
      </c>
      <c r="G6" t="str">
        <f>DataQ!K6</f>
        <v>202403</v>
      </c>
      <c r="H6" t="str">
        <f>DataQ!L6</f>
        <v>202403</v>
      </c>
      <c r="I6" t="str">
        <f>DataQ!M6</f>
        <v>202403</v>
      </c>
      <c r="J6" t="str">
        <f>DataQ!N6</f>
        <v>202403</v>
      </c>
    </row>
    <row r="7" spans="1:10" x14ac:dyDescent="0.25">
      <c r="A7">
        <v>1973</v>
      </c>
      <c r="B7">
        <f>AVERAGEIF(DataQ!$B:$B,DataA!$A7,DataQ!F:F)</f>
        <v>11.970672499999999</v>
      </c>
      <c r="C7">
        <f>SUMIF(DataQ!$B:$B,DataA!$A7,DataQ!G:G)</f>
        <v>2309.3418999999994</v>
      </c>
      <c r="D7">
        <f>AVERAGEIF(DataQ!$B:$B,DataA!$A7,DataQ!H:H)</f>
        <v>15.940814999999999</v>
      </c>
      <c r="E7">
        <f>SUMIF(DataQ!$B:$B,DataA!$A7,DataQ!I:I)</f>
        <v>17908</v>
      </c>
      <c r="F7">
        <f>SUMIF(DataQ!$B:$B,DataA!$A7,DataQ!J:J)</f>
        <v>81793</v>
      </c>
      <c r="G7">
        <f>SUMIF(DataQ!$B:$B,DataA!$A7,DataQ!K:K)</f>
        <v>39478</v>
      </c>
      <c r="H7">
        <f>SUMIF(DataQ!$B:$B,DataA!$A7,DataQ!L:L)</f>
        <v>52432</v>
      </c>
      <c r="I7">
        <f>SUMIF(DataQ!$B:$B,DataA!$A7,DataQ!M:M)</f>
        <v>560418</v>
      </c>
      <c r="J7">
        <f>AVERAGEIF(DataQ!$B:$B,DataA!$A7,DataQ!N:N)</f>
        <v>9.5139817499999992</v>
      </c>
    </row>
    <row r="8" spans="1:10" x14ac:dyDescent="0.25">
      <c r="A8">
        <v>1974</v>
      </c>
      <c r="B8">
        <f>AVERAGEIF(DataQ!$B:$B,DataA!$A8,DataQ!F:F)</f>
        <v>14.6685075</v>
      </c>
      <c r="C8">
        <f>SUMIF(DataQ!$B:$B,DataA!$A8,DataQ!G:G)</f>
        <v>3137.9616000000001</v>
      </c>
      <c r="D8">
        <f>AVERAGEIF(DataQ!$B:$B,DataA!$A8,DataQ!H:H)</f>
        <v>19.300352499999999</v>
      </c>
      <c r="E8">
        <f>SUMIF(DataQ!$B:$B,DataA!$A8,DataQ!I:I)</f>
        <v>16624</v>
      </c>
      <c r="F8">
        <f>SUMIF(DataQ!$B:$B,DataA!$A8,DataQ!J:J)</f>
        <v>92673</v>
      </c>
      <c r="G8">
        <f>SUMIF(DataQ!$B:$B,DataA!$A8,DataQ!K:K)</f>
        <v>46712</v>
      </c>
      <c r="H8">
        <f>SUMIF(DataQ!$B:$B,DataA!$A8,DataQ!L:L)</f>
        <v>61570</v>
      </c>
      <c r="I8">
        <f>SUMIF(DataQ!$B:$B,DataA!$A8,DataQ!M:M)</f>
        <v>555668</v>
      </c>
      <c r="J8">
        <f>AVERAGEIF(DataQ!$B:$B,DataA!$A8,DataQ!N:N)</f>
        <v>11.254465000000001</v>
      </c>
    </row>
    <row r="9" spans="1:10" x14ac:dyDescent="0.25">
      <c r="A9">
        <v>1975</v>
      </c>
      <c r="B9">
        <f>AVERAGEIF(DataQ!$B:$B,DataA!$A9,DataQ!F:F)</f>
        <v>19.486995</v>
      </c>
      <c r="C9">
        <f>SUMIF(DataQ!$B:$B,DataA!$A9,DataQ!G:G)</f>
        <v>4573.7110000000002</v>
      </c>
      <c r="D9">
        <f>AVERAGEIF(DataQ!$B:$B,DataA!$A9,DataQ!H:H)</f>
        <v>25.941457499999999</v>
      </c>
      <c r="E9">
        <f>SUMIF(DataQ!$B:$B,DataA!$A9,DataQ!I:I)</f>
        <v>17697</v>
      </c>
      <c r="F9">
        <f>SUMIF(DataQ!$B:$B,DataA!$A9,DataQ!J:J)</f>
        <v>115093</v>
      </c>
      <c r="G9">
        <f>SUMIF(DataQ!$B:$B,DataA!$A9,DataQ!K:K)</f>
        <v>60461</v>
      </c>
      <c r="H9">
        <f>SUMIF(DataQ!$B:$B,DataA!$A9,DataQ!L:L)</f>
        <v>76602</v>
      </c>
      <c r="I9">
        <f>SUMIF(DataQ!$B:$B,DataA!$A9,DataQ!M:M)</f>
        <v>560371</v>
      </c>
      <c r="J9">
        <f>AVERAGEIF(DataQ!$B:$B,DataA!$A9,DataQ!N:N)</f>
        <v>13.8866025</v>
      </c>
    </row>
    <row r="10" spans="1:10" x14ac:dyDescent="0.25">
      <c r="A10">
        <v>1976</v>
      </c>
      <c r="B10">
        <f>AVERAGEIF(DataQ!$B:$B,DataA!$A10,DataQ!F:F)</f>
        <v>21.511142500000002</v>
      </c>
      <c r="C10">
        <f>SUMIF(DataQ!$B:$B,DataA!$A10,DataQ!G:G)</f>
        <v>5695.777</v>
      </c>
      <c r="D10">
        <f>AVERAGEIF(DataQ!$B:$B,DataA!$A10,DataQ!H:H)</f>
        <v>31.409385</v>
      </c>
      <c r="E10">
        <f>SUMIF(DataQ!$B:$B,DataA!$A10,DataQ!I:I)</f>
        <v>22080</v>
      </c>
      <c r="F10">
        <f>SUMIF(DataQ!$B:$B,DataA!$A10,DataQ!J:J)</f>
        <v>136999</v>
      </c>
      <c r="G10">
        <f>SUMIF(DataQ!$B:$B,DataA!$A10,DataQ!K:K)</f>
        <v>67888</v>
      </c>
      <c r="H10">
        <f>SUMIF(DataQ!$B:$B,DataA!$A10,DataQ!L:L)</f>
        <v>89189</v>
      </c>
      <c r="I10">
        <f>SUMIF(DataQ!$B:$B,DataA!$A10,DataQ!M:M)</f>
        <v>559606</v>
      </c>
      <c r="J10">
        <f>AVERAGEIF(DataQ!$B:$B,DataA!$A10,DataQ!N:N)</f>
        <v>16.170227499999999</v>
      </c>
    </row>
    <row r="11" spans="1:10" x14ac:dyDescent="0.25">
      <c r="A11">
        <v>1977</v>
      </c>
      <c r="B11">
        <f>AVERAGEIF(DataQ!$B:$B,DataA!$A11,DataQ!F:F)</f>
        <v>23.278237500000003</v>
      </c>
      <c r="C11">
        <f>SUMIF(DataQ!$B:$B,DataA!$A11,DataQ!G:G)</f>
        <v>6401.8469999999998</v>
      </c>
      <c r="D11">
        <f>AVERAGEIF(DataQ!$B:$B,DataA!$A11,DataQ!H:H)</f>
        <v>35.091777499999999</v>
      </c>
      <c r="E11">
        <f>SUMIF(DataQ!$B:$B,DataA!$A11,DataQ!I:I)</f>
        <v>31652</v>
      </c>
      <c r="F11">
        <f>SUMIF(DataQ!$B:$B,DataA!$A11,DataQ!J:J)</f>
        <v>159786</v>
      </c>
      <c r="G11">
        <f>SUMIF(DataQ!$B:$B,DataA!$A11,DataQ!K:K)</f>
        <v>75102</v>
      </c>
      <c r="H11">
        <f>SUMIF(DataQ!$B:$B,DataA!$A11,DataQ!L:L)</f>
        <v>100772</v>
      </c>
      <c r="I11">
        <f>SUMIF(DataQ!$B:$B,DataA!$A11,DataQ!M:M)</f>
        <v>549407</v>
      </c>
      <c r="J11">
        <f>AVERAGEIF(DataQ!$B:$B,DataA!$A11,DataQ!N:N)</f>
        <v>18.6086925</v>
      </c>
    </row>
    <row r="12" spans="1:10" x14ac:dyDescent="0.25">
      <c r="A12">
        <v>1978</v>
      </c>
      <c r="B12">
        <f>AVERAGEIF(DataQ!$B:$B,DataA!$A12,DataQ!F:F)</f>
        <v>25.498162499999999</v>
      </c>
      <c r="C12">
        <f>SUMIF(DataQ!$B:$B,DataA!$A12,DataQ!G:G)</f>
        <v>6823.4650000000001</v>
      </c>
      <c r="D12">
        <f>AVERAGEIF(DataQ!$B:$B,DataA!$A12,DataQ!H:H)</f>
        <v>40.728302499999998</v>
      </c>
      <c r="E12">
        <f>SUMIF(DataQ!$B:$B,DataA!$A12,DataQ!I:I)</f>
        <v>38107</v>
      </c>
      <c r="F12">
        <f>SUMIF(DataQ!$B:$B,DataA!$A12,DataQ!J:J)</f>
        <v>186158</v>
      </c>
      <c r="G12">
        <f>SUMIF(DataQ!$B:$B,DataA!$A12,DataQ!K:K)</f>
        <v>85868</v>
      </c>
      <c r="H12">
        <f>SUMIF(DataQ!$B:$B,DataA!$A12,DataQ!L:L)</f>
        <v>118869</v>
      </c>
      <c r="I12">
        <f>SUMIF(DataQ!$B:$B,DataA!$A12,DataQ!M:M)</f>
        <v>589523</v>
      </c>
      <c r="J12">
        <f>AVERAGEIF(DataQ!$B:$B,DataA!$A12,DataQ!N:N)</f>
        <v>20.4712675</v>
      </c>
    </row>
    <row r="13" spans="1:10" x14ac:dyDescent="0.25">
      <c r="A13">
        <v>1979</v>
      </c>
      <c r="B13">
        <f>AVERAGEIF(DataQ!$B:$B,DataA!$A13,DataQ!F:F)</f>
        <v>28.840082500000001</v>
      </c>
      <c r="C13">
        <f>SUMIF(DataQ!$B:$B,DataA!$A13,DataQ!G:G)</f>
        <v>7745.402</v>
      </c>
      <c r="D13">
        <f>AVERAGEIF(DataQ!$B:$B,DataA!$A13,DataQ!H:H)</f>
        <v>48.393659999999997</v>
      </c>
      <c r="E13">
        <f>SUMIF(DataQ!$B:$B,DataA!$A13,DataQ!I:I)</f>
        <v>44855</v>
      </c>
      <c r="F13">
        <f>SUMIF(DataQ!$B:$B,DataA!$A13,DataQ!J:J)</f>
        <v>220981</v>
      </c>
      <c r="G13">
        <f>SUMIF(DataQ!$B:$B,DataA!$A13,DataQ!K:K)</f>
        <v>100636</v>
      </c>
      <c r="H13">
        <f>SUMIF(DataQ!$B:$B,DataA!$A13,DataQ!L:L)</f>
        <v>143321</v>
      </c>
      <c r="I13">
        <f>SUMIF(DataQ!$B:$B,DataA!$A13,DataQ!M:M)</f>
        <v>624803</v>
      </c>
      <c r="J13">
        <f>AVERAGEIF(DataQ!$B:$B,DataA!$A13,DataQ!N:N)</f>
        <v>23.295020000000001</v>
      </c>
    </row>
    <row r="14" spans="1:10" x14ac:dyDescent="0.25">
      <c r="A14">
        <v>1980</v>
      </c>
      <c r="B14">
        <f>AVERAGEIF(DataQ!$B:$B,DataA!$A14,DataQ!F:F)</f>
        <v>35.068722500000007</v>
      </c>
      <c r="C14">
        <f>SUMIF(DataQ!$B:$B,DataA!$A14,DataQ!G:G)</f>
        <v>9230.621000000001</v>
      </c>
      <c r="D14">
        <f>AVERAGEIF(DataQ!$B:$B,DataA!$A14,DataQ!H:H)</f>
        <v>61.122669999999992</v>
      </c>
      <c r="E14">
        <f>SUMIF(DataQ!$B:$B,DataA!$A14,DataQ!I:I)</f>
        <v>49635</v>
      </c>
      <c r="F14">
        <f>SUMIF(DataQ!$B:$B,DataA!$A14,DataQ!J:J)</f>
        <v>259970</v>
      </c>
      <c r="G14">
        <f>SUMIF(DataQ!$B:$B,DataA!$A14,DataQ!K:K)</f>
        <v>119333</v>
      </c>
      <c r="H14">
        <f>SUMIF(DataQ!$B:$B,DataA!$A14,DataQ!L:L)</f>
        <v>170405</v>
      </c>
      <c r="I14">
        <f>SUMIF(DataQ!$B:$B,DataA!$A14,DataQ!M:M)</f>
        <v>635239</v>
      </c>
      <c r="J14">
        <f>AVERAGEIF(DataQ!$B:$B,DataA!$A14,DataQ!N:N)</f>
        <v>27.2289925</v>
      </c>
    </row>
    <row r="15" spans="1:10" x14ac:dyDescent="0.25">
      <c r="A15">
        <v>1981</v>
      </c>
      <c r="B15">
        <f>AVERAGEIF(DataQ!$B:$B,DataA!$A15,DataQ!F:F)</f>
        <v>38.409097500000001</v>
      </c>
      <c r="C15">
        <f>SUMIF(DataQ!$B:$B,DataA!$A15,DataQ!G:G)</f>
        <v>9909.7079999999987</v>
      </c>
      <c r="D15">
        <f>AVERAGEIF(DataQ!$B:$B,DataA!$A15,DataQ!H:H)</f>
        <v>71.618052500000005</v>
      </c>
      <c r="E15">
        <f>SUMIF(DataQ!$B:$B,DataA!$A15,DataQ!I:I)</f>
        <v>55572</v>
      </c>
      <c r="F15">
        <f>SUMIF(DataQ!$B:$B,DataA!$A15,DataQ!J:J)</f>
        <v>290180</v>
      </c>
      <c r="G15">
        <f>SUMIF(DataQ!$B:$B,DataA!$A15,DataQ!K:K)</f>
        <v>127973</v>
      </c>
      <c r="H15">
        <f>SUMIF(DataQ!$B:$B,DataA!$A15,DataQ!L:L)</f>
        <v>191355</v>
      </c>
      <c r="I15">
        <f>SUMIF(DataQ!$B:$B,DataA!$A15,DataQ!M:M)</f>
        <v>634794</v>
      </c>
      <c r="J15">
        <f>AVERAGEIF(DataQ!$B:$B,DataA!$A15,DataQ!N:N)</f>
        <v>30.594297500000003</v>
      </c>
    </row>
    <row r="16" spans="1:10" x14ac:dyDescent="0.25">
      <c r="A16">
        <v>1982</v>
      </c>
      <c r="B16">
        <f>AVERAGEIF(DataQ!$B:$B,DataA!$A16,DataQ!F:F)</f>
        <v>40.033452500000003</v>
      </c>
      <c r="C16">
        <f>SUMIF(DataQ!$B:$B,DataA!$A16,DataQ!G:G)</f>
        <v>10505.595000000001</v>
      </c>
      <c r="D16">
        <f>AVERAGEIF(DataQ!$B:$B,DataA!$A16,DataQ!H:H)</f>
        <v>80.275882499999994</v>
      </c>
      <c r="E16">
        <f>SUMIF(DataQ!$B:$B,DataA!$A16,DataQ!I:I)</f>
        <v>65451</v>
      </c>
      <c r="F16">
        <f>SUMIF(DataQ!$B:$B,DataA!$A16,DataQ!J:J)</f>
        <v>319558</v>
      </c>
      <c r="G16">
        <f>SUMIF(DataQ!$B:$B,DataA!$A16,DataQ!K:K)</f>
        <v>136108</v>
      </c>
      <c r="H16">
        <f>SUMIF(DataQ!$B:$B,DataA!$A16,DataQ!L:L)</f>
        <v>209792</v>
      </c>
      <c r="I16">
        <f>SUMIF(DataQ!$B:$B,DataA!$A16,DataQ!M:M)</f>
        <v>637451</v>
      </c>
      <c r="J16">
        <f>AVERAGEIF(DataQ!$B:$B,DataA!$A16,DataQ!N:N)</f>
        <v>33.4176875</v>
      </c>
    </row>
    <row r="17" spans="1:10" x14ac:dyDescent="0.25">
      <c r="A17">
        <v>1983</v>
      </c>
      <c r="B17">
        <f>AVERAGEIF(DataQ!$B:$B,DataA!$A17,DataQ!F:F)</f>
        <v>41.082815000000004</v>
      </c>
      <c r="C17">
        <f>SUMIF(DataQ!$B:$B,DataA!$A17,DataQ!G:G)</f>
        <v>11845.776</v>
      </c>
      <c r="D17">
        <f>AVERAGEIF(DataQ!$B:$B,DataA!$A17,DataQ!H:H)</f>
        <v>88.732820000000004</v>
      </c>
      <c r="E17">
        <f>SUMIF(DataQ!$B:$B,DataA!$A17,DataQ!I:I)</f>
        <v>77853</v>
      </c>
      <c r="F17">
        <f>SUMIF(DataQ!$B:$B,DataA!$A17,DataQ!J:J)</f>
        <v>351347</v>
      </c>
      <c r="G17">
        <f>SUMIF(DataQ!$B:$B,DataA!$A17,DataQ!K:K)</f>
        <v>145939</v>
      </c>
      <c r="H17">
        <f>SUMIF(DataQ!$B:$B,DataA!$A17,DataQ!L:L)</f>
        <v>226975</v>
      </c>
      <c r="I17">
        <f>SUMIF(DataQ!$B:$B,DataA!$A17,DataQ!M:M)</f>
        <v>651689</v>
      </c>
      <c r="J17">
        <f>AVERAGEIF(DataQ!$B:$B,DataA!$A17,DataQ!N:N)</f>
        <v>35.361420000000003</v>
      </c>
    </row>
    <row r="18" spans="1:10" x14ac:dyDescent="0.25">
      <c r="A18">
        <v>1984</v>
      </c>
      <c r="B18">
        <f>AVERAGEIF(DataQ!$B:$B,DataA!$A18,DataQ!F:F)</f>
        <v>42.960532499999999</v>
      </c>
      <c r="C18">
        <f>SUMIF(DataQ!$B:$B,DataA!$A18,DataQ!G:G)</f>
        <v>12669.9</v>
      </c>
      <c r="D18">
        <f>AVERAGEIF(DataQ!$B:$B,DataA!$A18,DataQ!H:H)</f>
        <v>95.596452499999984</v>
      </c>
      <c r="E18">
        <f>SUMIF(DataQ!$B:$B,DataA!$A18,DataQ!I:I)</f>
        <v>84738</v>
      </c>
      <c r="F18">
        <f>SUMIF(DataQ!$B:$B,DataA!$A18,DataQ!J:J)</f>
        <v>377920</v>
      </c>
      <c r="G18">
        <f>SUMIF(DataQ!$B:$B,DataA!$A18,DataQ!K:K)</f>
        <v>156357</v>
      </c>
      <c r="H18">
        <f>SUMIF(DataQ!$B:$B,DataA!$A18,DataQ!L:L)</f>
        <v>247782</v>
      </c>
      <c r="I18">
        <f>SUMIF(DataQ!$B:$B,DataA!$A18,DataQ!M:M)</f>
        <v>675496</v>
      </c>
      <c r="J18">
        <f>AVERAGEIF(DataQ!$B:$B,DataA!$A18,DataQ!N:N)</f>
        <v>37.241057500000004</v>
      </c>
    </row>
    <row r="19" spans="1:10" x14ac:dyDescent="0.25">
      <c r="A19">
        <v>1985</v>
      </c>
      <c r="B19">
        <f>AVERAGEIF(DataQ!$B:$B,DataA!$A19,DataQ!F:F)</f>
        <v>44.508555000000001</v>
      </c>
      <c r="C19">
        <f>SUMIF(DataQ!$B:$B,DataA!$A19,DataQ!G:G)</f>
        <v>13767.231000000002</v>
      </c>
      <c r="D19">
        <f>AVERAGEIF(DataQ!$B:$B,DataA!$A19,DataQ!H:H)</f>
        <v>105.47990000000001</v>
      </c>
      <c r="E19">
        <f>SUMIF(DataQ!$B:$B,DataA!$A19,DataQ!I:I)</f>
        <v>98707</v>
      </c>
      <c r="F19">
        <f>SUMIF(DataQ!$B:$B,DataA!$A19,DataQ!J:J)</f>
        <v>414630</v>
      </c>
      <c r="G19">
        <f>SUMIF(DataQ!$B:$B,DataA!$A19,DataQ!K:K)</f>
        <v>170977</v>
      </c>
      <c r="H19">
        <f>SUMIF(DataQ!$B:$B,DataA!$A19,DataQ!L:L)</f>
        <v>268993</v>
      </c>
      <c r="I19">
        <f>SUMIF(DataQ!$B:$B,DataA!$A19,DataQ!M:M)</f>
        <v>703942</v>
      </c>
      <c r="J19">
        <f>AVERAGEIF(DataQ!$B:$B,DataA!$A19,DataQ!N:N)</f>
        <v>38.781037499999996</v>
      </c>
    </row>
    <row r="20" spans="1:10" x14ac:dyDescent="0.25">
      <c r="A20">
        <v>1986</v>
      </c>
      <c r="B20">
        <f>AVERAGEIF(DataQ!$B:$B,DataA!$A20,DataQ!F:F)</f>
        <v>46.487994999999998</v>
      </c>
      <c r="C20">
        <f>SUMIF(DataQ!$B:$B,DataA!$A20,DataQ!G:G)</f>
        <v>15223.218000000001</v>
      </c>
      <c r="D20">
        <f>AVERAGEIF(DataQ!$B:$B,DataA!$A20,DataQ!H:H)</f>
        <v>116.20814999999999</v>
      </c>
      <c r="E20">
        <f>SUMIF(DataQ!$B:$B,DataA!$A20,DataQ!I:I)</f>
        <v>102934</v>
      </c>
      <c r="F20">
        <f>SUMIF(DataQ!$B:$B,DataA!$A20,DataQ!J:J)</f>
        <v>446600</v>
      </c>
      <c r="G20">
        <f>SUMIF(DataQ!$B:$B,DataA!$A20,DataQ!K:K)</f>
        <v>184468</v>
      </c>
      <c r="H20">
        <f>SUMIF(DataQ!$B:$B,DataA!$A20,DataQ!L:L)</f>
        <v>292036</v>
      </c>
      <c r="I20">
        <f>SUMIF(DataQ!$B:$B,DataA!$A20,DataQ!M:M)</f>
        <v>732897</v>
      </c>
      <c r="J20">
        <f>AVERAGEIF(DataQ!$B:$B,DataA!$A20,DataQ!N:N)</f>
        <v>40.371510000000001</v>
      </c>
    </row>
    <row r="21" spans="1:10" x14ac:dyDescent="0.25">
      <c r="A21">
        <v>1987</v>
      </c>
      <c r="B21">
        <f>AVERAGEIF(DataQ!$B:$B,DataA!$A21,DataQ!F:F)</f>
        <v>47.264912500000001</v>
      </c>
      <c r="C21">
        <f>SUMIF(DataQ!$B:$B,DataA!$A21,DataQ!G:G)</f>
        <v>17758</v>
      </c>
      <c r="D21">
        <f>AVERAGEIF(DataQ!$B:$B,DataA!$A21,DataQ!H:H)</f>
        <v>127.492625</v>
      </c>
      <c r="E21">
        <f>SUMIF(DataQ!$B:$B,DataA!$A21,DataQ!I:I)</f>
        <v>123213</v>
      </c>
      <c r="F21">
        <f>SUMIF(DataQ!$B:$B,DataA!$A21,DataQ!J:J)</f>
        <v>496809</v>
      </c>
      <c r="G21">
        <f>SUMIF(DataQ!$B:$B,DataA!$A21,DataQ!K:K)</f>
        <v>199714</v>
      </c>
      <c r="H21">
        <f>SUMIF(DataQ!$B:$B,DataA!$A21,DataQ!L:L)</f>
        <v>308812</v>
      </c>
      <c r="I21">
        <f>SUMIF(DataQ!$B:$B,DataA!$A21,DataQ!M:M)</f>
        <v>742332</v>
      </c>
      <c r="J21">
        <f>AVERAGEIF(DataQ!$B:$B,DataA!$A21,DataQ!N:N)</f>
        <v>42.122757500000006</v>
      </c>
    </row>
    <row r="22" spans="1:10" x14ac:dyDescent="0.25">
      <c r="A22">
        <v>1988</v>
      </c>
      <c r="B22">
        <f>AVERAGEIF(DataQ!$B:$B,DataA!$A22,DataQ!F:F)</f>
        <v>49.944009999999999</v>
      </c>
      <c r="C22">
        <f>SUMIF(DataQ!$B:$B,DataA!$A22,DataQ!G:G)</f>
        <v>19793</v>
      </c>
      <c r="D22">
        <f>AVERAGEIF(DataQ!$B:$B,DataA!$A22,DataQ!H:H)</f>
        <v>141.43197499999999</v>
      </c>
      <c r="E22">
        <f>SUMIF(DataQ!$B:$B,DataA!$A22,DataQ!I:I)</f>
        <v>140892</v>
      </c>
      <c r="F22">
        <f>SUMIF(DataQ!$B:$B,DataA!$A22,DataQ!J:J)</f>
        <v>555683</v>
      </c>
      <c r="G22">
        <f>SUMIF(DataQ!$B:$B,DataA!$A22,DataQ!K:K)</f>
        <v>223421</v>
      </c>
      <c r="H22">
        <f>SUMIF(DataQ!$B:$B,DataA!$A22,DataQ!L:L)</f>
        <v>341898</v>
      </c>
      <c r="I22">
        <f>SUMIF(DataQ!$B:$B,DataA!$A22,DataQ!M:M)</f>
        <v>782563</v>
      </c>
      <c r="J22">
        <f>AVERAGEIF(DataQ!$B:$B,DataA!$A22,DataQ!N:N)</f>
        <v>44.236497499999999</v>
      </c>
    </row>
    <row r="23" spans="1:10" x14ac:dyDescent="0.25">
      <c r="A23">
        <v>1989</v>
      </c>
      <c r="B23">
        <f>AVERAGEIF(DataQ!$B:$B,DataA!$A23,DataQ!F:F)</f>
        <v>54.406080000000003</v>
      </c>
      <c r="C23">
        <f>SUMIF(DataQ!$B:$B,DataA!$A23,DataQ!G:G)</f>
        <v>21500</v>
      </c>
      <c r="D23">
        <f>AVERAGEIF(DataQ!$B:$B,DataA!$A23,DataQ!H:H)</f>
        <v>158.04954999999998</v>
      </c>
      <c r="E23">
        <f>SUMIF(DataQ!$B:$B,DataA!$A23,DataQ!I:I)</f>
        <v>157363</v>
      </c>
      <c r="F23">
        <f>SUMIF(DataQ!$B:$B,DataA!$A23,DataQ!J:J)</f>
        <v>614631</v>
      </c>
      <c r="G23">
        <f>SUMIF(DataQ!$B:$B,DataA!$A23,DataQ!K:K)</f>
        <v>249240</v>
      </c>
      <c r="H23">
        <f>SUMIF(DataQ!$B:$B,DataA!$A23,DataQ!L:L)</f>
        <v>379762</v>
      </c>
      <c r="I23">
        <f>SUMIF(DataQ!$B:$B,DataA!$A23,DataQ!M:M)</f>
        <v>823265</v>
      </c>
      <c r="J23">
        <f>AVERAGEIF(DataQ!$B:$B,DataA!$A23,DataQ!N:N)</f>
        <v>46.662062499999998</v>
      </c>
    </row>
    <row r="24" spans="1:10" x14ac:dyDescent="0.25">
      <c r="A24">
        <v>1990</v>
      </c>
      <c r="B24">
        <f>AVERAGEIF(DataQ!$B:$B,DataA!$A24,DataQ!F:F)</f>
        <v>59.751525000000001</v>
      </c>
      <c r="C24">
        <f>SUMIF(DataQ!$B:$B,DataA!$A24,DataQ!G:G)</f>
        <v>23318</v>
      </c>
      <c r="D24">
        <f>AVERAGEIF(DataQ!$B:$B,DataA!$A24,DataQ!H:H)</f>
        <v>177.16129999999998</v>
      </c>
      <c r="E24">
        <f>SUMIF(DataQ!$B:$B,DataA!$A24,DataQ!I:I)</f>
        <v>166685</v>
      </c>
      <c r="F24">
        <f>SUMIF(DataQ!$B:$B,DataA!$A24,DataQ!J:J)</f>
        <v>670797</v>
      </c>
      <c r="G24">
        <f>SUMIF(DataQ!$B:$B,DataA!$A24,DataQ!K:K)</f>
        <v>275637</v>
      </c>
      <c r="H24">
        <f>SUMIF(DataQ!$B:$B,DataA!$A24,DataQ!L:L)</f>
        <v>424495</v>
      </c>
      <c r="I24">
        <f>SUMIF(DataQ!$B:$B,DataA!$A24,DataQ!M:M)</f>
        <v>855546</v>
      </c>
      <c r="J24">
        <f>AVERAGEIF(DataQ!$B:$B,DataA!$A24,DataQ!N:N)</f>
        <v>50.220087499999998</v>
      </c>
    </row>
    <row r="25" spans="1:10" x14ac:dyDescent="0.25">
      <c r="A25">
        <v>1991</v>
      </c>
      <c r="B25">
        <f>AVERAGEIF(DataQ!$B:$B,DataA!$A25,DataQ!F:F)</f>
        <v>64.591027499999996</v>
      </c>
      <c r="C25">
        <f>SUMIF(DataQ!$B:$B,DataA!$A25,DataQ!G:G)</f>
        <v>24717</v>
      </c>
      <c r="D25">
        <f>AVERAGEIF(DataQ!$B:$B,DataA!$A25,DataQ!H:H)</f>
        <v>195.23477500000001</v>
      </c>
      <c r="E25">
        <f>SUMIF(DataQ!$B:$B,DataA!$A25,DataQ!I:I)</f>
        <v>163324</v>
      </c>
      <c r="F25">
        <f>SUMIF(DataQ!$B:$B,DataA!$A25,DataQ!J:J)</f>
        <v>705884</v>
      </c>
      <c r="G25">
        <f>SUMIF(DataQ!$B:$B,DataA!$A25,DataQ!K:K)</f>
        <v>291596</v>
      </c>
      <c r="H25">
        <f>SUMIF(DataQ!$B:$B,DataA!$A25,DataQ!L:L)</f>
        <v>465426</v>
      </c>
      <c r="I25">
        <f>SUMIF(DataQ!$B:$B,DataA!$A25,DataQ!M:M)</f>
        <v>873023</v>
      </c>
      <c r="J25">
        <f>AVERAGEIF(DataQ!$B:$B,DataA!$A25,DataQ!N:N)</f>
        <v>54.081429999999997</v>
      </c>
    </row>
    <row r="26" spans="1:10" x14ac:dyDescent="0.25">
      <c r="A26">
        <v>1992</v>
      </c>
      <c r="B26">
        <f>AVERAGEIF(DataQ!$B:$B,DataA!$A26,DataQ!F:F)</f>
        <v>66.597562500000009</v>
      </c>
      <c r="C26">
        <f>SUMIF(DataQ!$B:$B,DataA!$A26,DataQ!G:G)</f>
        <v>25402</v>
      </c>
      <c r="D26">
        <f>AVERAGEIF(DataQ!$B:$B,DataA!$A26,DataQ!H:H)</f>
        <v>210.38567499999999</v>
      </c>
      <c r="E26">
        <f>SUMIF(DataQ!$B:$B,DataA!$A26,DataQ!I:I)</f>
        <v>163556</v>
      </c>
      <c r="F26">
        <f>SUMIF(DataQ!$B:$B,DataA!$A26,DataQ!J:J)</f>
        <v>730874</v>
      </c>
      <c r="G26">
        <f>SUMIF(DataQ!$B:$B,DataA!$A26,DataQ!K:K)</f>
        <v>300913</v>
      </c>
      <c r="H26">
        <f>SUMIF(DataQ!$B:$B,DataA!$A26,DataQ!L:L)</f>
        <v>497175</v>
      </c>
      <c r="I26">
        <f>SUMIF(DataQ!$B:$B,DataA!$A26,DataQ!M:M)</f>
        <v>896571</v>
      </c>
      <c r="J26">
        <f>AVERAGEIF(DataQ!$B:$B,DataA!$A26,DataQ!N:N)</f>
        <v>56.304250000000003</v>
      </c>
    </row>
    <row r="27" spans="1:10" x14ac:dyDescent="0.25">
      <c r="A27">
        <v>1993</v>
      </c>
      <c r="B27">
        <f>AVERAGEIF(DataQ!$B:$B,DataA!$A27,DataQ!F:F)</f>
        <v>67.128469999999993</v>
      </c>
      <c r="C27">
        <f>SUMIF(DataQ!$B:$B,DataA!$A27,DataQ!G:G)</f>
        <v>26847</v>
      </c>
      <c r="D27">
        <f>AVERAGEIF(DataQ!$B:$B,DataA!$A27,DataQ!H:H)</f>
        <v>219.05895000000001</v>
      </c>
      <c r="E27">
        <f>SUMIF(DataQ!$B:$B,DataA!$A27,DataQ!I:I)</f>
        <v>182607</v>
      </c>
      <c r="F27">
        <f>SUMIF(DataQ!$B:$B,DataA!$A27,DataQ!J:J)</f>
        <v>769855</v>
      </c>
      <c r="G27">
        <f>SUMIF(DataQ!$B:$B,DataA!$A27,DataQ!K:K)</f>
        <v>308445</v>
      </c>
      <c r="H27">
        <f>SUMIF(DataQ!$B:$B,DataA!$A27,DataQ!L:L)</f>
        <v>527497</v>
      </c>
      <c r="I27">
        <f>SUMIF(DataQ!$B:$B,DataA!$A27,DataQ!M:M)</f>
        <v>920167</v>
      </c>
      <c r="J27">
        <f>AVERAGEIF(DataQ!$B:$B,DataA!$A27,DataQ!N:N)</f>
        <v>58.081077499999999</v>
      </c>
    </row>
    <row r="28" spans="1:10" x14ac:dyDescent="0.25">
      <c r="A28">
        <v>1994</v>
      </c>
      <c r="B28">
        <f>AVERAGEIF(DataQ!$B:$B,DataA!$A28,DataQ!F:F)</f>
        <v>67.152280000000005</v>
      </c>
      <c r="C28">
        <f>SUMIF(DataQ!$B:$B,DataA!$A28,DataQ!G:G)</f>
        <v>27038</v>
      </c>
      <c r="D28">
        <f>AVERAGEIF(DataQ!$B:$B,DataA!$A28,DataQ!H:H)</f>
        <v>228.90707499999999</v>
      </c>
      <c r="E28">
        <f>SUMIF(DataQ!$B:$B,DataA!$A28,DataQ!I:I)</f>
        <v>199397</v>
      </c>
      <c r="F28">
        <f>SUMIF(DataQ!$B:$B,DataA!$A28,DataQ!J:J)</f>
        <v>810794</v>
      </c>
      <c r="G28">
        <f>SUMIF(DataQ!$B:$B,DataA!$A28,DataQ!K:K)</f>
        <v>319860</v>
      </c>
      <c r="H28">
        <f>SUMIF(DataQ!$B:$B,DataA!$A28,DataQ!L:L)</f>
        <v>546344</v>
      </c>
      <c r="I28">
        <f>SUMIF(DataQ!$B:$B,DataA!$A28,DataQ!M:M)</f>
        <v>937142</v>
      </c>
      <c r="J28">
        <f>AVERAGEIF(DataQ!$B:$B,DataA!$A28,DataQ!N:N)</f>
        <v>59.070397499999999</v>
      </c>
    </row>
    <row r="29" spans="1:10" x14ac:dyDescent="0.25">
      <c r="A29">
        <v>1995</v>
      </c>
      <c r="B29">
        <f>AVERAGEIF(DataQ!$B:$B,DataA!$A29,DataQ!F:F)</f>
        <v>68.548910000000006</v>
      </c>
      <c r="C29">
        <f>SUMIF(DataQ!$B:$B,DataA!$A29,DataQ!G:G)</f>
        <v>27892</v>
      </c>
      <c r="D29">
        <f>AVERAGEIF(DataQ!$B:$B,DataA!$A29,DataQ!H:H)</f>
        <v>238.136</v>
      </c>
      <c r="E29">
        <f>SUMIF(DataQ!$B:$B,DataA!$A29,DataQ!I:I)</f>
        <v>206306</v>
      </c>
      <c r="F29">
        <f>SUMIF(DataQ!$B:$B,DataA!$A29,DataQ!J:J)</f>
        <v>851845</v>
      </c>
      <c r="G29">
        <f>SUMIF(DataQ!$B:$B,DataA!$A29,DataQ!K:K)</f>
        <v>334384</v>
      </c>
      <c r="H29">
        <f>SUMIF(DataQ!$B:$B,DataA!$A29,DataQ!L:L)</f>
        <v>579299</v>
      </c>
      <c r="I29">
        <f>SUMIF(DataQ!$B:$B,DataA!$A29,DataQ!M:M)</f>
        <v>965162</v>
      </c>
      <c r="J29">
        <f>AVERAGEIF(DataQ!$B:$B,DataA!$A29,DataQ!N:N)</f>
        <v>60.807612499999998</v>
      </c>
    </row>
    <row r="30" spans="1:10" x14ac:dyDescent="0.25">
      <c r="A30">
        <v>1996</v>
      </c>
      <c r="B30">
        <f>AVERAGEIF(DataQ!$B:$B,DataA!$A30,DataQ!F:F)</f>
        <v>70.138887499999996</v>
      </c>
      <c r="C30">
        <f>SUMIF(DataQ!$B:$B,DataA!$A30,DataQ!G:G)</f>
        <v>29213</v>
      </c>
      <c r="D30">
        <f>AVERAGEIF(DataQ!$B:$B,DataA!$A30,DataQ!H:H)</f>
        <v>248.54797500000001</v>
      </c>
      <c r="E30">
        <f>SUMIF(DataQ!$B:$B,DataA!$A30,DataQ!I:I)</f>
        <v>230809</v>
      </c>
      <c r="F30">
        <f>SUMIF(DataQ!$B:$B,DataA!$A30,DataQ!J:J)</f>
        <v>909993</v>
      </c>
      <c r="G30">
        <f>SUMIF(DataQ!$B:$B,DataA!$A30,DataQ!K:K)</f>
        <v>349453</v>
      </c>
      <c r="H30">
        <f>SUMIF(DataQ!$B:$B,DataA!$A30,DataQ!L:L)</f>
        <v>615723</v>
      </c>
      <c r="I30">
        <f>SUMIF(DataQ!$B:$B,DataA!$A30,DataQ!M:M)</f>
        <v>990906</v>
      </c>
      <c r="J30">
        <f>AVERAGEIF(DataQ!$B:$B,DataA!$A30,DataQ!N:N)</f>
        <v>62.870675000000006</v>
      </c>
    </row>
    <row r="31" spans="1:10" x14ac:dyDescent="0.25">
      <c r="A31">
        <v>1997</v>
      </c>
      <c r="B31">
        <f>AVERAGEIF(DataQ!$B:$B,DataA!$A31,DataQ!F:F)</f>
        <v>72.425847500000003</v>
      </c>
      <c r="C31">
        <f>SUMIF(DataQ!$B:$B,DataA!$A31,DataQ!G:G)</f>
        <v>31038</v>
      </c>
      <c r="D31">
        <f>AVERAGEIF(DataQ!$B:$B,DataA!$A31,DataQ!H:H)</f>
        <v>261.8193</v>
      </c>
      <c r="E31">
        <f>SUMIF(DataQ!$B:$B,DataA!$A31,DataQ!I:I)</f>
        <v>234547</v>
      </c>
      <c r="F31">
        <f>SUMIF(DataQ!$B:$B,DataA!$A31,DataQ!J:J)</f>
        <v>953405</v>
      </c>
      <c r="G31">
        <f>SUMIF(DataQ!$B:$B,DataA!$A31,DataQ!K:K)</f>
        <v>378908</v>
      </c>
      <c r="H31">
        <f>SUMIF(DataQ!$B:$B,DataA!$A31,DataQ!L:L)</f>
        <v>638971</v>
      </c>
      <c r="I31">
        <f>SUMIF(DataQ!$B:$B,DataA!$A31,DataQ!M:M)</f>
        <v>1009165</v>
      </c>
      <c r="J31">
        <f>AVERAGEIF(DataQ!$B:$B,DataA!$A31,DataQ!N:N)</f>
        <v>64.162402499999999</v>
      </c>
    </row>
    <row r="32" spans="1:10" x14ac:dyDescent="0.25">
      <c r="A32">
        <v>1998</v>
      </c>
      <c r="B32">
        <f>AVERAGEIF(DataQ!$B:$B,DataA!$A32,DataQ!F:F)</f>
        <v>73.546962500000006</v>
      </c>
      <c r="C32">
        <f>SUMIF(DataQ!$B:$B,DataA!$A32,DataQ!G:G)</f>
        <v>32851</v>
      </c>
      <c r="D32">
        <f>AVERAGEIF(DataQ!$B:$B,DataA!$A32,DataQ!H:H)</f>
        <v>278.90902499999999</v>
      </c>
      <c r="E32">
        <f>SUMIF(DataQ!$B:$B,DataA!$A32,DataQ!I:I)</f>
        <v>241995</v>
      </c>
      <c r="F32">
        <f>SUMIF(DataQ!$B:$B,DataA!$A32,DataQ!J:J)</f>
        <v>998501</v>
      </c>
      <c r="G32">
        <f>SUMIF(DataQ!$B:$B,DataA!$A32,DataQ!K:K)</f>
        <v>397409</v>
      </c>
      <c r="H32">
        <f>SUMIF(DataQ!$B:$B,DataA!$A32,DataQ!L:L)</f>
        <v>653785</v>
      </c>
      <c r="I32">
        <f>SUMIF(DataQ!$B:$B,DataA!$A32,DataQ!M:M)</f>
        <v>1018309</v>
      </c>
      <c r="J32">
        <f>AVERAGEIF(DataQ!$B:$B,DataA!$A32,DataQ!N:N)</f>
        <v>65.029245000000003</v>
      </c>
    </row>
    <row r="33" spans="1:10" x14ac:dyDescent="0.25">
      <c r="A33">
        <v>1999</v>
      </c>
      <c r="B33">
        <f>AVERAGEIF(DataQ!$B:$B,DataA!$A33,DataQ!F:F)</f>
        <v>77.177779999999998</v>
      </c>
      <c r="C33">
        <f>SUMIF(DataQ!$B:$B,DataA!$A33,DataQ!G:G)</f>
        <v>35853</v>
      </c>
      <c r="D33">
        <f>AVERAGEIF(DataQ!$B:$B,DataA!$A33,DataQ!H:H)</f>
        <v>295.42552499999999</v>
      </c>
      <c r="E33">
        <f>SUMIF(DataQ!$B:$B,DataA!$A33,DataQ!I:I)</f>
        <v>229626</v>
      </c>
      <c r="F33">
        <f>SUMIF(DataQ!$B:$B,DataA!$A33,DataQ!J:J)</f>
        <v>1043248</v>
      </c>
      <c r="G33">
        <f>SUMIF(DataQ!$B:$B,DataA!$A33,DataQ!K:K)</f>
        <v>428583</v>
      </c>
      <c r="H33">
        <f>SUMIF(DataQ!$B:$B,DataA!$A33,DataQ!L:L)</f>
        <v>687177</v>
      </c>
      <c r="I33">
        <f>SUMIF(DataQ!$B:$B,DataA!$A33,DataQ!M:M)</f>
        <v>1062583</v>
      </c>
      <c r="J33">
        <f>AVERAGEIF(DataQ!$B:$B,DataA!$A33,DataQ!N:N)</f>
        <v>65.456424999999996</v>
      </c>
    </row>
    <row r="34" spans="1:10" x14ac:dyDescent="0.25">
      <c r="A34">
        <v>2000</v>
      </c>
      <c r="B34">
        <f>AVERAGEIF(DataQ!$B:$B,DataA!$A34,DataQ!F:F)</f>
        <v>79.438455000000005</v>
      </c>
      <c r="C34">
        <f>SUMIF(DataQ!$B:$B,DataA!$A34,DataQ!G:G)</f>
        <v>39195</v>
      </c>
      <c r="D34">
        <f>AVERAGEIF(DataQ!$B:$B,DataA!$A34,DataQ!H:H)</f>
        <v>312.74997500000001</v>
      </c>
      <c r="E34">
        <f>SUMIF(DataQ!$B:$B,DataA!$A34,DataQ!I:I)</f>
        <v>233989</v>
      </c>
      <c r="F34">
        <f>SUMIF(DataQ!$B:$B,DataA!$A34,DataQ!J:J)</f>
        <v>1100752</v>
      </c>
      <c r="G34">
        <f>SUMIF(DataQ!$B:$B,DataA!$A34,DataQ!K:K)</f>
        <v>456373</v>
      </c>
      <c r="H34">
        <f>SUMIF(DataQ!$B:$B,DataA!$A34,DataQ!L:L)</f>
        <v>727610</v>
      </c>
      <c r="I34">
        <f>SUMIF(DataQ!$B:$B,DataA!$A34,DataQ!M:M)</f>
        <v>1122465</v>
      </c>
      <c r="J34">
        <f>AVERAGEIF(DataQ!$B:$B,DataA!$A34,DataQ!N:N)</f>
        <v>65.530632499999996</v>
      </c>
    </row>
    <row r="35" spans="1:10" x14ac:dyDescent="0.25">
      <c r="A35">
        <v>2001</v>
      </c>
      <c r="B35">
        <f>AVERAGEIF(DataQ!$B:$B,DataA!$A35,DataQ!F:F)</f>
        <v>82.437015000000002</v>
      </c>
      <c r="C35">
        <f>SUMIF(DataQ!$B:$B,DataA!$A35,DataQ!G:G)</f>
        <v>41168</v>
      </c>
      <c r="D35">
        <f>AVERAGEIF(DataQ!$B:$B,DataA!$A35,DataQ!H:H)</f>
        <v>328.666675</v>
      </c>
      <c r="E35">
        <f>SUMIF(DataQ!$B:$B,DataA!$A35,DataQ!I:I)</f>
        <v>235052</v>
      </c>
      <c r="F35">
        <f>SUMIF(DataQ!$B:$B,DataA!$A35,DataQ!J:J)</f>
        <v>1146135</v>
      </c>
      <c r="G35">
        <f>SUMIF(DataQ!$B:$B,DataA!$A35,DataQ!K:K)</f>
        <v>485948</v>
      </c>
      <c r="H35">
        <f>SUMIF(DataQ!$B:$B,DataA!$A35,DataQ!L:L)</f>
        <v>760114</v>
      </c>
      <c r="I35">
        <f>SUMIF(DataQ!$B:$B,DataA!$A35,DataQ!M:M)</f>
        <v>1162075</v>
      </c>
      <c r="J35">
        <f>AVERAGEIF(DataQ!$B:$B,DataA!$A35,DataQ!N:N)</f>
        <v>66.019132500000012</v>
      </c>
    </row>
    <row r="36" spans="1:10" x14ac:dyDescent="0.25">
      <c r="A36">
        <v>2002</v>
      </c>
      <c r="B36">
        <f>AVERAGEIF(DataQ!$B:$B,DataA!$A36,DataQ!F:F)</f>
        <v>82.958932500000003</v>
      </c>
      <c r="C36">
        <f>SUMIF(DataQ!$B:$B,DataA!$A36,DataQ!G:G)</f>
        <v>41857</v>
      </c>
      <c r="D36">
        <f>AVERAGEIF(DataQ!$B:$B,DataA!$A36,DataQ!H:H)</f>
        <v>339.166675</v>
      </c>
      <c r="E36">
        <f>SUMIF(DataQ!$B:$B,DataA!$A36,DataQ!I:I)</f>
        <v>254657</v>
      </c>
      <c r="F36">
        <f>SUMIF(DataQ!$B:$B,DataA!$A36,DataQ!J:J)</f>
        <v>1191439</v>
      </c>
      <c r="G36">
        <f>SUMIF(DataQ!$B:$B,DataA!$A36,DataQ!K:K)</f>
        <v>498707</v>
      </c>
      <c r="H36">
        <f>SUMIF(DataQ!$B:$B,DataA!$A36,DataQ!L:L)</f>
        <v>785298</v>
      </c>
      <c r="I36">
        <f>SUMIF(DataQ!$B:$B,DataA!$A36,DataQ!M:M)</f>
        <v>1190985</v>
      </c>
      <c r="J36">
        <f>AVERAGEIF(DataQ!$B:$B,DataA!$A36,DataQ!N:N)</f>
        <v>66.437055000000001</v>
      </c>
    </row>
    <row r="37" spans="1:10" x14ac:dyDescent="0.25">
      <c r="A37">
        <v>2003</v>
      </c>
      <c r="B37">
        <f>AVERAGEIF(DataQ!$B:$B,DataA!$A37,DataQ!F:F)</f>
        <v>84.746269999999996</v>
      </c>
      <c r="C37">
        <f>SUMIF(DataQ!$B:$B,DataA!$A37,DataQ!G:G)</f>
        <v>47172</v>
      </c>
      <c r="D37">
        <f>AVERAGEIF(DataQ!$B:$B,DataA!$A37,DataQ!H:H)</f>
        <v>350.166675</v>
      </c>
      <c r="E37">
        <f>SUMIF(DataQ!$B:$B,DataA!$A37,DataQ!I:I)</f>
        <v>277633</v>
      </c>
      <c r="F37">
        <f>SUMIF(DataQ!$B:$B,DataA!$A37,DataQ!J:J)</f>
        <v>1258334</v>
      </c>
      <c r="G37">
        <f>SUMIF(DataQ!$B:$B,DataA!$A37,DataQ!K:K)</f>
        <v>521700</v>
      </c>
      <c r="H37">
        <f>SUMIF(DataQ!$B:$B,DataA!$A37,DataQ!L:L)</f>
        <v>813613</v>
      </c>
      <c r="I37">
        <f>SUMIF(DataQ!$B:$B,DataA!$A37,DataQ!M:M)</f>
        <v>1217154</v>
      </c>
      <c r="J37">
        <f>AVERAGEIF(DataQ!$B:$B,DataA!$A37,DataQ!N:N)</f>
        <v>67.262397500000006</v>
      </c>
    </row>
    <row r="38" spans="1:10" x14ac:dyDescent="0.25">
      <c r="A38">
        <v>2004</v>
      </c>
      <c r="B38">
        <f>AVERAGEIF(DataQ!$B:$B,DataA!$A38,DataQ!F:F)</f>
        <v>88.32847000000001</v>
      </c>
      <c r="C38">
        <f>SUMIF(DataQ!$B:$B,DataA!$A38,DataQ!G:G)</f>
        <v>52530</v>
      </c>
      <c r="D38">
        <f>AVERAGEIF(DataQ!$B:$B,DataA!$A38,DataQ!H:H)</f>
        <v>365.333325</v>
      </c>
      <c r="E38">
        <f>SUMIF(DataQ!$B:$B,DataA!$A38,DataQ!I:I)</f>
        <v>284786</v>
      </c>
      <c r="F38">
        <f>SUMIF(DataQ!$B:$B,DataA!$A38,DataQ!J:J)</f>
        <v>1322637</v>
      </c>
      <c r="G38">
        <f>SUMIF(DataQ!$B:$B,DataA!$A38,DataQ!K:K)</f>
        <v>552686</v>
      </c>
      <c r="H38">
        <f>SUMIF(DataQ!$B:$B,DataA!$A38,DataQ!L:L)</f>
        <v>852800</v>
      </c>
      <c r="I38">
        <f>SUMIF(DataQ!$B:$B,DataA!$A38,DataQ!M:M)</f>
        <v>1251692</v>
      </c>
      <c r="J38">
        <f>AVERAGEIF(DataQ!$B:$B,DataA!$A38,DataQ!N:N)</f>
        <v>68.509722500000009</v>
      </c>
    </row>
    <row r="39" spans="1:10" x14ac:dyDescent="0.25">
      <c r="A39">
        <v>2005</v>
      </c>
      <c r="B39">
        <f>AVERAGEIF(DataQ!$B:$B,DataA!$A39,DataQ!F:F)</f>
        <v>90.980840000000001</v>
      </c>
      <c r="C39">
        <f>SUMIF(DataQ!$B:$B,DataA!$A39,DataQ!G:G)</f>
        <v>57197</v>
      </c>
      <c r="D39">
        <f>AVERAGEIF(DataQ!$B:$B,DataA!$A39,DataQ!H:H)</f>
        <v>382.41665</v>
      </c>
      <c r="E39">
        <f>SUMIF(DataQ!$B:$B,DataA!$A39,DataQ!I:I)</f>
        <v>309416</v>
      </c>
      <c r="F39">
        <f>SUMIF(DataQ!$B:$B,DataA!$A39,DataQ!J:J)</f>
        <v>1398749</v>
      </c>
      <c r="G39">
        <f>SUMIF(DataQ!$B:$B,DataA!$A39,DataQ!K:K)</f>
        <v>578425</v>
      </c>
      <c r="H39">
        <f>SUMIF(DataQ!$B:$B,DataA!$A39,DataQ!L:L)</f>
        <v>891024</v>
      </c>
      <c r="I39">
        <f>SUMIF(DataQ!$B:$B,DataA!$A39,DataQ!M:M)</f>
        <v>1282741</v>
      </c>
      <c r="J39">
        <f>AVERAGEIF(DataQ!$B:$B,DataA!$A39,DataQ!N:N)</f>
        <v>69.761975000000007</v>
      </c>
    </row>
    <row r="40" spans="1:10" x14ac:dyDescent="0.25">
      <c r="A40">
        <v>2006</v>
      </c>
      <c r="B40">
        <f>AVERAGEIF(DataQ!$B:$B,DataA!$A40,DataQ!F:F)</f>
        <v>94.007125000000002</v>
      </c>
      <c r="C40">
        <f>SUMIF(DataQ!$B:$B,DataA!$A40,DataQ!G:G)</f>
        <v>60520</v>
      </c>
      <c r="D40">
        <f>AVERAGEIF(DataQ!$B:$B,DataA!$A40,DataQ!H:H)</f>
        <v>400.166675</v>
      </c>
      <c r="E40">
        <f>SUMIF(DataQ!$B:$B,DataA!$A40,DataQ!I:I)</f>
        <v>320607</v>
      </c>
      <c r="F40">
        <f>SUMIF(DataQ!$B:$B,DataA!$A40,DataQ!J:J)</f>
        <v>1472038</v>
      </c>
      <c r="G40">
        <f>SUMIF(DataQ!$B:$B,DataA!$A40,DataQ!K:K)</f>
        <v>610443</v>
      </c>
      <c r="H40">
        <f>SUMIF(DataQ!$B:$B,DataA!$A40,DataQ!L:L)</f>
        <v>935159</v>
      </c>
      <c r="I40">
        <f>SUMIF(DataQ!$B:$B,DataA!$A40,DataQ!M:M)</f>
        <v>1305289</v>
      </c>
      <c r="J40">
        <f>AVERAGEIF(DataQ!$B:$B,DataA!$A40,DataQ!N:N)</f>
        <v>71.833882500000001</v>
      </c>
    </row>
    <row r="41" spans="1:10" x14ac:dyDescent="0.25">
      <c r="A41">
        <v>2007</v>
      </c>
      <c r="B41">
        <f>AVERAGEIF(DataQ!$B:$B,DataA!$A41,DataQ!F:F)</f>
        <v>97.772499999999994</v>
      </c>
      <c r="C41">
        <f>SUMIF(DataQ!$B:$B,DataA!$A41,DataQ!G:G)</f>
        <v>65720</v>
      </c>
      <c r="D41">
        <f>AVERAGEIF(DataQ!$B:$B,DataA!$A41,DataQ!H:H)</f>
        <v>419.833325</v>
      </c>
      <c r="E41">
        <f>SUMIF(DataQ!$B:$B,DataA!$A41,DataQ!I:I)</f>
        <v>329551</v>
      </c>
      <c r="F41">
        <f>SUMIF(DataQ!$B:$B,DataA!$A41,DataQ!J:J)</f>
        <v>1544637</v>
      </c>
      <c r="G41">
        <f>SUMIF(DataQ!$B:$B,DataA!$A41,DataQ!K:K)</f>
        <v>651314</v>
      </c>
      <c r="H41">
        <f>SUMIF(DataQ!$B:$B,DataA!$A41,DataQ!L:L)</f>
        <v>986363</v>
      </c>
      <c r="I41">
        <f>SUMIF(DataQ!$B:$B,DataA!$A41,DataQ!M:M)</f>
        <v>1356037</v>
      </c>
      <c r="J41">
        <f>AVERAGEIF(DataQ!$B:$B,DataA!$A41,DataQ!N:N)</f>
        <v>72.825212500000006</v>
      </c>
    </row>
    <row r="42" spans="1:10" x14ac:dyDescent="0.25">
      <c r="A42">
        <v>2008</v>
      </c>
      <c r="B42">
        <f>AVERAGEIF(DataQ!$B:$B,DataA!$A42,DataQ!F:F)</f>
        <v>100.00002000000001</v>
      </c>
      <c r="C42">
        <f>SUMIF(DataQ!$B:$B,DataA!$A42,DataQ!G:G)</f>
        <v>69696</v>
      </c>
      <c r="D42">
        <f>AVERAGEIF(DataQ!$B:$B,DataA!$A42,DataQ!H:H)</f>
        <v>434.416675</v>
      </c>
      <c r="E42">
        <f>SUMIF(DataQ!$B:$B,DataA!$A42,DataQ!I:I)</f>
        <v>350899</v>
      </c>
      <c r="F42">
        <f>SUMIF(DataQ!$B:$B,DataA!$A42,DataQ!J:J)</f>
        <v>1593600</v>
      </c>
      <c r="G42">
        <f>SUMIF(DataQ!$B:$B,DataA!$A42,DataQ!K:K)</f>
        <v>665400</v>
      </c>
      <c r="H42">
        <f>SUMIF(DataQ!$B:$B,DataA!$A42,DataQ!L:L)</f>
        <v>1021020</v>
      </c>
      <c r="I42">
        <f>SUMIF(DataQ!$B:$B,DataA!$A42,DataQ!M:M)</f>
        <v>1349254</v>
      </c>
      <c r="J42">
        <f>AVERAGEIF(DataQ!$B:$B,DataA!$A42,DataQ!N:N)</f>
        <v>75.736959999999996</v>
      </c>
    </row>
    <row r="43" spans="1:10" x14ac:dyDescent="0.25">
      <c r="A43">
        <v>2009</v>
      </c>
      <c r="B43">
        <f>AVERAGEIF(DataQ!$B:$B,DataA!$A43,DataQ!F:F)</f>
        <v>103.74160000000001</v>
      </c>
      <c r="C43">
        <f>SUMIF(DataQ!$B:$B,DataA!$A43,DataQ!G:G)</f>
        <v>68795</v>
      </c>
      <c r="D43">
        <f>AVERAGEIF(DataQ!$B:$B,DataA!$A43,DataQ!H:H)</f>
        <v>434.08335</v>
      </c>
      <c r="E43">
        <f>SUMIF(DataQ!$B:$B,DataA!$A43,DataQ!I:I)</f>
        <v>340017</v>
      </c>
      <c r="F43">
        <f>SUMIF(DataQ!$B:$B,DataA!$A43,DataQ!J:J)</f>
        <v>1548802</v>
      </c>
      <c r="G43">
        <f>SUMIF(DataQ!$B:$B,DataA!$A43,DataQ!K:K)</f>
        <v>654141</v>
      </c>
      <c r="H43">
        <f>SUMIF(DataQ!$B:$B,DataA!$A43,DataQ!L:L)</f>
        <v>1047182</v>
      </c>
      <c r="I43">
        <f>SUMIF(DataQ!$B:$B,DataA!$A43,DataQ!M:M)</f>
        <v>1370568</v>
      </c>
      <c r="J43">
        <f>AVERAGEIF(DataQ!$B:$B,DataA!$A43,DataQ!N:N)</f>
        <v>76.341580000000008</v>
      </c>
    </row>
    <row r="44" spans="1:10" x14ac:dyDescent="0.25">
      <c r="A44">
        <v>2010</v>
      </c>
      <c r="B44">
        <f>AVERAGEIF(DataQ!$B:$B,DataA!$A44,DataQ!F:F)</f>
        <v>103.99664999999999</v>
      </c>
      <c r="C44">
        <f>SUMIF(DataQ!$B:$B,DataA!$A44,DataQ!G:G)</f>
        <v>71563</v>
      </c>
      <c r="D44">
        <f>AVERAGEIF(DataQ!$B:$B,DataA!$A44,DataQ!H:H)</f>
        <v>444.166675</v>
      </c>
      <c r="E44">
        <f>SUMIF(DataQ!$B:$B,DataA!$A44,DataQ!I:I)</f>
        <v>353181</v>
      </c>
      <c r="F44">
        <f>SUMIF(DataQ!$B:$B,DataA!$A44,DataQ!J:J)</f>
        <v>1608553</v>
      </c>
      <c r="G44">
        <f>SUMIF(DataQ!$B:$B,DataA!$A44,DataQ!K:K)</f>
        <v>659695</v>
      </c>
      <c r="H44">
        <f>SUMIF(DataQ!$B:$B,DataA!$A44,DataQ!L:L)</f>
        <v>1067630</v>
      </c>
      <c r="I44">
        <f>SUMIF(DataQ!$B:$B,DataA!$A44,DataQ!M:M)</f>
        <v>1383741</v>
      </c>
      <c r="J44">
        <f>AVERAGEIF(DataQ!$B:$B,DataA!$A44,DataQ!N:N)</f>
        <v>77.048077500000005</v>
      </c>
    </row>
    <row r="45" spans="1:10" x14ac:dyDescent="0.25">
      <c r="A45">
        <v>2011</v>
      </c>
      <c r="B45">
        <f>AVERAGEIF(DataQ!$B:$B,DataA!$A45,DataQ!F:F)</f>
        <v>105.0825</v>
      </c>
      <c r="C45">
        <f>SUMIF(DataQ!$B:$B,DataA!$A45,DataQ!G:G)</f>
        <v>73449</v>
      </c>
      <c r="D45">
        <f>AVERAGEIF(DataQ!$B:$B,DataA!$A45,DataQ!H:H)</f>
        <v>454.83335</v>
      </c>
      <c r="E45">
        <f>SUMIF(DataQ!$B:$B,DataA!$A45,DataQ!I:I)</f>
        <v>366700</v>
      </c>
      <c r="F45">
        <f>SUMIF(DataQ!$B:$B,DataA!$A45,DataQ!J:J)</f>
        <v>1662590</v>
      </c>
      <c r="G45">
        <f>SUMIF(DataQ!$B:$B,DataA!$A45,DataQ!K:K)</f>
        <v>676035</v>
      </c>
      <c r="H45">
        <f>SUMIF(DataQ!$B:$B,DataA!$A45,DataQ!L:L)</f>
        <v>1083670</v>
      </c>
      <c r="I45">
        <f>SUMIF(DataQ!$B:$B,DataA!$A45,DataQ!M:M)</f>
        <v>1351989</v>
      </c>
      <c r="J45">
        <f>AVERAGEIF(DataQ!$B:$B,DataA!$A45,DataQ!N:N)</f>
        <v>80.126795000000001</v>
      </c>
    </row>
    <row r="46" spans="1:10" x14ac:dyDescent="0.25">
      <c r="A46">
        <v>2012</v>
      </c>
      <c r="B46">
        <f>AVERAGEIF(DataQ!$B:$B,DataA!$A46,DataQ!F:F)</f>
        <v>105.47755000000001</v>
      </c>
      <c r="C46">
        <f>SUMIF(DataQ!$B:$B,DataA!$A46,DataQ!G:G)</f>
        <v>75709</v>
      </c>
      <c r="D46">
        <f>AVERAGEIF(DataQ!$B:$B,DataA!$A46,DataQ!H:H)</f>
        <v>460.666675</v>
      </c>
      <c r="E46">
        <f>SUMIF(DataQ!$B:$B,DataA!$A46,DataQ!I:I)</f>
        <v>382532</v>
      </c>
      <c r="F46">
        <f>SUMIF(DataQ!$B:$B,DataA!$A46,DataQ!J:J)</f>
        <v>1713715</v>
      </c>
      <c r="G46">
        <f>SUMIF(DataQ!$B:$B,DataA!$A46,DataQ!K:K)</f>
        <v>685315</v>
      </c>
      <c r="H46">
        <f>SUMIF(DataQ!$B:$B,DataA!$A46,DataQ!L:L)</f>
        <v>1128936</v>
      </c>
      <c r="I46">
        <f>SUMIF(DataQ!$B:$B,DataA!$A46,DataQ!M:M)</f>
        <v>1385185</v>
      </c>
      <c r="J46">
        <f>AVERAGEIF(DataQ!$B:$B,DataA!$A46,DataQ!N:N)</f>
        <v>81.463710000000006</v>
      </c>
    </row>
    <row r="47" spans="1:10" x14ac:dyDescent="0.25">
      <c r="A47">
        <v>2013</v>
      </c>
      <c r="B47">
        <f>AVERAGEIF(DataQ!$B:$B,DataA!$A47,DataQ!F:F)</f>
        <v>107.675825</v>
      </c>
      <c r="C47">
        <f>SUMIF(DataQ!$B:$B,DataA!$A47,DataQ!G:G)</f>
        <v>76872</v>
      </c>
      <c r="D47">
        <f>AVERAGEIF(DataQ!$B:$B,DataA!$A47,DataQ!H:H)</f>
        <v>465.583325</v>
      </c>
      <c r="E47">
        <f>SUMIF(DataQ!$B:$B,DataA!$A47,DataQ!I:I)</f>
        <v>396588</v>
      </c>
      <c r="F47">
        <f>SUMIF(DataQ!$B:$B,DataA!$A47,DataQ!J:J)</f>
        <v>1781361</v>
      </c>
      <c r="G47">
        <f>SUMIF(DataQ!$B:$B,DataA!$A47,DataQ!K:K)</f>
        <v>717568</v>
      </c>
      <c r="H47">
        <f>SUMIF(DataQ!$B:$B,DataA!$A47,DataQ!L:L)</f>
        <v>1175806</v>
      </c>
      <c r="I47">
        <f>SUMIF(DataQ!$B:$B,DataA!$A47,DataQ!M:M)</f>
        <v>1411202</v>
      </c>
      <c r="J47">
        <f>AVERAGEIF(DataQ!$B:$B,DataA!$A47,DataQ!N:N)</f>
        <v>83.274417499999998</v>
      </c>
    </row>
    <row r="48" spans="1:10" x14ac:dyDescent="0.25">
      <c r="A48">
        <v>2014</v>
      </c>
      <c r="B48">
        <f>AVERAGEIF(DataQ!$B:$B,DataA!$A48,DataQ!F:F)</f>
        <v>106.96119999999999</v>
      </c>
      <c r="C48">
        <f>SUMIF(DataQ!$B:$B,DataA!$A48,DataQ!G:G)</f>
        <v>78964</v>
      </c>
      <c r="D48">
        <f>AVERAGEIF(DataQ!$B:$B,DataA!$A48,DataQ!H:H)</f>
        <v>470.66665</v>
      </c>
      <c r="E48">
        <f>SUMIF(DataQ!$B:$B,DataA!$A48,DataQ!I:I)</f>
        <v>425352</v>
      </c>
      <c r="F48">
        <f>SUMIF(DataQ!$B:$B,DataA!$A48,DataQ!J:J)</f>
        <v>1862514</v>
      </c>
      <c r="G48">
        <f>SUMIF(DataQ!$B:$B,DataA!$A48,DataQ!K:K)</f>
        <v>744077</v>
      </c>
      <c r="H48">
        <f>SUMIF(DataQ!$B:$B,DataA!$A48,DataQ!L:L)</f>
        <v>1216953</v>
      </c>
      <c r="I48">
        <f>SUMIF(DataQ!$B:$B,DataA!$A48,DataQ!M:M)</f>
        <v>1443046</v>
      </c>
      <c r="J48">
        <f>AVERAGEIF(DataQ!$B:$B,DataA!$A48,DataQ!N:N)</f>
        <v>84.238100000000003</v>
      </c>
    </row>
    <row r="49" spans="1:10" x14ac:dyDescent="0.25">
      <c r="A49">
        <v>2015</v>
      </c>
      <c r="B49">
        <f>AVERAGEIF(DataQ!$B:$B,DataA!$A49,DataQ!F:F)</f>
        <v>108.14055</v>
      </c>
      <c r="C49">
        <f>SUMIF(DataQ!$B:$B,DataA!$A49,DataQ!G:G)</f>
        <v>83240</v>
      </c>
      <c r="D49">
        <f>AVERAGEIF(DataQ!$B:$B,DataA!$A49,DataQ!H:H)</f>
        <v>482</v>
      </c>
      <c r="E49">
        <f>SUMIF(DataQ!$B:$B,DataA!$A49,DataQ!I:I)</f>
        <v>425845</v>
      </c>
      <c r="F49">
        <f>SUMIF(DataQ!$B:$B,DataA!$A49,DataQ!J:J)</f>
        <v>1916451</v>
      </c>
      <c r="G49">
        <f>SUMIF(DataQ!$B:$B,DataA!$A49,DataQ!K:K)</f>
        <v>768925</v>
      </c>
      <c r="H49">
        <f>SUMIF(DataQ!$B:$B,DataA!$A49,DataQ!L:L)</f>
        <v>1286210</v>
      </c>
      <c r="I49">
        <f>SUMIF(DataQ!$B:$B,DataA!$A49,DataQ!M:M)</f>
        <v>1530519</v>
      </c>
      <c r="J49">
        <f>AVERAGEIF(DataQ!$B:$B,DataA!$A49,DataQ!N:N)</f>
        <v>83.925319999999999</v>
      </c>
    </row>
    <row r="50" spans="1:10" x14ac:dyDescent="0.25">
      <c r="A50">
        <v>2016</v>
      </c>
      <c r="B50">
        <f>AVERAGEIF(DataQ!$B:$B,DataA!$A50,DataQ!F:F)</f>
        <v>110.32785</v>
      </c>
      <c r="C50">
        <f>SUMIF(DataQ!$B:$B,DataA!$A50,DataQ!G:G)</f>
        <v>88824</v>
      </c>
      <c r="D50">
        <f>AVERAGEIF(DataQ!$B:$B,DataA!$A50,DataQ!H:H)</f>
        <v>493.5</v>
      </c>
      <c r="E50">
        <f>SUMIF(DataQ!$B:$B,DataA!$A50,DataQ!I:I)</f>
        <v>439483</v>
      </c>
      <c r="F50">
        <f>SUMIF(DataQ!$B:$B,DataA!$A50,DataQ!J:J)</f>
        <v>1991645</v>
      </c>
      <c r="G50">
        <f>SUMIF(DataQ!$B:$B,DataA!$A50,DataQ!K:K)</f>
        <v>795227</v>
      </c>
      <c r="H50">
        <f>SUMIF(DataQ!$B:$B,DataA!$A50,DataQ!L:L)</f>
        <v>1311367</v>
      </c>
      <c r="I50">
        <f>SUMIF(DataQ!$B:$B,DataA!$A50,DataQ!M:M)</f>
        <v>1541145</v>
      </c>
      <c r="J50">
        <f>AVERAGEIF(DataQ!$B:$B,DataA!$A50,DataQ!N:N)</f>
        <v>84.988732499999998</v>
      </c>
    </row>
    <row r="51" spans="1:10" x14ac:dyDescent="0.25">
      <c r="A51">
        <v>2017</v>
      </c>
      <c r="B51">
        <f>AVERAGEIF(DataQ!$B:$B,DataA!$A51,DataQ!F:F)</f>
        <v>111.70175</v>
      </c>
      <c r="C51">
        <f>SUMIF(DataQ!$B:$B,DataA!$A51,DataQ!G:G)</f>
        <v>94661</v>
      </c>
      <c r="D51">
        <f>AVERAGEIF(DataQ!$B:$B,DataA!$A51,DataQ!H:H)</f>
        <v>505.083325</v>
      </c>
      <c r="E51">
        <f>SUMIF(DataQ!$B:$B,DataA!$A51,DataQ!I:I)</f>
        <v>466988</v>
      </c>
      <c r="F51">
        <f>SUMIF(DataQ!$B:$B,DataA!$A51,DataQ!J:J)</f>
        <v>2082482</v>
      </c>
      <c r="G51">
        <f>SUMIF(DataQ!$B:$B,DataA!$A51,DataQ!K:K)</f>
        <v>827282</v>
      </c>
      <c r="H51">
        <f>SUMIF(DataQ!$B:$B,DataA!$A51,DataQ!L:L)</f>
        <v>1347073</v>
      </c>
      <c r="I51">
        <f>SUMIF(DataQ!$B:$B,DataA!$A51,DataQ!M:M)</f>
        <v>1554849</v>
      </c>
      <c r="J51">
        <f>AVERAGEIF(DataQ!$B:$B,DataA!$A51,DataQ!N:N)</f>
        <v>86.563524999999998</v>
      </c>
    </row>
    <row r="52" spans="1:10" x14ac:dyDescent="0.25">
      <c r="A52">
        <v>2018</v>
      </c>
      <c r="B52">
        <f>AVERAGEIF(DataQ!$B:$B,DataA!$A52,DataQ!F:F)</f>
        <v>114.83882499999999</v>
      </c>
      <c r="C52">
        <f>SUMIF(DataQ!$B:$B,DataA!$A52,DataQ!G:G)</f>
        <v>98064</v>
      </c>
      <c r="D52">
        <f>AVERAGEIF(DataQ!$B:$B,DataA!$A52,DataQ!H:H)</f>
        <v>519.75</v>
      </c>
      <c r="E52">
        <f>SUMIF(DataQ!$B:$B,DataA!$A52,DataQ!I:I)</f>
        <v>468601</v>
      </c>
      <c r="F52">
        <f>SUMIF(DataQ!$B:$B,DataA!$A52,DataQ!J:J)</f>
        <v>2152304</v>
      </c>
      <c r="G52">
        <f>SUMIF(DataQ!$B:$B,DataA!$A52,DataQ!K:K)</f>
        <v>862510</v>
      </c>
      <c r="H52">
        <f>SUMIF(DataQ!$B:$B,DataA!$A52,DataQ!L:L)</f>
        <v>1402439</v>
      </c>
      <c r="I52">
        <f>SUMIF(DataQ!$B:$B,DataA!$A52,DataQ!M:M)</f>
        <v>1585687</v>
      </c>
      <c r="J52">
        <f>AVERAGEIF(DataQ!$B:$B,DataA!$A52,DataQ!N:N)</f>
        <v>88.38078999999999</v>
      </c>
    </row>
    <row r="53" spans="1:10" x14ac:dyDescent="0.25">
      <c r="A53">
        <v>2019</v>
      </c>
      <c r="B53">
        <f>AVERAGEIF(DataQ!$B:$B,DataA!$A53,DataQ!F:F)</f>
        <v>117.94199999999999</v>
      </c>
      <c r="C53">
        <f>SUMIF(DataQ!$B:$B,DataA!$A53,DataQ!G:G)</f>
        <v>106936</v>
      </c>
      <c r="D53">
        <f>AVERAGEIF(DataQ!$B:$B,DataA!$A53,DataQ!H:H)</f>
        <v>537.58332500000006</v>
      </c>
      <c r="E53">
        <f>SUMIF(DataQ!$B:$B,DataA!$A53,DataQ!I:I)</f>
        <v>485008</v>
      </c>
      <c r="F53">
        <f>SUMIF(DataQ!$B:$B,DataA!$A53,DataQ!J:J)</f>
        <v>2233921</v>
      </c>
      <c r="G53">
        <f>SUMIF(DataQ!$B:$B,DataA!$A53,DataQ!K:K)</f>
        <v>892362</v>
      </c>
      <c r="H53">
        <f>SUMIF(DataQ!$B:$B,DataA!$A53,DataQ!L:L)</f>
        <v>1452962</v>
      </c>
      <c r="I53">
        <f>SUMIF(DataQ!$B:$B,DataA!$A53,DataQ!M:M)</f>
        <v>1618241</v>
      </c>
      <c r="J53">
        <f>AVERAGEIF(DataQ!$B:$B,DataA!$A53,DataQ!N:N)</f>
        <v>89.692955000000012</v>
      </c>
    </row>
    <row r="54" spans="1:10" x14ac:dyDescent="0.25">
      <c r="A54">
        <v>2020</v>
      </c>
      <c r="B54">
        <f>AVERAGEIF(DataQ!$B:$B,DataA!$A54,DataQ!F:F)</f>
        <v>132.93695</v>
      </c>
      <c r="C54">
        <f>SUMIF(DataQ!$B:$B,DataA!$A54,DataQ!G:G)</f>
        <v>111307</v>
      </c>
      <c r="D54">
        <f>AVERAGEIF(DataQ!$B:$B,DataA!$A54,DataQ!H:H)</f>
        <v>547.16665</v>
      </c>
      <c r="E54">
        <f>SUMIF(DataQ!$B:$B,DataA!$A54,DataQ!I:I)</f>
        <v>478728</v>
      </c>
      <c r="F54">
        <f>SUMIF(DataQ!$B:$B,DataA!$A54,DataQ!J:J)</f>
        <v>2103486</v>
      </c>
      <c r="G54">
        <f>SUMIF(DataQ!$B:$B,DataA!$A54,DataQ!K:K)</f>
        <v>892380</v>
      </c>
      <c r="H54">
        <f>SUMIF(DataQ!$B:$B,DataA!$A54,DataQ!L:L)</f>
        <v>1454408</v>
      </c>
      <c r="I54">
        <f>SUMIF(DataQ!$B:$B,DataA!$A54,DataQ!M:M)</f>
        <v>1612140</v>
      </c>
      <c r="J54">
        <f>AVERAGEIF(DataQ!$B:$B,DataA!$A54,DataQ!N:N)</f>
        <v>89.754919999999998</v>
      </c>
    </row>
    <row r="55" spans="1:10" x14ac:dyDescent="0.25">
      <c r="A55">
        <v>2021</v>
      </c>
      <c r="B55">
        <f>AVERAGEIF(DataQ!$B:$B,DataA!$A55,DataQ!F:F)</f>
        <v>128.69985</v>
      </c>
      <c r="C55">
        <f>SUMIF(DataQ!$B:$B,DataA!$A55,DataQ!G:G)</f>
        <v>121092</v>
      </c>
      <c r="D55">
        <f>AVERAGEIF(DataQ!$B:$B,DataA!$A55,DataQ!H:H)</f>
        <v>579.33335</v>
      </c>
      <c r="E55">
        <f>SUMIF(DataQ!$B:$B,DataA!$A55,DataQ!I:I)</f>
        <v>501715</v>
      </c>
      <c r="F55">
        <f>SUMIF(DataQ!$B:$B,DataA!$A55,DataQ!J:J)</f>
        <v>2285400</v>
      </c>
      <c r="G55">
        <f>SUMIF(DataQ!$B:$B,DataA!$A55,DataQ!K:K)</f>
        <v>948299</v>
      </c>
      <c r="H55">
        <f>SUMIF(DataQ!$B:$B,DataA!$A55,DataQ!L:L)</f>
        <v>1514668</v>
      </c>
      <c r="I55">
        <f>SUMIF(DataQ!$B:$B,DataA!$A55,DataQ!M:M)</f>
        <v>1637886</v>
      </c>
      <c r="J55">
        <f>AVERAGEIF(DataQ!$B:$B,DataA!$A55,DataQ!N:N)</f>
        <v>92.148457500000006</v>
      </c>
    </row>
    <row r="56" spans="1:10" x14ac:dyDescent="0.25">
      <c r="A56">
        <v>2022</v>
      </c>
      <c r="B56">
        <f>AVERAGEIF(DataQ!$B:$B,DataA!$A56,DataQ!F:F)</f>
        <v>132.047775</v>
      </c>
      <c r="C56">
        <f>SUMIF(DataQ!$B:$B,DataA!$A56,DataQ!G:G)</f>
        <v>137932</v>
      </c>
      <c r="D56">
        <f>AVERAGEIF(DataQ!$B:$B,DataA!$A56,DataQ!H:H)</f>
        <v>614.58332500000006</v>
      </c>
      <c r="E56">
        <f>SUMIF(DataQ!$B:$B,DataA!$A56,DataQ!I:I)</f>
        <v>545252</v>
      </c>
      <c r="F56">
        <f>SUMIF(DataQ!$B:$B,DataA!$A56,DataQ!J:J)</f>
        <v>2526428</v>
      </c>
      <c r="G56">
        <f>SUMIF(DataQ!$B:$B,DataA!$A56,DataQ!K:K)</f>
        <v>1017926</v>
      </c>
      <c r="H56">
        <f>SUMIF(DataQ!$B:$B,DataA!$A56,DataQ!L:L)</f>
        <v>1609218</v>
      </c>
      <c r="I56">
        <f>SUMIF(DataQ!$B:$B,DataA!$A56,DataQ!M:M)</f>
        <v>1609218</v>
      </c>
      <c r="J56">
        <f>AVERAGEIF(DataQ!$B:$B,DataA!$A56,DataQ!N:N)</f>
        <v>99.976819999999989</v>
      </c>
    </row>
    <row r="57" spans="1:10" x14ac:dyDescent="0.25">
      <c r="A57">
        <v>2023</v>
      </c>
      <c r="B57">
        <f>AVERAGEIF(DataQ!$B:$B,DataA!$A57,DataQ!F:F)</f>
        <v>141.82990000000001</v>
      </c>
      <c r="C57">
        <f>SUMIF(DataQ!$B:$B,DataA!$A57,DataQ!G:G)</f>
        <v>143092</v>
      </c>
      <c r="D57">
        <f>AVERAGEIF(DataQ!$B:$B,DataA!$A57,DataQ!H:H)</f>
        <v>657.5</v>
      </c>
      <c r="E57">
        <f>SUMIF(DataQ!$B:$B,DataA!$A57,DataQ!I:I)</f>
        <v>588734</v>
      </c>
      <c r="F57">
        <f>SUMIF(DataQ!$B:$B,DataA!$A57,DataQ!J:J)</f>
        <v>2717320</v>
      </c>
      <c r="G57">
        <f>SUMIF(DataQ!$B:$B,DataA!$A57,DataQ!K:K)</f>
        <v>1105376</v>
      </c>
      <c r="H57">
        <f>SUMIF(DataQ!$B:$B,DataA!$A57,DataQ!L:L)</f>
        <v>1755934</v>
      </c>
      <c r="I57">
        <f>SUMIF(DataQ!$B:$B,DataA!$A57,DataQ!M:M)</f>
        <v>1643543</v>
      </c>
      <c r="J57">
        <f>AVERAGEIF(DataQ!$B:$B,DataA!$A57,DataQ!N:N)</f>
        <v>106.868425</v>
      </c>
    </row>
    <row r="58" spans="1:10" x14ac:dyDescent="0.25">
      <c r="A58">
        <v>2024</v>
      </c>
      <c r="B58">
        <f>AVERAGEIF(DataQ!$B:$B,DataA!$A58,DataQ!F:F)</f>
        <v>148.71497500000001</v>
      </c>
      <c r="C58">
        <f>SUMIF(DataQ!$B:$B,DataA!$A58,DataQ!G:G)</f>
        <v>156778.57</v>
      </c>
      <c r="D58">
        <f>AVERAGEIF(DataQ!$B:$B,DataA!$A58,DataQ!H:H)</f>
        <v>692.01877500000001</v>
      </c>
      <c r="E58">
        <f>SUMIF(DataQ!$B:$B,DataA!$A58,DataQ!I:I)</f>
        <v>574337.4</v>
      </c>
      <c r="F58">
        <f>SUMIF(DataQ!$B:$B,DataA!$A58,DataQ!J:J)</f>
        <v>2834459.4</v>
      </c>
      <c r="G58">
        <f>SUMIF(DataQ!$B:$B,DataA!$A58,DataQ!K:K)</f>
        <v>1164267.5</v>
      </c>
      <c r="H58">
        <f>SUMIF(DataQ!$B:$B,DataA!$A58,DataQ!L:L)</f>
        <v>1871155.7</v>
      </c>
      <c r="I58">
        <f>SUMIF(DataQ!$B:$B,DataA!$A58,DataQ!M:M)</f>
        <v>1706675.6</v>
      </c>
      <c r="J58">
        <f>AVERAGEIF(DataQ!$B:$B,DataA!$A58,DataQ!N:N)</f>
        <v>109.59025</v>
      </c>
    </row>
    <row r="59" spans="1:10" x14ac:dyDescent="0.25">
      <c r="A59">
        <v>2025</v>
      </c>
      <c r="B59">
        <f>AVERAGEIF(DataQ!$B:$B,DataA!$A59,DataQ!F:F)</f>
        <v>156.07229999999998</v>
      </c>
      <c r="C59">
        <f>SUMIF(DataQ!$B:$B,DataA!$A59,DataQ!G:G)</f>
        <v>184644.81</v>
      </c>
      <c r="D59">
        <f>AVERAGEIF(DataQ!$B:$B,DataA!$A59,DataQ!H:H)</f>
        <v>723.08172500000001</v>
      </c>
      <c r="E59">
        <f>SUMIF(DataQ!$B:$B,DataA!$A59,DataQ!I:I)</f>
        <v>597173.29999999993</v>
      </c>
      <c r="F59">
        <f>SUMIF(DataQ!$B:$B,DataA!$A59,DataQ!J:J)</f>
        <v>2963239.9</v>
      </c>
      <c r="G59">
        <f>SUMIF(DataQ!$B:$B,DataA!$A59,DataQ!K:K)</f>
        <v>1218077.1000000001</v>
      </c>
      <c r="H59">
        <f>SUMIF(DataQ!$B:$B,DataA!$A59,DataQ!L:L)</f>
        <v>1944718.1</v>
      </c>
      <c r="I59">
        <f>SUMIF(DataQ!$B:$B,DataA!$A59,DataQ!M:M)</f>
        <v>1725910.9</v>
      </c>
      <c r="J59">
        <f>AVERAGEIF(DataQ!$B:$B,DataA!$A59,DataQ!N:N)</f>
        <v>112.625125</v>
      </c>
    </row>
    <row r="60" spans="1:10" x14ac:dyDescent="0.25">
      <c r="A60">
        <v>2026</v>
      </c>
      <c r="B60">
        <f>AVERAGEIF(DataQ!$B:$B,DataA!$A60,DataQ!F:F)</f>
        <v>160.27312500000002</v>
      </c>
      <c r="C60">
        <f>SUMIF(DataQ!$B:$B,DataA!$A60,DataQ!G:G)</f>
        <v>199106.60000000003</v>
      </c>
      <c r="D60">
        <f>AVERAGEIF(DataQ!$B:$B,DataA!$A60,DataQ!H:H)</f>
        <v>744.86057500000004</v>
      </c>
      <c r="E60">
        <f>SUMIF(DataQ!$B:$B,DataA!$A60,DataQ!I:I)</f>
        <v>628528.9</v>
      </c>
      <c r="F60">
        <f>SUMIF(DataQ!$B:$B,DataA!$A60,DataQ!J:J)</f>
        <v>3080045.9</v>
      </c>
      <c r="G60">
        <f>SUMIF(DataQ!$B:$B,DataA!$A60,DataQ!K:K)</f>
        <v>1264909.1000000001</v>
      </c>
      <c r="H60">
        <f>SUMIF(DataQ!$B:$B,DataA!$A60,DataQ!L:L)</f>
        <v>2011533.2999999998</v>
      </c>
      <c r="I60">
        <f>SUMIF(DataQ!$B:$B,DataA!$A60,DataQ!M:M)</f>
        <v>1743808.2000000002</v>
      </c>
      <c r="J60">
        <f>AVERAGEIF(DataQ!$B:$B,DataA!$A60,DataQ!N:N)</f>
        <v>115.30085</v>
      </c>
    </row>
    <row r="61" spans="1:10" x14ac:dyDescent="0.25">
      <c r="A61">
        <v>2027</v>
      </c>
      <c r="B61">
        <f>AVERAGEIF(DataQ!$B:$B,DataA!$A61,DataQ!F:F)</f>
        <v>163.21997500000001</v>
      </c>
      <c r="C61">
        <f>SUMIF(DataQ!$B:$B,DataA!$A61,DataQ!G:G)</f>
        <v>206598.31</v>
      </c>
      <c r="D61">
        <f>AVERAGEIF(DataQ!$B:$B,DataA!$A61,DataQ!H:H)</f>
        <v>764.67720000000008</v>
      </c>
      <c r="E61">
        <f>SUMIF(DataQ!$B:$B,DataA!$A61,DataQ!I:I)</f>
        <v>666063.69999999995</v>
      </c>
      <c r="F61">
        <f>SUMIF(DataQ!$B:$B,DataA!$A61,DataQ!J:J)</f>
        <v>3199859.5</v>
      </c>
      <c r="G61">
        <f>SUMIF(DataQ!$B:$B,DataA!$A61,DataQ!K:K)</f>
        <v>1310006.9000000001</v>
      </c>
      <c r="H61">
        <f>SUMIF(DataQ!$B:$B,DataA!$A61,DataQ!L:L)</f>
        <v>2080392.9000000001</v>
      </c>
      <c r="I61">
        <f>SUMIF(DataQ!$B:$B,DataA!$A61,DataQ!M:M)</f>
        <v>1766651.9</v>
      </c>
      <c r="J61">
        <f>AVERAGEIF(DataQ!$B:$B,DataA!$A61,DataQ!N:N)</f>
        <v>117.7062</v>
      </c>
    </row>
    <row r="62" spans="1:10" x14ac:dyDescent="0.25">
      <c r="A62">
        <v>2028</v>
      </c>
      <c r="B62">
        <f>AVERAGEIF(DataQ!$B:$B,DataA!$A62,DataQ!F:F)</f>
        <v>166.31574999999998</v>
      </c>
      <c r="C62">
        <f>SUMIF(DataQ!$B:$B,DataA!$A62,DataQ!G:G)</f>
        <v>214498.98</v>
      </c>
      <c r="D62">
        <f>AVERAGEIF(DataQ!$B:$B,DataA!$A62,DataQ!H:H)</f>
        <v>785.22147500000005</v>
      </c>
      <c r="E62">
        <f>SUMIF(DataQ!$B:$B,DataA!$A62,DataQ!I:I)</f>
        <v>696250.70000000007</v>
      </c>
      <c r="F62">
        <f>SUMIF(DataQ!$B:$B,DataA!$A62,DataQ!J:J)</f>
        <v>3324017.0000000005</v>
      </c>
      <c r="G62">
        <f>SUMIF(DataQ!$B:$B,DataA!$A62,DataQ!K:K)</f>
        <v>1357196.3</v>
      </c>
      <c r="H62">
        <f>SUMIF(DataQ!$B:$B,DataA!$A62,DataQ!L:L)</f>
        <v>2162626.9000000004</v>
      </c>
      <c r="I62">
        <f>SUMIF(DataQ!$B:$B,DataA!$A62,DataQ!M:M)</f>
        <v>1797636.2000000002</v>
      </c>
      <c r="J62">
        <f>AVERAGEIF(DataQ!$B:$B,DataA!$A62,DataQ!N:N)</f>
        <v>120.25135</v>
      </c>
    </row>
    <row r="63" spans="1:10" x14ac:dyDescent="0.25">
      <c r="A63">
        <v>2029</v>
      </c>
      <c r="B63">
        <f>AVERAGEIF(DataQ!$B:$B,DataA!$A63,DataQ!F:F)</f>
        <v>169.89230000000001</v>
      </c>
      <c r="C63">
        <f>SUMIF(DataQ!$B:$B,DataA!$A63,DataQ!G:G)</f>
        <v>222984.15</v>
      </c>
      <c r="D63">
        <f>AVERAGEIF(DataQ!$B:$B,DataA!$A63,DataQ!H:H)</f>
        <v>807.13294999999994</v>
      </c>
      <c r="E63">
        <f>SUMIF(DataQ!$B:$B,DataA!$A63,DataQ!I:I)</f>
        <v>725944.7</v>
      </c>
      <c r="F63">
        <f>SUMIF(DataQ!$B:$B,DataA!$A63,DataQ!J:J)</f>
        <v>3447963.4</v>
      </c>
      <c r="G63">
        <f>SUMIF(DataQ!$B:$B,DataA!$A63,DataQ!K:K)</f>
        <v>1408666.4000000001</v>
      </c>
      <c r="H63">
        <f>SUMIF(DataQ!$B:$B,DataA!$A63,DataQ!L:L)</f>
        <v>2243506.6</v>
      </c>
      <c r="I63">
        <f>SUMIF(DataQ!$B:$B,DataA!$A63,DataQ!M:M)</f>
        <v>1826849.3</v>
      </c>
      <c r="J63">
        <f>AVERAGEIF(DataQ!$B:$B,DataA!$A63,DataQ!N:N)</f>
        <v>122.75664999999999</v>
      </c>
    </row>
    <row r="64" spans="1:10" x14ac:dyDescent="0.25">
      <c r="A64">
        <v>2030</v>
      </c>
      <c r="B64">
        <f>AVERAGEIF(DataQ!$B:$B,DataA!$A64,DataQ!F:F)</f>
        <v>173.47055</v>
      </c>
      <c r="C64">
        <f>SUMIF(DataQ!$B:$B,DataA!$A64,DataQ!G:G)</f>
        <v>231322.93</v>
      </c>
      <c r="D64">
        <f>AVERAGEIF(DataQ!$B:$B,DataA!$A64,DataQ!H:H)</f>
        <v>829.68142499999999</v>
      </c>
      <c r="E64">
        <f>SUMIF(DataQ!$B:$B,DataA!$A64,DataQ!I:I)</f>
        <v>757655.90000000014</v>
      </c>
      <c r="F64">
        <f>SUMIF(DataQ!$B:$B,DataA!$A64,DataQ!J:J)</f>
        <v>3574670.6999999997</v>
      </c>
      <c r="G64">
        <f>SUMIF(DataQ!$B:$B,DataA!$A64,DataQ!K:K)</f>
        <v>1461345.5000000002</v>
      </c>
      <c r="H64">
        <f>SUMIF(DataQ!$B:$B,DataA!$A64,DataQ!L:L)</f>
        <v>2321583.4</v>
      </c>
      <c r="I64">
        <f>SUMIF(DataQ!$B:$B,DataA!$A64,DataQ!M:M)</f>
        <v>1853238.5</v>
      </c>
      <c r="J64">
        <f>AVERAGEIF(DataQ!$B:$B,DataA!$A64,DataQ!N:N)</f>
        <v>125.22149999999999</v>
      </c>
    </row>
    <row r="65" spans="1:10" x14ac:dyDescent="0.25">
      <c r="A65">
        <v>2031</v>
      </c>
      <c r="B65">
        <f>AVERAGEIF(DataQ!$B:$B,DataA!$A65,DataQ!F:F)</f>
        <v>177.04790000000003</v>
      </c>
      <c r="C65">
        <f>SUMIF(DataQ!$B:$B,DataA!$A65,DataQ!G:G)</f>
        <v>239871.08000000002</v>
      </c>
      <c r="D65">
        <f>AVERAGEIF(DataQ!$B:$B,DataA!$A65,DataQ!H:H)</f>
        <v>852.81034999999997</v>
      </c>
      <c r="E65">
        <f>SUMIF(DataQ!$B:$B,DataA!$A65,DataQ!I:I)</f>
        <v>793662.39999999991</v>
      </c>
      <c r="F65">
        <f>SUMIF(DataQ!$B:$B,DataA!$A65,DataQ!J:J)</f>
        <v>3709666.6000000006</v>
      </c>
      <c r="G65">
        <f>SUMIF(DataQ!$B:$B,DataA!$A65,DataQ!K:K)</f>
        <v>1515346.7999999998</v>
      </c>
      <c r="H65">
        <f>SUMIF(DataQ!$B:$B,DataA!$A65,DataQ!L:L)</f>
        <v>2404707</v>
      </c>
      <c r="I65">
        <f>SUMIF(DataQ!$B:$B,DataA!$A65,DataQ!M:M)</f>
        <v>1881982.2</v>
      </c>
      <c r="J65">
        <f>AVERAGEIF(DataQ!$B:$B,DataA!$A65,DataQ!N:N)</f>
        <v>127.72545</v>
      </c>
    </row>
    <row r="66" spans="1:10" x14ac:dyDescent="0.25">
      <c r="A66">
        <v>2032</v>
      </c>
      <c r="B66">
        <f>AVERAGEIF(DataQ!$B:$B,DataA!$A66,DataQ!F:F)</f>
        <v>180.68132500000002</v>
      </c>
      <c r="C66">
        <f>SUMIF(DataQ!$B:$B,DataA!$A66,DataQ!G:G)</f>
        <v>248646.5</v>
      </c>
      <c r="D66">
        <f>AVERAGEIF(DataQ!$B:$B,DataA!$A66,DataQ!H:H)</f>
        <v>876.73514999999998</v>
      </c>
      <c r="E66">
        <f>SUMIF(DataQ!$B:$B,DataA!$A66,DataQ!I:I)</f>
        <v>824375.50000000012</v>
      </c>
      <c r="F66">
        <f>SUMIF(DataQ!$B:$B,DataA!$A66,DataQ!J:J)</f>
        <v>3849159.5999999996</v>
      </c>
      <c r="G66">
        <f>SUMIF(DataQ!$B:$B,DataA!$A66,DataQ!K:K)</f>
        <v>1570784.2000000002</v>
      </c>
      <c r="H66">
        <f>SUMIF(DataQ!$B:$B,DataA!$A66,DataQ!L:L)</f>
        <v>2490474.4</v>
      </c>
      <c r="I66">
        <f>SUMIF(DataQ!$B:$B,DataA!$A66,DataQ!M:M)</f>
        <v>1910921.7999999998</v>
      </c>
      <c r="J66">
        <f>AVERAGEIF(DataQ!$B:$B,DataA!$A66,DataQ!N:N)</f>
        <v>130.27947499999999</v>
      </c>
    </row>
    <row r="67" spans="1:10" x14ac:dyDescent="0.25">
      <c r="A67">
        <v>2033</v>
      </c>
      <c r="B67">
        <f>AVERAGEIF(DataQ!$B:$B,DataA!$A67,DataQ!F:F)</f>
        <v>184.32357500000001</v>
      </c>
      <c r="C67">
        <f>SUMIF(DataQ!$B:$B,DataA!$A67,DataQ!G:G)</f>
        <v>257703.39</v>
      </c>
      <c r="D67">
        <f>AVERAGEIF(DataQ!$B:$B,DataA!$A67,DataQ!H:H)</f>
        <v>902.15212499999996</v>
      </c>
      <c r="E67">
        <f>SUMIF(DataQ!$B:$B,DataA!$A67,DataQ!I:I)</f>
        <v>855520.59999999986</v>
      </c>
      <c r="F67">
        <f>SUMIF(DataQ!$B:$B,DataA!$A67,DataQ!J:J)</f>
        <v>3994747.6</v>
      </c>
      <c r="G67">
        <f>SUMIF(DataQ!$B:$B,DataA!$A67,DataQ!K:K)</f>
        <v>1627999.7</v>
      </c>
      <c r="H67">
        <f>SUMIF(DataQ!$B:$B,DataA!$A67,DataQ!L:L)</f>
        <v>2578913.9</v>
      </c>
      <c r="I67">
        <f>SUMIF(DataQ!$B:$B,DataA!$A67,DataQ!M:M)</f>
        <v>1940011.7</v>
      </c>
      <c r="J67">
        <f>AVERAGEIF(DataQ!$B:$B,DataA!$A67,DataQ!N:N)</f>
        <v>132.88457500000001</v>
      </c>
    </row>
    <row r="68" spans="1:10" x14ac:dyDescent="0.25">
      <c r="A68">
        <v>2034</v>
      </c>
      <c r="B68">
        <f>AVERAGEIF(DataQ!$B:$B,DataA!$A68,DataQ!F:F)</f>
        <v>188.05042500000002</v>
      </c>
      <c r="C68">
        <f>SUMIF(DataQ!$B:$B,DataA!$A68,DataQ!G:G)</f>
        <v>267000.78999999998</v>
      </c>
      <c r="D68">
        <f>AVERAGEIF(DataQ!$B:$B,DataA!$A68,DataQ!H:H)</f>
        <v>929.35332500000004</v>
      </c>
      <c r="E68">
        <f>SUMIF(DataQ!$B:$B,DataA!$A68,DataQ!I:I)</f>
        <v>887669.4</v>
      </c>
      <c r="F68">
        <f>SUMIF(DataQ!$B:$B,DataA!$A68,DataQ!J:J)</f>
        <v>4144241</v>
      </c>
      <c r="G68">
        <f>SUMIF(DataQ!$B:$B,DataA!$A68,DataQ!K:K)</f>
        <v>1686734.5</v>
      </c>
      <c r="H68">
        <f>SUMIF(DataQ!$B:$B,DataA!$A68,DataQ!L:L)</f>
        <v>2669896.7000000002</v>
      </c>
      <c r="I68">
        <f>SUMIF(DataQ!$B:$B,DataA!$A68,DataQ!M:M)</f>
        <v>1969104.9</v>
      </c>
      <c r="J68">
        <f>AVERAGEIF(DataQ!$B:$B,DataA!$A68,DataQ!N:N)</f>
        <v>135.541775</v>
      </c>
    </row>
    <row r="69" spans="1:10" x14ac:dyDescent="0.25">
      <c r="A69">
        <v>2035</v>
      </c>
      <c r="B69">
        <f>AVERAGEIF(DataQ!$B:$B,DataA!$A69,DataQ!F:F)</f>
        <v>191.846025</v>
      </c>
      <c r="C69">
        <f>SUMIF(DataQ!$B:$B,DataA!$A69,DataQ!G:G)</f>
        <v>276477.77</v>
      </c>
      <c r="D69">
        <f>AVERAGEIF(DataQ!$B:$B,DataA!$A69,DataQ!H:H)</f>
        <v>957.96609999999998</v>
      </c>
      <c r="E69">
        <f>SUMIF(DataQ!$B:$B,DataA!$A69,DataQ!I:I)</f>
        <v>920478.1</v>
      </c>
      <c r="F69">
        <f>SUMIF(DataQ!$B:$B,DataA!$A69,DataQ!J:J)</f>
        <v>4297228</v>
      </c>
      <c r="G69">
        <f>SUMIF(DataQ!$B:$B,DataA!$A69,DataQ!K:K)</f>
        <v>1746603.7999999998</v>
      </c>
      <c r="H69">
        <f>SUMIF(DataQ!$B:$B,DataA!$A69,DataQ!L:L)</f>
        <v>2763038.1</v>
      </c>
      <c r="I69">
        <f>SUMIF(DataQ!$B:$B,DataA!$A69,DataQ!M:M)</f>
        <v>1997870.9000000001</v>
      </c>
      <c r="J69">
        <f>AVERAGEIF(DataQ!$B:$B,DataA!$A69,DataQ!N:N)</f>
        <v>138.25205</v>
      </c>
    </row>
    <row r="70" spans="1:10" x14ac:dyDescent="0.25">
      <c r="A70">
        <v>2036</v>
      </c>
      <c r="B70">
        <f>AVERAGEIF(DataQ!$B:$B,DataA!$A70,DataQ!F:F)</f>
        <v>195.71752499999999</v>
      </c>
      <c r="C70">
        <f>SUMIF(DataQ!$B:$B,DataA!$A70,DataQ!G:G)</f>
        <v>286352.73</v>
      </c>
      <c r="D70">
        <f>AVERAGEIF(DataQ!$B:$B,DataA!$A70,DataQ!H:H)</f>
        <v>987.72194999999999</v>
      </c>
      <c r="E70">
        <f>SUMIF(DataQ!$B:$B,DataA!$A70,DataQ!I:I)</f>
        <v>954624.1</v>
      </c>
      <c r="F70">
        <f>SUMIF(DataQ!$B:$B,DataA!$A70,DataQ!J:J)</f>
        <v>4456997</v>
      </c>
      <c r="G70">
        <f>SUMIF(DataQ!$B:$B,DataA!$A70,DataQ!K:K)</f>
        <v>1808987.2000000002</v>
      </c>
      <c r="H70">
        <f>SUMIF(DataQ!$B:$B,DataA!$A70,DataQ!L:L)</f>
        <v>2859790.5</v>
      </c>
      <c r="I70">
        <f>SUMIF(DataQ!$B:$B,DataA!$A70,DataQ!M:M)</f>
        <v>2027313</v>
      </c>
      <c r="J70">
        <f>AVERAGEIF(DataQ!$B:$B,DataA!$A70,DataQ!N:N)</f>
        <v>141.01660000000001</v>
      </c>
    </row>
    <row r="71" spans="1:10" x14ac:dyDescent="0.25">
      <c r="A71">
        <v>2037</v>
      </c>
      <c r="B71">
        <f>AVERAGEIF(DataQ!$B:$B,DataA!$A71,DataQ!F:F)</f>
        <v>199.68652499999999</v>
      </c>
      <c r="C71">
        <f>SUMIF(DataQ!$B:$B,DataA!$A71,DataQ!G:G)</f>
        <v>296644.15000000002</v>
      </c>
      <c r="D71">
        <f>AVERAGEIF(DataQ!$B:$B,DataA!$A71,DataQ!H:H)</f>
        <v>1018.6420000000001</v>
      </c>
      <c r="E71">
        <f>SUMIF(DataQ!$B:$B,DataA!$A71,DataQ!I:I)</f>
        <v>990242.6</v>
      </c>
      <c r="F71">
        <f>SUMIF(DataQ!$B:$B,DataA!$A71,DataQ!J:J)</f>
        <v>4623305</v>
      </c>
      <c r="G71">
        <f>SUMIF(DataQ!$B:$B,DataA!$A71,DataQ!K:K)</f>
        <v>1874001.7000000002</v>
      </c>
      <c r="H71">
        <f>SUMIF(DataQ!$B:$B,DataA!$A71,DataQ!L:L)</f>
        <v>2960424.9000000004</v>
      </c>
      <c r="I71">
        <f>SUMIF(DataQ!$B:$B,DataA!$A71,DataQ!M:M)</f>
        <v>2057531.7999999998</v>
      </c>
      <c r="J71">
        <f>AVERAGEIF(DataQ!$B:$B,DataA!$A71,DataQ!N:N)</f>
        <v>143.8364</v>
      </c>
    </row>
    <row r="72" spans="1:10" x14ac:dyDescent="0.25">
      <c r="A72">
        <v>2038</v>
      </c>
      <c r="B72">
        <f>AVERAGEIF(DataQ!$B:$B,DataA!$A72,DataQ!F:F)</f>
        <v>203.72087499999998</v>
      </c>
      <c r="C72">
        <f>SUMIF(DataQ!$B:$B,DataA!$A72,DataQ!G:G)</f>
        <v>307347.14</v>
      </c>
      <c r="D72">
        <f>AVERAGEIF(DataQ!$B:$B,DataA!$A72,DataQ!H:H)</f>
        <v>1050.69325</v>
      </c>
      <c r="E72">
        <f>SUMIF(DataQ!$B:$B,DataA!$A72,DataQ!I:I)</f>
        <v>1027344.9</v>
      </c>
      <c r="F72">
        <f>SUMIF(DataQ!$B:$B,DataA!$A72,DataQ!J:J)</f>
        <v>4796995</v>
      </c>
      <c r="G72">
        <f>SUMIF(DataQ!$B:$B,DataA!$A72,DataQ!K:K)</f>
        <v>1941616.0999999999</v>
      </c>
      <c r="H72">
        <f>SUMIF(DataQ!$B:$B,DataA!$A72,DataQ!L:L)</f>
        <v>3065017.5</v>
      </c>
      <c r="I72">
        <f>SUMIF(DataQ!$B:$B,DataA!$A72,DataQ!M:M)</f>
        <v>2088483.4</v>
      </c>
      <c r="J72">
        <f>AVERAGEIF(DataQ!$B:$B,DataA!$A72,DataQ!N:N)</f>
        <v>146.71260000000001</v>
      </c>
    </row>
    <row r="73" spans="1:10" x14ac:dyDescent="0.25">
      <c r="A73">
        <v>2039</v>
      </c>
      <c r="B73">
        <f>AVERAGEIF(DataQ!$B:$B,DataA!$A73,DataQ!F:F)</f>
        <v>207.85560000000001</v>
      </c>
      <c r="C73">
        <f>SUMIF(DataQ!$B:$B,DataA!$A73,DataQ!G:G)</f>
        <v>318508.88</v>
      </c>
      <c r="D73">
        <f>AVERAGEIF(DataQ!$B:$B,DataA!$A73,DataQ!H:H)</f>
        <v>1084.0220000000002</v>
      </c>
      <c r="E73">
        <f>SUMIF(DataQ!$B:$B,DataA!$A73,DataQ!I:I)</f>
        <v>1066106.2000000002</v>
      </c>
      <c r="F73">
        <f>SUMIF(DataQ!$B:$B,DataA!$A73,DataQ!J:J)</f>
        <v>4978018</v>
      </c>
      <c r="G73">
        <f>SUMIF(DataQ!$B:$B,DataA!$A73,DataQ!K:K)</f>
        <v>2012128.6</v>
      </c>
      <c r="H73">
        <f>SUMIF(DataQ!$B:$B,DataA!$A73,DataQ!L:L)</f>
        <v>3174028.5</v>
      </c>
      <c r="I73">
        <f>SUMIF(DataQ!$B:$B,DataA!$A73,DataQ!M:M)</f>
        <v>2120384.5</v>
      </c>
      <c r="J73">
        <f>AVERAGEIF(DataQ!$B:$B,DataA!$A73,DataQ!N:N)</f>
        <v>149.6463</v>
      </c>
    </row>
    <row r="74" spans="1:10" x14ac:dyDescent="0.25">
      <c r="A74">
        <v>2040</v>
      </c>
      <c r="B74">
        <f>AVERAGEIF(DataQ!$B:$B,DataA!$A74,DataQ!F:F)</f>
        <v>212.080625</v>
      </c>
      <c r="C74">
        <f>SUMIF(DataQ!$B:$B,DataA!$A74,DataQ!G:G)</f>
        <v>330091.58999999997</v>
      </c>
      <c r="D74">
        <f>AVERAGEIF(DataQ!$B:$B,DataA!$A74,DataQ!H:H)</f>
        <v>1118.4825000000001</v>
      </c>
      <c r="E74">
        <f>SUMIF(DataQ!$B:$B,DataA!$A74,DataQ!I:I)</f>
        <v>1106360</v>
      </c>
      <c r="F74">
        <f>SUMIF(DataQ!$B:$B,DataA!$A74,DataQ!J:J)</f>
        <v>5166001</v>
      </c>
      <c r="G74">
        <f>SUMIF(DataQ!$B:$B,DataA!$A74,DataQ!K:K)</f>
        <v>2085300.4</v>
      </c>
      <c r="H74">
        <f>SUMIF(DataQ!$B:$B,DataA!$A74,DataQ!L:L)</f>
        <v>3287012.7</v>
      </c>
      <c r="I74">
        <f>SUMIF(DataQ!$B:$B,DataA!$A74,DataQ!M:M)</f>
        <v>2152835.0999999996</v>
      </c>
      <c r="J74">
        <f>AVERAGEIF(DataQ!$B:$B,DataA!$A74,DataQ!N:N)</f>
        <v>152.63862499999999</v>
      </c>
    </row>
    <row r="75" spans="1:10" x14ac:dyDescent="0.25">
      <c r="A75">
        <v>2041</v>
      </c>
      <c r="B75">
        <f>AVERAGEIF(DataQ!$B:$B,DataA!$A75,DataQ!F:F)</f>
        <v>216.37739999999999</v>
      </c>
      <c r="C75">
        <f>SUMIF(DataQ!$B:$B,DataA!$A75,DataQ!G:G)</f>
        <v>341970.82</v>
      </c>
      <c r="D75">
        <f>AVERAGEIF(DataQ!$B:$B,DataA!$A75,DataQ!H:H)</f>
        <v>1154.1567500000001</v>
      </c>
      <c r="E75">
        <f>SUMIF(DataQ!$B:$B,DataA!$A75,DataQ!I:I)</f>
        <v>1147936.3999999999</v>
      </c>
      <c r="F75">
        <f>SUMIF(DataQ!$B:$B,DataA!$A75,DataQ!J:J)</f>
        <v>5359489</v>
      </c>
      <c r="G75">
        <f>SUMIF(DataQ!$B:$B,DataA!$A75,DataQ!K:K)</f>
        <v>2160345.6</v>
      </c>
      <c r="H75">
        <f>SUMIF(DataQ!$B:$B,DataA!$A75,DataQ!L:L)</f>
        <v>3403445</v>
      </c>
      <c r="I75">
        <f>SUMIF(DataQ!$B:$B,DataA!$A75,DataQ!M:M)</f>
        <v>2185414.5999999996</v>
      </c>
      <c r="J75">
        <f>AVERAGEIF(DataQ!$B:$B,DataA!$A75,DataQ!N:N)</f>
        <v>155.69082499999999</v>
      </c>
    </row>
    <row r="76" spans="1:10" x14ac:dyDescent="0.25">
      <c r="A76">
        <v>2042</v>
      </c>
      <c r="B76">
        <f>AVERAGEIF(DataQ!$B:$B,DataA!$A76,DataQ!F:F)</f>
        <v>220.77539999999999</v>
      </c>
      <c r="C76">
        <f>SUMIF(DataQ!$B:$B,DataA!$A76,DataQ!G:G)</f>
        <v>354230.70999999996</v>
      </c>
      <c r="D76">
        <f>AVERAGEIF(DataQ!$B:$B,DataA!$A76,DataQ!H:H)</f>
        <v>1191.1447499999999</v>
      </c>
      <c r="E76">
        <f>SUMIF(DataQ!$B:$B,DataA!$A76,DataQ!I:I)</f>
        <v>1190707.8</v>
      </c>
      <c r="F76">
        <f>SUMIF(DataQ!$B:$B,DataA!$A76,DataQ!J:J)</f>
        <v>5559154</v>
      </c>
      <c r="G76">
        <f>SUMIF(DataQ!$B:$B,DataA!$A76,DataQ!K:K)</f>
        <v>2237795.4</v>
      </c>
      <c r="H76">
        <f>SUMIF(DataQ!$B:$B,DataA!$A76,DataQ!L:L)</f>
        <v>3522914.8</v>
      </c>
      <c r="I76">
        <f>SUMIF(DataQ!$B:$B,DataA!$A76,DataQ!M:M)</f>
        <v>2217800.2999999998</v>
      </c>
      <c r="J76">
        <f>AVERAGEIF(DataQ!$B:$B,DataA!$A76,DataQ!N:N)</f>
        <v>158.80407500000001</v>
      </c>
    </row>
    <row r="77" spans="1:10" x14ac:dyDescent="0.25">
      <c r="A77">
        <v>2043</v>
      </c>
      <c r="B77">
        <f>AVERAGEIF(DataQ!$B:$B,DataA!$A77,DataQ!F:F)</f>
        <v>225.26772499999998</v>
      </c>
      <c r="C77">
        <f>SUMIF(DataQ!$B:$B,DataA!$A77,DataQ!G:G)</f>
        <v>366927.93999999994</v>
      </c>
      <c r="D77">
        <f>AVERAGEIF(DataQ!$B:$B,DataA!$A77,DataQ!H:H)</f>
        <v>1229.3274999999999</v>
      </c>
      <c r="E77">
        <f>SUMIF(DataQ!$B:$B,DataA!$A77,DataQ!I:I)</f>
        <v>1235028.8</v>
      </c>
      <c r="F77">
        <f>SUMIF(DataQ!$B:$B,DataA!$A77,DataQ!J:J)</f>
        <v>5765986</v>
      </c>
      <c r="G77">
        <f>SUMIF(DataQ!$B:$B,DataA!$A77,DataQ!K:K)</f>
        <v>2318008.2000000002</v>
      </c>
      <c r="H77">
        <f>SUMIF(DataQ!$B:$B,DataA!$A77,DataQ!L:L)</f>
        <v>3646502.8</v>
      </c>
      <c r="I77">
        <f>SUMIF(DataQ!$B:$B,DataA!$A77,DataQ!M:M)</f>
        <v>2250618.9</v>
      </c>
      <c r="J77">
        <f>AVERAGEIF(DataQ!$B:$B,DataA!$A77,DataQ!N:N)</f>
        <v>161.97954999999999</v>
      </c>
    </row>
    <row r="78" spans="1:10" x14ac:dyDescent="0.25">
      <c r="A78">
        <v>2044</v>
      </c>
      <c r="B78">
        <f>AVERAGEIF(DataQ!$B:$B,DataA!$A78,DataQ!F:F)</f>
        <v>229.85305</v>
      </c>
      <c r="C78">
        <f>SUMIF(DataQ!$B:$B,DataA!$A78,DataQ!G:G)</f>
        <v>380069.78</v>
      </c>
      <c r="D78">
        <f>AVERAGEIF(DataQ!$B:$B,DataA!$A78,DataQ!H:H)</f>
        <v>1268.7162499999999</v>
      </c>
      <c r="E78">
        <f>SUMIF(DataQ!$B:$B,DataA!$A78,DataQ!I:I)</f>
        <v>1280931.7</v>
      </c>
      <c r="F78">
        <f>SUMIF(DataQ!$B:$B,DataA!$A78,DataQ!J:J)</f>
        <v>5980242</v>
      </c>
      <c r="G78">
        <f>SUMIF(DataQ!$B:$B,DataA!$A78,DataQ!K:K)</f>
        <v>2401029.5999999996</v>
      </c>
      <c r="H78">
        <f>SUMIF(DataQ!$B:$B,DataA!$A78,DataQ!L:L)</f>
        <v>3774322.5</v>
      </c>
      <c r="I78">
        <f>SUMIF(DataQ!$B:$B,DataA!$A78,DataQ!M:M)</f>
        <v>2283860.0999999996</v>
      </c>
      <c r="J78">
        <f>AVERAGEIF(DataQ!$B:$B,DataA!$A78,DataQ!N:N)</f>
        <v>165.218525</v>
      </c>
    </row>
    <row r="79" spans="1:10" x14ac:dyDescent="0.25">
      <c r="A79">
        <v>2045</v>
      </c>
      <c r="B79">
        <f>AVERAGEIF(DataQ!$B:$B,DataA!$A79,DataQ!F:F)</f>
        <v>234.53302500000001</v>
      </c>
      <c r="C79">
        <f>SUMIF(DataQ!$B:$B,DataA!$A79,DataQ!G:G)</f>
        <v>393668.74</v>
      </c>
      <c r="D79">
        <f>AVERAGEIF(DataQ!$B:$B,DataA!$A79,DataQ!H:H)</f>
        <v>1309.33925</v>
      </c>
      <c r="E79">
        <f>SUMIF(DataQ!$B:$B,DataA!$A79,DataQ!I:I)</f>
        <v>1328493.5</v>
      </c>
      <c r="F79">
        <f>SUMIF(DataQ!$B:$B,DataA!$A79,DataQ!J:J)</f>
        <v>6202238</v>
      </c>
      <c r="G79">
        <f>SUMIF(DataQ!$B:$B,DataA!$A79,DataQ!K:K)</f>
        <v>2486938.9000000004</v>
      </c>
      <c r="H79">
        <f>SUMIF(DataQ!$B:$B,DataA!$A79,DataQ!L:L)</f>
        <v>3906484.6</v>
      </c>
      <c r="I79">
        <f>SUMIF(DataQ!$B:$B,DataA!$A79,DataQ!M:M)</f>
        <v>2317509.4</v>
      </c>
      <c r="J79">
        <f>AVERAGEIF(DataQ!$B:$B,DataA!$A79,DataQ!N:N)</f>
        <v>168.52225000000001</v>
      </c>
    </row>
    <row r="80" spans="1:10" x14ac:dyDescent="0.25">
      <c r="A80">
        <v>2046</v>
      </c>
      <c r="B80">
        <f>AVERAGEIF(DataQ!$B:$B,DataA!$A80,DataQ!F:F)</f>
        <v>239.30894999999998</v>
      </c>
      <c r="C80">
        <f>SUMIF(DataQ!$B:$B,DataA!$A80,DataQ!G:G)</f>
        <v>407739.10000000003</v>
      </c>
      <c r="D80">
        <f>AVERAGEIF(DataQ!$B:$B,DataA!$A80,DataQ!H:H)</f>
        <v>1351.2302500000001</v>
      </c>
      <c r="E80">
        <f>SUMIF(DataQ!$B:$B,DataA!$A80,DataQ!I:I)</f>
        <v>1377771.3</v>
      </c>
      <c r="F80">
        <f>SUMIF(DataQ!$B:$B,DataA!$A80,DataQ!J:J)</f>
        <v>6432236</v>
      </c>
      <c r="G80">
        <f>SUMIF(DataQ!$B:$B,DataA!$A80,DataQ!K:K)</f>
        <v>2575825.5</v>
      </c>
      <c r="H80">
        <f>SUMIF(DataQ!$B:$B,DataA!$A80,DataQ!L:L)</f>
        <v>4043128.5</v>
      </c>
      <c r="I80">
        <f>SUMIF(DataQ!$B:$B,DataA!$A80,DataQ!M:M)</f>
        <v>2351568.5</v>
      </c>
      <c r="J80">
        <f>AVERAGEIF(DataQ!$B:$B,DataA!$A80,DataQ!N:N)</f>
        <v>171.89209999999997</v>
      </c>
    </row>
    <row r="81" spans="1:10" x14ac:dyDescent="0.25">
      <c r="A81">
        <v>2047</v>
      </c>
      <c r="B81">
        <f>AVERAGEIF(DataQ!$B:$B,DataA!$A81,DataQ!F:F)</f>
        <v>244.18277500000002</v>
      </c>
      <c r="C81">
        <f>SUMIF(DataQ!$B:$B,DataA!$A81,DataQ!G:G)</f>
        <v>422296.5</v>
      </c>
      <c r="D81">
        <f>AVERAGEIF(DataQ!$B:$B,DataA!$A81,DataQ!H:H)</f>
        <v>1394.4277499999998</v>
      </c>
      <c r="E81">
        <f>SUMIF(DataQ!$B:$B,DataA!$A81,DataQ!I:I)</f>
        <v>1428823.3</v>
      </c>
      <c r="F81">
        <f>SUMIF(DataQ!$B:$B,DataA!$A81,DataQ!J:J)</f>
        <v>6670517</v>
      </c>
      <c r="G81">
        <f>SUMIF(DataQ!$B:$B,DataA!$A81,DataQ!K:K)</f>
        <v>2667789.6</v>
      </c>
      <c r="H81">
        <f>SUMIF(DataQ!$B:$B,DataA!$A81,DataQ!L:L)</f>
        <v>4184397</v>
      </c>
      <c r="I81">
        <f>SUMIF(DataQ!$B:$B,DataA!$A81,DataQ!M:M)</f>
        <v>2386039.2000000002</v>
      </c>
      <c r="J81">
        <f>AVERAGEIF(DataQ!$B:$B,DataA!$A81,DataQ!N:N)</f>
        <v>175.329275</v>
      </c>
    </row>
    <row r="82" spans="1:10" x14ac:dyDescent="0.25">
      <c r="A82">
        <v>2048</v>
      </c>
      <c r="B82">
        <f>AVERAGEIF(DataQ!$B:$B,DataA!$A82,DataQ!F:F)</f>
        <v>249.15627499999999</v>
      </c>
      <c r="C82">
        <f>SUMIF(DataQ!$B:$B,DataA!$A82,DataQ!G:G)</f>
        <v>437357.5</v>
      </c>
      <c r="D82">
        <f>AVERAGEIF(DataQ!$B:$B,DataA!$A82,DataQ!H:H)</f>
        <v>1438.972</v>
      </c>
      <c r="E82">
        <f>SUMIF(DataQ!$B:$B,DataA!$A82,DataQ!I:I)</f>
        <v>1481714.2</v>
      </c>
      <c r="F82">
        <f>SUMIF(DataQ!$B:$B,DataA!$A82,DataQ!J:J)</f>
        <v>6917378</v>
      </c>
      <c r="G82">
        <f>SUMIF(DataQ!$B:$B,DataA!$A82,DataQ!K:K)</f>
        <v>2762935.8</v>
      </c>
      <c r="H82">
        <f>SUMIF(DataQ!$B:$B,DataA!$A82,DataQ!L:L)</f>
        <v>4330446</v>
      </c>
      <c r="I82">
        <f>SUMIF(DataQ!$B:$B,DataA!$A82,DataQ!M:M)</f>
        <v>2420928</v>
      </c>
      <c r="J82">
        <f>AVERAGEIF(DataQ!$B:$B,DataA!$A82,DataQ!N:N)</f>
        <v>178.83520000000001</v>
      </c>
    </row>
    <row r="83" spans="1:10" x14ac:dyDescent="0.25">
      <c r="A83">
        <v>2049</v>
      </c>
      <c r="B83">
        <f>AVERAGEIF(DataQ!$B:$B,DataA!$A83,DataQ!F:F)</f>
        <v>254.231775</v>
      </c>
      <c r="C83">
        <f>SUMIF(DataQ!$B:$B,DataA!$A83,DataQ!G:G)</f>
        <v>452939.1</v>
      </c>
      <c r="D83">
        <f>AVERAGEIF(DataQ!$B:$B,DataA!$A83,DataQ!H:H)</f>
        <v>1484.9034999999999</v>
      </c>
      <c r="E83">
        <f>SUMIF(DataQ!$B:$B,DataA!$A83,DataQ!I:I)</f>
        <v>1536506.5</v>
      </c>
      <c r="F83">
        <f>SUMIF(DataQ!$B:$B,DataA!$A83,DataQ!J:J)</f>
        <v>7173107</v>
      </c>
      <c r="G83">
        <f>SUMIF(DataQ!$B:$B,DataA!$A83,DataQ!K:K)</f>
        <v>2861370</v>
      </c>
      <c r="H83">
        <f>SUMIF(DataQ!$B:$B,DataA!$A83,DataQ!L:L)</f>
        <v>4481431</v>
      </c>
      <c r="I83">
        <f>SUMIF(DataQ!$B:$B,DataA!$A83,DataQ!M:M)</f>
        <v>2456237.9</v>
      </c>
      <c r="J83">
        <f>AVERAGEIF(DataQ!$B:$B,DataA!$A83,DataQ!N:N)</f>
        <v>182.411225</v>
      </c>
    </row>
    <row r="84" spans="1:10" x14ac:dyDescent="0.25">
      <c r="A84">
        <v>2050</v>
      </c>
      <c r="B84">
        <f>AVERAGEIF(DataQ!$B:$B,DataA!$A84,DataQ!F:F)</f>
        <v>259.41179999999997</v>
      </c>
      <c r="C84">
        <f>SUMIF(DataQ!$B:$B,DataA!$A84,DataQ!G:G)</f>
        <v>469056.80000000005</v>
      </c>
      <c r="D84">
        <f>AVERAGEIF(DataQ!$B:$B,DataA!$A84,DataQ!H:H)</f>
        <v>1532.25875</v>
      </c>
      <c r="E84">
        <f>SUMIF(DataQ!$B:$B,DataA!$A84,DataQ!I:I)</f>
        <v>1593259.8</v>
      </c>
      <c r="F84">
        <f>SUMIF(DataQ!$B:$B,DataA!$A84,DataQ!J:J)</f>
        <v>7437965</v>
      </c>
      <c r="G84">
        <f>SUMIF(DataQ!$B:$B,DataA!$A84,DataQ!K:K)</f>
        <v>2963190.4</v>
      </c>
      <c r="H84">
        <f>SUMIF(DataQ!$B:$B,DataA!$A84,DataQ!L:L)</f>
        <v>4637733</v>
      </c>
      <c r="I84">
        <f>SUMIF(DataQ!$B:$B,DataA!$A84,DataQ!M:M)</f>
        <v>2492089.9000000004</v>
      </c>
      <c r="J84">
        <f>AVERAGEIF(DataQ!$B:$B,DataA!$A84,DataQ!N:N)</f>
        <v>186.05872500000001</v>
      </c>
    </row>
    <row r="85" spans="1:10" x14ac:dyDescent="0.25">
      <c r="A85">
        <v>2051</v>
      </c>
      <c r="B85">
        <f>AVERAGEIF(DataQ!$B:$B,DataA!$A85,DataQ!F:F)</f>
        <v>264.64890000000003</v>
      </c>
      <c r="C85">
        <f>SUMIF(DataQ!$B:$B,DataA!$A85,DataQ!G:G)</f>
        <v>485326.1</v>
      </c>
      <c r="D85">
        <f>AVERAGEIF(DataQ!$B:$B,DataA!$A85,DataQ!H:H)</f>
        <v>1581.32025</v>
      </c>
      <c r="E85">
        <f>SUMIF(DataQ!$B:$B,DataA!$A85,DataQ!I:I)</f>
        <v>1651402.8</v>
      </c>
      <c r="F85">
        <f>SUMIF(DataQ!$B:$B,DataA!$A85,DataQ!J:J)</f>
        <v>7707265</v>
      </c>
      <c r="G85">
        <f>SUMIF(DataQ!$B:$B,DataA!$A85,DataQ!K:K)</f>
        <v>3065969.8</v>
      </c>
      <c r="H85">
        <f>SUMIF(DataQ!$B:$B,DataA!$A85,DataQ!L:L)</f>
        <v>4797845</v>
      </c>
      <c r="I85">
        <f>SUMIF(DataQ!$B:$B,DataA!$A85,DataQ!M:M)</f>
        <v>2527604</v>
      </c>
      <c r="J85">
        <f>AVERAGEIF(DataQ!$B:$B,DataA!$A85,DataQ!N:N)</f>
        <v>189.77922500000003</v>
      </c>
    </row>
    <row r="86" spans="1:10" x14ac:dyDescent="0.25">
      <c r="A86">
        <v>2052</v>
      </c>
      <c r="B86">
        <f>AVERAGEIF(DataQ!$B:$B,DataA!$A86,DataQ!F:F)</f>
        <v>270.016525</v>
      </c>
      <c r="C86">
        <f>SUMIF(DataQ!$B:$B,DataA!$A86,DataQ!G:G)</f>
        <v>501901.69999999995</v>
      </c>
      <c r="D86">
        <f>AVERAGEIF(DataQ!$B:$B,DataA!$A86,DataQ!H:H)</f>
        <v>1632.4672500000001</v>
      </c>
      <c r="E86">
        <f>SUMIF(DataQ!$B:$B,DataA!$A86,DataQ!I:I)</f>
        <v>1710280.9</v>
      </c>
      <c r="F86">
        <f>SUMIF(DataQ!$B:$B,DataA!$A86,DataQ!J:J)</f>
        <v>7981446</v>
      </c>
      <c r="G86">
        <f>SUMIF(DataQ!$B:$B,DataA!$A86,DataQ!K:K)</f>
        <v>3170682.8</v>
      </c>
      <c r="H86">
        <f>SUMIF(DataQ!$B:$B,DataA!$A86,DataQ!L:L)</f>
        <v>4959465</v>
      </c>
      <c r="I86">
        <f>SUMIF(DataQ!$B:$B,DataA!$A86,DataQ!M:M)</f>
        <v>2561543.5</v>
      </c>
      <c r="J86">
        <f>AVERAGEIF(DataQ!$B:$B,DataA!$A86,DataQ!N:N)</f>
        <v>193.57412499999998</v>
      </c>
    </row>
    <row r="87" spans="1:10" x14ac:dyDescent="0.25">
      <c r="A87">
        <v>2053</v>
      </c>
      <c r="B87">
        <f>AVERAGEIF(DataQ!$B:$B,DataA!$A87,DataQ!F:F)</f>
        <v>275.50215000000003</v>
      </c>
      <c r="C87">
        <f>SUMIF(DataQ!$B:$B,DataA!$A87,DataQ!G:G)</f>
        <v>518900.3</v>
      </c>
      <c r="D87">
        <f>AVERAGEIF(DataQ!$B:$B,DataA!$A87,DataQ!H:H)</f>
        <v>1685.3822500000001</v>
      </c>
      <c r="E87">
        <f>SUMIF(DataQ!$B:$B,DataA!$A87,DataQ!I:I)</f>
        <v>1770676.8</v>
      </c>
      <c r="F87">
        <f>SUMIF(DataQ!$B:$B,DataA!$A87,DataQ!J:J)</f>
        <v>8262822</v>
      </c>
      <c r="G87">
        <f>SUMIF(DataQ!$B:$B,DataA!$A87,DataQ!K:K)</f>
        <v>3278068.5</v>
      </c>
      <c r="H87">
        <f>SUMIF(DataQ!$B:$B,DataA!$A87,DataQ!L:L)</f>
        <v>5124846</v>
      </c>
      <c r="I87">
        <f>SUMIF(DataQ!$B:$B,DataA!$A87,DataQ!M:M)</f>
        <v>2595087.2000000002</v>
      </c>
      <c r="J87">
        <f>AVERAGEIF(DataQ!$B:$B,DataA!$A87,DataQ!N:N)</f>
        <v>197.44485</v>
      </c>
    </row>
    <row r="88" spans="1:10" x14ac:dyDescent="0.25">
      <c r="A88">
        <v>2054</v>
      </c>
      <c r="B88">
        <f>AVERAGEIF(DataQ!$B:$B,DataA!$A88,DataQ!F:F)</f>
        <v>281.10702500000002</v>
      </c>
      <c r="C88">
        <f>SUMIF(DataQ!$B:$B,DataA!$A88,DataQ!G:G)</f>
        <v>536418.19999999995</v>
      </c>
      <c r="D88">
        <f>AVERAGEIF(DataQ!$B:$B,DataA!$A88,DataQ!H:H)</f>
        <v>1739.9380000000001</v>
      </c>
      <c r="E88">
        <f>SUMIF(DataQ!$B:$B,DataA!$A88,DataQ!I:I)</f>
        <v>1832928.7</v>
      </c>
      <c r="F88">
        <f>SUMIF(DataQ!$B:$B,DataA!$A88,DataQ!J:J)</f>
        <v>8552985</v>
      </c>
      <c r="G88">
        <f>SUMIF(DataQ!$B:$B,DataA!$A88,DataQ!K:K)</f>
        <v>3388735.9</v>
      </c>
      <c r="H88">
        <f>SUMIF(DataQ!$B:$B,DataA!$A88,DataQ!L:L)</f>
        <v>5294944</v>
      </c>
      <c r="I88">
        <f>SUMIF(DataQ!$B:$B,DataA!$A88,DataQ!M:M)</f>
        <v>2628672.1</v>
      </c>
      <c r="J88">
        <f>AVERAGEIF(DataQ!$B:$B,DataA!$A88,DataQ!N:N)</f>
        <v>201.39297500000001</v>
      </c>
    </row>
    <row r="89" spans="1:10" x14ac:dyDescent="0.25">
      <c r="A89">
        <v>2055</v>
      </c>
      <c r="B89">
        <f>AVERAGEIF(DataQ!$B:$B,DataA!$A89,DataQ!F:F)</f>
        <v>286.82050000000004</v>
      </c>
      <c r="C89">
        <f>SUMIF(DataQ!$B:$B,DataA!$A89,DataQ!G:G)</f>
        <v>554400.10000000009</v>
      </c>
      <c r="D89">
        <f>AVERAGEIF(DataQ!$B:$B,DataA!$A89,DataQ!H:H)</f>
        <v>1796.1782499999999</v>
      </c>
      <c r="E89">
        <f>SUMIF(DataQ!$B:$B,DataA!$A89,DataQ!I:I)</f>
        <v>1896994</v>
      </c>
      <c r="F89">
        <f>SUMIF(DataQ!$B:$B,DataA!$A89,DataQ!J:J)</f>
        <v>8851459</v>
      </c>
      <c r="G89">
        <f>SUMIF(DataQ!$B:$B,DataA!$A89,DataQ!K:K)</f>
        <v>3502333.2</v>
      </c>
      <c r="H89">
        <f>SUMIF(DataQ!$B:$B,DataA!$A89,DataQ!L:L)</f>
        <v>5469606</v>
      </c>
      <c r="I89">
        <f>SUMIF(DataQ!$B:$B,DataA!$A89,DataQ!M:M)</f>
        <v>2662165</v>
      </c>
      <c r="J89">
        <f>AVERAGEIF(DataQ!$B:$B,DataA!$A89,DataQ!N:N)</f>
        <v>205.42012500000001</v>
      </c>
    </row>
    <row r="90" spans="1:10" x14ac:dyDescent="0.25">
      <c r="A90">
        <v>2056</v>
      </c>
      <c r="B90">
        <f>AVERAGEIF(DataQ!$B:$B,DataA!$A90,DataQ!F:F)</f>
        <v>292.65272499999998</v>
      </c>
      <c r="C90">
        <f>SUMIF(DataQ!$B:$B,DataA!$A90,DataQ!G:G)</f>
        <v>572884.80000000005</v>
      </c>
      <c r="D90">
        <f>AVERAGEIF(DataQ!$B:$B,DataA!$A90,DataQ!H:H)</f>
        <v>1854.1594999999998</v>
      </c>
      <c r="E90">
        <f>SUMIF(DataQ!$B:$B,DataA!$A90,DataQ!I:I)</f>
        <v>1962905.4000000001</v>
      </c>
      <c r="F90">
        <f>SUMIF(DataQ!$B:$B,DataA!$A90,DataQ!J:J)</f>
        <v>9158664</v>
      </c>
      <c r="G90">
        <f>SUMIF(DataQ!$B:$B,DataA!$A90,DataQ!K:K)</f>
        <v>3619108</v>
      </c>
      <c r="H90">
        <f>SUMIF(DataQ!$B:$B,DataA!$A90,DataQ!L:L)</f>
        <v>5648901</v>
      </c>
      <c r="I90">
        <f>SUMIF(DataQ!$B:$B,DataA!$A90,DataQ!M:M)</f>
        <v>2695545.4</v>
      </c>
      <c r="J90">
        <f>AVERAGEIF(DataQ!$B:$B,DataA!$A90,DataQ!N:N)</f>
        <v>209.52770000000001</v>
      </c>
    </row>
    <row r="91" spans="1:10" x14ac:dyDescent="0.25">
      <c r="A91">
        <v>2057</v>
      </c>
      <c r="B91">
        <f>AVERAGEIF(DataQ!$B:$B,DataA!$A91,DataQ!F:F)</f>
        <v>298.61005</v>
      </c>
      <c r="C91">
        <f>SUMIF(DataQ!$B:$B,DataA!$A91,DataQ!G:G)</f>
        <v>591955.69999999995</v>
      </c>
      <c r="D91">
        <f>AVERAGEIF(DataQ!$B:$B,DataA!$A91,DataQ!H:H)</f>
        <v>1913.8507500000001</v>
      </c>
      <c r="E91">
        <f>SUMIF(DataQ!$B:$B,DataA!$A91,DataQ!I:I)</f>
        <v>2030896.7000000002</v>
      </c>
      <c r="F91">
        <f>SUMIF(DataQ!$B:$B,DataA!$A91,DataQ!J:J)</f>
        <v>9475847</v>
      </c>
      <c r="G91">
        <f>SUMIF(DataQ!$B:$B,DataA!$A91,DataQ!K:K)</f>
        <v>3739584.6</v>
      </c>
      <c r="H91">
        <f>SUMIF(DataQ!$B:$B,DataA!$A91,DataQ!L:L)</f>
        <v>5833467</v>
      </c>
      <c r="I91">
        <f>SUMIF(DataQ!$B:$B,DataA!$A91,DataQ!M:M)</f>
        <v>2729060</v>
      </c>
      <c r="J91">
        <f>AVERAGEIF(DataQ!$B:$B,DataA!$A91,DataQ!N:N)</f>
        <v>213.71747500000001</v>
      </c>
    </row>
    <row r="92" spans="1:10" x14ac:dyDescent="0.25">
      <c r="A92">
        <v>2058</v>
      </c>
      <c r="B92">
        <f>AVERAGEIF(DataQ!$B:$B,DataA!$A92,DataQ!F:F)</f>
        <v>304.69</v>
      </c>
      <c r="C92">
        <f>SUMIF(DataQ!$B:$B,DataA!$A92,DataQ!G:G)</f>
        <v>611665.69999999995</v>
      </c>
      <c r="D92">
        <f>AVERAGEIF(DataQ!$B:$B,DataA!$A92,DataQ!H:H)</f>
        <v>1975.2012499999998</v>
      </c>
      <c r="E92">
        <f>SUMIF(DataQ!$B:$B,DataA!$A92,DataQ!I:I)</f>
        <v>2101258</v>
      </c>
      <c r="F92">
        <f>SUMIF(DataQ!$B:$B,DataA!$A92,DataQ!J:J)</f>
        <v>9804048</v>
      </c>
      <c r="G92">
        <f>SUMIF(DataQ!$B:$B,DataA!$A92,DataQ!K:K)</f>
        <v>3864099.5</v>
      </c>
      <c r="H92">
        <f>SUMIF(DataQ!$B:$B,DataA!$A92,DataQ!L:L)</f>
        <v>6024112</v>
      </c>
      <c r="I92">
        <f>SUMIF(DataQ!$B:$B,DataA!$A92,DataQ!M:M)</f>
        <v>2763012.1</v>
      </c>
      <c r="J92">
        <f>AVERAGEIF(DataQ!$B:$B,DataA!$A92,DataQ!N:N)</f>
        <v>217.99102500000004</v>
      </c>
    </row>
    <row r="93" spans="1:10" x14ac:dyDescent="0.25">
      <c r="A93">
        <v>2059</v>
      </c>
      <c r="B93">
        <f>AVERAGEIF(DataQ!$B:$B,DataA!$A93,DataQ!F:F)</f>
        <v>310.88979999999998</v>
      </c>
      <c r="C93">
        <f>SUMIF(DataQ!$B:$B,DataA!$A93,DataQ!G:G)</f>
        <v>631975.69999999995</v>
      </c>
      <c r="D93">
        <f>AVERAGEIF(DataQ!$B:$B,DataA!$A93,DataQ!H:H)</f>
        <v>2038.3209999999999</v>
      </c>
      <c r="E93">
        <f>SUMIF(DataQ!$B:$B,DataA!$A93,DataQ!I:I)</f>
        <v>2173919.5</v>
      </c>
      <c r="F93">
        <f>SUMIF(DataQ!$B:$B,DataA!$A93,DataQ!J:J)</f>
        <v>10143092</v>
      </c>
      <c r="G93">
        <f>SUMIF(DataQ!$B:$B,DataA!$A93,DataQ!K:K)</f>
        <v>3992404.4</v>
      </c>
      <c r="H93">
        <f>SUMIF(DataQ!$B:$B,DataA!$A93,DataQ!L:L)</f>
        <v>6220496</v>
      </c>
      <c r="I93">
        <f>SUMIF(DataQ!$B:$B,DataA!$A93,DataQ!M:M)</f>
        <v>2797166.3</v>
      </c>
      <c r="J93">
        <f>AVERAGEIF(DataQ!$B:$B,DataA!$A93,DataQ!N:N)</f>
        <v>222.35002500000002</v>
      </c>
    </row>
    <row r="94" spans="1:10" x14ac:dyDescent="0.25">
      <c r="A94">
        <v>2060</v>
      </c>
      <c r="B94">
        <f>AVERAGEIF(DataQ!$B:$B,DataA!$A94,DataQ!F:F)</f>
        <v>317.22027500000002</v>
      </c>
      <c r="C94">
        <f>SUMIF(DataQ!$B:$B,DataA!$A94,DataQ!G:G)</f>
        <v>652982</v>
      </c>
      <c r="D94">
        <f>AVERAGEIF(DataQ!$B:$B,DataA!$A94,DataQ!H:H)</f>
        <v>2103.2102500000001</v>
      </c>
      <c r="E94">
        <f>SUMIF(DataQ!$B:$B,DataA!$A94,DataQ!I:I)</f>
        <v>2249182</v>
      </c>
      <c r="F94">
        <f>SUMIF(DataQ!$B:$B,DataA!$A94,DataQ!J:J)</f>
        <v>10494228</v>
      </c>
      <c r="G94">
        <f>SUMIF(DataQ!$B:$B,DataA!$A94,DataQ!K:K)</f>
        <v>4125109</v>
      </c>
      <c r="H94">
        <f>SUMIF(DataQ!$B:$B,DataA!$A94,DataQ!L:L)</f>
        <v>6423381</v>
      </c>
      <c r="I94">
        <f>SUMIF(DataQ!$B:$B,DataA!$A94,DataQ!M:M)</f>
        <v>2831784.8</v>
      </c>
      <c r="J94">
        <f>AVERAGEIF(DataQ!$B:$B,DataA!$A94,DataQ!N:N)</f>
        <v>226.79617500000001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A10A-03D9-4C3B-9B52-BFC85F5B2286}">
  <sheetPr codeName="Sheet11"/>
  <dimension ref="A1:Q359"/>
  <sheetViews>
    <sheetView workbookViewId="0">
      <pane xSplit="5" ySplit="6" topLeftCell="F191" activePane="bottomRight" state="frozen"/>
      <selection pane="topRight" activeCell="F1" sqref="F1"/>
      <selection pane="bottomLeft" activeCell="A7" sqref="A7"/>
      <selection pane="bottomRight" activeCell="Q208" sqref="Q208"/>
    </sheetView>
  </sheetViews>
  <sheetFormatPr defaultColWidth="9.140625" defaultRowHeight="15" x14ac:dyDescent="0.25"/>
  <cols>
    <col min="1" max="1" width="5" style="13" bestFit="1" customWidth="1"/>
    <col min="2" max="4" width="5" style="13" customWidth="1"/>
    <col min="5" max="5" width="9.140625" style="13"/>
    <col min="6" max="17" width="17.5703125" style="13" bestFit="1" customWidth="1"/>
    <col min="18" max="16384" width="9.140625" style="13"/>
  </cols>
  <sheetData>
    <row r="1" spans="1:17" x14ac:dyDescent="0.25">
      <c r="F1" s="13" t="s">
        <v>1434</v>
      </c>
      <c r="G1" s="13" t="str">
        <f>$F$1</f>
        <v>JAN010B.db</v>
      </c>
      <c r="H1" s="13" t="str">
        <f t="shared" ref="H1:O1" si="0">$F$1</f>
        <v>JAN010B.db</v>
      </c>
      <c r="I1" s="13" t="str">
        <f t="shared" si="0"/>
        <v>JAN010B.db</v>
      </c>
      <c r="J1" s="13" t="str">
        <f t="shared" si="0"/>
        <v>JAN010B.db</v>
      </c>
      <c r="K1" s="13" t="str">
        <f t="shared" si="0"/>
        <v>JAN010B.db</v>
      </c>
      <c r="L1" s="13" t="str">
        <f t="shared" si="0"/>
        <v>JAN010B.db</v>
      </c>
      <c r="M1" s="13" t="str">
        <f t="shared" si="0"/>
        <v>JAN010B.db</v>
      </c>
      <c r="N1" s="13" t="str">
        <f t="shared" si="0"/>
        <v>JAN010B.db</v>
      </c>
      <c r="O1" s="13" t="str">
        <f t="shared" si="0"/>
        <v>JAN010B.db</v>
      </c>
      <c r="P1" s="13" t="s">
        <v>1448</v>
      </c>
      <c r="Q1" s="13" t="s">
        <v>1450</v>
      </c>
    </row>
    <row r="2" spans="1:17" x14ac:dyDescent="0.25">
      <c r="F2" s="13" t="s">
        <v>1222</v>
      </c>
      <c r="G2" s="13" t="s">
        <v>1222</v>
      </c>
      <c r="H2" s="13" t="s">
        <v>1222</v>
      </c>
      <c r="I2" s="13" t="s">
        <v>1222</v>
      </c>
      <c r="J2" s="13" t="s">
        <v>1222</v>
      </c>
      <c r="K2" s="13" t="s">
        <v>1222</v>
      </c>
      <c r="L2" s="13" t="s">
        <v>1222</v>
      </c>
      <c r="M2" s="13" t="s">
        <v>1222</v>
      </c>
      <c r="N2" s="13" t="s">
        <v>1222</v>
      </c>
      <c r="O2" s="13" t="s">
        <v>1222</v>
      </c>
      <c r="P2" s="13" t="s">
        <v>1222</v>
      </c>
      <c r="Q2" s="13" t="s">
        <v>1222</v>
      </c>
    </row>
    <row r="3" spans="1:17" x14ac:dyDescent="0.25">
      <c r="F3" s="13" t="s">
        <v>1201</v>
      </c>
      <c r="G3" s="13" t="s">
        <v>1208</v>
      </c>
      <c r="H3" s="13" t="s">
        <v>1221</v>
      </c>
      <c r="I3" s="13" t="s">
        <v>1212</v>
      </c>
      <c r="J3" s="13" t="s">
        <v>1216</v>
      </c>
      <c r="K3" s="13" t="s">
        <v>1230</v>
      </c>
      <c r="L3" s="13" t="s">
        <v>1234</v>
      </c>
      <c r="M3" s="13" t="s">
        <v>1239</v>
      </c>
      <c r="N3" s="13" t="s">
        <v>1242</v>
      </c>
      <c r="O3" s="13" t="s">
        <v>1439</v>
      </c>
      <c r="P3" s="13" t="s">
        <v>1439</v>
      </c>
      <c r="Q3" s="13" t="s">
        <v>1439</v>
      </c>
    </row>
    <row r="4" spans="1:17" x14ac:dyDescent="0.25">
      <c r="F4" s="13" t="s">
        <v>1200</v>
      </c>
      <c r="G4" s="13" t="s">
        <v>1200</v>
      </c>
      <c r="H4" s="13" t="s">
        <v>1200</v>
      </c>
      <c r="I4" s="13" t="s">
        <v>1200</v>
      </c>
      <c r="J4" s="13" t="s">
        <v>1200</v>
      </c>
      <c r="K4" s="13" t="s">
        <v>1200</v>
      </c>
      <c r="L4" s="13" t="s">
        <v>1200</v>
      </c>
      <c r="M4" s="13" t="s">
        <v>1200</v>
      </c>
      <c r="N4" s="13" t="s">
        <v>1200</v>
      </c>
      <c r="O4" s="13" t="s">
        <v>1200</v>
      </c>
      <c r="P4" s="13" t="s">
        <v>1200</v>
      </c>
      <c r="Q4" s="13" t="s">
        <v>1200</v>
      </c>
    </row>
    <row r="5" spans="1:17" x14ac:dyDescent="0.25">
      <c r="F5" s="13" t="s">
        <v>1223</v>
      </c>
      <c r="G5" s="13" t="s">
        <v>1223</v>
      </c>
      <c r="H5" s="13" t="s">
        <v>1223</v>
      </c>
      <c r="I5" s="13" t="s">
        <v>1223</v>
      </c>
      <c r="J5" s="13" t="s">
        <v>1223</v>
      </c>
      <c r="K5" s="13" t="s">
        <v>1223</v>
      </c>
      <c r="L5" s="13" t="s">
        <v>1223</v>
      </c>
      <c r="M5" s="13" t="s">
        <v>1223</v>
      </c>
      <c r="N5" s="13" t="s">
        <v>1223</v>
      </c>
      <c r="O5" s="13" t="s">
        <v>1223</v>
      </c>
      <c r="P5" s="13" t="s">
        <v>1223</v>
      </c>
      <c r="Q5" s="13" t="s">
        <v>1223</v>
      </c>
    </row>
    <row r="6" spans="1:17" x14ac:dyDescent="0.25">
      <c r="B6" s="13" t="s">
        <v>1224</v>
      </c>
      <c r="C6" s="13" t="s">
        <v>1225</v>
      </c>
      <c r="D6" s="13" t="s">
        <v>1226</v>
      </c>
      <c r="E6" s="13">
        <f>E358+5</f>
        <v>2329</v>
      </c>
      <c r="F6" s="14" t="str" cm="1">
        <f t="array" ref="F6">_xlfn.CONCAT(INDEX(GMWQ!$A$2:$NE$60,MATCH(1,(GMWQ!$NE$2:$NE$60=F$3)*(GMWQ!$ND$2:$ND$60=F$4)*(GMWQ!$NF$2:$NF$60=F$1),0),$E6-1966),"0",(INDEX(GMWQ!$A$2:$NE$60,MATCH(1,(GMWQ!$NE$2:$NE$60=F$3)*(GMWQ!$ND$2:$ND$60=F$4)*(GMWQ!$NF$2:$NF$60=F$1),0),$E6-1965)))</f>
        <v>202403</v>
      </c>
      <c r="G6" s="14" t="str" cm="1">
        <f t="array" ref="G6">_xlfn.CONCAT(INDEX(GMWQ!$A$2:$NE$60,MATCH(1,(GMWQ!$NE$2:$NE$60=G$3)*(GMWQ!$ND$2:$ND$60=G$4)*(GMWQ!$NF$2:$NF$60=G$1),0),$E6-1966),"0",(INDEX(GMWQ!$A$2:$NE$60,MATCH(1,(GMWQ!$NE$2:$NE$60=G$3)*(GMWQ!$ND$2:$ND$60=G$4)*(GMWQ!$NF$2:$NF$60=G$1),0),$E6-1965)))</f>
        <v>202403</v>
      </c>
      <c r="H6" s="14" t="str" cm="1">
        <f t="array" ref="H6">_xlfn.CONCAT(INDEX(GMWQ!$A$2:$NE$60,MATCH(1,(GMWQ!$NE$2:$NE$60=H$3)*(GMWQ!$ND$2:$ND$60=H$4)*(GMWQ!$NF$2:$NF$60=H$1),0),$E6-1966),"0",(INDEX(GMWQ!$A$2:$NE$60,MATCH(1,(GMWQ!$NE$2:$NE$60=H$3)*(GMWQ!$ND$2:$ND$60=H$4)*(GMWQ!$NF$2:$NF$60=H$1),0),$E6-1965)))</f>
        <v>202403</v>
      </c>
      <c r="I6" s="14" t="str" cm="1">
        <f t="array" ref="I6">_xlfn.CONCAT(INDEX(GMWQ!$A$2:$NE$60,MATCH(1,(GMWQ!$NE$2:$NE$60=I$3)*(GMWQ!$ND$2:$ND$60=I$4)*(GMWQ!$NF$2:$NF$60=I$1),0),$E6-1966),"0",(INDEX(GMWQ!$A$2:$NE$60,MATCH(1,(GMWQ!$NE$2:$NE$60=I$3)*(GMWQ!$ND$2:$ND$60=I$4)*(GMWQ!$NF$2:$NF$60=I$1),0),$E6-1965)))</f>
        <v>202403</v>
      </c>
      <c r="J6" s="14" t="str" cm="1">
        <f t="array" ref="J6">_xlfn.CONCAT(INDEX(GMWQ!$A$2:$NE$60,MATCH(1,(GMWQ!$NE$2:$NE$60=J$3)*(GMWQ!$ND$2:$ND$60=J$4)*(GMWQ!$NF$2:$NF$60=J$1),0),$E6-1966),"0",(INDEX(GMWQ!$A$2:$NE$60,MATCH(1,(GMWQ!$NE$2:$NE$60=J$3)*(GMWQ!$ND$2:$ND$60=J$4)*(GMWQ!$NF$2:$NF$60=J$1),0),$E6-1965)))</f>
        <v>202403</v>
      </c>
      <c r="K6" s="14" t="str" cm="1">
        <f t="array" ref="K6">_xlfn.CONCAT(INDEX(GMWQ!$A$2:$NE$60,MATCH(1,(GMWQ!$NE$2:$NE$60=K$3)*(GMWQ!$ND$2:$ND$60=K$4)*(GMWQ!$NF$2:$NF$60=K$1),0),$E6-1966),"0",(INDEX(GMWQ!$A$2:$NE$60,MATCH(1,(GMWQ!$NE$2:$NE$60=K$3)*(GMWQ!$ND$2:$ND$60=K$4)*(GMWQ!$NF$2:$NF$60=K$1),0),$E6-1965)))</f>
        <v>202403</v>
      </c>
      <c r="L6" s="14" t="str" cm="1">
        <f t="array" ref="L6">_xlfn.CONCAT(INDEX(GMWQ!$A$2:$NE$60,MATCH(1,(GMWQ!$NE$2:$NE$60=L$3)*(GMWQ!$ND$2:$ND$60=L$4)*(GMWQ!$NF$2:$NF$60=L$1),0),$E6-1966),"0",(INDEX(GMWQ!$A$2:$NE$60,MATCH(1,(GMWQ!$NE$2:$NE$60=L$3)*(GMWQ!$ND$2:$ND$60=L$4)*(GMWQ!$NF$2:$NF$60=L$1),0),$E6-1965)))</f>
        <v>202403</v>
      </c>
      <c r="M6" s="14" t="str" cm="1">
        <f t="array" ref="M6">_xlfn.CONCAT(INDEX(GMWQ!$A$2:$NE$60,MATCH(1,(GMWQ!$NE$2:$NE$60=M$3)*(GMWQ!$ND$2:$ND$60=M$4)*(GMWQ!$NF$2:$NF$60=M$1),0),$E6-1966),"0",(INDEX(GMWQ!$A$2:$NE$60,MATCH(1,(GMWQ!$NE$2:$NE$60=M$3)*(GMWQ!$ND$2:$ND$60=M$4)*(GMWQ!$NF$2:$NF$60=M$1),0),$E6-1965)))</f>
        <v>202403</v>
      </c>
      <c r="N6" s="14" t="str" cm="1">
        <f t="array" ref="N6">_xlfn.CONCAT(INDEX(GMWQ!$A$2:$NE$60,MATCH(1,(GMWQ!$NE$2:$NE$60=N$3)*(GMWQ!$ND$2:$ND$60=N$4)*(GMWQ!$NF$2:$NF$60=N$1),0),$E6-1966),"0",(INDEX(GMWQ!$A$2:$NE$60,MATCH(1,(GMWQ!$NE$2:$NE$60=N$3)*(GMWQ!$ND$2:$ND$60=N$4)*(GMWQ!$NF$2:$NF$60=N$1),0),$E6-1965)))</f>
        <v>202403</v>
      </c>
      <c r="O6" s="14" t="str" cm="1">
        <f t="array" ref="O6">_xlfn.CONCAT(INDEX(GMWQ!$A$2:$NE$60,MATCH(1,(GMWQ!$NE$2:$NE$60=O$3)*(GMWQ!$ND$2:$ND$60=O$4)*(GMWQ!$NF$2:$NF$60=O$1),0),$E6-1966),"0",(INDEX(GMWQ!$A$2:$NE$60,MATCH(1,(GMWQ!$NE$2:$NE$60=O$3)*(GMWQ!$ND$2:$ND$60=O$4)*(GMWQ!$NF$2:$NF$60=O$1),0),$E6-1965)))</f>
        <v>202403</v>
      </c>
      <c r="P6" s="14" t="str" cm="1">
        <f t="array" ref="P6">_xlfn.CONCAT(INDEX(GMWQ!$A$2:$NE$60,MATCH(1,(GMWQ!$NE$2:$NE$60=P$3)*(GMWQ!$ND$2:$ND$60=P$4)*(GMWQ!$NF$2:$NF$60=P$1),0),$E6-1966),"0",(INDEX(GMWQ!$A$2:$NE$60,MATCH(1,(GMWQ!$NE$2:$NE$60=P$3)*(GMWQ!$ND$2:$ND$60=P$4)*(GMWQ!$NF$2:$NF$60=P$1),0),$E6-1965)))</f>
        <v>202304</v>
      </c>
      <c r="Q6" s="14" t="str" cm="1">
        <f t="array" ref="Q6">_xlfn.CONCAT(INDEX(GMWQ!$A$2:$NE$60,MATCH(1,(GMWQ!$NE$2:$NE$60=Q$3)*(GMWQ!$ND$2:$ND$60=Q$4)*(GMWQ!$NF$2:$NF$60=Q$1),0),$E6-1966),"0",(INDEX(GMWQ!$A$2:$NE$60,MATCH(1,(GMWQ!$NE$2:$NE$60=Q$3)*(GMWQ!$ND$2:$ND$60=Q$4)*(GMWQ!$NF$2:$NF$60=Q$1),0),$E6-1965)))</f>
        <v>202302</v>
      </c>
    </row>
    <row r="7" spans="1:17" x14ac:dyDescent="0.25">
      <c r="A7" s="13">
        <v>1973</v>
      </c>
      <c r="B7" s="13">
        <v>1973</v>
      </c>
      <c r="E7" s="13">
        <v>1973</v>
      </c>
      <c r="F7" s="13" cm="1">
        <f t="array" ref="F7">INDEX(GMWQ!$A$2:$NF$60,MATCH(1,(GMWQ!$NE$2:$NE$60=F$3)*(GMWQ!$ND$2:$ND$60=F$4)*(GMWQ!$NF$2:$NF$60=F$1),0),$E7-1966)</f>
        <v>11.31073</v>
      </c>
      <c r="G7" s="13" cm="1">
        <f t="array" ref="G7">INDEX(GMWQ!$A$2:$NF$60,MATCH(1,(GMWQ!$NE$2:$NE$60=G$3)*(GMWQ!$ND$2:$ND$60=G$4)*(GMWQ!$NF$2:$NF$60=G$1),0),$E7-1966)</f>
        <v>552.03840000000002</v>
      </c>
      <c r="H7" s="13" cm="1">
        <f t="array" ref="H7">INDEX(GMWQ!$A$2:$NF$60,MATCH(1,(GMWQ!$NE$2:$NE$60=H$3)*(GMWQ!$ND$2:$ND$60=H$4)*(GMWQ!$NF$2:$NF$60=H$1),0),$E7-1966)</f>
        <v>14.851150000000001</v>
      </c>
      <c r="I7" s="13" cm="1">
        <f t="array" ref="I7">INDEX(GMWQ!$A$2:$NF$60,MATCH(1,(GMWQ!$NE$2:$NE$60=I$3)*(GMWQ!$ND$2:$ND$60=I$4)*(GMWQ!$NF$2:$NF$60=I$1),0),$E7-1966)</f>
        <v>4698</v>
      </c>
      <c r="J7" s="13" cm="1">
        <f t="array" ref="J7">INDEX(GMWQ!$A$2:$NF$60,MATCH(1,(GMWQ!$NE$2:$NE$60=J$3)*(GMWQ!$ND$2:$ND$60=J$4)*(GMWQ!$NF$2:$NF$60=J$1),0),$E7-1966)</f>
        <v>20046</v>
      </c>
      <c r="K7" s="13" cm="1">
        <f t="array" ref="K7">INDEX(GMWQ!$A$2:$NF$60,MATCH(1,(GMWQ!$NE$2:$NE$60=K$3)*(GMWQ!$ND$2:$ND$60=K$4)*(GMWQ!$NF$2:$NF$60=K$1),0),$E7-1966)</f>
        <v>9375</v>
      </c>
      <c r="L7" s="13" cm="1">
        <f t="array" ref="L7">INDEX(GMWQ!$A$2:$NF$60,MATCH(1,(GMWQ!$NE$2:$NE$60=L$3)*(GMWQ!$ND$2:$ND$60=L$4)*(GMWQ!$NF$2:$NF$60=L$1),0),$E7-1966)</f>
        <v>12419</v>
      </c>
      <c r="M7" s="13" cm="1">
        <f t="array" ref="M7">INDEX(GMWQ!$A$2:$NF$60,MATCH(1,(GMWQ!$NE$2:$NE$60=M$3)*(GMWQ!$ND$2:$ND$60=M$4)*(GMWQ!$NF$2:$NF$60=M$1),0),$E7-1966)</f>
        <v>137363</v>
      </c>
      <c r="N7" s="13" cm="1">
        <f t="array" ref="N7">INDEX(GMWQ!$A$2:$NF$60,MATCH(1,(GMWQ!$NE$2:$NE$60=N$3)*(GMWQ!$ND$2:$ND$60=N$4)*(GMWQ!$NF$2:$NF$60=N$1),0),$E7-1966)</f>
        <v>9.2064909999999998</v>
      </c>
      <c r="O7" s="13" cm="1">
        <f t="array" ref="O7">INDEX(GMWQ!$A$2:$NF$60,MATCH(1,(GMWQ!$NE$2:$NE$60=O$3)*(GMWQ!$ND$2:$ND$60=O$4)*(GMWQ!$NF$2:$NF$60=O$1),0),$E7-1966)</f>
        <v>24903</v>
      </c>
      <c r="P7" s="13" cm="1">
        <f t="array" ref="P7">INDEX(GMWQ!$A$2:$NF$60,MATCH(1,(GMWQ!$NE$2:$NE$60=P$3)*(GMWQ!$ND$2:$ND$60=P$4)*(GMWQ!$NF$2:$NF$60=P$1),0),$E7-1966)</f>
        <v>24903</v>
      </c>
      <c r="Q7" s="13" cm="1">
        <f t="array" ref="Q7">INDEX(GMWQ!$A$2:$NF$60,MATCH(1,(GMWQ!$NE$2:$NE$60=Q$3)*(GMWQ!$ND$2:$ND$60=Q$4)*(GMWQ!$NF$2:$NF$60=Q$1),0),$E7-1966)</f>
        <v>24903</v>
      </c>
    </row>
    <row r="8" spans="1:17" x14ac:dyDescent="0.25">
      <c r="B8" s="13">
        <v>1973</v>
      </c>
      <c r="C8" s="13">
        <v>1973</v>
      </c>
      <c r="E8" s="13">
        <f>+E7+1</f>
        <v>1974</v>
      </c>
      <c r="F8" s="13" cm="1">
        <f t="array" ref="F8">INDEX(GMWQ!$A$2:$NF$60,MATCH(1,(GMWQ!$NE$2:$NE$60=F$3)*(GMWQ!$ND$2:$ND$60=F$4)*(GMWQ!$NF$2:$NF$60=F$1),0),$E8-1966)</f>
        <v>11.68304</v>
      </c>
      <c r="G8" s="13" cm="1">
        <f t="array" ref="G8">INDEX(GMWQ!$A$2:$NF$60,MATCH(1,(GMWQ!$NE$2:$NE$60=G$3)*(GMWQ!$ND$2:$ND$60=G$4)*(GMWQ!$NF$2:$NF$60=G$1),0),$E8-1966)</f>
        <v>550.91409999999996</v>
      </c>
      <c r="H8" s="13" cm="1">
        <f t="array" ref="H8">INDEX(GMWQ!$A$2:$NF$60,MATCH(1,(GMWQ!$NE$2:$NE$60=H$3)*(GMWQ!$ND$2:$ND$60=H$4)*(GMWQ!$NF$2:$NF$60=H$1),0),$E8-1966)</f>
        <v>15.597429999999999</v>
      </c>
      <c r="I8" s="13" cm="1">
        <f t="array" ref="I8">INDEX(GMWQ!$A$2:$NF$60,MATCH(1,(GMWQ!$NE$2:$NE$60=I$3)*(GMWQ!$ND$2:$ND$60=I$4)*(GMWQ!$NF$2:$NF$60=I$1),0),$E8-1966)</f>
        <v>4424</v>
      </c>
      <c r="J8" s="13" cm="1">
        <f t="array" ref="J8">INDEX(GMWQ!$A$2:$NF$60,MATCH(1,(GMWQ!$NE$2:$NE$60=J$3)*(GMWQ!$ND$2:$ND$60=J$4)*(GMWQ!$NF$2:$NF$60=J$1),0),$E8-1966)</f>
        <v>19874</v>
      </c>
      <c r="K8" s="13" cm="1">
        <f t="array" ref="K8">INDEX(GMWQ!$A$2:$NF$60,MATCH(1,(GMWQ!$NE$2:$NE$60=K$3)*(GMWQ!$ND$2:$ND$60=K$4)*(GMWQ!$NF$2:$NF$60=K$1),0),$E8-1966)</f>
        <v>9711</v>
      </c>
      <c r="L8" s="13" cm="1">
        <f t="array" ref="L8">INDEX(GMWQ!$A$2:$NF$60,MATCH(1,(GMWQ!$NE$2:$NE$60=L$3)*(GMWQ!$ND$2:$ND$60=L$4)*(GMWQ!$NF$2:$NF$60=L$1),0),$E8-1966)</f>
        <v>12849</v>
      </c>
      <c r="M8" s="13" cm="1">
        <f t="array" ref="M8">INDEX(GMWQ!$A$2:$NF$60,MATCH(1,(GMWQ!$NE$2:$NE$60=M$3)*(GMWQ!$ND$2:$ND$60=M$4)*(GMWQ!$NF$2:$NF$60=M$1),0),$E8-1966)</f>
        <v>140152</v>
      </c>
      <c r="N8" s="13" cm="1">
        <f t="array" ref="N8">INDEX(GMWQ!$A$2:$NF$60,MATCH(1,(GMWQ!$NE$2:$NE$60=N$3)*(GMWQ!$ND$2:$ND$60=N$4)*(GMWQ!$NF$2:$NF$60=N$1),0),$E8-1966)</f>
        <v>9.3221720000000001</v>
      </c>
      <c r="O8" s="13" cm="1">
        <f t="array" ref="O8">INDEX(GMWQ!$A$2:$NF$60,MATCH(1,(GMWQ!$NE$2:$NE$60=O$3)*(GMWQ!$ND$2:$ND$60=O$4)*(GMWQ!$NF$2:$NF$60=O$1),0),$E8-1966)</f>
        <v>24986</v>
      </c>
      <c r="P8" s="13" cm="1">
        <f t="array" ref="P8">INDEX(GMWQ!$A$2:$NF$60,MATCH(1,(GMWQ!$NE$2:$NE$60=P$3)*(GMWQ!$ND$2:$ND$60=P$4)*(GMWQ!$NF$2:$NF$60=P$1),0),$E8-1966)</f>
        <v>24986</v>
      </c>
      <c r="Q8" s="13" cm="1">
        <f t="array" ref="Q8">INDEX(GMWQ!$A$2:$NF$60,MATCH(1,(GMWQ!$NE$2:$NE$60=Q$3)*(GMWQ!$ND$2:$ND$60=Q$4)*(GMWQ!$NF$2:$NF$60=Q$1),0),$E8-1966)</f>
        <v>24986</v>
      </c>
    </row>
    <row r="9" spans="1:17" x14ac:dyDescent="0.25">
      <c r="B9" s="13">
        <v>1973</v>
      </c>
      <c r="C9" s="13">
        <v>1973</v>
      </c>
      <c r="E9" s="13">
        <f t="shared" ref="E9:E47" si="1">+E8+1</f>
        <v>1975</v>
      </c>
      <c r="F9" s="13" cm="1">
        <f t="array" ref="F9">INDEX(GMWQ!$A$2:$NF$60,MATCH(1,(GMWQ!$NE$2:$NE$60=F$3)*(GMWQ!$ND$2:$ND$60=F$4)*(GMWQ!$NF$2:$NF$60=F$1),0),$E9-1966)</f>
        <v>12.17741</v>
      </c>
      <c r="G9" s="13" cm="1">
        <f t="array" ref="G9">INDEX(GMWQ!$A$2:$NF$60,MATCH(1,(GMWQ!$NE$2:$NE$60=G$3)*(GMWQ!$ND$2:$ND$60=G$4)*(GMWQ!$NF$2:$NF$60=G$1),0),$E9-1966)</f>
        <v>576.77329999999995</v>
      </c>
      <c r="H9" s="13" cm="1">
        <f t="array" ref="H9">INDEX(GMWQ!$A$2:$NF$60,MATCH(1,(GMWQ!$NE$2:$NE$60=H$3)*(GMWQ!$ND$2:$ND$60=H$4)*(GMWQ!$NF$2:$NF$60=H$1),0),$E9-1966)</f>
        <v>16.407070000000001</v>
      </c>
      <c r="I9" s="13" cm="1">
        <f t="array" ref="I9">INDEX(GMWQ!$A$2:$NF$60,MATCH(1,(GMWQ!$NE$2:$NE$60=I$3)*(GMWQ!$ND$2:$ND$60=I$4)*(GMWQ!$NF$2:$NF$60=I$1),0),$E9-1966)</f>
        <v>4297</v>
      </c>
      <c r="J9" s="13" cm="1">
        <f t="array" ref="J9">INDEX(GMWQ!$A$2:$NF$60,MATCH(1,(GMWQ!$NE$2:$NE$60=J$3)*(GMWQ!$ND$2:$ND$60=J$4)*(GMWQ!$NF$2:$NF$60=J$1),0),$E9-1966)</f>
        <v>20558</v>
      </c>
      <c r="K9" s="13" cm="1">
        <f t="array" ref="K9">INDEX(GMWQ!$A$2:$NF$60,MATCH(1,(GMWQ!$NE$2:$NE$60=K$3)*(GMWQ!$ND$2:$ND$60=K$4)*(GMWQ!$NF$2:$NF$60=K$1),0),$E9-1966)</f>
        <v>10012</v>
      </c>
      <c r="L9" s="13" cm="1">
        <f t="array" ref="L9">INDEX(GMWQ!$A$2:$NF$60,MATCH(1,(GMWQ!$NE$2:$NE$60=L$3)*(GMWQ!$ND$2:$ND$60=L$4)*(GMWQ!$NF$2:$NF$60=L$1),0),$E9-1966)</f>
        <v>13247</v>
      </c>
      <c r="M9" s="13" cm="1">
        <f t="array" ref="M9">INDEX(GMWQ!$A$2:$NF$60,MATCH(1,(GMWQ!$NE$2:$NE$60=M$3)*(GMWQ!$ND$2:$ND$60=M$4)*(GMWQ!$NF$2:$NF$60=M$1),0),$E9-1966)</f>
        <v>141286</v>
      </c>
      <c r="N9" s="13" cm="1">
        <f t="array" ref="N9">INDEX(GMWQ!$A$2:$NF$60,MATCH(1,(GMWQ!$NE$2:$NE$60=N$3)*(GMWQ!$ND$2:$ND$60=N$4)*(GMWQ!$NF$2:$NF$60=N$1),0),$E9-1966)</f>
        <v>9.536778</v>
      </c>
      <c r="O9" s="13" cm="1">
        <f t="array" ref="O9">INDEX(GMWQ!$A$2:$NF$60,MATCH(1,(GMWQ!$NE$2:$NE$60=O$3)*(GMWQ!$ND$2:$ND$60=O$4)*(GMWQ!$NF$2:$NF$60=O$1),0),$E9-1966)</f>
        <v>24972</v>
      </c>
      <c r="P9" s="13" cm="1">
        <f t="array" ref="P9">INDEX(GMWQ!$A$2:$NF$60,MATCH(1,(GMWQ!$NE$2:$NE$60=P$3)*(GMWQ!$ND$2:$ND$60=P$4)*(GMWQ!$NF$2:$NF$60=P$1),0),$E9-1966)</f>
        <v>24972</v>
      </c>
      <c r="Q9" s="13" cm="1">
        <f t="array" ref="Q9">INDEX(GMWQ!$A$2:$NF$60,MATCH(1,(GMWQ!$NE$2:$NE$60=Q$3)*(GMWQ!$ND$2:$ND$60=Q$4)*(GMWQ!$NF$2:$NF$60=Q$1),0),$E9-1966)</f>
        <v>24972</v>
      </c>
    </row>
    <row r="10" spans="1:17" x14ac:dyDescent="0.25">
      <c r="B10" s="13">
        <v>1973</v>
      </c>
      <c r="C10" s="13">
        <v>1973</v>
      </c>
      <c r="E10" s="13">
        <f t="shared" si="1"/>
        <v>1976</v>
      </c>
      <c r="F10" s="13" cm="1">
        <f t="array" ref="F10">INDEX(GMWQ!$A$2:$NF$60,MATCH(1,(GMWQ!$NE$2:$NE$60=F$3)*(GMWQ!$ND$2:$ND$60=F$4)*(GMWQ!$NF$2:$NF$60=F$1),0),$E10-1966)</f>
        <v>12.711510000000001</v>
      </c>
      <c r="G10" s="13" cm="1">
        <f t="array" ref="G10">INDEX(GMWQ!$A$2:$NF$60,MATCH(1,(GMWQ!$NE$2:$NE$60=G$3)*(GMWQ!$ND$2:$ND$60=G$4)*(GMWQ!$NF$2:$NF$60=G$1),0),$E10-1966)</f>
        <v>629.61609999999996</v>
      </c>
      <c r="H10" s="13" cm="1">
        <f t="array" ref="H10">INDEX(GMWQ!$A$2:$NF$60,MATCH(1,(GMWQ!$NE$2:$NE$60=H$3)*(GMWQ!$ND$2:$ND$60=H$4)*(GMWQ!$NF$2:$NF$60=H$1),0),$E10-1966)</f>
        <v>16.907609999999998</v>
      </c>
      <c r="I10" s="13" cm="1">
        <f t="array" ref="I10">INDEX(GMWQ!$A$2:$NF$60,MATCH(1,(GMWQ!$NE$2:$NE$60=I$3)*(GMWQ!$ND$2:$ND$60=I$4)*(GMWQ!$NF$2:$NF$60=I$1),0),$E10-1966)</f>
        <v>4489</v>
      </c>
      <c r="J10" s="13" cm="1">
        <f t="array" ref="J10">INDEX(GMWQ!$A$2:$NF$60,MATCH(1,(GMWQ!$NE$2:$NE$60=J$3)*(GMWQ!$ND$2:$ND$60=J$4)*(GMWQ!$NF$2:$NF$60=J$1),0),$E10-1966)</f>
        <v>21315</v>
      </c>
      <c r="K10" s="13" cm="1">
        <f t="array" ref="K10">INDEX(GMWQ!$A$2:$NF$60,MATCH(1,(GMWQ!$NE$2:$NE$60=K$3)*(GMWQ!$ND$2:$ND$60=K$4)*(GMWQ!$NF$2:$NF$60=K$1),0),$E10-1966)</f>
        <v>10380</v>
      </c>
      <c r="L10" s="13" cm="1">
        <f t="array" ref="L10">INDEX(GMWQ!$A$2:$NF$60,MATCH(1,(GMWQ!$NE$2:$NE$60=L$3)*(GMWQ!$ND$2:$ND$60=L$4)*(GMWQ!$NF$2:$NF$60=L$1),0),$E10-1966)</f>
        <v>13917</v>
      </c>
      <c r="M10" s="13" cm="1">
        <f t="array" ref="M10">INDEX(GMWQ!$A$2:$NF$60,MATCH(1,(GMWQ!$NE$2:$NE$60=M$3)*(GMWQ!$ND$2:$ND$60=M$4)*(GMWQ!$NF$2:$NF$60=M$1),0),$E10-1966)</f>
        <v>141617</v>
      </c>
      <c r="N10" s="13" cm="1">
        <f t="array" ref="N10">INDEX(GMWQ!$A$2:$NF$60,MATCH(1,(GMWQ!$NE$2:$NE$60=N$3)*(GMWQ!$ND$2:$ND$60=N$4)*(GMWQ!$NF$2:$NF$60=N$1),0),$E10-1966)</f>
        <v>9.9904860000000006</v>
      </c>
      <c r="O10" s="13" cm="1">
        <f t="array" ref="O10">INDEX(GMWQ!$A$2:$NF$60,MATCH(1,(GMWQ!$NE$2:$NE$60=O$3)*(GMWQ!$ND$2:$ND$60=O$4)*(GMWQ!$NF$2:$NF$60=O$1),0),$E10-1966)</f>
        <v>24999</v>
      </c>
      <c r="P10" s="13" cm="1">
        <f t="array" ref="P10">INDEX(GMWQ!$A$2:$NF$60,MATCH(1,(GMWQ!$NE$2:$NE$60=P$3)*(GMWQ!$ND$2:$ND$60=P$4)*(GMWQ!$NF$2:$NF$60=P$1),0),$E10-1966)</f>
        <v>24999</v>
      </c>
      <c r="Q10" s="13" cm="1">
        <f t="array" ref="Q10">INDEX(GMWQ!$A$2:$NF$60,MATCH(1,(GMWQ!$NE$2:$NE$60=Q$3)*(GMWQ!$ND$2:$ND$60=Q$4)*(GMWQ!$NF$2:$NF$60=Q$1),0),$E10-1966)</f>
        <v>24999</v>
      </c>
    </row>
    <row r="11" spans="1:17" x14ac:dyDescent="0.25">
      <c r="A11" s="13">
        <v>1974</v>
      </c>
      <c r="B11" s="13">
        <f>+B7+1</f>
        <v>1974</v>
      </c>
      <c r="C11" s="13">
        <v>1973</v>
      </c>
      <c r="D11" s="13">
        <v>1973</v>
      </c>
      <c r="E11" s="13">
        <f t="shared" si="1"/>
        <v>1977</v>
      </c>
      <c r="F11" s="13" cm="1">
        <f t="array" ref="F11">INDEX(GMWQ!$A$2:$NF$60,MATCH(1,(GMWQ!$NE$2:$NE$60=F$3)*(GMWQ!$ND$2:$ND$60=F$4)*(GMWQ!$NF$2:$NF$60=F$1),0),$E11-1966)</f>
        <v>13.40424</v>
      </c>
      <c r="G11" s="13" cm="1">
        <f t="array" ref="G11">INDEX(GMWQ!$A$2:$NF$60,MATCH(1,(GMWQ!$NE$2:$NE$60=G$3)*(GMWQ!$ND$2:$ND$60=G$4)*(GMWQ!$NF$2:$NF$60=G$1),0),$E11-1966)</f>
        <v>677.96159999999998</v>
      </c>
      <c r="H11" s="13" cm="1">
        <f t="array" ref="H11">INDEX(GMWQ!$A$2:$NF$60,MATCH(1,(GMWQ!$NE$2:$NE$60=H$3)*(GMWQ!$ND$2:$ND$60=H$4)*(GMWQ!$NF$2:$NF$60=H$1),0),$E11-1966)</f>
        <v>16.780860000000001</v>
      </c>
      <c r="I11" s="13" cm="1">
        <f t="array" ref="I11">INDEX(GMWQ!$A$2:$NF$60,MATCH(1,(GMWQ!$NE$2:$NE$60=I$3)*(GMWQ!$ND$2:$ND$60=I$4)*(GMWQ!$NF$2:$NF$60=I$1),0),$E11-1966)</f>
        <v>3797</v>
      </c>
      <c r="J11" s="13" cm="1">
        <f t="array" ref="J11">INDEX(GMWQ!$A$2:$NF$60,MATCH(1,(GMWQ!$NE$2:$NE$60=J$3)*(GMWQ!$ND$2:$ND$60=J$4)*(GMWQ!$NF$2:$NF$60=J$1),0),$E11-1966)</f>
        <v>21132</v>
      </c>
      <c r="K11" s="13" cm="1">
        <f t="array" ref="K11">INDEX(GMWQ!$A$2:$NF$60,MATCH(1,(GMWQ!$NE$2:$NE$60=K$3)*(GMWQ!$ND$2:$ND$60=K$4)*(GMWQ!$NF$2:$NF$60=K$1),0),$E11-1966)</f>
        <v>10596</v>
      </c>
      <c r="L11" s="13" cm="1">
        <f t="array" ref="L11">INDEX(GMWQ!$A$2:$NF$60,MATCH(1,(GMWQ!$NE$2:$NE$60=L$3)*(GMWQ!$ND$2:$ND$60=L$4)*(GMWQ!$NF$2:$NF$60=L$1),0),$E11-1966)</f>
        <v>14267</v>
      </c>
      <c r="M11" s="13" cm="1">
        <f t="array" ref="M11">INDEX(GMWQ!$A$2:$NF$60,MATCH(1,(GMWQ!$NE$2:$NE$60=M$3)*(GMWQ!$ND$2:$ND$60=M$4)*(GMWQ!$NF$2:$NF$60=M$1),0),$E11-1966)</f>
        <v>137691</v>
      </c>
      <c r="N11" s="13" cm="1">
        <f t="array" ref="N11">INDEX(GMWQ!$A$2:$NF$60,MATCH(1,(GMWQ!$NE$2:$NE$60=N$3)*(GMWQ!$ND$2:$ND$60=N$4)*(GMWQ!$NF$2:$NF$60=N$1),0),$E11-1966)</f>
        <v>10.52744</v>
      </c>
      <c r="O11" s="13" cm="1">
        <f t="array" ref="O11">INDEX(GMWQ!$A$2:$NF$60,MATCH(1,(GMWQ!$NE$2:$NE$60=O$3)*(GMWQ!$ND$2:$ND$60=O$4)*(GMWQ!$NF$2:$NF$60=O$1),0),$E11-1966)</f>
        <v>24984</v>
      </c>
      <c r="P11" s="13" cm="1">
        <f t="array" ref="P11">INDEX(GMWQ!$A$2:$NF$60,MATCH(1,(GMWQ!$NE$2:$NE$60=P$3)*(GMWQ!$ND$2:$ND$60=P$4)*(GMWQ!$NF$2:$NF$60=P$1),0),$E11-1966)</f>
        <v>24984</v>
      </c>
      <c r="Q11" s="13" cm="1">
        <f t="array" ref="Q11">INDEX(GMWQ!$A$2:$NF$60,MATCH(1,(GMWQ!$NE$2:$NE$60=Q$3)*(GMWQ!$ND$2:$ND$60=Q$4)*(GMWQ!$NF$2:$NF$60=Q$1),0),$E11-1966)</f>
        <v>24984</v>
      </c>
    </row>
    <row r="12" spans="1:17" x14ac:dyDescent="0.25">
      <c r="B12" s="13">
        <f t="shared" ref="B12:D27" si="2">+B8+1</f>
        <v>1974</v>
      </c>
      <c r="C12" s="13">
        <f>+C8+1</f>
        <v>1974</v>
      </c>
      <c r="E12" s="13">
        <f t="shared" si="1"/>
        <v>1978</v>
      </c>
      <c r="F12" s="13" cm="1">
        <f t="array" ref="F12">INDEX(GMWQ!$A$2:$NF$60,MATCH(1,(GMWQ!$NE$2:$NE$60=F$3)*(GMWQ!$ND$2:$ND$60=F$4)*(GMWQ!$NF$2:$NF$60=F$1),0),$E12-1966)</f>
        <v>13.850160000000001</v>
      </c>
      <c r="G12" s="13" cm="1">
        <f t="array" ref="G12">INDEX(GMWQ!$A$2:$NF$60,MATCH(1,(GMWQ!$NE$2:$NE$60=G$3)*(GMWQ!$ND$2:$ND$60=G$4)*(GMWQ!$NF$2:$NF$60=G$1),0),$E12-1966)</f>
        <v>684.70749999999998</v>
      </c>
      <c r="H12" s="13" cm="1">
        <f t="array" ref="H12">INDEX(GMWQ!$A$2:$NF$60,MATCH(1,(GMWQ!$NE$2:$NE$60=H$3)*(GMWQ!$ND$2:$ND$60=H$4)*(GMWQ!$NF$2:$NF$60=H$1),0),$E12-1966)</f>
        <v>18.253409999999999</v>
      </c>
      <c r="I12" s="13" cm="1">
        <f t="array" ref="I12">INDEX(GMWQ!$A$2:$NF$60,MATCH(1,(GMWQ!$NE$2:$NE$60=I$3)*(GMWQ!$ND$2:$ND$60=I$4)*(GMWQ!$NF$2:$NF$60=I$1),0),$E12-1966)</f>
        <v>4283</v>
      </c>
      <c r="J12" s="13" cm="1">
        <f t="array" ref="J12">INDEX(GMWQ!$A$2:$NF$60,MATCH(1,(GMWQ!$NE$2:$NE$60=J$3)*(GMWQ!$ND$2:$ND$60=J$4)*(GMWQ!$NF$2:$NF$60=J$1),0),$E12-1966)</f>
        <v>22651</v>
      </c>
      <c r="K12" s="13" cm="1">
        <f t="array" ref="K12">INDEX(GMWQ!$A$2:$NF$60,MATCH(1,(GMWQ!$NE$2:$NE$60=K$3)*(GMWQ!$ND$2:$ND$60=K$4)*(GMWQ!$NF$2:$NF$60=K$1),0),$E12-1966)</f>
        <v>11121</v>
      </c>
      <c r="L12" s="13" cm="1">
        <f t="array" ref="L12">INDEX(GMWQ!$A$2:$NF$60,MATCH(1,(GMWQ!$NE$2:$NE$60=L$3)*(GMWQ!$ND$2:$ND$60=L$4)*(GMWQ!$NF$2:$NF$60=L$1),0),$E12-1966)</f>
        <v>14694</v>
      </c>
      <c r="M12" s="13" cm="1">
        <f t="array" ref="M12">INDEX(GMWQ!$A$2:$NF$60,MATCH(1,(GMWQ!$NE$2:$NE$60=M$3)*(GMWQ!$ND$2:$ND$60=M$4)*(GMWQ!$NF$2:$NF$60=M$1),0),$E12-1966)</f>
        <v>136111</v>
      </c>
      <c r="N12" s="13" cm="1">
        <f t="array" ref="N12">INDEX(GMWQ!$A$2:$NF$60,MATCH(1,(GMWQ!$NE$2:$NE$60=N$3)*(GMWQ!$ND$2:$ND$60=N$4)*(GMWQ!$NF$2:$NF$60=N$1),0),$E12-1966)</f>
        <v>10.95538</v>
      </c>
      <c r="O12" s="13" cm="1">
        <f t="array" ref="O12">INDEX(GMWQ!$A$2:$NF$60,MATCH(1,(GMWQ!$NE$2:$NE$60=O$3)*(GMWQ!$ND$2:$ND$60=O$4)*(GMWQ!$NF$2:$NF$60=O$1),0),$E12-1966)</f>
        <v>25002</v>
      </c>
      <c r="P12" s="13" cm="1">
        <f t="array" ref="P12">INDEX(GMWQ!$A$2:$NF$60,MATCH(1,(GMWQ!$NE$2:$NE$60=P$3)*(GMWQ!$ND$2:$ND$60=P$4)*(GMWQ!$NF$2:$NF$60=P$1),0),$E12-1966)</f>
        <v>25002</v>
      </c>
      <c r="Q12" s="13" cm="1">
        <f t="array" ref="Q12">INDEX(GMWQ!$A$2:$NF$60,MATCH(1,(GMWQ!$NE$2:$NE$60=Q$3)*(GMWQ!$ND$2:$ND$60=Q$4)*(GMWQ!$NF$2:$NF$60=Q$1),0),$E12-1966)</f>
        <v>25002</v>
      </c>
    </row>
    <row r="13" spans="1:17" x14ac:dyDescent="0.25">
      <c r="B13" s="13">
        <f t="shared" si="2"/>
        <v>1974</v>
      </c>
      <c r="C13" s="13">
        <f t="shared" si="2"/>
        <v>1974</v>
      </c>
      <c r="E13" s="13">
        <f t="shared" si="1"/>
        <v>1979</v>
      </c>
      <c r="F13" s="13" cm="1">
        <f t="array" ref="F13">INDEX(GMWQ!$A$2:$NF$60,MATCH(1,(GMWQ!$NE$2:$NE$60=F$3)*(GMWQ!$ND$2:$ND$60=F$4)*(GMWQ!$NF$2:$NF$60=F$1),0),$E13-1966)</f>
        <v>15.049390000000001</v>
      </c>
      <c r="G13" s="13" cm="1">
        <f t="array" ref="G13">INDEX(GMWQ!$A$2:$NF$60,MATCH(1,(GMWQ!$NE$2:$NE$60=G$3)*(GMWQ!$ND$2:$ND$60=G$4)*(GMWQ!$NF$2:$NF$60=G$1),0),$E13-1966)</f>
        <v>843.23580000000004</v>
      </c>
      <c r="H13" s="13" cm="1">
        <f t="array" ref="H13">INDEX(GMWQ!$A$2:$NF$60,MATCH(1,(GMWQ!$NE$2:$NE$60=H$3)*(GMWQ!$ND$2:$ND$60=H$4)*(GMWQ!$NF$2:$NF$60=H$1),0),$E13-1966)</f>
        <v>20.242899999999999</v>
      </c>
      <c r="I13" s="13" cm="1">
        <f t="array" ref="I13">INDEX(GMWQ!$A$2:$NF$60,MATCH(1,(GMWQ!$NE$2:$NE$60=I$3)*(GMWQ!$ND$2:$ND$60=I$4)*(GMWQ!$NF$2:$NF$60=I$1),0),$E13-1966)</f>
        <v>4318</v>
      </c>
      <c r="J13" s="13" cm="1">
        <f t="array" ref="J13">INDEX(GMWQ!$A$2:$NF$60,MATCH(1,(GMWQ!$NE$2:$NE$60=J$3)*(GMWQ!$ND$2:$ND$60=J$4)*(GMWQ!$NF$2:$NF$60=J$1),0),$E13-1966)</f>
        <v>23896</v>
      </c>
      <c r="K13" s="13" cm="1">
        <f t="array" ref="K13">INDEX(GMWQ!$A$2:$NF$60,MATCH(1,(GMWQ!$NE$2:$NE$60=K$3)*(GMWQ!$ND$2:$ND$60=K$4)*(GMWQ!$NF$2:$NF$60=K$1),0),$E13-1966)</f>
        <v>12083</v>
      </c>
      <c r="L13" s="13" cm="1">
        <f t="array" ref="L13">INDEX(GMWQ!$A$2:$NF$60,MATCH(1,(GMWQ!$NE$2:$NE$60=L$3)*(GMWQ!$ND$2:$ND$60=L$4)*(GMWQ!$NF$2:$NF$60=L$1),0),$E13-1966)</f>
        <v>15881</v>
      </c>
      <c r="M13" s="13" cm="1">
        <f t="array" ref="M13">INDEX(GMWQ!$A$2:$NF$60,MATCH(1,(GMWQ!$NE$2:$NE$60=M$3)*(GMWQ!$ND$2:$ND$60=M$4)*(GMWQ!$NF$2:$NF$60=M$1),0),$E13-1966)</f>
        <v>141095</v>
      </c>
      <c r="N13" s="13" cm="1">
        <f t="array" ref="N13">INDEX(GMWQ!$A$2:$NF$60,MATCH(1,(GMWQ!$NE$2:$NE$60=N$3)*(GMWQ!$ND$2:$ND$60=N$4)*(GMWQ!$NF$2:$NF$60=N$1),0),$E13-1966)</f>
        <v>11.447800000000001</v>
      </c>
      <c r="O13" s="13" cm="1">
        <f t="array" ref="O13">INDEX(GMWQ!$A$2:$NF$60,MATCH(1,(GMWQ!$NE$2:$NE$60=O$3)*(GMWQ!$ND$2:$ND$60=O$4)*(GMWQ!$NF$2:$NF$60=O$1),0),$E13-1966)</f>
        <v>25066</v>
      </c>
      <c r="P13" s="13" cm="1">
        <f t="array" ref="P13">INDEX(GMWQ!$A$2:$NF$60,MATCH(1,(GMWQ!$NE$2:$NE$60=P$3)*(GMWQ!$ND$2:$ND$60=P$4)*(GMWQ!$NF$2:$NF$60=P$1),0),$E13-1966)</f>
        <v>25066</v>
      </c>
      <c r="Q13" s="13" cm="1">
        <f t="array" ref="Q13">INDEX(GMWQ!$A$2:$NF$60,MATCH(1,(GMWQ!$NE$2:$NE$60=Q$3)*(GMWQ!$ND$2:$ND$60=Q$4)*(GMWQ!$NF$2:$NF$60=Q$1),0),$E13-1966)</f>
        <v>25066</v>
      </c>
    </row>
    <row r="14" spans="1:17" x14ac:dyDescent="0.25">
      <c r="B14" s="13">
        <f t="shared" si="2"/>
        <v>1974</v>
      </c>
      <c r="C14" s="13">
        <f t="shared" si="2"/>
        <v>1974</v>
      </c>
      <c r="E14" s="13">
        <f t="shared" si="1"/>
        <v>1980</v>
      </c>
      <c r="F14" s="13" cm="1">
        <f t="array" ref="F14">INDEX(GMWQ!$A$2:$NF$60,MATCH(1,(GMWQ!$NE$2:$NE$60=F$3)*(GMWQ!$ND$2:$ND$60=F$4)*(GMWQ!$NF$2:$NF$60=F$1),0),$E14-1966)</f>
        <v>16.370239999999999</v>
      </c>
      <c r="G14" s="13" cm="1">
        <f t="array" ref="G14">INDEX(GMWQ!$A$2:$NF$60,MATCH(1,(GMWQ!$NE$2:$NE$60=G$3)*(GMWQ!$ND$2:$ND$60=G$4)*(GMWQ!$NF$2:$NF$60=G$1),0),$E14-1966)</f>
        <v>932.05669999999998</v>
      </c>
      <c r="H14" s="13" cm="1">
        <f t="array" ref="H14">INDEX(GMWQ!$A$2:$NF$60,MATCH(1,(GMWQ!$NE$2:$NE$60=H$3)*(GMWQ!$ND$2:$ND$60=H$4)*(GMWQ!$NF$2:$NF$60=H$1),0),$E14-1966)</f>
        <v>21.924240000000001</v>
      </c>
      <c r="I14" s="13" cm="1">
        <f t="array" ref="I14">INDEX(GMWQ!$A$2:$NF$60,MATCH(1,(GMWQ!$NE$2:$NE$60=I$3)*(GMWQ!$ND$2:$ND$60=I$4)*(GMWQ!$NF$2:$NF$60=I$1),0),$E14-1966)</f>
        <v>4226</v>
      </c>
      <c r="J14" s="13" cm="1">
        <f t="array" ref="J14">INDEX(GMWQ!$A$2:$NF$60,MATCH(1,(GMWQ!$NE$2:$NE$60=J$3)*(GMWQ!$ND$2:$ND$60=J$4)*(GMWQ!$NF$2:$NF$60=J$1),0),$E14-1966)</f>
        <v>24994</v>
      </c>
      <c r="K14" s="13" cm="1">
        <f t="array" ref="K14">INDEX(GMWQ!$A$2:$NF$60,MATCH(1,(GMWQ!$NE$2:$NE$60=K$3)*(GMWQ!$ND$2:$ND$60=K$4)*(GMWQ!$NF$2:$NF$60=K$1),0),$E14-1966)</f>
        <v>12912</v>
      </c>
      <c r="L14" s="13" cm="1">
        <f t="array" ref="L14">INDEX(GMWQ!$A$2:$NF$60,MATCH(1,(GMWQ!$NE$2:$NE$60=L$3)*(GMWQ!$ND$2:$ND$60=L$4)*(GMWQ!$NF$2:$NF$60=L$1),0),$E14-1966)</f>
        <v>16728</v>
      </c>
      <c r="M14" s="13" cm="1">
        <f t="array" ref="M14">INDEX(GMWQ!$A$2:$NF$60,MATCH(1,(GMWQ!$NE$2:$NE$60=M$3)*(GMWQ!$ND$2:$ND$60=M$4)*(GMWQ!$NF$2:$NF$60=M$1),0),$E14-1966)</f>
        <v>140771</v>
      </c>
      <c r="N14" s="13" cm="1">
        <f t="array" ref="N14">INDEX(GMWQ!$A$2:$NF$60,MATCH(1,(GMWQ!$NE$2:$NE$60=N$3)*(GMWQ!$ND$2:$ND$60=N$4)*(GMWQ!$NF$2:$NF$60=N$1),0),$E14-1966)</f>
        <v>12.08724</v>
      </c>
      <c r="O14" s="13" cm="1">
        <f t="array" ref="O14">INDEX(GMWQ!$A$2:$NF$60,MATCH(1,(GMWQ!$NE$2:$NE$60=O$3)*(GMWQ!$ND$2:$ND$60=O$4)*(GMWQ!$NF$2:$NF$60=O$1),0),$E14-1966)</f>
        <v>25065</v>
      </c>
      <c r="P14" s="13" cm="1">
        <f t="array" ref="P14">INDEX(GMWQ!$A$2:$NF$60,MATCH(1,(GMWQ!$NE$2:$NE$60=P$3)*(GMWQ!$ND$2:$ND$60=P$4)*(GMWQ!$NF$2:$NF$60=P$1),0),$E14-1966)</f>
        <v>25065</v>
      </c>
      <c r="Q14" s="13" cm="1">
        <f t="array" ref="Q14">INDEX(GMWQ!$A$2:$NF$60,MATCH(1,(GMWQ!$NE$2:$NE$60=Q$3)*(GMWQ!$ND$2:$ND$60=Q$4)*(GMWQ!$NF$2:$NF$60=Q$1),0),$E14-1966)</f>
        <v>25065</v>
      </c>
    </row>
    <row r="15" spans="1:17" x14ac:dyDescent="0.25">
      <c r="A15" s="13">
        <v>1975</v>
      </c>
      <c r="B15" s="13">
        <f t="shared" si="2"/>
        <v>1975</v>
      </c>
      <c r="C15" s="13">
        <f t="shared" si="2"/>
        <v>1974</v>
      </c>
      <c r="D15" s="13">
        <f t="shared" si="2"/>
        <v>1974</v>
      </c>
      <c r="E15" s="13">
        <f t="shared" si="1"/>
        <v>1981</v>
      </c>
      <c r="F15" s="13" cm="1">
        <f t="array" ref="F15">INDEX(GMWQ!$A$2:$NF$60,MATCH(1,(GMWQ!$NE$2:$NE$60=F$3)*(GMWQ!$ND$2:$ND$60=F$4)*(GMWQ!$NF$2:$NF$60=F$1),0),$E15-1966)</f>
        <v>18.178339999999999</v>
      </c>
      <c r="G15" s="13" cm="1">
        <f t="array" ref="G15">INDEX(GMWQ!$A$2:$NF$60,MATCH(1,(GMWQ!$NE$2:$NE$60=G$3)*(GMWQ!$ND$2:$ND$60=G$4)*(GMWQ!$NF$2:$NF$60=G$1),0),$E15-1966)</f>
        <v>1014.1319999999999</v>
      </c>
      <c r="H15" s="13" cm="1">
        <f t="array" ref="H15">INDEX(GMWQ!$A$2:$NF$60,MATCH(1,(GMWQ!$NE$2:$NE$60=H$3)*(GMWQ!$ND$2:$ND$60=H$4)*(GMWQ!$NF$2:$NF$60=H$1),0),$E15-1966)</f>
        <v>23.39659</v>
      </c>
      <c r="I15" s="13" cm="1">
        <f t="array" ref="I15">INDEX(GMWQ!$A$2:$NF$60,MATCH(1,(GMWQ!$NE$2:$NE$60=I$3)*(GMWQ!$ND$2:$ND$60=I$4)*(GMWQ!$NF$2:$NF$60=I$1),0),$E15-1966)</f>
        <v>4199</v>
      </c>
      <c r="J15" s="13" cm="1">
        <f t="array" ref="J15">INDEX(GMWQ!$A$2:$NF$60,MATCH(1,(GMWQ!$NE$2:$NE$60=J$3)*(GMWQ!$ND$2:$ND$60=J$4)*(GMWQ!$NF$2:$NF$60=J$1),0),$E15-1966)</f>
        <v>26814</v>
      </c>
      <c r="K15" s="13" cm="1">
        <f t="array" ref="K15">INDEX(GMWQ!$A$2:$NF$60,MATCH(1,(GMWQ!$NE$2:$NE$60=K$3)*(GMWQ!$ND$2:$ND$60=K$4)*(GMWQ!$NF$2:$NF$60=K$1),0),$E15-1966)</f>
        <v>14391</v>
      </c>
      <c r="L15" s="13" cm="1">
        <f t="array" ref="L15">INDEX(GMWQ!$A$2:$NF$60,MATCH(1,(GMWQ!$NE$2:$NE$60=L$3)*(GMWQ!$ND$2:$ND$60=L$4)*(GMWQ!$NF$2:$NF$60=L$1),0),$E15-1966)</f>
        <v>18231</v>
      </c>
      <c r="M15" s="13" cm="1">
        <f t="array" ref="M15">INDEX(GMWQ!$A$2:$NF$60,MATCH(1,(GMWQ!$NE$2:$NE$60=M$3)*(GMWQ!$ND$2:$ND$60=M$4)*(GMWQ!$NF$2:$NF$60=M$1),0),$E15-1966)</f>
        <v>143397</v>
      </c>
      <c r="N15" s="13" cm="1">
        <f t="array" ref="N15">INDEX(GMWQ!$A$2:$NF$60,MATCH(1,(GMWQ!$NE$2:$NE$60=N$3)*(GMWQ!$ND$2:$ND$60=N$4)*(GMWQ!$NF$2:$NF$60=N$1),0),$E15-1966)</f>
        <v>12.905250000000001</v>
      </c>
      <c r="O15" s="13" cm="1">
        <f t="array" ref="O15">INDEX(GMWQ!$A$2:$NF$60,MATCH(1,(GMWQ!$NE$2:$NE$60=O$3)*(GMWQ!$ND$2:$ND$60=O$4)*(GMWQ!$NF$2:$NF$60=O$1),0),$E15-1966)</f>
        <v>24996</v>
      </c>
      <c r="P15" s="13" cm="1">
        <f t="array" ref="P15">INDEX(GMWQ!$A$2:$NF$60,MATCH(1,(GMWQ!$NE$2:$NE$60=P$3)*(GMWQ!$ND$2:$ND$60=P$4)*(GMWQ!$NF$2:$NF$60=P$1),0),$E15-1966)</f>
        <v>24996</v>
      </c>
      <c r="Q15" s="13" cm="1">
        <f t="array" ref="Q15">INDEX(GMWQ!$A$2:$NF$60,MATCH(1,(GMWQ!$NE$2:$NE$60=Q$3)*(GMWQ!$ND$2:$ND$60=Q$4)*(GMWQ!$NF$2:$NF$60=Q$1),0),$E15-1966)</f>
        <v>24996</v>
      </c>
    </row>
    <row r="16" spans="1:17" x14ac:dyDescent="0.25">
      <c r="B16" s="13">
        <f t="shared" si="2"/>
        <v>1975</v>
      </c>
      <c r="C16" s="13">
        <f t="shared" si="2"/>
        <v>1975</v>
      </c>
      <c r="E16" s="13">
        <f t="shared" si="1"/>
        <v>1982</v>
      </c>
      <c r="F16" s="13" cm="1">
        <f t="array" ref="F16">INDEX(GMWQ!$A$2:$NF$60,MATCH(1,(GMWQ!$NE$2:$NE$60=F$3)*(GMWQ!$ND$2:$ND$60=F$4)*(GMWQ!$NF$2:$NF$60=F$1),0),$E16-1966)</f>
        <v>19.014800000000001</v>
      </c>
      <c r="G16" s="13" cm="1">
        <f t="array" ref="G16">INDEX(GMWQ!$A$2:$NF$60,MATCH(1,(GMWQ!$NE$2:$NE$60=G$3)*(GMWQ!$ND$2:$ND$60=G$4)*(GMWQ!$NF$2:$NF$60=G$1),0),$E16-1966)</f>
        <v>1131.06</v>
      </c>
      <c r="H16" s="13" cm="1">
        <f t="array" ref="H16">INDEX(GMWQ!$A$2:$NF$60,MATCH(1,(GMWQ!$NE$2:$NE$60=H$3)*(GMWQ!$ND$2:$ND$60=H$4)*(GMWQ!$NF$2:$NF$60=H$1),0),$E16-1966)</f>
        <v>24.964189999999999</v>
      </c>
      <c r="I16" s="13" cm="1">
        <f t="array" ref="I16">INDEX(GMWQ!$A$2:$NF$60,MATCH(1,(GMWQ!$NE$2:$NE$60=I$3)*(GMWQ!$ND$2:$ND$60=I$4)*(GMWQ!$NF$2:$NF$60=I$1),0),$E16-1966)</f>
        <v>4286</v>
      </c>
      <c r="J16" s="13" cm="1">
        <f t="array" ref="J16">INDEX(GMWQ!$A$2:$NF$60,MATCH(1,(GMWQ!$NE$2:$NE$60=J$3)*(GMWQ!$ND$2:$ND$60=J$4)*(GMWQ!$NF$2:$NF$60=J$1),0),$E16-1966)</f>
        <v>28129</v>
      </c>
      <c r="K16" s="13" cm="1">
        <f t="array" ref="K16">INDEX(GMWQ!$A$2:$NF$60,MATCH(1,(GMWQ!$NE$2:$NE$60=K$3)*(GMWQ!$ND$2:$ND$60=K$4)*(GMWQ!$NF$2:$NF$60=K$1),0),$E16-1966)</f>
        <v>14659</v>
      </c>
      <c r="L16" s="13" cm="1">
        <f t="array" ref="L16">INDEX(GMWQ!$A$2:$NF$60,MATCH(1,(GMWQ!$NE$2:$NE$60=L$3)*(GMWQ!$ND$2:$ND$60=L$4)*(GMWQ!$NF$2:$NF$60=L$1),0),$E16-1966)</f>
        <v>18613</v>
      </c>
      <c r="M16" s="13" cm="1">
        <f t="array" ref="M16">INDEX(GMWQ!$A$2:$NF$60,MATCH(1,(GMWQ!$NE$2:$NE$60=M$3)*(GMWQ!$ND$2:$ND$60=M$4)*(GMWQ!$NF$2:$NF$60=M$1),0),$E16-1966)</f>
        <v>138847</v>
      </c>
      <c r="N16" s="13" cm="1">
        <f t="array" ref="N16">INDEX(GMWQ!$A$2:$NF$60,MATCH(1,(GMWQ!$NE$2:$NE$60=N$3)*(GMWQ!$ND$2:$ND$60=N$4)*(GMWQ!$NF$2:$NF$60=N$1),0),$E16-1966)</f>
        <v>13.60613</v>
      </c>
      <c r="O16" s="13" cm="1">
        <f t="array" ref="O16">INDEX(GMWQ!$A$2:$NF$60,MATCH(1,(GMWQ!$NE$2:$NE$60=O$3)*(GMWQ!$ND$2:$ND$60=O$4)*(GMWQ!$NF$2:$NF$60=O$1),0),$E16-1966)</f>
        <v>24955</v>
      </c>
      <c r="P16" s="13" cm="1">
        <f t="array" ref="P16">INDEX(GMWQ!$A$2:$NF$60,MATCH(1,(GMWQ!$NE$2:$NE$60=P$3)*(GMWQ!$ND$2:$ND$60=P$4)*(GMWQ!$NF$2:$NF$60=P$1),0),$E16-1966)</f>
        <v>24955</v>
      </c>
      <c r="Q16" s="13" cm="1">
        <f t="array" ref="Q16">INDEX(GMWQ!$A$2:$NF$60,MATCH(1,(GMWQ!$NE$2:$NE$60=Q$3)*(GMWQ!$ND$2:$ND$60=Q$4)*(GMWQ!$NF$2:$NF$60=Q$1),0),$E16-1966)</f>
        <v>24955</v>
      </c>
    </row>
    <row r="17" spans="1:17" x14ac:dyDescent="0.25">
      <c r="B17" s="13">
        <f t="shared" si="2"/>
        <v>1975</v>
      </c>
      <c r="C17" s="13">
        <f t="shared" si="2"/>
        <v>1975</v>
      </c>
      <c r="E17" s="13">
        <f t="shared" si="1"/>
        <v>1983</v>
      </c>
      <c r="F17" s="13" cm="1">
        <f t="array" ref="F17">INDEX(GMWQ!$A$2:$NF$60,MATCH(1,(GMWQ!$NE$2:$NE$60=F$3)*(GMWQ!$ND$2:$ND$60=F$4)*(GMWQ!$NF$2:$NF$60=F$1),0),$E17-1966)</f>
        <v>20.264759999999999</v>
      </c>
      <c r="G17" s="13" cm="1">
        <f t="array" ref="G17">INDEX(GMWQ!$A$2:$NF$60,MATCH(1,(GMWQ!$NE$2:$NE$60=G$3)*(GMWQ!$ND$2:$ND$60=G$4)*(GMWQ!$NF$2:$NF$60=G$1),0),$E17-1966)</f>
        <v>1191.7729999999999</v>
      </c>
      <c r="H17" s="13" cm="1">
        <f t="array" ref="H17">INDEX(GMWQ!$A$2:$NF$60,MATCH(1,(GMWQ!$NE$2:$NE$60=H$3)*(GMWQ!$ND$2:$ND$60=H$4)*(GMWQ!$NF$2:$NF$60=H$1),0),$E17-1966)</f>
        <v>27.02938</v>
      </c>
      <c r="I17" s="13" cm="1">
        <f t="array" ref="I17">INDEX(GMWQ!$A$2:$NF$60,MATCH(1,(GMWQ!$NE$2:$NE$60=I$3)*(GMWQ!$ND$2:$ND$60=I$4)*(GMWQ!$NF$2:$NF$60=I$1),0),$E17-1966)</f>
        <v>4257</v>
      </c>
      <c r="J17" s="13" cm="1">
        <f t="array" ref="J17">INDEX(GMWQ!$A$2:$NF$60,MATCH(1,(GMWQ!$NE$2:$NE$60=J$3)*(GMWQ!$ND$2:$ND$60=J$4)*(GMWQ!$NF$2:$NF$60=J$1),0),$E17-1966)</f>
        <v>29260</v>
      </c>
      <c r="K17" s="13" cm="1">
        <f t="array" ref="K17">INDEX(GMWQ!$A$2:$NF$60,MATCH(1,(GMWQ!$NE$2:$NE$60=K$3)*(GMWQ!$ND$2:$ND$60=K$4)*(GMWQ!$NF$2:$NF$60=K$1),0),$E17-1966)</f>
        <v>15563</v>
      </c>
      <c r="L17" s="13" cm="1">
        <f t="array" ref="L17">INDEX(GMWQ!$A$2:$NF$60,MATCH(1,(GMWQ!$NE$2:$NE$60=L$3)*(GMWQ!$ND$2:$ND$60=L$4)*(GMWQ!$NF$2:$NF$60=L$1),0),$E17-1966)</f>
        <v>19564</v>
      </c>
      <c r="M17" s="13" cm="1">
        <f t="array" ref="M17">INDEX(GMWQ!$A$2:$NF$60,MATCH(1,(GMWQ!$NE$2:$NE$60=M$3)*(GMWQ!$ND$2:$ND$60=M$4)*(GMWQ!$NF$2:$NF$60=M$1),0),$E17-1966)</f>
        <v>140319</v>
      </c>
      <c r="N17" s="13" cm="1">
        <f t="array" ref="N17">INDEX(GMWQ!$A$2:$NF$60,MATCH(1,(GMWQ!$NE$2:$NE$60=N$3)*(GMWQ!$ND$2:$ND$60=N$4)*(GMWQ!$NF$2:$NF$60=N$1),0),$E17-1966)</f>
        <v>14.14667</v>
      </c>
      <c r="O17" s="13" cm="1">
        <f t="array" ref="O17">INDEX(GMWQ!$A$2:$NF$60,MATCH(1,(GMWQ!$NE$2:$NE$60=O$3)*(GMWQ!$ND$2:$ND$60=O$4)*(GMWQ!$NF$2:$NF$60=O$1),0),$E17-1966)</f>
        <v>24918</v>
      </c>
      <c r="P17" s="13" cm="1">
        <f t="array" ref="P17">INDEX(GMWQ!$A$2:$NF$60,MATCH(1,(GMWQ!$NE$2:$NE$60=P$3)*(GMWQ!$ND$2:$ND$60=P$4)*(GMWQ!$NF$2:$NF$60=P$1),0),$E17-1966)</f>
        <v>24918</v>
      </c>
      <c r="Q17" s="13" cm="1">
        <f t="array" ref="Q17">INDEX(GMWQ!$A$2:$NF$60,MATCH(1,(GMWQ!$NE$2:$NE$60=Q$3)*(GMWQ!$ND$2:$ND$60=Q$4)*(GMWQ!$NF$2:$NF$60=Q$1),0),$E17-1966)</f>
        <v>24918</v>
      </c>
    </row>
    <row r="18" spans="1:17" x14ac:dyDescent="0.25">
      <c r="B18" s="13">
        <f t="shared" si="2"/>
        <v>1975</v>
      </c>
      <c r="C18" s="13">
        <f t="shared" si="2"/>
        <v>1975</v>
      </c>
      <c r="E18" s="13">
        <f t="shared" si="1"/>
        <v>1984</v>
      </c>
      <c r="F18" s="13" cm="1">
        <f t="array" ref="F18">INDEX(GMWQ!$A$2:$NF$60,MATCH(1,(GMWQ!$NE$2:$NE$60=F$3)*(GMWQ!$ND$2:$ND$60=F$4)*(GMWQ!$NF$2:$NF$60=F$1),0),$E18-1966)</f>
        <v>20.490079999999999</v>
      </c>
      <c r="G18" s="13" cm="1">
        <f t="array" ref="G18">INDEX(GMWQ!$A$2:$NF$60,MATCH(1,(GMWQ!$NE$2:$NE$60=G$3)*(GMWQ!$ND$2:$ND$60=G$4)*(GMWQ!$NF$2:$NF$60=G$1),0),$E18-1966)</f>
        <v>1236.7460000000001</v>
      </c>
      <c r="H18" s="13" cm="1">
        <f t="array" ref="H18">INDEX(GMWQ!$A$2:$NF$60,MATCH(1,(GMWQ!$NE$2:$NE$60=H$3)*(GMWQ!$ND$2:$ND$60=H$4)*(GMWQ!$NF$2:$NF$60=H$1),0),$E18-1966)</f>
        <v>28.37567</v>
      </c>
      <c r="I18" s="13" cm="1">
        <f t="array" ref="I18">INDEX(GMWQ!$A$2:$NF$60,MATCH(1,(GMWQ!$NE$2:$NE$60=I$3)*(GMWQ!$ND$2:$ND$60=I$4)*(GMWQ!$NF$2:$NF$60=I$1),0),$E18-1966)</f>
        <v>4955</v>
      </c>
      <c r="J18" s="13" cm="1">
        <f t="array" ref="J18">INDEX(GMWQ!$A$2:$NF$60,MATCH(1,(GMWQ!$NE$2:$NE$60=J$3)*(GMWQ!$ND$2:$ND$60=J$4)*(GMWQ!$NF$2:$NF$60=J$1),0),$E18-1966)</f>
        <v>30890</v>
      </c>
      <c r="K18" s="13" cm="1">
        <f t="array" ref="K18">INDEX(GMWQ!$A$2:$NF$60,MATCH(1,(GMWQ!$NE$2:$NE$60=K$3)*(GMWQ!$ND$2:$ND$60=K$4)*(GMWQ!$NF$2:$NF$60=K$1),0),$E18-1966)</f>
        <v>15848</v>
      </c>
      <c r="L18" s="13" cm="1">
        <f t="array" ref="L18">INDEX(GMWQ!$A$2:$NF$60,MATCH(1,(GMWQ!$NE$2:$NE$60=L$3)*(GMWQ!$ND$2:$ND$60=L$4)*(GMWQ!$NF$2:$NF$60=L$1),0),$E18-1966)</f>
        <v>20194</v>
      </c>
      <c r="M18" s="13" cm="1">
        <f t="array" ref="M18">INDEX(GMWQ!$A$2:$NF$60,MATCH(1,(GMWQ!$NE$2:$NE$60=M$3)*(GMWQ!$ND$2:$ND$60=M$4)*(GMWQ!$NF$2:$NF$60=M$1),0),$E18-1966)</f>
        <v>137808</v>
      </c>
      <c r="N18" s="13" cm="1">
        <f t="array" ref="N18">INDEX(GMWQ!$A$2:$NF$60,MATCH(1,(GMWQ!$NE$2:$NE$60=N$3)*(GMWQ!$ND$2:$ND$60=N$4)*(GMWQ!$NF$2:$NF$60=N$1),0),$E18-1966)</f>
        <v>14.88836</v>
      </c>
      <c r="O18" s="13" cm="1">
        <f t="array" ref="O18">INDEX(GMWQ!$A$2:$NF$60,MATCH(1,(GMWQ!$NE$2:$NE$60=O$3)*(GMWQ!$ND$2:$ND$60=O$4)*(GMWQ!$NF$2:$NF$60=O$1),0),$E18-1966)</f>
        <v>24864</v>
      </c>
      <c r="P18" s="13" cm="1">
        <f t="array" ref="P18">INDEX(GMWQ!$A$2:$NF$60,MATCH(1,(GMWQ!$NE$2:$NE$60=P$3)*(GMWQ!$ND$2:$ND$60=P$4)*(GMWQ!$NF$2:$NF$60=P$1),0),$E18-1966)</f>
        <v>24864</v>
      </c>
      <c r="Q18" s="13" cm="1">
        <f t="array" ref="Q18">INDEX(GMWQ!$A$2:$NF$60,MATCH(1,(GMWQ!$NE$2:$NE$60=Q$3)*(GMWQ!$ND$2:$ND$60=Q$4)*(GMWQ!$NF$2:$NF$60=Q$1),0),$E18-1966)</f>
        <v>24864</v>
      </c>
    </row>
    <row r="19" spans="1:17" x14ac:dyDescent="0.25">
      <c r="A19" s="13">
        <v>1976</v>
      </c>
      <c r="B19" s="13">
        <f t="shared" si="2"/>
        <v>1976</v>
      </c>
      <c r="C19" s="13">
        <f t="shared" si="2"/>
        <v>1975</v>
      </c>
      <c r="D19" s="13">
        <f t="shared" si="2"/>
        <v>1975</v>
      </c>
      <c r="E19" s="13">
        <f t="shared" si="1"/>
        <v>1985</v>
      </c>
      <c r="F19" s="13" cm="1">
        <f t="array" ref="F19">INDEX(GMWQ!$A$2:$NF$60,MATCH(1,(GMWQ!$NE$2:$NE$60=F$3)*(GMWQ!$ND$2:$ND$60=F$4)*(GMWQ!$NF$2:$NF$60=F$1),0),$E19-1966)</f>
        <v>20.755050000000001</v>
      </c>
      <c r="G19" s="13" cm="1">
        <f t="array" ref="G19">INDEX(GMWQ!$A$2:$NF$60,MATCH(1,(GMWQ!$NE$2:$NE$60=G$3)*(GMWQ!$ND$2:$ND$60=G$4)*(GMWQ!$NF$2:$NF$60=G$1),0),$E19-1966)</f>
        <v>1310.951</v>
      </c>
      <c r="H19" s="13" cm="1">
        <f t="array" ref="H19">INDEX(GMWQ!$A$2:$NF$60,MATCH(1,(GMWQ!$NE$2:$NE$60=H$3)*(GMWQ!$ND$2:$ND$60=H$4)*(GMWQ!$NF$2:$NF$60=H$1),0),$E19-1966)</f>
        <v>29.357140000000001</v>
      </c>
      <c r="I19" s="13" cm="1">
        <f t="array" ref="I19">INDEX(GMWQ!$A$2:$NF$60,MATCH(1,(GMWQ!$NE$2:$NE$60=I$3)*(GMWQ!$ND$2:$ND$60=I$4)*(GMWQ!$NF$2:$NF$60=I$1),0),$E19-1966)</f>
        <v>5071</v>
      </c>
      <c r="J19" s="13" cm="1">
        <f t="array" ref="J19">INDEX(GMWQ!$A$2:$NF$60,MATCH(1,(GMWQ!$NE$2:$NE$60=J$3)*(GMWQ!$ND$2:$ND$60=J$4)*(GMWQ!$NF$2:$NF$60=J$1),0),$E19-1966)</f>
        <v>32449</v>
      </c>
      <c r="K19" s="13" cm="1">
        <f t="array" ref="K19">INDEX(GMWQ!$A$2:$NF$60,MATCH(1,(GMWQ!$NE$2:$NE$60=K$3)*(GMWQ!$ND$2:$ND$60=K$4)*(GMWQ!$NF$2:$NF$60=K$1),0),$E19-1966)</f>
        <v>16278</v>
      </c>
      <c r="L19" s="13" cm="1">
        <f t="array" ref="L19">INDEX(GMWQ!$A$2:$NF$60,MATCH(1,(GMWQ!$NE$2:$NE$60=L$3)*(GMWQ!$ND$2:$ND$60=L$4)*(GMWQ!$NF$2:$NF$60=L$1),0),$E19-1966)</f>
        <v>21295</v>
      </c>
      <c r="M19" s="13" cm="1">
        <f t="array" ref="M19">INDEX(GMWQ!$A$2:$NF$60,MATCH(1,(GMWQ!$NE$2:$NE$60=M$3)*(GMWQ!$ND$2:$ND$60=M$4)*(GMWQ!$NF$2:$NF$60=M$1),0),$E19-1966)</f>
        <v>139742</v>
      </c>
      <c r="N19" s="13" cm="1">
        <f t="array" ref="N19">INDEX(GMWQ!$A$2:$NF$60,MATCH(1,(GMWQ!$NE$2:$NE$60=N$3)*(GMWQ!$ND$2:$ND$60=N$4)*(GMWQ!$NF$2:$NF$60=N$1),0),$E19-1966)</f>
        <v>15.45439</v>
      </c>
      <c r="O19" s="13" cm="1">
        <f t="array" ref="O19">INDEX(GMWQ!$A$2:$NF$60,MATCH(1,(GMWQ!$NE$2:$NE$60=O$3)*(GMWQ!$ND$2:$ND$60=O$4)*(GMWQ!$NF$2:$NF$60=O$1),0),$E19-1966)</f>
        <v>24809</v>
      </c>
      <c r="P19" s="13" cm="1">
        <f t="array" ref="P19">INDEX(GMWQ!$A$2:$NF$60,MATCH(1,(GMWQ!$NE$2:$NE$60=P$3)*(GMWQ!$ND$2:$ND$60=P$4)*(GMWQ!$NF$2:$NF$60=P$1),0),$E19-1966)</f>
        <v>24809</v>
      </c>
      <c r="Q19" s="13" cm="1">
        <f t="array" ref="Q19">INDEX(GMWQ!$A$2:$NF$60,MATCH(1,(GMWQ!$NE$2:$NE$60=Q$3)*(GMWQ!$ND$2:$ND$60=Q$4)*(GMWQ!$NF$2:$NF$60=Q$1),0),$E19-1966)</f>
        <v>24809</v>
      </c>
    </row>
    <row r="20" spans="1:17" x14ac:dyDescent="0.25">
      <c r="B20" s="13">
        <f t="shared" si="2"/>
        <v>1976</v>
      </c>
      <c r="C20" s="13">
        <f t="shared" si="2"/>
        <v>1976</v>
      </c>
      <c r="E20" s="13">
        <f t="shared" si="1"/>
        <v>1986</v>
      </c>
      <c r="F20" s="13" cm="1">
        <f t="array" ref="F20">INDEX(GMWQ!$A$2:$NF$60,MATCH(1,(GMWQ!$NE$2:$NE$60=F$3)*(GMWQ!$ND$2:$ND$60=F$4)*(GMWQ!$NF$2:$NF$60=F$1),0),$E20-1966)</f>
        <v>21.472860000000001</v>
      </c>
      <c r="G20" s="13" cm="1">
        <f t="array" ref="G20">INDEX(GMWQ!$A$2:$NF$60,MATCH(1,(GMWQ!$NE$2:$NE$60=G$3)*(GMWQ!$ND$2:$ND$60=G$4)*(GMWQ!$NF$2:$NF$60=G$1),0),$E20-1966)</f>
        <v>1421.133</v>
      </c>
      <c r="H20" s="13" cm="1">
        <f t="array" ref="H20">INDEX(GMWQ!$A$2:$NF$60,MATCH(1,(GMWQ!$NE$2:$NE$60=H$3)*(GMWQ!$ND$2:$ND$60=H$4)*(GMWQ!$NF$2:$NF$60=H$1),0),$E20-1966)</f>
        <v>30.793579999999999</v>
      </c>
      <c r="I20" s="13" cm="1">
        <f t="array" ref="I20">INDEX(GMWQ!$A$2:$NF$60,MATCH(1,(GMWQ!$NE$2:$NE$60=I$3)*(GMWQ!$ND$2:$ND$60=I$4)*(GMWQ!$NF$2:$NF$60=I$1),0),$E20-1966)</f>
        <v>5072</v>
      </c>
      <c r="J20" s="13" cm="1">
        <f t="array" ref="J20">INDEX(GMWQ!$A$2:$NF$60,MATCH(1,(GMWQ!$NE$2:$NE$60=J$3)*(GMWQ!$ND$2:$ND$60=J$4)*(GMWQ!$NF$2:$NF$60=J$1),0),$E20-1966)</f>
        <v>33322</v>
      </c>
      <c r="K20" s="13" cm="1">
        <f t="array" ref="K20">INDEX(GMWQ!$A$2:$NF$60,MATCH(1,(GMWQ!$NE$2:$NE$60=K$3)*(GMWQ!$ND$2:$ND$60=K$4)*(GMWQ!$NF$2:$NF$60=K$1),0),$E20-1966)</f>
        <v>16723</v>
      </c>
      <c r="L20" s="13" cm="1">
        <f t="array" ref="L20">INDEX(GMWQ!$A$2:$NF$60,MATCH(1,(GMWQ!$NE$2:$NE$60=L$3)*(GMWQ!$ND$2:$ND$60=L$4)*(GMWQ!$NF$2:$NF$60=L$1),0),$E20-1966)</f>
        <v>21568</v>
      </c>
      <c r="M20" s="13" cm="1">
        <f t="array" ref="M20">INDEX(GMWQ!$A$2:$NF$60,MATCH(1,(GMWQ!$NE$2:$NE$60=M$3)*(GMWQ!$ND$2:$ND$60=M$4)*(GMWQ!$NF$2:$NF$60=M$1),0),$E20-1966)</f>
        <v>138168</v>
      </c>
      <c r="N20" s="13" cm="1">
        <f t="array" ref="N20">INDEX(GMWQ!$A$2:$NF$60,MATCH(1,(GMWQ!$NE$2:$NE$60=N$3)*(GMWQ!$ND$2:$ND$60=N$4)*(GMWQ!$NF$2:$NF$60=N$1),0),$E20-1966)</f>
        <v>15.83728</v>
      </c>
      <c r="O20" s="13" cm="1">
        <f t="array" ref="O20">INDEX(GMWQ!$A$2:$NF$60,MATCH(1,(GMWQ!$NE$2:$NE$60=O$3)*(GMWQ!$ND$2:$ND$60=O$4)*(GMWQ!$NF$2:$NF$60=O$1),0),$E20-1966)</f>
        <v>24779</v>
      </c>
      <c r="P20" s="13" cm="1">
        <f t="array" ref="P20">INDEX(GMWQ!$A$2:$NF$60,MATCH(1,(GMWQ!$NE$2:$NE$60=P$3)*(GMWQ!$ND$2:$ND$60=P$4)*(GMWQ!$NF$2:$NF$60=P$1),0),$E20-1966)</f>
        <v>24779</v>
      </c>
      <c r="Q20" s="13" cm="1">
        <f t="array" ref="Q20">INDEX(GMWQ!$A$2:$NF$60,MATCH(1,(GMWQ!$NE$2:$NE$60=Q$3)*(GMWQ!$ND$2:$ND$60=Q$4)*(GMWQ!$NF$2:$NF$60=Q$1),0),$E20-1966)</f>
        <v>24779</v>
      </c>
    </row>
    <row r="21" spans="1:17" x14ac:dyDescent="0.25">
      <c r="B21" s="13">
        <f t="shared" si="2"/>
        <v>1976</v>
      </c>
      <c r="C21" s="13">
        <f t="shared" si="2"/>
        <v>1976</v>
      </c>
      <c r="E21" s="13">
        <f t="shared" si="1"/>
        <v>1987</v>
      </c>
      <c r="F21" s="13" cm="1">
        <f t="array" ref="F21">INDEX(GMWQ!$A$2:$NF$60,MATCH(1,(GMWQ!$NE$2:$NE$60=F$3)*(GMWQ!$ND$2:$ND$60=F$4)*(GMWQ!$NF$2:$NF$60=F$1),0),$E21-1966)</f>
        <v>21.82996</v>
      </c>
      <c r="G21" s="13" cm="1">
        <f t="array" ref="G21">INDEX(GMWQ!$A$2:$NF$60,MATCH(1,(GMWQ!$NE$2:$NE$60=G$3)*(GMWQ!$ND$2:$ND$60=G$4)*(GMWQ!$NF$2:$NF$60=G$1),0),$E21-1966)</f>
        <v>1454.8630000000001</v>
      </c>
      <c r="H21" s="13" cm="1">
        <f t="array" ref="H21">INDEX(GMWQ!$A$2:$NF$60,MATCH(1,(GMWQ!$NE$2:$NE$60=H$3)*(GMWQ!$ND$2:$ND$60=H$4)*(GMWQ!$NF$2:$NF$60=H$1),0),$E21-1966)</f>
        <v>32.301470000000002</v>
      </c>
      <c r="I21" s="13" cm="1">
        <f t="array" ref="I21">INDEX(GMWQ!$A$2:$NF$60,MATCH(1,(GMWQ!$NE$2:$NE$60=I$3)*(GMWQ!$ND$2:$ND$60=I$4)*(GMWQ!$NF$2:$NF$60=I$1),0),$E21-1966)</f>
        <v>5440</v>
      </c>
      <c r="J21" s="13" cm="1">
        <f t="array" ref="J21">INDEX(GMWQ!$A$2:$NF$60,MATCH(1,(GMWQ!$NE$2:$NE$60=J$3)*(GMWQ!$ND$2:$ND$60=J$4)*(GMWQ!$NF$2:$NF$60=J$1),0),$E21-1966)</f>
        <v>34550</v>
      </c>
      <c r="K21" s="13" cm="1">
        <f t="array" ref="K21">INDEX(GMWQ!$A$2:$NF$60,MATCH(1,(GMWQ!$NE$2:$NE$60=K$3)*(GMWQ!$ND$2:$ND$60=K$4)*(GMWQ!$NF$2:$NF$60=K$1),0),$E21-1966)</f>
        <v>17202</v>
      </c>
      <c r="L21" s="13" cm="1">
        <f t="array" ref="L21">INDEX(GMWQ!$A$2:$NF$60,MATCH(1,(GMWQ!$NE$2:$NE$60=L$3)*(GMWQ!$ND$2:$ND$60=L$4)*(GMWQ!$NF$2:$NF$60=L$1),0),$E21-1966)</f>
        <v>22876</v>
      </c>
      <c r="M21" s="13" cm="1">
        <f t="array" ref="M21">INDEX(GMWQ!$A$2:$NF$60,MATCH(1,(GMWQ!$NE$2:$NE$60=M$3)*(GMWQ!$ND$2:$ND$60=M$4)*(GMWQ!$NF$2:$NF$60=M$1),0),$E21-1966)</f>
        <v>142668</v>
      </c>
      <c r="N21" s="13" cm="1">
        <f t="array" ref="N21">INDEX(GMWQ!$A$2:$NF$60,MATCH(1,(GMWQ!$NE$2:$NE$60=N$3)*(GMWQ!$ND$2:$ND$60=N$4)*(GMWQ!$NF$2:$NF$60=N$1),0),$E21-1966)</f>
        <v>16.26755</v>
      </c>
      <c r="O21" s="13" cm="1">
        <f t="array" ref="O21">INDEX(GMWQ!$A$2:$NF$60,MATCH(1,(GMWQ!$NE$2:$NE$60=O$3)*(GMWQ!$ND$2:$ND$60=O$4)*(GMWQ!$NF$2:$NF$60=O$1),0),$E21-1966)</f>
        <v>24768</v>
      </c>
      <c r="P21" s="13" cm="1">
        <f t="array" ref="P21">INDEX(GMWQ!$A$2:$NF$60,MATCH(1,(GMWQ!$NE$2:$NE$60=P$3)*(GMWQ!$ND$2:$ND$60=P$4)*(GMWQ!$NF$2:$NF$60=P$1),0),$E21-1966)</f>
        <v>24768</v>
      </c>
      <c r="Q21" s="13" cm="1">
        <f t="array" ref="Q21">INDEX(GMWQ!$A$2:$NF$60,MATCH(1,(GMWQ!$NE$2:$NE$60=Q$3)*(GMWQ!$ND$2:$ND$60=Q$4)*(GMWQ!$NF$2:$NF$60=Q$1),0),$E21-1966)</f>
        <v>24768</v>
      </c>
    </row>
    <row r="22" spans="1:17" x14ac:dyDescent="0.25">
      <c r="B22" s="13">
        <f t="shared" si="2"/>
        <v>1976</v>
      </c>
      <c r="C22" s="13">
        <f t="shared" si="2"/>
        <v>1976</v>
      </c>
      <c r="E22" s="13">
        <f t="shared" si="1"/>
        <v>1988</v>
      </c>
      <c r="F22" s="13" cm="1">
        <f t="array" ref="F22">INDEX(GMWQ!$A$2:$NF$60,MATCH(1,(GMWQ!$NE$2:$NE$60=F$3)*(GMWQ!$ND$2:$ND$60=F$4)*(GMWQ!$NF$2:$NF$60=F$1),0),$E22-1966)</f>
        <v>21.986699999999999</v>
      </c>
      <c r="G22" s="13" cm="1">
        <f t="array" ref="G22">INDEX(GMWQ!$A$2:$NF$60,MATCH(1,(GMWQ!$NE$2:$NE$60=G$3)*(GMWQ!$ND$2:$ND$60=G$4)*(GMWQ!$NF$2:$NF$60=G$1),0),$E22-1966)</f>
        <v>1508.83</v>
      </c>
      <c r="H22" s="13" cm="1">
        <f t="array" ref="H22">INDEX(GMWQ!$A$2:$NF$60,MATCH(1,(GMWQ!$NE$2:$NE$60=H$3)*(GMWQ!$ND$2:$ND$60=H$4)*(GMWQ!$NF$2:$NF$60=H$1),0),$E22-1966)</f>
        <v>33.18535</v>
      </c>
      <c r="I22" s="13" cm="1">
        <f t="array" ref="I22">INDEX(GMWQ!$A$2:$NF$60,MATCH(1,(GMWQ!$NE$2:$NE$60=I$3)*(GMWQ!$ND$2:$ND$60=I$4)*(GMWQ!$NF$2:$NF$60=I$1),0),$E22-1966)</f>
        <v>6497</v>
      </c>
      <c r="J22" s="13" cm="1">
        <f t="array" ref="J22">INDEX(GMWQ!$A$2:$NF$60,MATCH(1,(GMWQ!$NE$2:$NE$60=J$3)*(GMWQ!$ND$2:$ND$60=J$4)*(GMWQ!$NF$2:$NF$60=J$1),0),$E22-1966)</f>
        <v>36678</v>
      </c>
      <c r="K22" s="13" cm="1">
        <f t="array" ref="K22">INDEX(GMWQ!$A$2:$NF$60,MATCH(1,(GMWQ!$NE$2:$NE$60=K$3)*(GMWQ!$ND$2:$ND$60=K$4)*(GMWQ!$NF$2:$NF$60=K$1),0),$E22-1966)</f>
        <v>17685</v>
      </c>
      <c r="L22" s="13" cm="1">
        <f t="array" ref="L22">INDEX(GMWQ!$A$2:$NF$60,MATCH(1,(GMWQ!$NE$2:$NE$60=L$3)*(GMWQ!$ND$2:$ND$60=L$4)*(GMWQ!$NF$2:$NF$60=L$1),0),$E22-1966)</f>
        <v>23450</v>
      </c>
      <c r="M22" s="13" cm="1">
        <f t="array" ref="M22">INDEX(GMWQ!$A$2:$NF$60,MATCH(1,(GMWQ!$NE$2:$NE$60=M$3)*(GMWQ!$ND$2:$ND$60=M$4)*(GMWQ!$NF$2:$NF$60=M$1),0),$E22-1966)</f>
        <v>139028</v>
      </c>
      <c r="N22" s="13" cm="1">
        <f t="array" ref="N22">INDEX(GMWQ!$A$2:$NF$60,MATCH(1,(GMWQ!$NE$2:$NE$60=N$3)*(GMWQ!$ND$2:$ND$60=N$4)*(GMWQ!$NF$2:$NF$60=N$1),0),$E22-1966)</f>
        <v>17.121690000000001</v>
      </c>
      <c r="O22" s="13" cm="1">
        <f t="array" ref="O22">INDEX(GMWQ!$A$2:$NF$60,MATCH(1,(GMWQ!$NE$2:$NE$60=O$3)*(GMWQ!$ND$2:$ND$60=O$4)*(GMWQ!$NF$2:$NF$60=O$1),0),$E22-1966)</f>
        <v>24788</v>
      </c>
      <c r="P22" s="13" cm="1">
        <f t="array" ref="P22">INDEX(GMWQ!$A$2:$NF$60,MATCH(1,(GMWQ!$NE$2:$NE$60=P$3)*(GMWQ!$ND$2:$ND$60=P$4)*(GMWQ!$NF$2:$NF$60=P$1),0),$E22-1966)</f>
        <v>24788</v>
      </c>
      <c r="Q22" s="13" cm="1">
        <f t="array" ref="Q22">INDEX(GMWQ!$A$2:$NF$60,MATCH(1,(GMWQ!$NE$2:$NE$60=Q$3)*(GMWQ!$ND$2:$ND$60=Q$4)*(GMWQ!$NF$2:$NF$60=Q$1),0),$E22-1966)</f>
        <v>24788</v>
      </c>
    </row>
    <row r="23" spans="1:17" x14ac:dyDescent="0.25">
      <c r="A23" s="13">
        <v>1977</v>
      </c>
      <c r="B23" s="13">
        <f t="shared" si="2"/>
        <v>1977</v>
      </c>
      <c r="C23" s="13">
        <f t="shared" si="2"/>
        <v>1976</v>
      </c>
      <c r="D23" s="13">
        <f t="shared" si="2"/>
        <v>1976</v>
      </c>
      <c r="E23" s="13">
        <f t="shared" si="1"/>
        <v>1989</v>
      </c>
      <c r="F23" s="13" cm="1">
        <f t="array" ref="F23">INDEX(GMWQ!$A$2:$NF$60,MATCH(1,(GMWQ!$NE$2:$NE$60=F$3)*(GMWQ!$ND$2:$ND$60=F$4)*(GMWQ!$NF$2:$NF$60=F$1),0),$E23-1966)</f>
        <v>22.594069999999999</v>
      </c>
      <c r="G23" s="13" cm="1">
        <f t="array" ref="G23">INDEX(GMWQ!$A$2:$NF$60,MATCH(1,(GMWQ!$NE$2:$NE$60=G$3)*(GMWQ!$ND$2:$ND$60=G$4)*(GMWQ!$NF$2:$NF$60=G$1),0),$E23-1966)</f>
        <v>1574.04</v>
      </c>
      <c r="H23" s="13" cm="1">
        <f t="array" ref="H23">INDEX(GMWQ!$A$2:$NF$60,MATCH(1,(GMWQ!$NE$2:$NE$60=H$3)*(GMWQ!$ND$2:$ND$60=H$4)*(GMWQ!$NF$2:$NF$60=H$1),0),$E23-1966)</f>
        <v>33.540489999999998</v>
      </c>
      <c r="I23" s="13" cm="1">
        <f t="array" ref="I23">INDEX(GMWQ!$A$2:$NF$60,MATCH(1,(GMWQ!$NE$2:$NE$60=I$3)*(GMWQ!$ND$2:$ND$60=I$4)*(GMWQ!$NF$2:$NF$60=I$1),0),$E23-1966)</f>
        <v>7199</v>
      </c>
      <c r="J23" s="13" cm="1">
        <f t="array" ref="J23">INDEX(GMWQ!$A$2:$NF$60,MATCH(1,(GMWQ!$NE$2:$NE$60=J$3)*(GMWQ!$ND$2:$ND$60=J$4)*(GMWQ!$NF$2:$NF$60=J$1),0),$E23-1966)</f>
        <v>38038</v>
      </c>
      <c r="K23" s="13" cm="1">
        <f t="array" ref="K23">INDEX(GMWQ!$A$2:$NF$60,MATCH(1,(GMWQ!$NE$2:$NE$60=K$3)*(GMWQ!$ND$2:$ND$60=K$4)*(GMWQ!$NF$2:$NF$60=K$1),0),$E23-1966)</f>
        <v>18192</v>
      </c>
      <c r="L23" s="13" cm="1">
        <f t="array" ref="L23">INDEX(GMWQ!$A$2:$NF$60,MATCH(1,(GMWQ!$NE$2:$NE$60=L$3)*(GMWQ!$ND$2:$ND$60=L$4)*(GMWQ!$NF$2:$NF$60=L$1),0),$E23-1966)</f>
        <v>23884</v>
      </c>
      <c r="M23" s="13" cm="1">
        <f t="array" ref="M23">INDEX(GMWQ!$A$2:$NF$60,MATCH(1,(GMWQ!$NE$2:$NE$60=M$3)*(GMWQ!$ND$2:$ND$60=M$4)*(GMWQ!$NF$2:$NF$60=M$1),0),$E23-1966)</f>
        <v>135347</v>
      </c>
      <c r="N23" s="13" cm="1">
        <f t="array" ref="N23">INDEX(GMWQ!$A$2:$NF$60,MATCH(1,(GMWQ!$NE$2:$NE$60=N$3)*(GMWQ!$ND$2:$ND$60=N$4)*(GMWQ!$NF$2:$NF$60=N$1),0),$E23-1966)</f>
        <v>17.93</v>
      </c>
      <c r="O23" s="13" cm="1">
        <f t="array" ref="O23">INDEX(GMWQ!$A$2:$NF$60,MATCH(1,(GMWQ!$NE$2:$NE$60=O$3)*(GMWQ!$ND$2:$ND$60=O$4)*(GMWQ!$NF$2:$NF$60=O$1),0),$E23-1966)</f>
        <v>24803</v>
      </c>
      <c r="P23" s="13" cm="1">
        <f t="array" ref="P23">INDEX(GMWQ!$A$2:$NF$60,MATCH(1,(GMWQ!$NE$2:$NE$60=P$3)*(GMWQ!$ND$2:$ND$60=P$4)*(GMWQ!$NF$2:$NF$60=P$1),0),$E23-1966)</f>
        <v>24803</v>
      </c>
      <c r="Q23" s="13" cm="1">
        <f t="array" ref="Q23">INDEX(GMWQ!$A$2:$NF$60,MATCH(1,(GMWQ!$NE$2:$NE$60=Q$3)*(GMWQ!$ND$2:$ND$60=Q$4)*(GMWQ!$NF$2:$NF$60=Q$1),0),$E23-1966)</f>
        <v>24803</v>
      </c>
    </row>
    <row r="24" spans="1:17" x14ac:dyDescent="0.25">
      <c r="B24" s="13">
        <f t="shared" si="2"/>
        <v>1977</v>
      </c>
      <c r="C24" s="13">
        <f t="shared" si="2"/>
        <v>1977</v>
      </c>
      <c r="E24" s="13">
        <f t="shared" si="1"/>
        <v>1990</v>
      </c>
      <c r="F24" s="13" cm="1">
        <f t="array" ref="F24">INDEX(GMWQ!$A$2:$NF$60,MATCH(1,(GMWQ!$NE$2:$NE$60=F$3)*(GMWQ!$ND$2:$ND$60=F$4)*(GMWQ!$NF$2:$NF$60=F$1),0),$E24-1966)</f>
        <v>23.132210000000001</v>
      </c>
      <c r="G24" s="13" cm="1">
        <f t="array" ref="G24">INDEX(GMWQ!$A$2:$NF$60,MATCH(1,(GMWQ!$NE$2:$NE$60=G$3)*(GMWQ!$ND$2:$ND$60=G$4)*(GMWQ!$NF$2:$NF$60=G$1),0),$E24-1966)</f>
        <v>1571.7919999999999</v>
      </c>
      <c r="H24" s="13" cm="1">
        <f t="array" ref="H24">INDEX(GMWQ!$A$2:$NF$60,MATCH(1,(GMWQ!$NE$2:$NE$60=H$3)*(GMWQ!$ND$2:$ND$60=H$4)*(GMWQ!$NF$2:$NF$60=H$1),0),$E24-1966)</f>
        <v>34.543460000000003</v>
      </c>
      <c r="I24" s="13" cm="1">
        <f t="array" ref="I24">INDEX(GMWQ!$A$2:$NF$60,MATCH(1,(GMWQ!$NE$2:$NE$60=I$3)*(GMWQ!$ND$2:$ND$60=I$4)*(GMWQ!$NF$2:$NF$60=I$1),0),$E24-1966)</f>
        <v>7734</v>
      </c>
      <c r="J24" s="13" cm="1">
        <f t="array" ref="J24">INDEX(GMWQ!$A$2:$NF$60,MATCH(1,(GMWQ!$NE$2:$NE$60=J$3)*(GMWQ!$ND$2:$ND$60=J$4)*(GMWQ!$NF$2:$NF$60=J$1),0),$E24-1966)</f>
        <v>39244</v>
      </c>
      <c r="K24" s="13" cm="1">
        <f t="array" ref="K24">INDEX(GMWQ!$A$2:$NF$60,MATCH(1,(GMWQ!$NE$2:$NE$60=K$3)*(GMWQ!$ND$2:$ND$60=K$4)*(GMWQ!$NF$2:$NF$60=K$1),0),$E24-1966)</f>
        <v>18494</v>
      </c>
      <c r="L24" s="13" cm="1">
        <f t="array" ref="L24">INDEX(GMWQ!$A$2:$NF$60,MATCH(1,(GMWQ!$NE$2:$NE$60=L$3)*(GMWQ!$ND$2:$ND$60=L$4)*(GMWQ!$NF$2:$NF$60=L$1),0),$E24-1966)</f>
        <v>24509</v>
      </c>
      <c r="M24" s="13" cm="1">
        <f t="array" ref="M24">INDEX(GMWQ!$A$2:$NF$60,MATCH(1,(GMWQ!$NE$2:$NE$60=M$3)*(GMWQ!$ND$2:$ND$60=M$4)*(GMWQ!$NF$2:$NF$60=M$1),0),$E24-1966)</f>
        <v>134379</v>
      </c>
      <c r="N24" s="13" cm="1">
        <f t="array" ref="N24">INDEX(GMWQ!$A$2:$NF$60,MATCH(1,(GMWQ!$NE$2:$NE$60=N$3)*(GMWQ!$ND$2:$ND$60=N$4)*(GMWQ!$NF$2:$NF$60=N$1),0),$E24-1966)</f>
        <v>18.505330000000001</v>
      </c>
      <c r="O24" s="13" cm="1">
        <f t="array" ref="O24">INDEX(GMWQ!$A$2:$NF$60,MATCH(1,(GMWQ!$NE$2:$NE$60=O$3)*(GMWQ!$ND$2:$ND$60=O$4)*(GMWQ!$NF$2:$NF$60=O$1),0),$E24-1966)</f>
        <v>24802</v>
      </c>
      <c r="P24" s="13" cm="1">
        <f t="array" ref="P24">INDEX(GMWQ!$A$2:$NF$60,MATCH(1,(GMWQ!$NE$2:$NE$60=P$3)*(GMWQ!$ND$2:$ND$60=P$4)*(GMWQ!$NF$2:$NF$60=P$1),0),$E24-1966)</f>
        <v>24802</v>
      </c>
      <c r="Q24" s="13" cm="1">
        <f t="array" ref="Q24">INDEX(GMWQ!$A$2:$NF$60,MATCH(1,(GMWQ!$NE$2:$NE$60=Q$3)*(GMWQ!$ND$2:$ND$60=Q$4)*(GMWQ!$NF$2:$NF$60=Q$1),0),$E24-1966)</f>
        <v>24802</v>
      </c>
    </row>
    <row r="25" spans="1:17" x14ac:dyDescent="0.25">
      <c r="B25" s="13">
        <f t="shared" si="2"/>
        <v>1977</v>
      </c>
      <c r="C25" s="13">
        <f t="shared" si="2"/>
        <v>1977</v>
      </c>
      <c r="E25" s="13">
        <f t="shared" si="1"/>
        <v>1991</v>
      </c>
      <c r="F25" s="13" cm="1">
        <f t="array" ref="F25">INDEX(GMWQ!$A$2:$NF$60,MATCH(1,(GMWQ!$NE$2:$NE$60=F$3)*(GMWQ!$ND$2:$ND$60=F$4)*(GMWQ!$NF$2:$NF$60=F$1),0),$E25-1966)</f>
        <v>23.4834</v>
      </c>
      <c r="G25" s="13" cm="1">
        <f t="array" ref="G25">INDEX(GMWQ!$A$2:$NF$60,MATCH(1,(GMWQ!$NE$2:$NE$60=G$3)*(GMWQ!$ND$2:$ND$60=G$4)*(GMWQ!$NF$2:$NF$60=G$1),0),$E25-1966)</f>
        <v>1593.154</v>
      </c>
      <c r="H25" s="13" cm="1">
        <f t="array" ref="H25">INDEX(GMWQ!$A$2:$NF$60,MATCH(1,(GMWQ!$NE$2:$NE$60=H$3)*(GMWQ!$ND$2:$ND$60=H$4)*(GMWQ!$NF$2:$NF$60=H$1),0),$E25-1966)</f>
        <v>35.597639999999998</v>
      </c>
      <c r="I25" s="13" cm="1">
        <f t="array" ref="I25">INDEX(GMWQ!$A$2:$NF$60,MATCH(1,(GMWQ!$NE$2:$NE$60=I$3)*(GMWQ!$ND$2:$ND$60=I$4)*(GMWQ!$NF$2:$NF$60=I$1),0),$E25-1966)</f>
        <v>8119</v>
      </c>
      <c r="J25" s="13" cm="1">
        <f t="array" ref="J25">INDEX(GMWQ!$A$2:$NF$60,MATCH(1,(GMWQ!$NE$2:$NE$60=J$3)*(GMWQ!$ND$2:$ND$60=J$4)*(GMWQ!$NF$2:$NF$60=J$1),0),$E25-1966)</f>
        <v>40339</v>
      </c>
      <c r="K25" s="13" cm="1">
        <f t="array" ref="K25">INDEX(GMWQ!$A$2:$NF$60,MATCH(1,(GMWQ!$NE$2:$NE$60=K$3)*(GMWQ!$ND$2:$ND$60=K$4)*(GMWQ!$NF$2:$NF$60=K$1),0),$E25-1966)</f>
        <v>18884</v>
      </c>
      <c r="L25" s="13" cm="1">
        <f t="array" ref="L25">INDEX(GMWQ!$A$2:$NF$60,MATCH(1,(GMWQ!$NE$2:$NE$60=L$3)*(GMWQ!$ND$2:$ND$60=L$4)*(GMWQ!$NF$2:$NF$60=L$1),0),$E25-1966)</f>
        <v>25439</v>
      </c>
      <c r="M25" s="13" cm="1">
        <f t="array" ref="M25">INDEX(GMWQ!$A$2:$NF$60,MATCH(1,(GMWQ!$NE$2:$NE$60=M$3)*(GMWQ!$ND$2:$ND$60=M$4)*(GMWQ!$NF$2:$NF$60=M$1),0),$E25-1966)</f>
        <v>137012</v>
      </c>
      <c r="N25" s="13" cm="1">
        <f t="array" ref="N25">INDEX(GMWQ!$A$2:$NF$60,MATCH(1,(GMWQ!$NE$2:$NE$60=N$3)*(GMWQ!$ND$2:$ND$60=N$4)*(GMWQ!$NF$2:$NF$60=N$1),0),$E25-1966)</f>
        <v>18.839230000000001</v>
      </c>
      <c r="O25" s="13" cm="1">
        <f t="array" ref="O25">INDEX(GMWQ!$A$2:$NF$60,MATCH(1,(GMWQ!$NE$2:$NE$60=O$3)*(GMWQ!$ND$2:$ND$60=O$4)*(GMWQ!$NF$2:$NF$60=O$1),0),$E25-1966)</f>
        <v>24809</v>
      </c>
      <c r="P25" s="13" cm="1">
        <f t="array" ref="P25">INDEX(GMWQ!$A$2:$NF$60,MATCH(1,(GMWQ!$NE$2:$NE$60=P$3)*(GMWQ!$ND$2:$ND$60=P$4)*(GMWQ!$NF$2:$NF$60=P$1),0),$E25-1966)</f>
        <v>24809</v>
      </c>
      <c r="Q25" s="13" cm="1">
        <f t="array" ref="Q25">INDEX(GMWQ!$A$2:$NF$60,MATCH(1,(GMWQ!$NE$2:$NE$60=Q$3)*(GMWQ!$ND$2:$ND$60=Q$4)*(GMWQ!$NF$2:$NF$60=Q$1),0),$E25-1966)</f>
        <v>24809</v>
      </c>
    </row>
    <row r="26" spans="1:17" x14ac:dyDescent="0.25">
      <c r="B26" s="13">
        <f t="shared" si="2"/>
        <v>1977</v>
      </c>
      <c r="C26" s="13">
        <f t="shared" si="2"/>
        <v>1977</v>
      </c>
      <c r="E26" s="13">
        <f t="shared" si="1"/>
        <v>1992</v>
      </c>
      <c r="F26" s="13" cm="1">
        <f t="array" ref="F26">INDEX(GMWQ!$A$2:$NF$60,MATCH(1,(GMWQ!$NE$2:$NE$60=F$3)*(GMWQ!$ND$2:$ND$60=F$4)*(GMWQ!$NF$2:$NF$60=F$1),0),$E26-1966)</f>
        <v>23.903269999999999</v>
      </c>
      <c r="G26" s="13" cm="1">
        <f t="array" ref="G26">INDEX(GMWQ!$A$2:$NF$60,MATCH(1,(GMWQ!$NE$2:$NE$60=G$3)*(GMWQ!$ND$2:$ND$60=G$4)*(GMWQ!$NF$2:$NF$60=G$1),0),$E26-1966)</f>
        <v>1662.8610000000001</v>
      </c>
      <c r="H26" s="13" cm="1">
        <f t="array" ref="H26">INDEX(GMWQ!$A$2:$NF$60,MATCH(1,(GMWQ!$NE$2:$NE$60=H$3)*(GMWQ!$ND$2:$ND$60=H$4)*(GMWQ!$NF$2:$NF$60=H$1),0),$E26-1966)</f>
        <v>36.685519999999997</v>
      </c>
      <c r="I26" s="13" cm="1">
        <f t="array" ref="I26">INDEX(GMWQ!$A$2:$NF$60,MATCH(1,(GMWQ!$NE$2:$NE$60=I$3)*(GMWQ!$ND$2:$ND$60=I$4)*(GMWQ!$NF$2:$NF$60=I$1),0),$E26-1966)</f>
        <v>8600</v>
      </c>
      <c r="J26" s="13" cm="1">
        <f t="array" ref="J26">INDEX(GMWQ!$A$2:$NF$60,MATCH(1,(GMWQ!$NE$2:$NE$60=J$3)*(GMWQ!$ND$2:$ND$60=J$4)*(GMWQ!$NF$2:$NF$60=J$1),0),$E26-1966)</f>
        <v>42165</v>
      </c>
      <c r="K26" s="13" cm="1">
        <f t="array" ref="K26">INDEX(GMWQ!$A$2:$NF$60,MATCH(1,(GMWQ!$NE$2:$NE$60=K$3)*(GMWQ!$ND$2:$ND$60=K$4)*(GMWQ!$NF$2:$NF$60=K$1),0),$E26-1966)</f>
        <v>19532</v>
      </c>
      <c r="L26" s="13" cm="1">
        <f t="array" ref="L26">INDEX(GMWQ!$A$2:$NF$60,MATCH(1,(GMWQ!$NE$2:$NE$60=L$3)*(GMWQ!$ND$2:$ND$60=L$4)*(GMWQ!$NF$2:$NF$60=L$1),0),$E26-1966)</f>
        <v>26940</v>
      </c>
      <c r="M26" s="13" cm="1">
        <f t="array" ref="M26">INDEX(GMWQ!$A$2:$NF$60,MATCH(1,(GMWQ!$NE$2:$NE$60=M$3)*(GMWQ!$ND$2:$ND$60=M$4)*(GMWQ!$NF$2:$NF$60=M$1),0),$E26-1966)</f>
        <v>142669</v>
      </c>
      <c r="N26" s="13" cm="1">
        <f t="array" ref="N26">INDEX(GMWQ!$A$2:$NF$60,MATCH(1,(GMWQ!$NE$2:$NE$60=N$3)*(GMWQ!$ND$2:$ND$60=N$4)*(GMWQ!$NF$2:$NF$60=N$1),0),$E26-1966)</f>
        <v>19.160209999999999</v>
      </c>
      <c r="O26" s="13" cm="1">
        <f t="array" ref="O26">INDEX(GMWQ!$A$2:$NF$60,MATCH(1,(GMWQ!$NE$2:$NE$60=O$3)*(GMWQ!$ND$2:$ND$60=O$4)*(GMWQ!$NF$2:$NF$60=O$1),0),$E26-1966)</f>
        <v>24822</v>
      </c>
      <c r="P26" s="13" cm="1">
        <f t="array" ref="P26">INDEX(GMWQ!$A$2:$NF$60,MATCH(1,(GMWQ!$NE$2:$NE$60=P$3)*(GMWQ!$ND$2:$ND$60=P$4)*(GMWQ!$NF$2:$NF$60=P$1),0),$E26-1966)</f>
        <v>24822</v>
      </c>
      <c r="Q26" s="13" cm="1">
        <f t="array" ref="Q26">INDEX(GMWQ!$A$2:$NF$60,MATCH(1,(GMWQ!$NE$2:$NE$60=Q$3)*(GMWQ!$ND$2:$ND$60=Q$4)*(GMWQ!$NF$2:$NF$60=Q$1),0),$E26-1966)</f>
        <v>24822</v>
      </c>
    </row>
    <row r="27" spans="1:17" x14ac:dyDescent="0.25">
      <c r="A27" s="13">
        <v>1978</v>
      </c>
      <c r="B27" s="13">
        <f t="shared" si="2"/>
        <v>1978</v>
      </c>
      <c r="C27" s="13">
        <f t="shared" si="2"/>
        <v>1977</v>
      </c>
      <c r="D27" s="13">
        <f t="shared" si="2"/>
        <v>1977</v>
      </c>
      <c r="E27" s="13">
        <f t="shared" si="1"/>
        <v>1993</v>
      </c>
      <c r="F27" s="13" cm="1">
        <f t="array" ref="F27">INDEX(GMWQ!$A$2:$NF$60,MATCH(1,(GMWQ!$NE$2:$NE$60=F$3)*(GMWQ!$ND$2:$ND$60=F$4)*(GMWQ!$NF$2:$NF$60=F$1),0),$E27-1966)</f>
        <v>24.66358</v>
      </c>
      <c r="G27" s="13" cm="1">
        <f t="array" ref="G27">INDEX(GMWQ!$A$2:$NF$60,MATCH(1,(GMWQ!$NE$2:$NE$60=G$3)*(GMWQ!$ND$2:$ND$60=G$4)*(GMWQ!$NF$2:$NF$60=G$1),0),$E27-1966)</f>
        <v>1750.558</v>
      </c>
      <c r="H27" s="13" cm="1">
        <f t="array" ref="H27">INDEX(GMWQ!$A$2:$NF$60,MATCH(1,(GMWQ!$NE$2:$NE$60=H$3)*(GMWQ!$ND$2:$ND$60=H$4)*(GMWQ!$NF$2:$NF$60=H$1),0),$E27-1966)</f>
        <v>37.643259999999998</v>
      </c>
      <c r="I27" s="13" cm="1">
        <f t="array" ref="I27">INDEX(GMWQ!$A$2:$NF$60,MATCH(1,(GMWQ!$NE$2:$NE$60=I$3)*(GMWQ!$ND$2:$ND$60=I$4)*(GMWQ!$NF$2:$NF$60=I$1),0),$E27-1966)</f>
        <v>9233</v>
      </c>
      <c r="J27" s="13" cm="1">
        <f t="array" ref="J27">INDEX(GMWQ!$A$2:$NF$60,MATCH(1,(GMWQ!$NE$2:$NE$60=J$3)*(GMWQ!$ND$2:$ND$60=J$4)*(GMWQ!$NF$2:$NF$60=J$1),0),$E27-1966)</f>
        <v>44140</v>
      </c>
      <c r="K27" s="13" cm="1">
        <f t="array" ref="K27">INDEX(GMWQ!$A$2:$NF$60,MATCH(1,(GMWQ!$NE$2:$NE$60=K$3)*(GMWQ!$ND$2:$ND$60=K$4)*(GMWQ!$NF$2:$NF$60=K$1),0),$E27-1966)</f>
        <v>20334</v>
      </c>
      <c r="L27" s="13" cm="1">
        <f t="array" ref="L27">INDEX(GMWQ!$A$2:$NF$60,MATCH(1,(GMWQ!$NE$2:$NE$60=L$3)*(GMWQ!$ND$2:$ND$60=L$4)*(GMWQ!$NF$2:$NF$60=L$1),0),$E27-1966)</f>
        <v>27797</v>
      </c>
      <c r="M27" s="13" cm="1">
        <f t="array" ref="M27">INDEX(GMWQ!$A$2:$NF$60,MATCH(1,(GMWQ!$NE$2:$NE$60=M$3)*(GMWQ!$ND$2:$ND$60=M$4)*(GMWQ!$NF$2:$NF$60=M$1),0),$E27-1966)</f>
        <v>142512</v>
      </c>
      <c r="N27" s="13" cm="1">
        <f t="array" ref="N27">INDEX(GMWQ!$A$2:$NF$60,MATCH(1,(GMWQ!$NE$2:$NE$60=N$3)*(GMWQ!$ND$2:$ND$60=N$4)*(GMWQ!$NF$2:$NF$60=N$1),0),$E27-1966)</f>
        <v>19.773599999999998</v>
      </c>
      <c r="O27" s="13" cm="1">
        <f t="array" ref="O27">INDEX(GMWQ!$A$2:$NF$60,MATCH(1,(GMWQ!$NE$2:$NE$60=O$3)*(GMWQ!$ND$2:$ND$60=O$4)*(GMWQ!$NF$2:$NF$60=O$1),0),$E27-1966)</f>
        <v>24862</v>
      </c>
      <c r="P27" s="13" cm="1">
        <f t="array" ref="P27">INDEX(GMWQ!$A$2:$NF$60,MATCH(1,(GMWQ!$NE$2:$NE$60=P$3)*(GMWQ!$ND$2:$ND$60=P$4)*(GMWQ!$NF$2:$NF$60=P$1),0),$E27-1966)</f>
        <v>24862</v>
      </c>
      <c r="Q27" s="13" cm="1">
        <f t="array" ref="Q27">INDEX(GMWQ!$A$2:$NF$60,MATCH(1,(GMWQ!$NE$2:$NE$60=Q$3)*(GMWQ!$ND$2:$ND$60=Q$4)*(GMWQ!$NF$2:$NF$60=Q$1),0),$E27-1966)</f>
        <v>24862</v>
      </c>
    </row>
    <row r="28" spans="1:17" x14ac:dyDescent="0.25">
      <c r="B28" s="13">
        <f t="shared" ref="B28:D43" si="3">+B24+1</f>
        <v>1978</v>
      </c>
      <c r="C28" s="13">
        <f t="shared" si="3"/>
        <v>1978</v>
      </c>
      <c r="E28" s="13">
        <f t="shared" si="1"/>
        <v>1994</v>
      </c>
      <c r="F28" s="13" cm="1">
        <f t="array" ref="F28">INDEX(GMWQ!$A$2:$NF$60,MATCH(1,(GMWQ!$NE$2:$NE$60=F$3)*(GMWQ!$ND$2:$ND$60=F$4)*(GMWQ!$NF$2:$NF$60=F$1),0),$E28-1966)</f>
        <v>25.338439999999999</v>
      </c>
      <c r="G28" s="13" cm="1">
        <f t="array" ref="G28">INDEX(GMWQ!$A$2:$NF$60,MATCH(1,(GMWQ!$NE$2:$NE$60=G$3)*(GMWQ!$ND$2:$ND$60=G$4)*(GMWQ!$NF$2:$NF$60=G$1),0),$E28-1966)</f>
        <v>1639.25</v>
      </c>
      <c r="H28" s="13" cm="1">
        <f t="array" ref="H28">INDEX(GMWQ!$A$2:$NF$60,MATCH(1,(GMWQ!$NE$2:$NE$60=H$3)*(GMWQ!$ND$2:$ND$60=H$4)*(GMWQ!$NF$2:$NF$60=H$1),0),$E28-1966)</f>
        <v>39.864730000000002</v>
      </c>
      <c r="I28" s="13" cm="1">
        <f t="array" ref="I28">INDEX(GMWQ!$A$2:$NF$60,MATCH(1,(GMWQ!$NE$2:$NE$60=I$3)*(GMWQ!$ND$2:$ND$60=I$4)*(GMWQ!$NF$2:$NF$60=I$1),0),$E28-1966)</f>
        <v>9234</v>
      </c>
      <c r="J28" s="13" cm="1">
        <f t="array" ref="J28">INDEX(GMWQ!$A$2:$NF$60,MATCH(1,(GMWQ!$NE$2:$NE$60=J$3)*(GMWQ!$ND$2:$ND$60=J$4)*(GMWQ!$NF$2:$NF$60=J$1),0),$E28-1966)</f>
        <v>45905</v>
      </c>
      <c r="K28" s="13" cm="1">
        <f t="array" ref="K28">INDEX(GMWQ!$A$2:$NF$60,MATCH(1,(GMWQ!$NE$2:$NE$60=K$3)*(GMWQ!$ND$2:$ND$60=K$4)*(GMWQ!$NF$2:$NF$60=K$1),0),$E28-1966)</f>
        <v>21257</v>
      </c>
      <c r="L28" s="13" cm="1">
        <f t="array" ref="L28">INDEX(GMWQ!$A$2:$NF$60,MATCH(1,(GMWQ!$NE$2:$NE$60=L$3)*(GMWQ!$ND$2:$ND$60=L$4)*(GMWQ!$NF$2:$NF$60=L$1),0),$E28-1966)</f>
        <v>29144</v>
      </c>
      <c r="M28" s="13" cm="1">
        <f t="array" ref="M28">INDEX(GMWQ!$A$2:$NF$60,MATCH(1,(GMWQ!$NE$2:$NE$60=M$3)*(GMWQ!$ND$2:$ND$60=M$4)*(GMWQ!$NF$2:$NF$60=M$1),0),$E28-1966)</f>
        <v>146514</v>
      </c>
      <c r="N28" s="13" cm="1">
        <f t="array" ref="N28">INDEX(GMWQ!$A$2:$NF$60,MATCH(1,(GMWQ!$NE$2:$NE$60=N$3)*(GMWQ!$ND$2:$ND$60=N$4)*(GMWQ!$NF$2:$NF$60=N$1),0),$E28-1966)</f>
        <v>20.218610000000002</v>
      </c>
      <c r="O28" s="13" cm="1">
        <f t="array" ref="O28">INDEX(GMWQ!$A$2:$NF$60,MATCH(1,(GMWQ!$NE$2:$NE$60=O$3)*(GMWQ!$ND$2:$ND$60=O$4)*(GMWQ!$NF$2:$NF$60=O$1),0),$E28-1966)</f>
        <v>24897</v>
      </c>
      <c r="P28" s="13" cm="1">
        <f t="array" ref="P28">INDEX(GMWQ!$A$2:$NF$60,MATCH(1,(GMWQ!$NE$2:$NE$60=P$3)*(GMWQ!$ND$2:$ND$60=P$4)*(GMWQ!$NF$2:$NF$60=P$1),0),$E28-1966)</f>
        <v>24897</v>
      </c>
      <c r="Q28" s="13" cm="1">
        <f t="array" ref="Q28">INDEX(GMWQ!$A$2:$NF$60,MATCH(1,(GMWQ!$NE$2:$NE$60=Q$3)*(GMWQ!$ND$2:$ND$60=Q$4)*(GMWQ!$NF$2:$NF$60=Q$1),0),$E28-1966)</f>
        <v>24897</v>
      </c>
    </row>
    <row r="29" spans="1:17" x14ac:dyDescent="0.25">
      <c r="B29" s="13">
        <f t="shared" si="3"/>
        <v>1978</v>
      </c>
      <c r="C29" s="13">
        <f t="shared" si="3"/>
        <v>1978</v>
      </c>
      <c r="E29" s="13">
        <f t="shared" si="1"/>
        <v>1995</v>
      </c>
      <c r="F29" s="13" cm="1">
        <f t="array" ref="F29">INDEX(GMWQ!$A$2:$NF$60,MATCH(1,(GMWQ!$NE$2:$NE$60=F$3)*(GMWQ!$ND$2:$ND$60=F$4)*(GMWQ!$NF$2:$NF$60=F$1),0),$E29-1966)</f>
        <v>25.691469999999999</v>
      </c>
      <c r="G29" s="13" cm="1">
        <f t="array" ref="G29">INDEX(GMWQ!$A$2:$NF$60,MATCH(1,(GMWQ!$NE$2:$NE$60=G$3)*(GMWQ!$ND$2:$ND$60=G$4)*(GMWQ!$NF$2:$NF$60=G$1),0),$E29-1966)</f>
        <v>1683.0989999999999</v>
      </c>
      <c r="H29" s="13" cm="1">
        <f t="array" ref="H29">INDEX(GMWQ!$A$2:$NF$60,MATCH(1,(GMWQ!$NE$2:$NE$60=H$3)*(GMWQ!$ND$2:$ND$60=H$4)*(GMWQ!$NF$2:$NF$60=H$1),0),$E29-1966)</f>
        <v>42.09901</v>
      </c>
      <c r="I29" s="13" cm="1">
        <f t="array" ref="I29">INDEX(GMWQ!$A$2:$NF$60,MATCH(1,(GMWQ!$NE$2:$NE$60=I$3)*(GMWQ!$ND$2:$ND$60=I$4)*(GMWQ!$NF$2:$NF$60=I$1),0),$E29-1966)</f>
        <v>9737</v>
      </c>
      <c r="J29" s="13" cm="1">
        <f t="array" ref="J29">INDEX(GMWQ!$A$2:$NF$60,MATCH(1,(GMWQ!$NE$2:$NE$60=J$3)*(GMWQ!$ND$2:$ND$60=J$4)*(GMWQ!$NF$2:$NF$60=J$1),0),$E29-1966)</f>
        <v>47207</v>
      </c>
      <c r="K29" s="13" cm="1">
        <f t="array" ref="K29">INDEX(GMWQ!$A$2:$NF$60,MATCH(1,(GMWQ!$NE$2:$NE$60=K$3)*(GMWQ!$ND$2:$ND$60=K$4)*(GMWQ!$NF$2:$NF$60=K$1),0),$E29-1966)</f>
        <v>21798</v>
      </c>
      <c r="L29" s="13" cm="1">
        <f t="array" ref="L29">INDEX(GMWQ!$A$2:$NF$60,MATCH(1,(GMWQ!$NE$2:$NE$60=L$3)*(GMWQ!$ND$2:$ND$60=L$4)*(GMWQ!$NF$2:$NF$60=L$1),0),$E29-1966)</f>
        <v>30465</v>
      </c>
      <c r="M29" s="13" cm="1">
        <f t="array" ref="M29">INDEX(GMWQ!$A$2:$NF$60,MATCH(1,(GMWQ!$NE$2:$NE$60=M$3)*(GMWQ!$ND$2:$ND$60=M$4)*(GMWQ!$NF$2:$NF$60=M$1),0),$E29-1966)</f>
        <v>150300</v>
      </c>
      <c r="N29" s="13" cm="1">
        <f t="array" ref="N29">INDEX(GMWQ!$A$2:$NF$60,MATCH(1,(GMWQ!$NE$2:$NE$60=N$3)*(GMWQ!$ND$2:$ND$60=N$4)*(GMWQ!$NF$2:$NF$60=N$1),0),$E29-1966)</f>
        <v>20.593019999999999</v>
      </c>
      <c r="O29" s="13" cm="1">
        <f t="array" ref="O29">INDEX(GMWQ!$A$2:$NF$60,MATCH(1,(GMWQ!$NE$2:$NE$60=O$3)*(GMWQ!$ND$2:$ND$60=O$4)*(GMWQ!$NF$2:$NF$60=O$1),0),$E29-1966)</f>
        <v>24941</v>
      </c>
      <c r="P29" s="13" cm="1">
        <f t="array" ref="P29">INDEX(GMWQ!$A$2:$NF$60,MATCH(1,(GMWQ!$NE$2:$NE$60=P$3)*(GMWQ!$ND$2:$ND$60=P$4)*(GMWQ!$NF$2:$NF$60=P$1),0),$E29-1966)</f>
        <v>24941</v>
      </c>
      <c r="Q29" s="13" cm="1">
        <f t="array" ref="Q29">INDEX(GMWQ!$A$2:$NF$60,MATCH(1,(GMWQ!$NE$2:$NE$60=Q$3)*(GMWQ!$ND$2:$ND$60=Q$4)*(GMWQ!$NF$2:$NF$60=Q$1),0),$E29-1966)</f>
        <v>24941</v>
      </c>
    </row>
    <row r="30" spans="1:17" x14ac:dyDescent="0.25">
      <c r="B30" s="13">
        <f t="shared" si="3"/>
        <v>1978</v>
      </c>
      <c r="C30" s="13">
        <f t="shared" si="3"/>
        <v>1978</v>
      </c>
      <c r="E30" s="13">
        <f t="shared" si="1"/>
        <v>1996</v>
      </c>
      <c r="F30" s="13" cm="1">
        <f t="array" ref="F30">INDEX(GMWQ!$A$2:$NF$60,MATCH(1,(GMWQ!$NE$2:$NE$60=F$3)*(GMWQ!$ND$2:$ND$60=F$4)*(GMWQ!$NF$2:$NF$60=F$1),0),$E30-1966)</f>
        <v>26.299160000000001</v>
      </c>
      <c r="G30" s="13" cm="1">
        <f t="array" ref="G30">INDEX(GMWQ!$A$2:$NF$60,MATCH(1,(GMWQ!$NE$2:$NE$60=G$3)*(GMWQ!$ND$2:$ND$60=G$4)*(GMWQ!$NF$2:$NF$60=G$1),0),$E30-1966)</f>
        <v>1750.558</v>
      </c>
      <c r="H30" s="13" cm="1">
        <f t="array" ref="H30">INDEX(GMWQ!$A$2:$NF$60,MATCH(1,(GMWQ!$NE$2:$NE$60=H$3)*(GMWQ!$ND$2:$ND$60=H$4)*(GMWQ!$NF$2:$NF$60=H$1),0),$E30-1966)</f>
        <v>43.30621</v>
      </c>
      <c r="I30" s="13" cm="1">
        <f t="array" ref="I30">INDEX(GMWQ!$A$2:$NF$60,MATCH(1,(GMWQ!$NE$2:$NE$60=I$3)*(GMWQ!$ND$2:$ND$60=I$4)*(GMWQ!$NF$2:$NF$60=I$1),0),$E30-1966)</f>
        <v>9903</v>
      </c>
      <c r="J30" s="13" cm="1">
        <f t="array" ref="J30">INDEX(GMWQ!$A$2:$NF$60,MATCH(1,(GMWQ!$NE$2:$NE$60=J$3)*(GMWQ!$ND$2:$ND$60=J$4)*(GMWQ!$NF$2:$NF$60=J$1),0),$E30-1966)</f>
        <v>48906</v>
      </c>
      <c r="K30" s="13" cm="1">
        <f t="array" ref="K30">INDEX(GMWQ!$A$2:$NF$60,MATCH(1,(GMWQ!$NE$2:$NE$60=K$3)*(GMWQ!$ND$2:$ND$60=K$4)*(GMWQ!$NF$2:$NF$60=K$1),0),$E30-1966)</f>
        <v>22479</v>
      </c>
      <c r="L30" s="13" cm="1">
        <f t="array" ref="L30">INDEX(GMWQ!$A$2:$NF$60,MATCH(1,(GMWQ!$NE$2:$NE$60=L$3)*(GMWQ!$ND$2:$ND$60=L$4)*(GMWQ!$NF$2:$NF$60=L$1),0),$E30-1966)</f>
        <v>31463</v>
      </c>
      <c r="M30" s="13" cm="1">
        <f t="array" ref="M30">INDEX(GMWQ!$A$2:$NF$60,MATCH(1,(GMWQ!$NE$2:$NE$60=M$3)*(GMWQ!$ND$2:$ND$60=M$4)*(GMWQ!$NF$2:$NF$60=M$1),0),$E30-1966)</f>
        <v>150197</v>
      </c>
      <c r="N30" s="13" cm="1">
        <f t="array" ref="N30">INDEX(GMWQ!$A$2:$NF$60,MATCH(1,(GMWQ!$NE$2:$NE$60=N$3)*(GMWQ!$ND$2:$ND$60=N$4)*(GMWQ!$NF$2:$NF$60=N$1),0),$E30-1966)</f>
        <v>21.29984</v>
      </c>
      <c r="O30" s="13" cm="1">
        <f t="array" ref="O30">INDEX(GMWQ!$A$2:$NF$60,MATCH(1,(GMWQ!$NE$2:$NE$60=O$3)*(GMWQ!$ND$2:$ND$60=O$4)*(GMWQ!$NF$2:$NF$60=O$1),0),$E30-1966)</f>
        <v>25059</v>
      </c>
      <c r="P30" s="13" cm="1">
        <f t="array" ref="P30">INDEX(GMWQ!$A$2:$NF$60,MATCH(1,(GMWQ!$NE$2:$NE$60=P$3)*(GMWQ!$ND$2:$ND$60=P$4)*(GMWQ!$NF$2:$NF$60=P$1),0),$E30-1966)</f>
        <v>25059</v>
      </c>
      <c r="Q30" s="13" cm="1">
        <f t="array" ref="Q30">INDEX(GMWQ!$A$2:$NF$60,MATCH(1,(GMWQ!$NE$2:$NE$60=Q$3)*(GMWQ!$ND$2:$ND$60=Q$4)*(GMWQ!$NF$2:$NF$60=Q$1),0),$E30-1966)</f>
        <v>25059</v>
      </c>
    </row>
    <row r="31" spans="1:17" x14ac:dyDescent="0.25">
      <c r="A31" s="13">
        <v>1979</v>
      </c>
      <c r="B31" s="13">
        <f t="shared" si="3"/>
        <v>1979</v>
      </c>
      <c r="C31" s="13">
        <f t="shared" si="3"/>
        <v>1978</v>
      </c>
      <c r="D31" s="13">
        <f t="shared" si="3"/>
        <v>1978</v>
      </c>
      <c r="E31" s="13">
        <f t="shared" si="1"/>
        <v>1997</v>
      </c>
      <c r="F31" s="13" cm="1">
        <f t="array" ref="F31">INDEX(GMWQ!$A$2:$NF$60,MATCH(1,(GMWQ!$NE$2:$NE$60=F$3)*(GMWQ!$ND$2:$ND$60=F$4)*(GMWQ!$NF$2:$NF$60=F$1),0),$E31-1966)</f>
        <v>27.45561</v>
      </c>
      <c r="G31" s="13" cm="1">
        <f t="array" ref="G31">INDEX(GMWQ!$A$2:$NF$60,MATCH(1,(GMWQ!$NE$2:$NE$60=G$3)*(GMWQ!$ND$2:$ND$60=G$4)*(GMWQ!$NF$2:$NF$60=G$1),0),$E31-1966)</f>
        <v>1848.373</v>
      </c>
      <c r="H31" s="13" cm="1">
        <f t="array" ref="H31">INDEX(GMWQ!$A$2:$NF$60,MATCH(1,(GMWQ!$NE$2:$NE$60=H$3)*(GMWQ!$ND$2:$ND$60=H$4)*(GMWQ!$NF$2:$NF$60=H$1),0),$E31-1966)</f>
        <v>43.965009999999999</v>
      </c>
      <c r="I31" s="13" cm="1">
        <f t="array" ref="I31">INDEX(GMWQ!$A$2:$NF$60,MATCH(1,(GMWQ!$NE$2:$NE$60=I$3)*(GMWQ!$ND$2:$ND$60=I$4)*(GMWQ!$NF$2:$NF$60=I$1),0),$E31-1966)</f>
        <v>10109</v>
      </c>
      <c r="J31" s="13" cm="1">
        <f t="array" ref="J31">INDEX(GMWQ!$A$2:$NF$60,MATCH(1,(GMWQ!$NE$2:$NE$60=J$3)*(GMWQ!$ND$2:$ND$60=J$4)*(GMWQ!$NF$2:$NF$60=J$1),0),$E31-1966)</f>
        <v>50459</v>
      </c>
      <c r="K31" s="13" cm="1">
        <f t="array" ref="K31">INDEX(GMWQ!$A$2:$NF$60,MATCH(1,(GMWQ!$NE$2:$NE$60=K$3)*(GMWQ!$ND$2:$ND$60=K$4)*(GMWQ!$NF$2:$NF$60=K$1),0),$E31-1966)</f>
        <v>23365</v>
      </c>
      <c r="L31" s="13" cm="1">
        <f t="array" ref="L31">INDEX(GMWQ!$A$2:$NF$60,MATCH(1,(GMWQ!$NE$2:$NE$60=L$3)*(GMWQ!$ND$2:$ND$60=L$4)*(GMWQ!$NF$2:$NF$60=L$1),0),$E31-1966)</f>
        <v>32879</v>
      </c>
      <c r="M31" s="13" cm="1">
        <f t="array" ref="M31">INDEX(GMWQ!$A$2:$NF$60,MATCH(1,(GMWQ!$NE$2:$NE$60=M$3)*(GMWQ!$ND$2:$ND$60=M$4)*(GMWQ!$NF$2:$NF$60=M$1),0),$E31-1966)</f>
        <v>152401</v>
      </c>
      <c r="N31" s="13" cm="1">
        <f t="array" ref="N31">INDEX(GMWQ!$A$2:$NF$60,MATCH(1,(GMWQ!$NE$2:$NE$60=N$3)*(GMWQ!$ND$2:$ND$60=N$4)*(GMWQ!$NF$2:$NF$60=N$1),0),$E31-1966)</f>
        <v>21.879709999999999</v>
      </c>
      <c r="O31" s="13" cm="1">
        <f t="array" ref="O31">INDEX(GMWQ!$A$2:$NF$60,MATCH(1,(GMWQ!$NE$2:$NE$60=O$3)*(GMWQ!$ND$2:$ND$60=O$4)*(GMWQ!$NF$2:$NF$60=O$1),0),$E31-1966)</f>
        <v>25113</v>
      </c>
      <c r="P31" s="13" cm="1">
        <f t="array" ref="P31">INDEX(GMWQ!$A$2:$NF$60,MATCH(1,(GMWQ!$NE$2:$NE$60=P$3)*(GMWQ!$ND$2:$ND$60=P$4)*(GMWQ!$NF$2:$NF$60=P$1),0),$E31-1966)</f>
        <v>25113</v>
      </c>
      <c r="Q31" s="13" cm="1">
        <f t="array" ref="Q31">INDEX(GMWQ!$A$2:$NF$60,MATCH(1,(GMWQ!$NE$2:$NE$60=Q$3)*(GMWQ!$ND$2:$ND$60=Q$4)*(GMWQ!$NF$2:$NF$60=Q$1),0),$E31-1966)</f>
        <v>25113</v>
      </c>
    </row>
    <row r="32" spans="1:17" x14ac:dyDescent="0.25">
      <c r="B32" s="13">
        <f t="shared" si="3"/>
        <v>1979</v>
      </c>
      <c r="C32" s="13">
        <f t="shared" si="3"/>
        <v>1979</v>
      </c>
      <c r="E32" s="13">
        <f t="shared" si="1"/>
        <v>1998</v>
      </c>
      <c r="F32" s="13" cm="1">
        <f t="array" ref="F32">INDEX(GMWQ!$A$2:$NF$60,MATCH(1,(GMWQ!$NE$2:$NE$60=F$3)*(GMWQ!$ND$2:$ND$60=F$4)*(GMWQ!$NF$2:$NF$60=F$1),0),$E32-1966)</f>
        <v>27.490459999999999</v>
      </c>
      <c r="G32" s="13" cm="1">
        <f t="array" ref="G32">INDEX(GMWQ!$A$2:$NF$60,MATCH(1,(GMWQ!$NE$2:$NE$60=G$3)*(GMWQ!$ND$2:$ND$60=G$4)*(GMWQ!$NF$2:$NF$60=G$1),0),$E32-1966)</f>
        <v>1895.5940000000001</v>
      </c>
      <c r="H32" s="13" cm="1">
        <f t="array" ref="H32">INDEX(GMWQ!$A$2:$NF$60,MATCH(1,(GMWQ!$NE$2:$NE$60=H$3)*(GMWQ!$ND$2:$ND$60=H$4)*(GMWQ!$NF$2:$NF$60=H$1),0),$E32-1966)</f>
        <v>46.838419999999999</v>
      </c>
      <c r="I32" s="13" cm="1">
        <f t="array" ref="I32">INDEX(GMWQ!$A$2:$NF$60,MATCH(1,(GMWQ!$NE$2:$NE$60=I$3)*(GMWQ!$ND$2:$ND$60=I$4)*(GMWQ!$NF$2:$NF$60=I$1),0),$E32-1966)</f>
        <v>11219</v>
      </c>
      <c r="J32" s="13" cm="1">
        <f t="array" ref="J32">INDEX(GMWQ!$A$2:$NF$60,MATCH(1,(GMWQ!$NE$2:$NE$60=J$3)*(GMWQ!$ND$2:$ND$60=J$4)*(GMWQ!$NF$2:$NF$60=J$1),0),$E32-1966)</f>
        <v>53966</v>
      </c>
      <c r="K32" s="13" cm="1">
        <f t="array" ref="K32">INDEX(GMWQ!$A$2:$NF$60,MATCH(1,(GMWQ!$NE$2:$NE$60=K$3)*(GMWQ!$ND$2:$ND$60=K$4)*(GMWQ!$NF$2:$NF$60=K$1),0),$E32-1966)</f>
        <v>24427</v>
      </c>
      <c r="L32" s="13" cm="1">
        <f t="array" ref="L32">INDEX(GMWQ!$A$2:$NF$60,MATCH(1,(GMWQ!$NE$2:$NE$60=L$3)*(GMWQ!$ND$2:$ND$60=L$4)*(GMWQ!$NF$2:$NF$60=L$1),0),$E32-1966)</f>
        <v>34157</v>
      </c>
      <c r="M32" s="13" cm="1">
        <f t="array" ref="M32">INDEX(GMWQ!$A$2:$NF$60,MATCH(1,(GMWQ!$NE$2:$NE$60=M$3)*(GMWQ!$ND$2:$ND$60=M$4)*(GMWQ!$NF$2:$NF$60=M$1),0),$E32-1966)</f>
        <v>155089</v>
      </c>
      <c r="N32" s="13" cm="1">
        <f t="array" ref="N32">INDEX(GMWQ!$A$2:$NF$60,MATCH(1,(GMWQ!$NE$2:$NE$60=N$3)*(GMWQ!$ND$2:$ND$60=N$4)*(GMWQ!$NF$2:$NF$60=N$1),0),$E32-1966)</f>
        <v>22.38936</v>
      </c>
      <c r="O32" s="13" cm="1">
        <f t="array" ref="O32">INDEX(GMWQ!$A$2:$NF$60,MATCH(1,(GMWQ!$NE$2:$NE$60=O$3)*(GMWQ!$ND$2:$ND$60=O$4)*(GMWQ!$NF$2:$NF$60=O$1),0),$E32-1966)</f>
        <v>25159</v>
      </c>
      <c r="P32" s="13" cm="1">
        <f t="array" ref="P32">INDEX(GMWQ!$A$2:$NF$60,MATCH(1,(GMWQ!$NE$2:$NE$60=P$3)*(GMWQ!$ND$2:$ND$60=P$4)*(GMWQ!$NF$2:$NF$60=P$1),0),$E32-1966)</f>
        <v>25159</v>
      </c>
      <c r="Q32" s="13" cm="1">
        <f t="array" ref="Q32">INDEX(GMWQ!$A$2:$NF$60,MATCH(1,(GMWQ!$NE$2:$NE$60=Q$3)*(GMWQ!$ND$2:$ND$60=Q$4)*(GMWQ!$NF$2:$NF$60=Q$1),0),$E32-1966)</f>
        <v>25159</v>
      </c>
    </row>
    <row r="33" spans="1:17" x14ac:dyDescent="0.25">
      <c r="B33" s="13">
        <f t="shared" si="3"/>
        <v>1979</v>
      </c>
      <c r="C33" s="13">
        <f t="shared" si="3"/>
        <v>1979</v>
      </c>
      <c r="E33" s="13">
        <f t="shared" si="1"/>
        <v>1999</v>
      </c>
      <c r="F33" s="13" cm="1">
        <f t="array" ref="F33">INDEX(GMWQ!$A$2:$NF$60,MATCH(1,(GMWQ!$NE$2:$NE$60=F$3)*(GMWQ!$ND$2:$ND$60=F$4)*(GMWQ!$NF$2:$NF$60=F$1),0),$E33-1966)</f>
        <v>29.598659999999999</v>
      </c>
      <c r="G33" s="13" cm="1">
        <f t="array" ref="G33">INDEX(GMWQ!$A$2:$NF$60,MATCH(1,(GMWQ!$NE$2:$NE$60=G$3)*(GMWQ!$ND$2:$ND$60=G$4)*(GMWQ!$NF$2:$NF$60=G$1),0),$E33-1966)</f>
        <v>1949.5609999999999</v>
      </c>
      <c r="H33" s="13" cm="1">
        <f t="array" ref="H33">INDEX(GMWQ!$A$2:$NF$60,MATCH(1,(GMWQ!$NE$2:$NE$60=H$3)*(GMWQ!$ND$2:$ND$60=H$4)*(GMWQ!$NF$2:$NF$60=H$1),0),$E33-1966)</f>
        <v>50.12706</v>
      </c>
      <c r="I33" s="13" cm="1">
        <f t="array" ref="I33">INDEX(GMWQ!$A$2:$NF$60,MATCH(1,(GMWQ!$NE$2:$NE$60=I$3)*(GMWQ!$ND$2:$ND$60=I$4)*(GMWQ!$NF$2:$NF$60=I$1),0),$E33-1966)</f>
        <v>11435</v>
      </c>
      <c r="J33" s="13" cm="1">
        <f t="array" ref="J33">INDEX(GMWQ!$A$2:$NF$60,MATCH(1,(GMWQ!$NE$2:$NE$60=J$3)*(GMWQ!$ND$2:$ND$60=J$4)*(GMWQ!$NF$2:$NF$60=J$1),0),$E33-1966)</f>
        <v>56767</v>
      </c>
      <c r="K33" s="13" cm="1">
        <f t="array" ref="K33">INDEX(GMWQ!$A$2:$NF$60,MATCH(1,(GMWQ!$NE$2:$NE$60=K$3)*(GMWQ!$ND$2:$ND$60=K$4)*(GMWQ!$NF$2:$NF$60=K$1),0),$E33-1966)</f>
        <v>25749</v>
      </c>
      <c r="L33" s="13" cm="1">
        <f t="array" ref="L33">INDEX(GMWQ!$A$2:$NF$60,MATCH(1,(GMWQ!$NE$2:$NE$60=L$3)*(GMWQ!$ND$2:$ND$60=L$4)*(GMWQ!$NF$2:$NF$60=L$1),0),$E33-1966)</f>
        <v>36483</v>
      </c>
      <c r="M33" s="13" cm="1">
        <f t="array" ref="M33">INDEX(GMWQ!$A$2:$NF$60,MATCH(1,(GMWQ!$NE$2:$NE$60=M$3)*(GMWQ!$ND$2:$ND$60=M$4)*(GMWQ!$NF$2:$NF$60=M$1),0),$E33-1966)</f>
        <v>155140</v>
      </c>
      <c r="N33" s="13" cm="1">
        <f t="array" ref="N33">INDEX(GMWQ!$A$2:$NF$60,MATCH(1,(GMWQ!$NE$2:$NE$60=N$3)*(GMWQ!$ND$2:$ND$60=N$4)*(GMWQ!$NF$2:$NF$60=N$1),0),$E33-1966)</f>
        <v>23.94933</v>
      </c>
      <c r="O33" s="13" cm="1">
        <f t="array" ref="O33">INDEX(GMWQ!$A$2:$NF$60,MATCH(1,(GMWQ!$NE$2:$NE$60=O$3)*(GMWQ!$ND$2:$ND$60=O$4)*(GMWQ!$NF$2:$NF$60=O$1),0),$E33-1966)</f>
        <v>25229</v>
      </c>
      <c r="P33" s="13" cm="1">
        <f t="array" ref="P33">INDEX(GMWQ!$A$2:$NF$60,MATCH(1,(GMWQ!$NE$2:$NE$60=P$3)*(GMWQ!$ND$2:$ND$60=P$4)*(GMWQ!$NF$2:$NF$60=P$1),0),$E33-1966)</f>
        <v>25229</v>
      </c>
      <c r="Q33" s="13" cm="1">
        <f t="array" ref="Q33">INDEX(GMWQ!$A$2:$NF$60,MATCH(1,(GMWQ!$NE$2:$NE$60=Q$3)*(GMWQ!$ND$2:$ND$60=Q$4)*(GMWQ!$NF$2:$NF$60=Q$1),0),$E33-1966)</f>
        <v>25229</v>
      </c>
    </row>
    <row r="34" spans="1:17" x14ac:dyDescent="0.25">
      <c r="B34" s="13">
        <f t="shared" si="3"/>
        <v>1979</v>
      </c>
      <c r="C34" s="13">
        <f t="shared" si="3"/>
        <v>1979</v>
      </c>
      <c r="E34" s="13">
        <f t="shared" si="1"/>
        <v>2000</v>
      </c>
      <c r="F34" s="13" cm="1">
        <f t="array" ref="F34">INDEX(GMWQ!$A$2:$NF$60,MATCH(1,(GMWQ!$NE$2:$NE$60=F$3)*(GMWQ!$ND$2:$ND$60=F$4)*(GMWQ!$NF$2:$NF$60=F$1),0),$E34-1966)</f>
        <v>30.8156</v>
      </c>
      <c r="G34" s="13" cm="1">
        <f t="array" ref="G34">INDEX(GMWQ!$A$2:$NF$60,MATCH(1,(GMWQ!$NE$2:$NE$60=G$3)*(GMWQ!$ND$2:$ND$60=G$4)*(GMWQ!$NF$2:$NF$60=G$1),0),$E34-1966)</f>
        <v>2051.8739999999998</v>
      </c>
      <c r="H34" s="13" cm="1">
        <f t="array" ref="H34">INDEX(GMWQ!$A$2:$NF$60,MATCH(1,(GMWQ!$NE$2:$NE$60=H$3)*(GMWQ!$ND$2:$ND$60=H$4)*(GMWQ!$NF$2:$NF$60=H$1),0),$E34-1966)</f>
        <v>52.644150000000003</v>
      </c>
      <c r="I34" s="13" cm="1">
        <f t="array" ref="I34">INDEX(GMWQ!$A$2:$NF$60,MATCH(1,(GMWQ!$NE$2:$NE$60=I$3)*(GMWQ!$ND$2:$ND$60=I$4)*(GMWQ!$NF$2:$NF$60=I$1),0),$E34-1966)</f>
        <v>12092</v>
      </c>
      <c r="J34" s="13" cm="1">
        <f t="array" ref="J34">INDEX(GMWQ!$A$2:$NF$60,MATCH(1,(GMWQ!$NE$2:$NE$60=J$3)*(GMWQ!$ND$2:$ND$60=J$4)*(GMWQ!$NF$2:$NF$60=J$1),0),$E34-1966)</f>
        <v>59789</v>
      </c>
      <c r="K34" s="13" cm="1">
        <f t="array" ref="K34">INDEX(GMWQ!$A$2:$NF$60,MATCH(1,(GMWQ!$NE$2:$NE$60=K$3)*(GMWQ!$ND$2:$ND$60=K$4)*(GMWQ!$NF$2:$NF$60=K$1),0),$E34-1966)</f>
        <v>27095</v>
      </c>
      <c r="L34" s="13" cm="1">
        <f t="array" ref="L34">INDEX(GMWQ!$A$2:$NF$60,MATCH(1,(GMWQ!$NE$2:$NE$60=L$3)*(GMWQ!$ND$2:$ND$60=L$4)*(GMWQ!$NF$2:$NF$60=L$1),0),$E34-1966)</f>
        <v>39802</v>
      </c>
      <c r="M34" s="13" cm="1">
        <f t="array" ref="M34">INDEX(GMWQ!$A$2:$NF$60,MATCH(1,(GMWQ!$NE$2:$NE$60=M$3)*(GMWQ!$ND$2:$ND$60=M$4)*(GMWQ!$NF$2:$NF$60=M$1),0),$E34-1966)</f>
        <v>162173</v>
      </c>
      <c r="N34" s="13" cm="1">
        <f t="array" ref="N34">INDEX(GMWQ!$A$2:$NF$60,MATCH(1,(GMWQ!$NE$2:$NE$60=N$3)*(GMWQ!$ND$2:$ND$60=N$4)*(GMWQ!$NF$2:$NF$60=N$1),0),$E34-1966)</f>
        <v>24.961680000000001</v>
      </c>
      <c r="O34" s="13" cm="1">
        <f t="array" ref="O34">INDEX(GMWQ!$A$2:$NF$60,MATCH(1,(GMWQ!$NE$2:$NE$60=O$3)*(GMWQ!$ND$2:$ND$60=O$4)*(GMWQ!$NF$2:$NF$60=O$1),0),$E34-1966)</f>
        <v>25280</v>
      </c>
      <c r="P34" s="13" cm="1">
        <f t="array" ref="P34">INDEX(GMWQ!$A$2:$NF$60,MATCH(1,(GMWQ!$NE$2:$NE$60=P$3)*(GMWQ!$ND$2:$ND$60=P$4)*(GMWQ!$NF$2:$NF$60=P$1),0),$E34-1966)</f>
        <v>25280</v>
      </c>
      <c r="Q34" s="13" cm="1">
        <f t="array" ref="Q34">INDEX(GMWQ!$A$2:$NF$60,MATCH(1,(GMWQ!$NE$2:$NE$60=Q$3)*(GMWQ!$ND$2:$ND$60=Q$4)*(GMWQ!$NF$2:$NF$60=Q$1),0),$E34-1966)</f>
        <v>25280</v>
      </c>
    </row>
    <row r="35" spans="1:17" x14ac:dyDescent="0.25">
      <c r="A35" s="13">
        <v>1980</v>
      </c>
      <c r="B35" s="13">
        <f t="shared" si="3"/>
        <v>1980</v>
      </c>
      <c r="C35" s="13">
        <f t="shared" si="3"/>
        <v>1979</v>
      </c>
      <c r="D35" s="13">
        <f t="shared" si="3"/>
        <v>1979</v>
      </c>
      <c r="E35" s="13">
        <f t="shared" si="1"/>
        <v>2001</v>
      </c>
      <c r="F35" s="13" cm="1">
        <f t="array" ref="F35">INDEX(GMWQ!$A$2:$NF$60,MATCH(1,(GMWQ!$NE$2:$NE$60=F$3)*(GMWQ!$ND$2:$ND$60=F$4)*(GMWQ!$NF$2:$NF$60=F$1),0),$E35-1966)</f>
        <v>32.540550000000003</v>
      </c>
      <c r="G35" s="13" cm="1">
        <f t="array" ref="G35">INDEX(GMWQ!$A$2:$NF$60,MATCH(1,(GMWQ!$NE$2:$NE$60=G$3)*(GMWQ!$ND$2:$ND$60=G$4)*(GMWQ!$NF$2:$NF$60=G$1),0),$E35-1966)</f>
        <v>2203.6559999999999</v>
      </c>
      <c r="H35" s="13" cm="1">
        <f t="array" ref="H35">INDEX(GMWQ!$A$2:$NF$60,MATCH(1,(GMWQ!$NE$2:$NE$60=H$3)*(GMWQ!$ND$2:$ND$60=H$4)*(GMWQ!$NF$2:$NF$60=H$1),0),$E35-1966)</f>
        <v>54.906700000000001</v>
      </c>
      <c r="I35" s="13" cm="1">
        <f t="array" ref="I35">INDEX(GMWQ!$A$2:$NF$60,MATCH(1,(GMWQ!$NE$2:$NE$60=I$3)*(GMWQ!$ND$2:$ND$60=I$4)*(GMWQ!$NF$2:$NF$60=I$1),0),$E35-1966)</f>
        <v>12467</v>
      </c>
      <c r="J35" s="13" cm="1">
        <f t="array" ref="J35">INDEX(GMWQ!$A$2:$NF$60,MATCH(1,(GMWQ!$NE$2:$NE$60=J$3)*(GMWQ!$ND$2:$ND$60=J$4)*(GMWQ!$NF$2:$NF$60=J$1),0),$E35-1966)</f>
        <v>62107</v>
      </c>
      <c r="K35" s="13" cm="1">
        <f t="array" ref="K35">INDEX(GMWQ!$A$2:$NF$60,MATCH(1,(GMWQ!$NE$2:$NE$60=K$3)*(GMWQ!$ND$2:$ND$60=K$4)*(GMWQ!$NF$2:$NF$60=K$1),0),$E35-1966)</f>
        <v>28290</v>
      </c>
      <c r="L35" s="13" cm="1">
        <f t="array" ref="L35">INDEX(GMWQ!$A$2:$NF$60,MATCH(1,(GMWQ!$NE$2:$NE$60=L$3)*(GMWQ!$ND$2:$ND$60=L$4)*(GMWQ!$NF$2:$NF$60=L$1),0),$E35-1966)</f>
        <v>40290</v>
      </c>
      <c r="M35" s="13" cm="1">
        <f t="array" ref="M35">INDEX(GMWQ!$A$2:$NF$60,MATCH(1,(GMWQ!$NE$2:$NE$60=M$3)*(GMWQ!$ND$2:$ND$60=M$4)*(GMWQ!$NF$2:$NF$60=M$1),0),$E35-1966)</f>
        <v>157780</v>
      </c>
      <c r="N35" s="13" cm="1">
        <f t="array" ref="N35">INDEX(GMWQ!$A$2:$NF$60,MATCH(1,(GMWQ!$NE$2:$NE$60=N$3)*(GMWQ!$ND$2:$ND$60=N$4)*(GMWQ!$NF$2:$NF$60=N$1),0),$E35-1966)</f>
        <v>25.905280000000001</v>
      </c>
      <c r="O35" s="13" cm="1">
        <f t="array" ref="O35">INDEX(GMWQ!$A$2:$NF$60,MATCH(1,(GMWQ!$NE$2:$NE$60=O$3)*(GMWQ!$ND$2:$ND$60=O$4)*(GMWQ!$NF$2:$NF$60=O$1),0),$E35-1966)</f>
        <v>25250</v>
      </c>
      <c r="P35" s="13" cm="1">
        <f t="array" ref="P35">INDEX(GMWQ!$A$2:$NF$60,MATCH(1,(GMWQ!$NE$2:$NE$60=P$3)*(GMWQ!$ND$2:$ND$60=P$4)*(GMWQ!$NF$2:$NF$60=P$1),0),$E35-1966)</f>
        <v>25250</v>
      </c>
      <c r="Q35" s="13" cm="1">
        <f t="array" ref="Q35">INDEX(GMWQ!$A$2:$NF$60,MATCH(1,(GMWQ!$NE$2:$NE$60=Q$3)*(GMWQ!$ND$2:$ND$60=Q$4)*(GMWQ!$NF$2:$NF$60=Q$1),0),$E35-1966)</f>
        <v>25250</v>
      </c>
    </row>
    <row r="36" spans="1:17" x14ac:dyDescent="0.25">
      <c r="B36" s="13">
        <f t="shared" si="3"/>
        <v>1980</v>
      </c>
      <c r="C36" s="13">
        <f t="shared" si="3"/>
        <v>1980</v>
      </c>
      <c r="E36" s="13">
        <f t="shared" si="1"/>
        <v>2002</v>
      </c>
      <c r="F36" s="13" cm="1">
        <f t="array" ref="F36">INDEX(GMWQ!$A$2:$NF$60,MATCH(1,(GMWQ!$NE$2:$NE$60=F$3)*(GMWQ!$ND$2:$ND$60=F$4)*(GMWQ!$NF$2:$NF$60=F$1),0),$E36-1966)</f>
        <v>34.726950000000002</v>
      </c>
      <c r="G36" s="13" cm="1">
        <f t="array" ref="G36">INDEX(GMWQ!$A$2:$NF$60,MATCH(1,(GMWQ!$NE$2:$NE$60=G$3)*(GMWQ!$ND$2:$ND$60=G$4)*(GMWQ!$NF$2:$NF$60=G$1),0),$E36-1966)</f>
        <v>2273.364</v>
      </c>
      <c r="H36" s="13" cm="1">
        <f t="array" ref="H36">INDEX(GMWQ!$A$2:$NF$60,MATCH(1,(GMWQ!$NE$2:$NE$60=H$3)*(GMWQ!$ND$2:$ND$60=H$4)*(GMWQ!$NF$2:$NF$60=H$1),0),$E36-1966)</f>
        <v>59.170099999999998</v>
      </c>
      <c r="I36" s="13" cm="1">
        <f t="array" ref="I36">INDEX(GMWQ!$A$2:$NF$60,MATCH(1,(GMWQ!$NE$2:$NE$60=I$3)*(GMWQ!$ND$2:$ND$60=I$4)*(GMWQ!$NF$2:$NF$60=I$1),0),$E36-1966)</f>
        <v>12391</v>
      </c>
      <c r="J36" s="13" cm="1">
        <f t="array" ref="J36">INDEX(GMWQ!$A$2:$NF$60,MATCH(1,(GMWQ!$NE$2:$NE$60=J$3)*(GMWQ!$ND$2:$ND$60=J$4)*(GMWQ!$NF$2:$NF$60=J$1),0),$E36-1966)</f>
        <v>63704</v>
      </c>
      <c r="K36" s="13" cm="1">
        <f t="array" ref="K36">INDEX(GMWQ!$A$2:$NF$60,MATCH(1,(GMWQ!$NE$2:$NE$60=K$3)*(GMWQ!$ND$2:$ND$60=K$4)*(GMWQ!$NF$2:$NF$60=K$1),0),$E36-1966)</f>
        <v>29578</v>
      </c>
      <c r="L36" s="13" cm="1">
        <f t="array" ref="L36">INDEX(GMWQ!$A$2:$NF$60,MATCH(1,(GMWQ!$NE$2:$NE$60=L$3)*(GMWQ!$ND$2:$ND$60=L$4)*(GMWQ!$NF$2:$NF$60=L$1),0),$E36-1966)</f>
        <v>41818</v>
      </c>
      <c r="M36" s="13" cm="1">
        <f t="array" ref="M36">INDEX(GMWQ!$A$2:$NF$60,MATCH(1,(GMWQ!$NE$2:$NE$60=M$3)*(GMWQ!$ND$2:$ND$60=M$4)*(GMWQ!$NF$2:$NF$60=M$1),0),$E36-1966)</f>
        <v>158083</v>
      </c>
      <c r="N36" s="13" cm="1">
        <f t="array" ref="N36">INDEX(GMWQ!$A$2:$NF$60,MATCH(1,(GMWQ!$NE$2:$NE$60=N$3)*(GMWQ!$ND$2:$ND$60=N$4)*(GMWQ!$NF$2:$NF$60=N$1),0),$E36-1966)</f>
        <v>26.888159999999999</v>
      </c>
      <c r="O36" s="13" cm="1">
        <f t="array" ref="O36">INDEX(GMWQ!$A$2:$NF$60,MATCH(1,(GMWQ!$NE$2:$NE$60=O$3)*(GMWQ!$ND$2:$ND$60=O$4)*(GMWQ!$NF$2:$NF$60=O$1),0),$E36-1966)</f>
        <v>25190</v>
      </c>
      <c r="P36" s="13" cm="1">
        <f t="array" ref="P36">INDEX(GMWQ!$A$2:$NF$60,MATCH(1,(GMWQ!$NE$2:$NE$60=P$3)*(GMWQ!$ND$2:$ND$60=P$4)*(GMWQ!$NF$2:$NF$60=P$1),0),$E36-1966)</f>
        <v>25190</v>
      </c>
      <c r="Q36" s="13" cm="1">
        <f t="array" ref="Q36">INDEX(GMWQ!$A$2:$NF$60,MATCH(1,(GMWQ!$NE$2:$NE$60=Q$3)*(GMWQ!$ND$2:$ND$60=Q$4)*(GMWQ!$NF$2:$NF$60=Q$1),0),$E36-1966)</f>
        <v>25190</v>
      </c>
    </row>
    <row r="37" spans="1:17" x14ac:dyDescent="0.25">
      <c r="B37" s="13">
        <f t="shared" si="3"/>
        <v>1980</v>
      </c>
      <c r="C37" s="13">
        <f t="shared" si="3"/>
        <v>1980</v>
      </c>
      <c r="E37" s="13">
        <f t="shared" si="1"/>
        <v>2003</v>
      </c>
      <c r="F37" s="13" cm="1">
        <f t="array" ref="F37">INDEX(GMWQ!$A$2:$NF$60,MATCH(1,(GMWQ!$NE$2:$NE$60=F$3)*(GMWQ!$ND$2:$ND$60=F$4)*(GMWQ!$NF$2:$NF$60=F$1),0),$E37-1966)</f>
        <v>35.928190000000001</v>
      </c>
      <c r="G37" s="13" cm="1">
        <f t="array" ref="G37">INDEX(GMWQ!$A$2:$NF$60,MATCH(1,(GMWQ!$NE$2:$NE$60=G$3)*(GMWQ!$ND$2:$ND$60=G$4)*(GMWQ!$NF$2:$NF$60=G$1),0),$E37-1966)</f>
        <v>2332.9520000000002</v>
      </c>
      <c r="H37" s="13" cm="1">
        <f t="array" ref="H37">INDEX(GMWQ!$A$2:$NF$60,MATCH(1,(GMWQ!$NE$2:$NE$60=H$3)*(GMWQ!$ND$2:$ND$60=H$4)*(GMWQ!$NF$2:$NF$60=H$1),0),$E37-1966)</f>
        <v>63.642139999999998</v>
      </c>
      <c r="I37" s="13" cm="1">
        <f t="array" ref="I37">INDEX(GMWQ!$A$2:$NF$60,MATCH(1,(GMWQ!$NE$2:$NE$60=I$3)*(GMWQ!$ND$2:$ND$60=I$4)*(GMWQ!$NF$2:$NF$60=I$1),0),$E37-1966)</f>
        <v>11886</v>
      </c>
      <c r="J37" s="13" cm="1">
        <f t="array" ref="J37">INDEX(GMWQ!$A$2:$NF$60,MATCH(1,(GMWQ!$NE$2:$NE$60=J$3)*(GMWQ!$ND$2:$ND$60=J$4)*(GMWQ!$NF$2:$NF$60=J$1),0),$E37-1966)</f>
        <v>66021</v>
      </c>
      <c r="K37" s="13" cm="1">
        <f t="array" ref="K37">INDEX(GMWQ!$A$2:$NF$60,MATCH(1,(GMWQ!$NE$2:$NE$60=K$3)*(GMWQ!$ND$2:$ND$60=K$4)*(GMWQ!$NF$2:$NF$60=K$1),0),$E37-1966)</f>
        <v>30485</v>
      </c>
      <c r="L37" s="13" cm="1">
        <f t="array" ref="L37">INDEX(GMWQ!$A$2:$NF$60,MATCH(1,(GMWQ!$NE$2:$NE$60=L$3)*(GMWQ!$ND$2:$ND$60=L$4)*(GMWQ!$NF$2:$NF$60=L$1),0),$E37-1966)</f>
        <v>43433</v>
      </c>
      <c r="M37" s="13" cm="1">
        <f t="array" ref="M37">INDEX(GMWQ!$A$2:$NF$60,MATCH(1,(GMWQ!$NE$2:$NE$60=M$3)*(GMWQ!$ND$2:$ND$60=M$4)*(GMWQ!$NF$2:$NF$60=M$1),0),$E37-1966)</f>
        <v>160445</v>
      </c>
      <c r="N37" s="13" cm="1">
        <f t="array" ref="N37">INDEX(GMWQ!$A$2:$NF$60,MATCH(1,(GMWQ!$NE$2:$NE$60=N$3)*(GMWQ!$ND$2:$ND$60=N$4)*(GMWQ!$NF$2:$NF$60=N$1),0),$E37-1966)</f>
        <v>27.460470000000001</v>
      </c>
      <c r="O37" s="13" cm="1">
        <f t="array" ref="O37">INDEX(GMWQ!$A$2:$NF$60,MATCH(1,(GMWQ!$NE$2:$NE$60=O$3)*(GMWQ!$ND$2:$ND$60=O$4)*(GMWQ!$NF$2:$NF$60=O$1),0),$E37-1966)</f>
        <v>25050</v>
      </c>
      <c r="P37" s="13" cm="1">
        <f t="array" ref="P37">INDEX(GMWQ!$A$2:$NF$60,MATCH(1,(GMWQ!$NE$2:$NE$60=P$3)*(GMWQ!$ND$2:$ND$60=P$4)*(GMWQ!$NF$2:$NF$60=P$1),0),$E37-1966)</f>
        <v>25050</v>
      </c>
      <c r="Q37" s="13" cm="1">
        <f t="array" ref="Q37">INDEX(GMWQ!$A$2:$NF$60,MATCH(1,(GMWQ!$NE$2:$NE$60=Q$3)*(GMWQ!$ND$2:$ND$60=Q$4)*(GMWQ!$NF$2:$NF$60=Q$1),0),$E37-1966)</f>
        <v>25050</v>
      </c>
    </row>
    <row r="38" spans="1:17" x14ac:dyDescent="0.25">
      <c r="B38" s="13">
        <f t="shared" si="3"/>
        <v>1980</v>
      </c>
      <c r="C38" s="13">
        <f t="shared" si="3"/>
        <v>1980</v>
      </c>
      <c r="E38" s="13">
        <f t="shared" si="1"/>
        <v>2004</v>
      </c>
      <c r="F38" s="13" cm="1">
        <f t="array" ref="F38">INDEX(GMWQ!$A$2:$NF$60,MATCH(1,(GMWQ!$NE$2:$NE$60=F$3)*(GMWQ!$ND$2:$ND$60=F$4)*(GMWQ!$NF$2:$NF$60=F$1),0),$E38-1966)</f>
        <v>37.0792</v>
      </c>
      <c r="G38" s="13" cm="1">
        <f t="array" ref="G38">INDEX(GMWQ!$A$2:$NF$60,MATCH(1,(GMWQ!$NE$2:$NE$60=G$3)*(GMWQ!$ND$2:$ND$60=G$4)*(GMWQ!$NF$2:$NF$60=G$1),0),$E38-1966)</f>
        <v>2420.6489999999999</v>
      </c>
      <c r="H38" s="13" cm="1">
        <f t="array" ref="H38">INDEX(GMWQ!$A$2:$NF$60,MATCH(1,(GMWQ!$NE$2:$NE$60=H$3)*(GMWQ!$ND$2:$ND$60=H$4)*(GMWQ!$NF$2:$NF$60=H$1),0),$E38-1966)</f>
        <v>66.771739999999994</v>
      </c>
      <c r="I38" s="13" cm="1">
        <f t="array" ref="I38">INDEX(GMWQ!$A$2:$NF$60,MATCH(1,(GMWQ!$NE$2:$NE$60=I$3)*(GMWQ!$ND$2:$ND$60=I$4)*(GMWQ!$NF$2:$NF$60=I$1),0),$E38-1966)</f>
        <v>12891</v>
      </c>
      <c r="J38" s="13" cm="1">
        <f t="array" ref="J38">INDEX(GMWQ!$A$2:$NF$60,MATCH(1,(GMWQ!$NE$2:$NE$60=J$3)*(GMWQ!$ND$2:$ND$60=J$4)*(GMWQ!$NF$2:$NF$60=J$1),0),$E38-1966)</f>
        <v>68138</v>
      </c>
      <c r="K38" s="13" cm="1">
        <f t="array" ref="K38">INDEX(GMWQ!$A$2:$NF$60,MATCH(1,(GMWQ!$NE$2:$NE$60=K$3)*(GMWQ!$ND$2:$ND$60=K$4)*(GMWQ!$NF$2:$NF$60=K$1),0),$E38-1966)</f>
        <v>30980</v>
      </c>
      <c r="L38" s="13" cm="1">
        <f t="array" ref="L38">INDEX(GMWQ!$A$2:$NF$60,MATCH(1,(GMWQ!$NE$2:$NE$60=L$3)*(GMWQ!$ND$2:$ND$60=L$4)*(GMWQ!$NF$2:$NF$60=L$1),0),$E38-1966)</f>
        <v>44864</v>
      </c>
      <c r="M38" s="13" cm="1">
        <f t="array" ref="M38">INDEX(GMWQ!$A$2:$NF$60,MATCH(1,(GMWQ!$NE$2:$NE$60=M$3)*(GMWQ!$ND$2:$ND$60=M$4)*(GMWQ!$NF$2:$NF$60=M$1),0),$E38-1966)</f>
        <v>158931</v>
      </c>
      <c r="N38" s="13" cm="1">
        <f t="array" ref="N38">INDEX(GMWQ!$A$2:$NF$60,MATCH(1,(GMWQ!$NE$2:$NE$60=N$3)*(GMWQ!$ND$2:$ND$60=N$4)*(GMWQ!$NF$2:$NF$60=N$1),0),$E38-1966)</f>
        <v>28.66206</v>
      </c>
      <c r="O38" s="13" cm="1">
        <f t="array" ref="O38">INDEX(GMWQ!$A$2:$NF$60,MATCH(1,(GMWQ!$NE$2:$NE$60=O$3)*(GMWQ!$ND$2:$ND$60=O$4)*(GMWQ!$NF$2:$NF$60=O$1),0),$E38-1966)</f>
        <v>24855</v>
      </c>
      <c r="P38" s="13" cm="1">
        <f t="array" ref="P38">INDEX(GMWQ!$A$2:$NF$60,MATCH(1,(GMWQ!$NE$2:$NE$60=P$3)*(GMWQ!$ND$2:$ND$60=P$4)*(GMWQ!$NF$2:$NF$60=P$1),0),$E38-1966)</f>
        <v>24855</v>
      </c>
      <c r="Q38" s="13" cm="1">
        <f t="array" ref="Q38">INDEX(GMWQ!$A$2:$NF$60,MATCH(1,(GMWQ!$NE$2:$NE$60=Q$3)*(GMWQ!$ND$2:$ND$60=Q$4)*(GMWQ!$NF$2:$NF$60=Q$1),0),$E38-1966)</f>
        <v>24855</v>
      </c>
    </row>
    <row r="39" spans="1:17" x14ac:dyDescent="0.25">
      <c r="A39" s="13">
        <v>1981</v>
      </c>
      <c r="B39" s="13">
        <f t="shared" si="3"/>
        <v>1981</v>
      </c>
      <c r="C39" s="13">
        <f t="shared" si="3"/>
        <v>1980</v>
      </c>
      <c r="D39" s="13">
        <f t="shared" si="3"/>
        <v>1980</v>
      </c>
      <c r="E39" s="13">
        <f t="shared" si="1"/>
        <v>2005</v>
      </c>
      <c r="F39" s="13" cm="1">
        <f t="array" ref="F39">INDEX(GMWQ!$A$2:$NF$60,MATCH(1,(GMWQ!$NE$2:$NE$60=F$3)*(GMWQ!$ND$2:$ND$60=F$4)*(GMWQ!$NF$2:$NF$60=F$1),0),$E39-1966)</f>
        <v>37.69285</v>
      </c>
      <c r="G39" s="13" cm="1">
        <f t="array" ref="G39">INDEX(GMWQ!$A$2:$NF$60,MATCH(1,(GMWQ!$NE$2:$NE$60=G$3)*(GMWQ!$ND$2:$ND$60=G$4)*(GMWQ!$NF$2:$NF$60=G$1),0),$E39-1966)</f>
        <v>2498.2269999999999</v>
      </c>
      <c r="H39" s="13" cm="1">
        <f t="array" ref="H39">INDEX(GMWQ!$A$2:$NF$60,MATCH(1,(GMWQ!$NE$2:$NE$60=H$3)*(GMWQ!$ND$2:$ND$60=H$4)*(GMWQ!$NF$2:$NF$60=H$1),0),$E39-1966)</f>
        <v>67.327690000000004</v>
      </c>
      <c r="I39" s="13" cm="1">
        <f t="array" ref="I39">INDEX(GMWQ!$A$2:$NF$60,MATCH(1,(GMWQ!$NE$2:$NE$60=I$3)*(GMWQ!$ND$2:$ND$60=I$4)*(GMWQ!$NF$2:$NF$60=I$1),0),$E39-1966)</f>
        <v>12538</v>
      </c>
      <c r="J39" s="13" cm="1">
        <f t="array" ref="J39">INDEX(GMWQ!$A$2:$NF$60,MATCH(1,(GMWQ!$NE$2:$NE$60=J$3)*(GMWQ!$ND$2:$ND$60=J$4)*(GMWQ!$NF$2:$NF$60=J$1),0),$E39-1966)</f>
        <v>69940</v>
      </c>
      <c r="K39" s="13" cm="1">
        <f t="array" ref="K39">INDEX(GMWQ!$A$2:$NF$60,MATCH(1,(GMWQ!$NE$2:$NE$60=K$3)*(GMWQ!$ND$2:$ND$60=K$4)*(GMWQ!$NF$2:$NF$60=K$1),0),$E39-1966)</f>
        <v>31183</v>
      </c>
      <c r="L39" s="13" cm="1">
        <f t="array" ref="L39">INDEX(GMWQ!$A$2:$NF$60,MATCH(1,(GMWQ!$NE$2:$NE$60=L$3)*(GMWQ!$ND$2:$ND$60=L$4)*(GMWQ!$NF$2:$NF$60=L$1),0),$E39-1966)</f>
        <v>46552</v>
      </c>
      <c r="M39" s="13" cm="1">
        <f t="array" ref="M39">INDEX(GMWQ!$A$2:$NF$60,MATCH(1,(GMWQ!$NE$2:$NE$60=M$3)*(GMWQ!$ND$2:$ND$60=M$4)*(GMWQ!$NF$2:$NF$60=M$1),0),$E39-1966)</f>
        <v>160486</v>
      </c>
      <c r="N39" s="13" cm="1">
        <f t="array" ref="N39">INDEX(GMWQ!$A$2:$NF$60,MATCH(1,(GMWQ!$NE$2:$NE$60=N$3)*(GMWQ!$ND$2:$ND$60=N$4)*(GMWQ!$NF$2:$NF$60=N$1),0),$E39-1966)</f>
        <v>29.374320000000001</v>
      </c>
      <c r="O39" s="13" cm="1">
        <f t="array" ref="O39">INDEX(GMWQ!$A$2:$NF$60,MATCH(1,(GMWQ!$NE$2:$NE$60=O$3)*(GMWQ!$ND$2:$ND$60=O$4)*(GMWQ!$NF$2:$NF$60=O$1),0),$E39-1966)</f>
        <v>24661</v>
      </c>
      <c r="P39" s="13" cm="1">
        <f t="array" ref="P39">INDEX(GMWQ!$A$2:$NF$60,MATCH(1,(GMWQ!$NE$2:$NE$60=P$3)*(GMWQ!$ND$2:$ND$60=P$4)*(GMWQ!$NF$2:$NF$60=P$1),0),$E39-1966)</f>
        <v>24661</v>
      </c>
      <c r="Q39" s="13" cm="1">
        <f t="array" ref="Q39">INDEX(GMWQ!$A$2:$NF$60,MATCH(1,(GMWQ!$NE$2:$NE$60=Q$3)*(GMWQ!$ND$2:$ND$60=Q$4)*(GMWQ!$NF$2:$NF$60=Q$1),0),$E39-1966)</f>
        <v>24661</v>
      </c>
    </row>
    <row r="40" spans="1:17" x14ac:dyDescent="0.25">
      <c r="B40" s="13">
        <f t="shared" si="3"/>
        <v>1981</v>
      </c>
      <c r="C40" s="13">
        <f t="shared" si="3"/>
        <v>1981</v>
      </c>
      <c r="E40" s="13">
        <f t="shared" si="1"/>
        <v>2006</v>
      </c>
      <c r="F40" s="13" cm="1">
        <f t="array" ref="F40">INDEX(GMWQ!$A$2:$NF$60,MATCH(1,(GMWQ!$NE$2:$NE$60=F$3)*(GMWQ!$ND$2:$ND$60=F$4)*(GMWQ!$NF$2:$NF$60=F$1),0),$E40-1966)</f>
        <v>38.15502</v>
      </c>
      <c r="G40" s="13" cm="1">
        <f t="array" ref="G40">INDEX(GMWQ!$A$2:$NF$60,MATCH(1,(GMWQ!$NE$2:$NE$60=G$3)*(GMWQ!$ND$2:$ND$60=G$4)*(GMWQ!$NF$2:$NF$60=G$1),0),$E40-1966)</f>
        <v>2399.2869999999998</v>
      </c>
      <c r="H40" s="13" cm="1">
        <f t="array" ref="H40">INDEX(GMWQ!$A$2:$NF$60,MATCH(1,(GMWQ!$NE$2:$NE$60=H$3)*(GMWQ!$ND$2:$ND$60=H$4)*(GMWQ!$NF$2:$NF$60=H$1),0),$E40-1966)</f>
        <v>69.614490000000004</v>
      </c>
      <c r="I40" s="13" cm="1">
        <f t="array" ref="I40">INDEX(GMWQ!$A$2:$NF$60,MATCH(1,(GMWQ!$NE$2:$NE$60=I$3)*(GMWQ!$ND$2:$ND$60=I$4)*(GMWQ!$NF$2:$NF$60=I$1),0),$E40-1966)</f>
        <v>13239</v>
      </c>
      <c r="J40" s="13" cm="1">
        <f t="array" ref="J40">INDEX(GMWQ!$A$2:$NF$60,MATCH(1,(GMWQ!$NE$2:$NE$60=J$3)*(GMWQ!$ND$2:$ND$60=J$4)*(GMWQ!$NF$2:$NF$60=J$1),0),$E40-1966)</f>
        <v>71334</v>
      </c>
      <c r="K40" s="13" cm="1">
        <f t="array" ref="K40">INDEX(GMWQ!$A$2:$NF$60,MATCH(1,(GMWQ!$NE$2:$NE$60=K$3)*(GMWQ!$ND$2:$ND$60=K$4)*(GMWQ!$NF$2:$NF$60=K$1),0),$E40-1966)</f>
        <v>31633</v>
      </c>
      <c r="L40" s="13" cm="1">
        <f t="array" ref="L40">INDEX(GMWQ!$A$2:$NF$60,MATCH(1,(GMWQ!$NE$2:$NE$60=L$3)*(GMWQ!$ND$2:$ND$60=L$4)*(GMWQ!$NF$2:$NF$60=L$1),0),$E40-1966)</f>
        <v>47036</v>
      </c>
      <c r="M40" s="13" cm="1">
        <f t="array" ref="M40">INDEX(GMWQ!$A$2:$NF$60,MATCH(1,(GMWQ!$NE$2:$NE$60=M$3)*(GMWQ!$ND$2:$ND$60=M$4)*(GMWQ!$NF$2:$NF$60=M$1),0),$E40-1966)</f>
        <v>158130</v>
      </c>
      <c r="N40" s="13" cm="1">
        <f t="array" ref="N40">INDEX(GMWQ!$A$2:$NF$60,MATCH(1,(GMWQ!$NE$2:$NE$60=N$3)*(GMWQ!$ND$2:$ND$60=N$4)*(GMWQ!$NF$2:$NF$60=N$1),0),$E40-1966)</f>
        <v>30.196069999999999</v>
      </c>
      <c r="O40" s="13" cm="1">
        <f t="array" ref="O40">INDEX(GMWQ!$A$2:$NF$60,MATCH(1,(GMWQ!$NE$2:$NE$60=O$3)*(GMWQ!$ND$2:$ND$60=O$4)*(GMWQ!$NF$2:$NF$60=O$1),0),$E40-1966)</f>
        <v>24495</v>
      </c>
      <c r="P40" s="13" cm="1">
        <f t="array" ref="P40">INDEX(GMWQ!$A$2:$NF$60,MATCH(1,(GMWQ!$NE$2:$NE$60=P$3)*(GMWQ!$ND$2:$ND$60=P$4)*(GMWQ!$NF$2:$NF$60=P$1),0),$E40-1966)</f>
        <v>24495</v>
      </c>
      <c r="Q40" s="13" cm="1">
        <f t="array" ref="Q40">INDEX(GMWQ!$A$2:$NF$60,MATCH(1,(GMWQ!$NE$2:$NE$60=Q$3)*(GMWQ!$ND$2:$ND$60=Q$4)*(GMWQ!$NF$2:$NF$60=Q$1),0),$E40-1966)</f>
        <v>24495</v>
      </c>
    </row>
    <row r="41" spans="1:17" x14ac:dyDescent="0.25">
      <c r="B41" s="13">
        <f t="shared" si="3"/>
        <v>1981</v>
      </c>
      <c r="C41" s="13">
        <f t="shared" si="3"/>
        <v>1981</v>
      </c>
      <c r="E41" s="13">
        <f t="shared" si="1"/>
        <v>2007</v>
      </c>
      <c r="F41" s="13" cm="1">
        <f t="array" ref="F41">INDEX(GMWQ!$A$2:$NF$60,MATCH(1,(GMWQ!$NE$2:$NE$60=F$3)*(GMWQ!$ND$2:$ND$60=F$4)*(GMWQ!$NF$2:$NF$60=F$1),0),$E41-1966)</f>
        <v>38.569020000000002</v>
      </c>
      <c r="G41" s="13" cm="1">
        <f t="array" ref="G41">INDEX(GMWQ!$A$2:$NF$60,MATCH(1,(GMWQ!$NE$2:$NE$60=G$3)*(GMWQ!$ND$2:$ND$60=G$4)*(GMWQ!$NF$2:$NF$60=G$1),0),$E41-1966)</f>
        <v>2452.13</v>
      </c>
      <c r="H41" s="13" cm="1">
        <f t="array" ref="H41">INDEX(GMWQ!$A$2:$NF$60,MATCH(1,(GMWQ!$NE$2:$NE$60=H$3)*(GMWQ!$ND$2:$ND$60=H$4)*(GMWQ!$NF$2:$NF$60=H$1),0),$E41-1966)</f>
        <v>73.352940000000004</v>
      </c>
      <c r="I41" s="13" cm="1">
        <f t="array" ref="I41">INDEX(GMWQ!$A$2:$NF$60,MATCH(1,(GMWQ!$NE$2:$NE$60=I$3)*(GMWQ!$ND$2:$ND$60=I$4)*(GMWQ!$NF$2:$NF$60=I$1),0),$E41-1966)</f>
        <v>14561</v>
      </c>
      <c r="J41" s="13" cm="1">
        <f t="array" ref="J41">INDEX(GMWQ!$A$2:$NF$60,MATCH(1,(GMWQ!$NE$2:$NE$60=J$3)*(GMWQ!$ND$2:$ND$60=J$4)*(GMWQ!$NF$2:$NF$60=J$1),0),$E41-1966)</f>
        <v>73310</v>
      </c>
      <c r="K41" s="13" cm="1">
        <f t="array" ref="K41">INDEX(GMWQ!$A$2:$NF$60,MATCH(1,(GMWQ!$NE$2:$NE$60=K$3)*(GMWQ!$ND$2:$ND$60=K$4)*(GMWQ!$NF$2:$NF$60=K$1),0),$E41-1966)</f>
        <v>32287</v>
      </c>
      <c r="L41" s="13" cm="1">
        <f t="array" ref="L41">INDEX(GMWQ!$A$2:$NF$60,MATCH(1,(GMWQ!$NE$2:$NE$60=L$3)*(GMWQ!$ND$2:$ND$60=L$4)*(GMWQ!$NF$2:$NF$60=L$1),0),$E41-1966)</f>
        <v>47924</v>
      </c>
      <c r="M41" s="13" cm="1">
        <f t="array" ref="M41">INDEX(GMWQ!$A$2:$NF$60,MATCH(1,(GMWQ!$NE$2:$NE$60=M$3)*(GMWQ!$ND$2:$ND$60=M$4)*(GMWQ!$NF$2:$NF$60=M$1),0),$E41-1966)</f>
        <v>157598</v>
      </c>
      <c r="N41" s="13" cm="1">
        <f t="array" ref="N41">INDEX(GMWQ!$A$2:$NF$60,MATCH(1,(GMWQ!$NE$2:$NE$60=N$3)*(GMWQ!$ND$2:$ND$60=N$4)*(GMWQ!$NF$2:$NF$60=N$1),0),$E41-1966)</f>
        <v>30.904209999999999</v>
      </c>
      <c r="O41" s="13" cm="1">
        <f t="array" ref="O41">INDEX(GMWQ!$A$2:$NF$60,MATCH(1,(GMWQ!$NE$2:$NE$60=O$3)*(GMWQ!$ND$2:$ND$60=O$4)*(GMWQ!$NF$2:$NF$60=O$1),0),$E41-1966)</f>
        <v>24355</v>
      </c>
      <c r="P41" s="13" cm="1">
        <f t="array" ref="P41">INDEX(GMWQ!$A$2:$NF$60,MATCH(1,(GMWQ!$NE$2:$NE$60=P$3)*(GMWQ!$ND$2:$ND$60=P$4)*(GMWQ!$NF$2:$NF$60=P$1),0),$E41-1966)</f>
        <v>24355</v>
      </c>
      <c r="Q41" s="13" cm="1">
        <f t="array" ref="Q41">INDEX(GMWQ!$A$2:$NF$60,MATCH(1,(GMWQ!$NE$2:$NE$60=Q$3)*(GMWQ!$ND$2:$ND$60=Q$4)*(GMWQ!$NF$2:$NF$60=Q$1),0),$E41-1966)</f>
        <v>24355</v>
      </c>
    </row>
    <row r="42" spans="1:17" x14ac:dyDescent="0.25">
      <c r="B42" s="13">
        <f t="shared" si="3"/>
        <v>1981</v>
      </c>
      <c r="C42" s="13">
        <f t="shared" si="3"/>
        <v>1981</v>
      </c>
      <c r="E42" s="13">
        <f t="shared" si="1"/>
        <v>2008</v>
      </c>
      <c r="F42" s="13" cm="1">
        <f t="array" ref="F42">INDEX(GMWQ!$A$2:$NF$60,MATCH(1,(GMWQ!$NE$2:$NE$60=F$3)*(GMWQ!$ND$2:$ND$60=F$4)*(GMWQ!$NF$2:$NF$60=F$1),0),$E42-1966)</f>
        <v>39.219499999999996</v>
      </c>
      <c r="G42" s="13" cm="1">
        <f t="array" ref="G42">INDEX(GMWQ!$A$2:$NF$60,MATCH(1,(GMWQ!$NE$2:$NE$60=G$3)*(GMWQ!$ND$2:$ND$60=G$4)*(GMWQ!$NF$2:$NF$60=G$1),0),$E42-1966)</f>
        <v>2560.0639999999999</v>
      </c>
      <c r="H42" s="13" cm="1">
        <f t="array" ref="H42">INDEX(GMWQ!$A$2:$NF$60,MATCH(1,(GMWQ!$NE$2:$NE$60=H$3)*(GMWQ!$ND$2:$ND$60=H$4)*(GMWQ!$NF$2:$NF$60=H$1),0),$E42-1966)</f>
        <v>76.177090000000007</v>
      </c>
      <c r="I42" s="13" cm="1">
        <f t="array" ref="I42">INDEX(GMWQ!$A$2:$NF$60,MATCH(1,(GMWQ!$NE$2:$NE$60=I$3)*(GMWQ!$ND$2:$ND$60=I$4)*(GMWQ!$NF$2:$NF$60=I$1),0),$E42-1966)</f>
        <v>15234</v>
      </c>
      <c r="J42" s="13" cm="1">
        <f t="array" ref="J42">INDEX(GMWQ!$A$2:$NF$60,MATCH(1,(GMWQ!$NE$2:$NE$60=J$3)*(GMWQ!$ND$2:$ND$60=J$4)*(GMWQ!$NF$2:$NF$60=J$1),0),$E42-1966)</f>
        <v>75596</v>
      </c>
      <c r="K42" s="13" cm="1">
        <f t="array" ref="K42">INDEX(GMWQ!$A$2:$NF$60,MATCH(1,(GMWQ!$NE$2:$NE$60=K$3)*(GMWQ!$ND$2:$ND$60=K$4)*(GMWQ!$NF$2:$NF$60=K$1),0),$E42-1966)</f>
        <v>32870</v>
      </c>
      <c r="L42" s="13" cm="1">
        <f t="array" ref="L42">INDEX(GMWQ!$A$2:$NF$60,MATCH(1,(GMWQ!$NE$2:$NE$60=L$3)*(GMWQ!$ND$2:$ND$60=L$4)*(GMWQ!$NF$2:$NF$60=L$1),0),$E42-1966)</f>
        <v>49843</v>
      </c>
      <c r="M42" s="13" cm="1">
        <f t="array" ref="M42">INDEX(GMWQ!$A$2:$NF$60,MATCH(1,(GMWQ!$NE$2:$NE$60=M$3)*(GMWQ!$ND$2:$ND$60=M$4)*(GMWQ!$NF$2:$NF$60=M$1),0),$E42-1966)</f>
        <v>158580</v>
      </c>
      <c r="N42" s="13" cm="1">
        <f t="array" ref="N42">INDEX(GMWQ!$A$2:$NF$60,MATCH(1,(GMWQ!$NE$2:$NE$60=N$3)*(GMWQ!$ND$2:$ND$60=N$4)*(GMWQ!$NF$2:$NF$60=N$1),0),$E42-1966)</f>
        <v>31.90259</v>
      </c>
      <c r="O42" s="13" cm="1">
        <f t="array" ref="O42">INDEX(GMWQ!$A$2:$NF$60,MATCH(1,(GMWQ!$NE$2:$NE$60=O$3)*(GMWQ!$ND$2:$ND$60=O$4)*(GMWQ!$NF$2:$NF$60=O$1),0),$E42-1966)</f>
        <v>24209</v>
      </c>
      <c r="P42" s="13" cm="1">
        <f t="array" ref="P42">INDEX(GMWQ!$A$2:$NF$60,MATCH(1,(GMWQ!$NE$2:$NE$60=P$3)*(GMWQ!$ND$2:$ND$60=P$4)*(GMWQ!$NF$2:$NF$60=P$1),0),$E42-1966)</f>
        <v>24209</v>
      </c>
      <c r="Q42" s="13" cm="1">
        <f t="array" ref="Q42">INDEX(GMWQ!$A$2:$NF$60,MATCH(1,(GMWQ!$NE$2:$NE$60=Q$3)*(GMWQ!$ND$2:$ND$60=Q$4)*(GMWQ!$NF$2:$NF$60=Q$1),0),$E42-1966)</f>
        <v>24209</v>
      </c>
    </row>
    <row r="43" spans="1:17" x14ac:dyDescent="0.25">
      <c r="A43" s="13">
        <v>1982</v>
      </c>
      <c r="B43" s="13">
        <f t="shared" si="3"/>
        <v>1982</v>
      </c>
      <c r="C43" s="13">
        <f t="shared" si="3"/>
        <v>1981</v>
      </c>
      <c r="D43" s="13">
        <f t="shared" si="3"/>
        <v>1981</v>
      </c>
      <c r="E43" s="13">
        <f t="shared" si="1"/>
        <v>2009</v>
      </c>
      <c r="F43" s="13" cm="1">
        <f t="array" ref="F43">INDEX(GMWQ!$A$2:$NF$60,MATCH(1,(GMWQ!$NE$2:$NE$60=F$3)*(GMWQ!$ND$2:$ND$60=F$4)*(GMWQ!$NF$2:$NF$60=F$1),0),$E43-1966)</f>
        <v>39.838569999999997</v>
      </c>
      <c r="G43" s="13" cm="1">
        <f t="array" ref="G43">INDEX(GMWQ!$A$2:$NF$60,MATCH(1,(GMWQ!$NE$2:$NE$60=G$3)*(GMWQ!$ND$2:$ND$60=G$4)*(GMWQ!$NF$2:$NF$60=G$1),0),$E43-1966)</f>
        <v>2665.75</v>
      </c>
      <c r="H43" s="13" cm="1">
        <f t="array" ref="H43">INDEX(GMWQ!$A$2:$NF$60,MATCH(1,(GMWQ!$NE$2:$NE$60=H$3)*(GMWQ!$ND$2:$ND$60=H$4)*(GMWQ!$NF$2:$NF$60=H$1),0),$E43-1966)</f>
        <v>76.586519999999993</v>
      </c>
      <c r="I43" s="13" cm="1">
        <f t="array" ref="I43">INDEX(GMWQ!$A$2:$NF$60,MATCH(1,(GMWQ!$NE$2:$NE$60=I$3)*(GMWQ!$ND$2:$ND$60=I$4)*(GMWQ!$NF$2:$NF$60=I$1),0),$E43-1966)</f>
        <v>14539</v>
      </c>
      <c r="J43" s="13" cm="1">
        <f t="array" ref="J43">INDEX(GMWQ!$A$2:$NF$60,MATCH(1,(GMWQ!$NE$2:$NE$60=J$3)*(GMWQ!$ND$2:$ND$60=J$4)*(GMWQ!$NF$2:$NF$60=J$1),0),$E43-1966)</f>
        <v>77468</v>
      </c>
      <c r="K43" s="13" cm="1">
        <f t="array" ref="K43">INDEX(GMWQ!$A$2:$NF$60,MATCH(1,(GMWQ!$NE$2:$NE$60=K$3)*(GMWQ!$ND$2:$ND$60=K$4)*(GMWQ!$NF$2:$NF$60=K$1),0),$E43-1966)</f>
        <v>33383</v>
      </c>
      <c r="L43" s="13" cm="1">
        <f t="array" ref="L43">INDEX(GMWQ!$A$2:$NF$60,MATCH(1,(GMWQ!$NE$2:$NE$60=L$3)*(GMWQ!$ND$2:$ND$60=L$4)*(GMWQ!$NF$2:$NF$60=L$1),0),$E43-1966)</f>
        <v>50837</v>
      </c>
      <c r="M43" s="13" cm="1">
        <f t="array" ref="M43">INDEX(GMWQ!$A$2:$NF$60,MATCH(1,(GMWQ!$NE$2:$NE$60=M$3)*(GMWQ!$ND$2:$ND$60=M$4)*(GMWQ!$NF$2:$NF$60=M$1),0),$E43-1966)</f>
        <v>157715</v>
      </c>
      <c r="N43" s="13" cm="1">
        <f t="array" ref="N43">INDEX(GMWQ!$A$2:$NF$60,MATCH(1,(GMWQ!$NE$2:$NE$60=N$3)*(GMWQ!$ND$2:$ND$60=N$4)*(GMWQ!$NF$2:$NF$60=N$1),0),$E43-1966)</f>
        <v>32.61365</v>
      </c>
      <c r="O43" s="13" cm="1">
        <f t="array" ref="O43">INDEX(GMWQ!$A$2:$NF$60,MATCH(1,(GMWQ!$NE$2:$NE$60=O$3)*(GMWQ!$ND$2:$ND$60=O$4)*(GMWQ!$NF$2:$NF$60=O$1),0),$E43-1966)</f>
        <v>24120</v>
      </c>
      <c r="P43" s="13" cm="1">
        <f t="array" ref="P43">INDEX(GMWQ!$A$2:$NF$60,MATCH(1,(GMWQ!$NE$2:$NE$60=P$3)*(GMWQ!$ND$2:$ND$60=P$4)*(GMWQ!$NF$2:$NF$60=P$1),0),$E43-1966)</f>
        <v>24120</v>
      </c>
      <c r="Q43" s="13" cm="1">
        <f t="array" ref="Q43">INDEX(GMWQ!$A$2:$NF$60,MATCH(1,(GMWQ!$NE$2:$NE$60=Q$3)*(GMWQ!$ND$2:$ND$60=Q$4)*(GMWQ!$NF$2:$NF$60=Q$1),0),$E43-1966)</f>
        <v>24120</v>
      </c>
    </row>
    <row r="44" spans="1:17" x14ac:dyDescent="0.25">
      <c r="B44" s="13">
        <f t="shared" ref="B44:D59" si="4">+B40+1</f>
        <v>1982</v>
      </c>
      <c r="C44" s="13">
        <f t="shared" si="4"/>
        <v>1982</v>
      </c>
      <c r="E44" s="13">
        <f t="shared" si="1"/>
        <v>2010</v>
      </c>
      <c r="F44" s="13" cm="1">
        <f t="array" ref="F44">INDEX(GMWQ!$A$2:$NF$60,MATCH(1,(GMWQ!$NE$2:$NE$60=F$3)*(GMWQ!$ND$2:$ND$60=F$4)*(GMWQ!$NF$2:$NF$60=F$1),0),$E44-1966)</f>
        <v>39.87285</v>
      </c>
      <c r="G44" s="13" cm="1">
        <f t="array" ref="G44">INDEX(GMWQ!$A$2:$NF$60,MATCH(1,(GMWQ!$NE$2:$NE$60=G$3)*(GMWQ!$ND$2:$ND$60=G$4)*(GMWQ!$NF$2:$NF$60=G$1),0),$E44-1966)</f>
        <v>2569.0590000000002</v>
      </c>
      <c r="H44" s="13" cm="1">
        <f t="array" ref="H44">INDEX(GMWQ!$A$2:$NF$60,MATCH(1,(GMWQ!$NE$2:$NE$60=H$3)*(GMWQ!$ND$2:$ND$60=H$4)*(GMWQ!$NF$2:$NF$60=H$1),0),$E44-1966)</f>
        <v>78.919120000000007</v>
      </c>
      <c r="I44" s="13" cm="1">
        <f t="array" ref="I44">INDEX(GMWQ!$A$2:$NF$60,MATCH(1,(GMWQ!$NE$2:$NE$60=I$3)*(GMWQ!$ND$2:$ND$60=I$4)*(GMWQ!$NF$2:$NF$60=I$1),0),$E44-1966)</f>
        <v>16436</v>
      </c>
      <c r="J44" s="13" cm="1">
        <f t="array" ref="J44">INDEX(GMWQ!$A$2:$NF$60,MATCH(1,(GMWQ!$NE$2:$NE$60=J$3)*(GMWQ!$ND$2:$ND$60=J$4)*(GMWQ!$NF$2:$NF$60=J$1),0),$E44-1966)</f>
        <v>78993</v>
      </c>
      <c r="K44" s="13" cm="1">
        <f t="array" ref="K44">INDEX(GMWQ!$A$2:$NF$60,MATCH(1,(GMWQ!$NE$2:$NE$60=K$3)*(GMWQ!$ND$2:$ND$60=K$4)*(GMWQ!$NF$2:$NF$60=K$1),0),$E44-1966)</f>
        <v>33923</v>
      </c>
      <c r="L44" s="13" cm="1">
        <f t="array" ref="L44">INDEX(GMWQ!$A$2:$NF$60,MATCH(1,(GMWQ!$NE$2:$NE$60=L$3)*(GMWQ!$ND$2:$ND$60=L$4)*(GMWQ!$NF$2:$NF$60=L$1),0),$E44-1966)</f>
        <v>52380</v>
      </c>
      <c r="M44" s="13" cm="1">
        <f t="array" ref="M44">INDEX(GMWQ!$A$2:$NF$60,MATCH(1,(GMWQ!$NE$2:$NE$60=M$3)*(GMWQ!$ND$2:$ND$60=M$4)*(GMWQ!$NF$2:$NF$60=M$1),0),$E44-1966)</f>
        <v>160483</v>
      </c>
      <c r="N44" s="13" cm="1">
        <f t="array" ref="N44">INDEX(GMWQ!$A$2:$NF$60,MATCH(1,(GMWQ!$NE$2:$NE$60=N$3)*(GMWQ!$ND$2:$ND$60=N$4)*(GMWQ!$NF$2:$NF$60=N$1),0),$E44-1966)</f>
        <v>33.174280000000003</v>
      </c>
      <c r="O44" s="13" cm="1">
        <f t="array" ref="O44">INDEX(GMWQ!$A$2:$NF$60,MATCH(1,(GMWQ!$NE$2:$NE$60=O$3)*(GMWQ!$ND$2:$ND$60=O$4)*(GMWQ!$NF$2:$NF$60=O$1),0),$E44-1966)</f>
        <v>24027</v>
      </c>
      <c r="P44" s="13" cm="1">
        <f t="array" ref="P44">INDEX(GMWQ!$A$2:$NF$60,MATCH(1,(GMWQ!$NE$2:$NE$60=P$3)*(GMWQ!$ND$2:$ND$60=P$4)*(GMWQ!$NF$2:$NF$60=P$1),0),$E44-1966)</f>
        <v>24027</v>
      </c>
      <c r="Q44" s="13" cm="1">
        <f t="array" ref="Q44">INDEX(GMWQ!$A$2:$NF$60,MATCH(1,(GMWQ!$NE$2:$NE$60=Q$3)*(GMWQ!$ND$2:$ND$60=Q$4)*(GMWQ!$NF$2:$NF$60=Q$1),0),$E44-1966)</f>
        <v>24027</v>
      </c>
    </row>
    <row r="45" spans="1:17" x14ac:dyDescent="0.25">
      <c r="B45" s="13">
        <f t="shared" si="4"/>
        <v>1982</v>
      </c>
      <c r="C45" s="13">
        <f t="shared" si="4"/>
        <v>1982</v>
      </c>
      <c r="E45" s="13">
        <f t="shared" si="1"/>
        <v>2011</v>
      </c>
      <c r="F45" s="13" cm="1">
        <f t="array" ref="F45">INDEX(GMWQ!$A$2:$NF$60,MATCH(1,(GMWQ!$NE$2:$NE$60=F$3)*(GMWQ!$ND$2:$ND$60=F$4)*(GMWQ!$NF$2:$NF$60=F$1),0),$E45-1966)</f>
        <v>40.107120000000002</v>
      </c>
      <c r="G45" s="13" cm="1">
        <f t="array" ref="G45">INDEX(GMWQ!$A$2:$NF$60,MATCH(1,(GMWQ!$NE$2:$NE$60=G$3)*(GMWQ!$ND$2:$ND$60=G$4)*(GMWQ!$NF$2:$NF$60=G$1),0),$E45-1966)</f>
        <v>2582.5500000000002</v>
      </c>
      <c r="H45" s="13" cm="1">
        <f t="array" ref="H45">INDEX(GMWQ!$A$2:$NF$60,MATCH(1,(GMWQ!$NE$2:$NE$60=H$3)*(GMWQ!$ND$2:$ND$60=H$4)*(GMWQ!$NF$2:$NF$60=H$1),0),$E45-1966)</f>
        <v>82.158659999999998</v>
      </c>
      <c r="I45" s="13" cm="1">
        <f t="array" ref="I45">INDEX(GMWQ!$A$2:$NF$60,MATCH(1,(GMWQ!$NE$2:$NE$60=I$3)*(GMWQ!$ND$2:$ND$60=I$4)*(GMWQ!$NF$2:$NF$60=I$1),0),$E45-1966)</f>
        <v>16844</v>
      </c>
      <c r="J45" s="13" cm="1">
        <f t="array" ref="J45">INDEX(GMWQ!$A$2:$NF$60,MATCH(1,(GMWQ!$NE$2:$NE$60=J$3)*(GMWQ!$ND$2:$ND$60=J$4)*(GMWQ!$NF$2:$NF$60=J$1),0),$E45-1966)</f>
        <v>80430</v>
      </c>
      <c r="K45" s="13" cm="1">
        <f t="array" ref="K45">INDEX(GMWQ!$A$2:$NF$60,MATCH(1,(GMWQ!$NE$2:$NE$60=K$3)*(GMWQ!$ND$2:$ND$60=K$4)*(GMWQ!$NF$2:$NF$60=K$1),0),$E45-1966)</f>
        <v>34218</v>
      </c>
      <c r="L45" s="13" cm="1">
        <f t="array" ref="L45">INDEX(GMWQ!$A$2:$NF$60,MATCH(1,(GMWQ!$NE$2:$NE$60=L$3)*(GMWQ!$ND$2:$ND$60=L$4)*(GMWQ!$NF$2:$NF$60=L$1),0),$E45-1966)</f>
        <v>52615</v>
      </c>
      <c r="M45" s="13" cm="1">
        <f t="array" ref="M45">INDEX(GMWQ!$A$2:$NF$60,MATCH(1,(GMWQ!$NE$2:$NE$60=M$3)*(GMWQ!$ND$2:$ND$60=M$4)*(GMWQ!$NF$2:$NF$60=M$1),0),$E45-1966)</f>
        <v>159367</v>
      </c>
      <c r="N45" s="13" cm="1">
        <f t="array" ref="N45">INDEX(GMWQ!$A$2:$NF$60,MATCH(1,(GMWQ!$NE$2:$NE$60=N$3)*(GMWQ!$ND$2:$ND$60=N$4)*(GMWQ!$NF$2:$NF$60=N$1),0),$E45-1966)</f>
        <v>33.551250000000003</v>
      </c>
      <c r="O45" s="13" cm="1">
        <f t="array" ref="O45">INDEX(GMWQ!$A$2:$NF$60,MATCH(1,(GMWQ!$NE$2:$NE$60=O$3)*(GMWQ!$ND$2:$ND$60=O$4)*(GMWQ!$NF$2:$NF$60=O$1),0),$E45-1966)</f>
        <v>23901</v>
      </c>
      <c r="P45" s="13" cm="1">
        <f t="array" ref="P45">INDEX(GMWQ!$A$2:$NF$60,MATCH(1,(GMWQ!$NE$2:$NE$60=P$3)*(GMWQ!$ND$2:$ND$60=P$4)*(GMWQ!$NF$2:$NF$60=P$1),0),$E45-1966)</f>
        <v>23901</v>
      </c>
      <c r="Q45" s="13" cm="1">
        <f t="array" ref="Q45">INDEX(GMWQ!$A$2:$NF$60,MATCH(1,(GMWQ!$NE$2:$NE$60=Q$3)*(GMWQ!$ND$2:$ND$60=Q$4)*(GMWQ!$NF$2:$NF$60=Q$1),0),$E45-1966)</f>
        <v>23901</v>
      </c>
    </row>
    <row r="46" spans="1:17" x14ac:dyDescent="0.25">
      <c r="B46" s="13">
        <f t="shared" si="4"/>
        <v>1982</v>
      </c>
      <c r="C46" s="13">
        <f t="shared" si="4"/>
        <v>1982</v>
      </c>
      <c r="E46" s="13">
        <f t="shared" si="1"/>
        <v>2012</v>
      </c>
      <c r="F46" s="13" cm="1">
        <f t="array" ref="F46">INDEX(GMWQ!$A$2:$NF$60,MATCH(1,(GMWQ!$NE$2:$NE$60=F$3)*(GMWQ!$ND$2:$ND$60=F$4)*(GMWQ!$NF$2:$NF$60=F$1),0),$E46-1966)</f>
        <v>40.315269999999998</v>
      </c>
      <c r="G46" s="13" cm="1">
        <f t="array" ref="G46">INDEX(GMWQ!$A$2:$NF$60,MATCH(1,(GMWQ!$NE$2:$NE$60=G$3)*(GMWQ!$ND$2:$ND$60=G$4)*(GMWQ!$NF$2:$NF$60=G$1),0),$E46-1966)</f>
        <v>2688.2359999999999</v>
      </c>
      <c r="H46" s="13" cm="1">
        <f t="array" ref="H46">INDEX(GMWQ!$A$2:$NF$60,MATCH(1,(GMWQ!$NE$2:$NE$60=H$3)*(GMWQ!$ND$2:$ND$60=H$4)*(GMWQ!$NF$2:$NF$60=H$1),0),$E46-1966)</f>
        <v>83.439229999999995</v>
      </c>
      <c r="I46" s="13" cm="1">
        <f t="array" ref="I46">INDEX(GMWQ!$A$2:$NF$60,MATCH(1,(GMWQ!$NE$2:$NE$60=I$3)*(GMWQ!$ND$2:$ND$60=I$4)*(GMWQ!$NF$2:$NF$60=I$1),0),$E46-1966)</f>
        <v>17632</v>
      </c>
      <c r="J46" s="13" cm="1">
        <f t="array" ref="J46">INDEX(GMWQ!$A$2:$NF$60,MATCH(1,(GMWQ!$NE$2:$NE$60=J$3)*(GMWQ!$ND$2:$ND$60=J$4)*(GMWQ!$NF$2:$NF$60=J$1),0),$E46-1966)</f>
        <v>82667</v>
      </c>
      <c r="K46" s="13" cm="1">
        <f t="array" ref="K46">INDEX(GMWQ!$A$2:$NF$60,MATCH(1,(GMWQ!$NE$2:$NE$60=K$3)*(GMWQ!$ND$2:$ND$60=K$4)*(GMWQ!$NF$2:$NF$60=K$1),0),$E46-1966)</f>
        <v>34584</v>
      </c>
      <c r="L46" s="13" cm="1">
        <f t="array" ref="L46">INDEX(GMWQ!$A$2:$NF$60,MATCH(1,(GMWQ!$NE$2:$NE$60=L$3)*(GMWQ!$ND$2:$ND$60=L$4)*(GMWQ!$NF$2:$NF$60=L$1),0),$E46-1966)</f>
        <v>53960</v>
      </c>
      <c r="M46" s="13" cm="1">
        <f t="array" ref="M46">INDEX(GMWQ!$A$2:$NF$60,MATCH(1,(GMWQ!$NE$2:$NE$60=M$3)*(GMWQ!$ND$2:$ND$60=M$4)*(GMWQ!$NF$2:$NF$60=M$1),0),$E46-1966)</f>
        <v>159886</v>
      </c>
      <c r="N46" s="13" cm="1">
        <f t="array" ref="N46">INDEX(GMWQ!$A$2:$NF$60,MATCH(1,(GMWQ!$NE$2:$NE$60=N$3)*(GMWQ!$ND$2:$ND$60=N$4)*(GMWQ!$NF$2:$NF$60=N$1),0),$E46-1966)</f>
        <v>34.331569999999999</v>
      </c>
      <c r="O46" s="13" cm="1">
        <f t="array" ref="O46">INDEX(GMWQ!$A$2:$NF$60,MATCH(1,(GMWQ!$NE$2:$NE$60=O$3)*(GMWQ!$ND$2:$ND$60=O$4)*(GMWQ!$NF$2:$NF$60=O$1),0),$E46-1966)</f>
        <v>23755</v>
      </c>
      <c r="P46" s="13" cm="1">
        <f t="array" ref="P46">INDEX(GMWQ!$A$2:$NF$60,MATCH(1,(GMWQ!$NE$2:$NE$60=P$3)*(GMWQ!$ND$2:$ND$60=P$4)*(GMWQ!$NF$2:$NF$60=P$1),0),$E46-1966)</f>
        <v>23755</v>
      </c>
      <c r="Q46" s="13" cm="1">
        <f t="array" ref="Q46">INDEX(GMWQ!$A$2:$NF$60,MATCH(1,(GMWQ!$NE$2:$NE$60=Q$3)*(GMWQ!$ND$2:$ND$60=Q$4)*(GMWQ!$NF$2:$NF$60=Q$1),0),$E46-1966)</f>
        <v>23755</v>
      </c>
    </row>
    <row r="47" spans="1:17" x14ac:dyDescent="0.25">
      <c r="A47" s="13">
        <v>1983</v>
      </c>
      <c r="B47" s="13">
        <f t="shared" si="4"/>
        <v>1983</v>
      </c>
      <c r="C47" s="13">
        <f t="shared" si="4"/>
        <v>1982</v>
      </c>
      <c r="D47" s="13">
        <f t="shared" si="4"/>
        <v>1982</v>
      </c>
      <c r="E47" s="13">
        <f t="shared" si="1"/>
        <v>2013</v>
      </c>
      <c r="F47" s="13" cm="1">
        <f t="array" ref="F47">INDEX(GMWQ!$A$2:$NF$60,MATCH(1,(GMWQ!$NE$2:$NE$60=F$3)*(GMWQ!$ND$2:$ND$60=F$4)*(GMWQ!$NF$2:$NF$60=F$1),0),$E47-1966)</f>
        <v>40.524909999999998</v>
      </c>
      <c r="G47" s="13" cm="1">
        <f t="array" ref="G47">INDEX(GMWQ!$A$2:$NF$60,MATCH(1,(GMWQ!$NE$2:$NE$60=G$3)*(GMWQ!$ND$2:$ND$60=G$4)*(GMWQ!$NF$2:$NF$60=G$1),0),$E47-1966)</f>
        <v>2872.623</v>
      </c>
      <c r="H47" s="13" cm="1">
        <f t="array" ref="H47">INDEX(GMWQ!$A$2:$NF$60,MATCH(1,(GMWQ!$NE$2:$NE$60=H$3)*(GMWQ!$ND$2:$ND$60=H$4)*(GMWQ!$NF$2:$NF$60=H$1),0),$E47-1966)</f>
        <v>84.922520000000006</v>
      </c>
      <c r="I47" s="13" cm="1">
        <f t="array" ref="I47">INDEX(GMWQ!$A$2:$NF$60,MATCH(1,(GMWQ!$NE$2:$NE$60=I$3)*(GMWQ!$ND$2:$ND$60=I$4)*(GMWQ!$NF$2:$NF$60=I$1),0),$E47-1966)</f>
        <v>18610</v>
      </c>
      <c r="J47" s="13" cm="1">
        <f t="array" ref="J47">INDEX(GMWQ!$A$2:$NF$60,MATCH(1,(GMWQ!$NE$2:$NE$60=J$3)*(GMWQ!$ND$2:$ND$60=J$4)*(GMWQ!$NF$2:$NF$60=J$1),0),$E47-1966)</f>
        <v>85727</v>
      </c>
      <c r="K47" s="13" cm="1">
        <f t="array" ref="K47">INDEX(GMWQ!$A$2:$NF$60,MATCH(1,(GMWQ!$NE$2:$NE$60=K$3)*(GMWQ!$ND$2:$ND$60=K$4)*(GMWQ!$NF$2:$NF$60=K$1),0),$E47-1966)</f>
        <v>35662</v>
      </c>
      <c r="L47" s="13" cm="1">
        <f t="array" ref="L47">INDEX(GMWQ!$A$2:$NF$60,MATCH(1,(GMWQ!$NE$2:$NE$60=L$3)*(GMWQ!$ND$2:$ND$60=L$4)*(GMWQ!$NF$2:$NF$60=L$1),0),$E47-1966)</f>
        <v>54514</v>
      </c>
      <c r="M47" s="13" cm="1">
        <f t="array" ref="M47">INDEX(GMWQ!$A$2:$NF$60,MATCH(1,(GMWQ!$NE$2:$NE$60=M$3)*(GMWQ!$ND$2:$ND$60=M$4)*(GMWQ!$NF$2:$NF$60=M$1),0),$E47-1966)</f>
        <v>158854</v>
      </c>
      <c r="N47" s="13" cm="1">
        <f t="array" ref="N47">INDEX(GMWQ!$A$2:$NF$60,MATCH(1,(GMWQ!$NE$2:$NE$60=N$3)*(GMWQ!$ND$2:$ND$60=N$4)*(GMWQ!$NF$2:$NF$60=N$1),0),$E47-1966)</f>
        <v>34.779679999999999</v>
      </c>
      <c r="O47" s="13" cm="1">
        <f t="array" ref="O47">INDEX(GMWQ!$A$2:$NF$60,MATCH(1,(GMWQ!$NE$2:$NE$60=O$3)*(GMWQ!$ND$2:$ND$60=O$4)*(GMWQ!$NF$2:$NF$60=O$1),0),$E47-1966)</f>
        <v>23651</v>
      </c>
      <c r="P47" s="13" cm="1">
        <f t="array" ref="P47">INDEX(GMWQ!$A$2:$NF$60,MATCH(1,(GMWQ!$NE$2:$NE$60=P$3)*(GMWQ!$ND$2:$ND$60=P$4)*(GMWQ!$NF$2:$NF$60=P$1),0),$E47-1966)</f>
        <v>23651</v>
      </c>
      <c r="Q47" s="13" cm="1">
        <f t="array" ref="Q47">INDEX(GMWQ!$A$2:$NF$60,MATCH(1,(GMWQ!$NE$2:$NE$60=Q$3)*(GMWQ!$ND$2:$ND$60=Q$4)*(GMWQ!$NF$2:$NF$60=Q$1),0),$E47-1966)</f>
        <v>23651</v>
      </c>
    </row>
    <row r="48" spans="1:17" x14ac:dyDescent="0.25">
      <c r="B48" s="13">
        <f t="shared" si="4"/>
        <v>1983</v>
      </c>
      <c r="C48" s="13">
        <f t="shared" si="4"/>
        <v>1983</v>
      </c>
      <c r="E48" s="13">
        <f>+E47+1</f>
        <v>2014</v>
      </c>
      <c r="F48" s="13" cm="1">
        <f t="array" ref="F48">INDEX(GMWQ!$A$2:$NF$60,MATCH(1,(GMWQ!$NE$2:$NE$60=F$3)*(GMWQ!$ND$2:$ND$60=F$4)*(GMWQ!$NF$2:$NF$60=F$1),0),$E48-1966)</f>
        <v>40.86721</v>
      </c>
      <c r="G48" s="13" cm="1">
        <f t="array" ref="G48">INDEX(GMWQ!$A$2:$NF$60,MATCH(1,(GMWQ!$NE$2:$NE$60=G$3)*(GMWQ!$ND$2:$ND$60=G$4)*(GMWQ!$NF$2:$NF$60=G$1),0),$E48-1966)</f>
        <v>2925.4659999999999</v>
      </c>
      <c r="H48" s="13" cm="1">
        <f t="array" ref="H48">INDEX(GMWQ!$A$2:$NF$60,MATCH(1,(GMWQ!$NE$2:$NE$60=H$3)*(GMWQ!$ND$2:$ND$60=H$4)*(GMWQ!$NF$2:$NF$60=H$1),0),$E48-1966)</f>
        <v>88.039339999999996</v>
      </c>
      <c r="I48" s="13" cm="1">
        <f t="array" ref="I48">INDEX(GMWQ!$A$2:$NF$60,MATCH(1,(GMWQ!$NE$2:$NE$60=I$3)*(GMWQ!$ND$2:$ND$60=I$4)*(GMWQ!$NF$2:$NF$60=I$1),0),$E48-1966)</f>
        <v>18587</v>
      </c>
      <c r="J48" s="13" cm="1">
        <f t="array" ref="J48">INDEX(GMWQ!$A$2:$NF$60,MATCH(1,(GMWQ!$NE$2:$NE$60=J$3)*(GMWQ!$ND$2:$ND$60=J$4)*(GMWQ!$NF$2:$NF$60=J$1),0),$E48-1966)</f>
        <v>86288</v>
      </c>
      <c r="K48" s="13" cm="1">
        <f t="array" ref="K48">INDEX(GMWQ!$A$2:$NF$60,MATCH(1,(GMWQ!$NE$2:$NE$60=K$3)*(GMWQ!$ND$2:$ND$60=K$4)*(GMWQ!$NF$2:$NF$60=K$1),0),$E48-1966)</f>
        <v>36167</v>
      </c>
      <c r="L48" s="13" cm="1">
        <f t="array" ref="L48">INDEX(GMWQ!$A$2:$NF$60,MATCH(1,(GMWQ!$NE$2:$NE$60=L$3)*(GMWQ!$ND$2:$ND$60=L$4)*(GMWQ!$NF$2:$NF$60=L$1),0),$E48-1966)</f>
        <v>57136</v>
      </c>
      <c r="M48" s="13" cm="1">
        <f t="array" ref="M48">INDEX(GMWQ!$A$2:$NF$60,MATCH(1,(GMWQ!$NE$2:$NE$60=M$3)*(GMWQ!$ND$2:$ND$60=M$4)*(GMWQ!$NF$2:$NF$60=M$1),0),$E48-1966)</f>
        <v>165111</v>
      </c>
      <c r="N48" s="13" cm="1">
        <f t="array" ref="N48">INDEX(GMWQ!$A$2:$NF$60,MATCH(1,(GMWQ!$NE$2:$NE$60=N$3)*(GMWQ!$ND$2:$ND$60=N$4)*(GMWQ!$NF$2:$NF$60=N$1),0),$E48-1966)</f>
        <v>35.153910000000003</v>
      </c>
      <c r="O48" s="13" cm="1">
        <f t="array" ref="O48">INDEX(GMWQ!$A$2:$NF$60,MATCH(1,(GMWQ!$NE$2:$NE$60=O$3)*(GMWQ!$ND$2:$ND$60=O$4)*(GMWQ!$NF$2:$NF$60=O$1),0),$E48-1966)</f>
        <v>23647</v>
      </c>
      <c r="P48" s="13" cm="1">
        <f t="array" ref="P48">INDEX(GMWQ!$A$2:$NF$60,MATCH(1,(GMWQ!$NE$2:$NE$60=P$3)*(GMWQ!$ND$2:$ND$60=P$4)*(GMWQ!$NF$2:$NF$60=P$1),0),$E48-1966)</f>
        <v>23647</v>
      </c>
      <c r="Q48" s="13" cm="1">
        <f t="array" ref="Q48">INDEX(GMWQ!$A$2:$NF$60,MATCH(1,(GMWQ!$NE$2:$NE$60=Q$3)*(GMWQ!$ND$2:$ND$60=Q$4)*(GMWQ!$NF$2:$NF$60=Q$1),0),$E48-1966)</f>
        <v>23647</v>
      </c>
    </row>
    <row r="49" spans="1:17" x14ac:dyDescent="0.25">
      <c r="B49" s="13">
        <f t="shared" si="4"/>
        <v>1983</v>
      </c>
      <c r="C49" s="13">
        <f t="shared" si="4"/>
        <v>1983</v>
      </c>
      <c r="E49" s="13">
        <f t="shared" ref="E49:E112" si="5">+E48+1</f>
        <v>2015</v>
      </c>
      <c r="F49" s="13" cm="1">
        <f t="array" ref="F49">INDEX(GMWQ!$A$2:$NF$60,MATCH(1,(GMWQ!$NE$2:$NE$60=F$3)*(GMWQ!$ND$2:$ND$60=F$4)*(GMWQ!$NF$2:$NF$60=F$1),0),$E49-1966)</f>
        <v>41.293210000000002</v>
      </c>
      <c r="G49" s="13" cm="1">
        <f t="array" ref="G49">INDEX(GMWQ!$A$2:$NF$60,MATCH(1,(GMWQ!$NE$2:$NE$60=G$3)*(GMWQ!$ND$2:$ND$60=G$4)*(GMWQ!$NF$2:$NF$60=G$1),0),$E49-1966)</f>
        <v>2987.3029999999999</v>
      </c>
      <c r="H49" s="13" cm="1">
        <f t="array" ref="H49">INDEX(GMWQ!$A$2:$NF$60,MATCH(1,(GMWQ!$NE$2:$NE$60=H$3)*(GMWQ!$ND$2:$ND$60=H$4)*(GMWQ!$NF$2:$NF$60=H$1),0),$E49-1966)</f>
        <v>90.437579999999997</v>
      </c>
      <c r="I49" s="13" cm="1">
        <f t="array" ref="I49">INDEX(GMWQ!$A$2:$NF$60,MATCH(1,(GMWQ!$NE$2:$NE$60=I$3)*(GMWQ!$ND$2:$ND$60=I$4)*(GMWQ!$NF$2:$NF$60=I$1),0),$E49-1966)</f>
        <v>19902</v>
      </c>
      <c r="J49" s="13" cm="1">
        <f t="array" ref="J49">INDEX(GMWQ!$A$2:$NF$60,MATCH(1,(GMWQ!$NE$2:$NE$60=J$3)*(GMWQ!$ND$2:$ND$60=J$4)*(GMWQ!$NF$2:$NF$60=J$1),0),$E49-1966)</f>
        <v>88637</v>
      </c>
      <c r="K49" s="13" cm="1">
        <f t="array" ref="K49">INDEX(GMWQ!$A$2:$NF$60,MATCH(1,(GMWQ!$NE$2:$NE$60=K$3)*(GMWQ!$ND$2:$ND$60=K$4)*(GMWQ!$NF$2:$NF$60=K$1),0),$E49-1966)</f>
        <v>36728</v>
      </c>
      <c r="L49" s="13" cm="1">
        <f t="array" ref="L49">INDEX(GMWQ!$A$2:$NF$60,MATCH(1,(GMWQ!$NE$2:$NE$60=L$3)*(GMWQ!$ND$2:$ND$60=L$4)*(GMWQ!$NF$2:$NF$60=L$1),0),$E49-1966)</f>
        <v>57119</v>
      </c>
      <c r="M49" s="13" cm="1">
        <f t="array" ref="M49">INDEX(GMWQ!$A$2:$NF$60,MATCH(1,(GMWQ!$NE$2:$NE$60=M$3)*(GMWQ!$ND$2:$ND$60=M$4)*(GMWQ!$NF$2:$NF$60=M$1),0),$E49-1966)</f>
        <v>163522</v>
      </c>
      <c r="N49" s="13" cm="1">
        <f t="array" ref="N49">INDEX(GMWQ!$A$2:$NF$60,MATCH(1,(GMWQ!$NE$2:$NE$60=N$3)*(GMWQ!$ND$2:$ND$60=N$4)*(GMWQ!$NF$2:$NF$60=N$1),0),$E49-1966)</f>
        <v>35.481830000000002</v>
      </c>
      <c r="O49" s="13" cm="1">
        <f t="array" ref="O49">INDEX(GMWQ!$A$2:$NF$60,MATCH(1,(GMWQ!$NE$2:$NE$60=O$3)*(GMWQ!$ND$2:$ND$60=O$4)*(GMWQ!$NF$2:$NF$60=O$1),0),$E49-1966)</f>
        <v>23809</v>
      </c>
      <c r="P49" s="13" cm="1">
        <f t="array" ref="P49">INDEX(GMWQ!$A$2:$NF$60,MATCH(1,(GMWQ!$NE$2:$NE$60=P$3)*(GMWQ!$ND$2:$ND$60=P$4)*(GMWQ!$NF$2:$NF$60=P$1),0),$E49-1966)</f>
        <v>23809</v>
      </c>
      <c r="Q49" s="13" cm="1">
        <f t="array" ref="Q49">INDEX(GMWQ!$A$2:$NF$60,MATCH(1,(GMWQ!$NE$2:$NE$60=Q$3)*(GMWQ!$ND$2:$ND$60=Q$4)*(GMWQ!$NF$2:$NF$60=Q$1),0),$E49-1966)</f>
        <v>23809</v>
      </c>
    </row>
    <row r="50" spans="1:17" x14ac:dyDescent="0.25">
      <c r="B50" s="13">
        <f t="shared" si="4"/>
        <v>1983</v>
      </c>
      <c r="C50" s="13">
        <f t="shared" si="4"/>
        <v>1983</v>
      </c>
      <c r="E50" s="13">
        <f t="shared" si="5"/>
        <v>2016</v>
      </c>
      <c r="F50" s="13" cm="1">
        <f t="array" ref="F50">INDEX(GMWQ!$A$2:$NF$60,MATCH(1,(GMWQ!$NE$2:$NE$60=F$3)*(GMWQ!$ND$2:$ND$60=F$4)*(GMWQ!$NF$2:$NF$60=F$1),0),$E50-1966)</f>
        <v>41.64593</v>
      </c>
      <c r="G50" s="13" cm="1">
        <f t="array" ref="G50">INDEX(GMWQ!$A$2:$NF$60,MATCH(1,(GMWQ!$NE$2:$NE$60=G$3)*(GMWQ!$ND$2:$ND$60=G$4)*(GMWQ!$NF$2:$NF$60=G$1),0),$E50-1966)</f>
        <v>3060.384</v>
      </c>
      <c r="H50" s="13" cm="1">
        <f t="array" ref="H50">INDEX(GMWQ!$A$2:$NF$60,MATCH(1,(GMWQ!$NE$2:$NE$60=H$3)*(GMWQ!$ND$2:$ND$60=H$4)*(GMWQ!$NF$2:$NF$60=H$1),0),$E50-1966)</f>
        <v>91.531840000000003</v>
      </c>
      <c r="I50" s="13" cm="1">
        <f t="array" ref="I50">INDEX(GMWQ!$A$2:$NF$60,MATCH(1,(GMWQ!$NE$2:$NE$60=I$3)*(GMWQ!$ND$2:$ND$60=I$4)*(GMWQ!$NF$2:$NF$60=I$1),0),$E50-1966)</f>
        <v>20754</v>
      </c>
      <c r="J50" s="13" cm="1">
        <f t="array" ref="J50">INDEX(GMWQ!$A$2:$NF$60,MATCH(1,(GMWQ!$NE$2:$NE$60=J$3)*(GMWQ!$ND$2:$ND$60=J$4)*(GMWQ!$NF$2:$NF$60=J$1),0),$E50-1966)</f>
        <v>90695</v>
      </c>
      <c r="K50" s="13" cm="1">
        <f t="array" ref="K50">INDEX(GMWQ!$A$2:$NF$60,MATCH(1,(GMWQ!$NE$2:$NE$60=K$3)*(GMWQ!$ND$2:$ND$60=K$4)*(GMWQ!$NF$2:$NF$60=K$1),0),$E50-1966)</f>
        <v>37382</v>
      </c>
      <c r="L50" s="13" cm="1">
        <f t="array" ref="L50">INDEX(GMWQ!$A$2:$NF$60,MATCH(1,(GMWQ!$NE$2:$NE$60=L$3)*(GMWQ!$ND$2:$ND$60=L$4)*(GMWQ!$NF$2:$NF$60=L$1),0),$E50-1966)</f>
        <v>58206</v>
      </c>
      <c r="M50" s="13" cm="1">
        <f t="array" ref="M50">INDEX(GMWQ!$A$2:$NF$60,MATCH(1,(GMWQ!$NE$2:$NE$60=M$3)*(GMWQ!$ND$2:$ND$60=M$4)*(GMWQ!$NF$2:$NF$60=M$1),0),$E50-1966)</f>
        <v>164202</v>
      </c>
      <c r="N50" s="13" cm="1">
        <f t="array" ref="N50">INDEX(GMWQ!$A$2:$NF$60,MATCH(1,(GMWQ!$NE$2:$NE$60=N$3)*(GMWQ!$ND$2:$ND$60=N$4)*(GMWQ!$NF$2:$NF$60=N$1),0),$E50-1966)</f>
        <v>36.030259999999998</v>
      </c>
      <c r="O50" s="13" cm="1">
        <f t="array" ref="O50">INDEX(GMWQ!$A$2:$NF$60,MATCH(1,(GMWQ!$NE$2:$NE$60=O$3)*(GMWQ!$ND$2:$ND$60=O$4)*(GMWQ!$NF$2:$NF$60=O$1),0),$E50-1966)</f>
        <v>23994</v>
      </c>
      <c r="P50" s="13" cm="1">
        <f t="array" ref="P50">INDEX(GMWQ!$A$2:$NF$60,MATCH(1,(GMWQ!$NE$2:$NE$60=P$3)*(GMWQ!$ND$2:$ND$60=P$4)*(GMWQ!$NF$2:$NF$60=P$1),0),$E50-1966)</f>
        <v>23994</v>
      </c>
      <c r="Q50" s="13" cm="1">
        <f t="array" ref="Q50">INDEX(GMWQ!$A$2:$NF$60,MATCH(1,(GMWQ!$NE$2:$NE$60=Q$3)*(GMWQ!$ND$2:$ND$60=Q$4)*(GMWQ!$NF$2:$NF$60=Q$1),0),$E50-1966)</f>
        <v>23994</v>
      </c>
    </row>
    <row r="51" spans="1:17" x14ac:dyDescent="0.25">
      <c r="A51" s="13">
        <v>1984</v>
      </c>
      <c r="B51" s="13">
        <f t="shared" si="4"/>
        <v>1984</v>
      </c>
      <c r="C51" s="13">
        <f t="shared" si="4"/>
        <v>1983</v>
      </c>
      <c r="D51" s="13">
        <f t="shared" si="4"/>
        <v>1983</v>
      </c>
      <c r="E51" s="13">
        <f t="shared" si="5"/>
        <v>2017</v>
      </c>
      <c r="F51" s="13" cm="1">
        <f t="array" ref="F51">INDEX(GMWQ!$A$2:$NF$60,MATCH(1,(GMWQ!$NE$2:$NE$60=F$3)*(GMWQ!$ND$2:$ND$60=F$4)*(GMWQ!$NF$2:$NF$60=F$1),0),$E51-1966)</f>
        <v>41.877119999999998</v>
      </c>
      <c r="G51" s="13" cm="1">
        <f t="array" ref="G51">INDEX(GMWQ!$A$2:$NF$60,MATCH(1,(GMWQ!$NE$2:$NE$60=G$3)*(GMWQ!$ND$2:$ND$60=G$4)*(GMWQ!$NF$2:$NF$60=G$1),0),$E51-1966)</f>
        <v>3088.4920000000002</v>
      </c>
      <c r="H51" s="13" cm="1">
        <f t="array" ref="H51">INDEX(GMWQ!$A$2:$NF$60,MATCH(1,(GMWQ!$NE$2:$NE$60=H$3)*(GMWQ!$ND$2:$ND$60=H$4)*(GMWQ!$NF$2:$NF$60=H$1),0),$E51-1966)</f>
        <v>92.079539999999994</v>
      </c>
      <c r="I51" s="13" cm="1">
        <f t="array" ref="I51">INDEX(GMWQ!$A$2:$NF$60,MATCH(1,(GMWQ!$NE$2:$NE$60=I$3)*(GMWQ!$ND$2:$ND$60=I$4)*(GMWQ!$NF$2:$NF$60=I$1),0),$E51-1966)</f>
        <v>20091</v>
      </c>
      <c r="J51" s="13" cm="1">
        <f t="array" ref="J51">INDEX(GMWQ!$A$2:$NF$60,MATCH(1,(GMWQ!$NE$2:$NE$60=J$3)*(GMWQ!$ND$2:$ND$60=J$4)*(GMWQ!$NF$2:$NF$60=J$1),0),$E51-1966)</f>
        <v>91663</v>
      </c>
      <c r="K51" s="13" cm="1">
        <f t="array" ref="K51">INDEX(GMWQ!$A$2:$NF$60,MATCH(1,(GMWQ!$NE$2:$NE$60=K$3)*(GMWQ!$ND$2:$ND$60=K$4)*(GMWQ!$NF$2:$NF$60=K$1),0),$E51-1966)</f>
        <v>38028</v>
      </c>
      <c r="L51" s="13" cm="1">
        <f t="array" ref="L51">INDEX(GMWQ!$A$2:$NF$60,MATCH(1,(GMWQ!$NE$2:$NE$60=L$3)*(GMWQ!$ND$2:$ND$60=L$4)*(GMWQ!$NF$2:$NF$60=L$1),0),$E51-1966)</f>
        <v>59961</v>
      </c>
      <c r="M51" s="13" cm="1">
        <f t="array" ref="M51">INDEX(GMWQ!$A$2:$NF$60,MATCH(1,(GMWQ!$NE$2:$NE$60=M$3)*(GMWQ!$ND$2:$ND$60=M$4)*(GMWQ!$NF$2:$NF$60=M$1),0),$E51-1966)</f>
        <v>167088</v>
      </c>
      <c r="N51" s="13" cm="1">
        <f t="array" ref="N51">INDEX(GMWQ!$A$2:$NF$60,MATCH(1,(GMWQ!$NE$2:$NE$60=N$3)*(GMWQ!$ND$2:$ND$60=N$4)*(GMWQ!$NF$2:$NF$60=N$1),0),$E51-1966)</f>
        <v>36.491570000000003</v>
      </c>
      <c r="O51" s="13" cm="1">
        <f t="array" ref="O51">INDEX(GMWQ!$A$2:$NF$60,MATCH(1,(GMWQ!$NE$2:$NE$60=O$3)*(GMWQ!$ND$2:$ND$60=O$4)*(GMWQ!$NF$2:$NF$60=O$1),0),$E51-1966)</f>
        <v>24125</v>
      </c>
      <c r="P51" s="13" cm="1">
        <f t="array" ref="P51">INDEX(GMWQ!$A$2:$NF$60,MATCH(1,(GMWQ!$NE$2:$NE$60=P$3)*(GMWQ!$ND$2:$ND$60=P$4)*(GMWQ!$NF$2:$NF$60=P$1),0),$E51-1966)</f>
        <v>24125</v>
      </c>
      <c r="Q51" s="13" cm="1">
        <f t="array" ref="Q51">INDEX(GMWQ!$A$2:$NF$60,MATCH(1,(GMWQ!$NE$2:$NE$60=Q$3)*(GMWQ!$ND$2:$ND$60=Q$4)*(GMWQ!$NF$2:$NF$60=Q$1),0),$E51-1966)</f>
        <v>24125</v>
      </c>
    </row>
    <row r="52" spans="1:17" x14ac:dyDescent="0.25">
      <c r="B52" s="13">
        <f t="shared" si="4"/>
        <v>1984</v>
      </c>
      <c r="C52" s="13">
        <f t="shared" si="4"/>
        <v>1984</v>
      </c>
      <c r="E52" s="13">
        <f t="shared" si="5"/>
        <v>2018</v>
      </c>
      <c r="F52" s="13" cm="1">
        <f t="array" ref="F52">INDEX(GMWQ!$A$2:$NF$60,MATCH(1,(GMWQ!$NE$2:$NE$60=F$3)*(GMWQ!$ND$2:$ND$60=F$4)*(GMWQ!$NF$2:$NF$60=F$1),0),$E52-1966)</f>
        <v>42.863860000000003</v>
      </c>
      <c r="G52" s="13" cm="1">
        <f t="array" ref="G52">INDEX(GMWQ!$A$2:$NF$60,MATCH(1,(GMWQ!$NE$2:$NE$60=G$3)*(GMWQ!$ND$2:$ND$60=G$4)*(GMWQ!$NF$2:$NF$60=G$1),0),$E52-1966)</f>
        <v>3128.9670000000001</v>
      </c>
      <c r="H52" s="13" cm="1">
        <f t="array" ref="H52">INDEX(GMWQ!$A$2:$NF$60,MATCH(1,(GMWQ!$NE$2:$NE$60=H$3)*(GMWQ!$ND$2:$ND$60=H$4)*(GMWQ!$NF$2:$NF$60=H$1),0),$E52-1966)</f>
        <v>94.127579999999995</v>
      </c>
      <c r="I52" s="13" cm="1">
        <f t="array" ref="I52">INDEX(GMWQ!$A$2:$NF$60,MATCH(1,(GMWQ!$NE$2:$NE$60=I$3)*(GMWQ!$ND$2:$ND$60=I$4)*(GMWQ!$NF$2:$NF$60=I$1),0),$E52-1966)</f>
        <v>21011</v>
      </c>
      <c r="J52" s="13" cm="1">
        <f t="array" ref="J52">INDEX(GMWQ!$A$2:$NF$60,MATCH(1,(GMWQ!$NE$2:$NE$60=J$3)*(GMWQ!$ND$2:$ND$60=J$4)*(GMWQ!$NF$2:$NF$60=J$1),0),$E52-1966)</f>
        <v>93433</v>
      </c>
      <c r="K52" s="13" cm="1">
        <f t="array" ref="K52">INDEX(GMWQ!$A$2:$NF$60,MATCH(1,(GMWQ!$NE$2:$NE$60=K$3)*(GMWQ!$ND$2:$ND$60=K$4)*(GMWQ!$NF$2:$NF$60=K$1),0),$E52-1966)</f>
        <v>38664</v>
      </c>
      <c r="L52" s="13" cm="1">
        <f t="array" ref="L52">INDEX(GMWQ!$A$2:$NF$60,MATCH(1,(GMWQ!$NE$2:$NE$60=L$3)*(GMWQ!$ND$2:$ND$60=L$4)*(GMWQ!$NF$2:$NF$60=L$1),0),$E52-1966)</f>
        <v>60260</v>
      </c>
      <c r="M52" s="13" cm="1">
        <f t="array" ref="M52">INDEX(GMWQ!$A$2:$NF$60,MATCH(1,(GMWQ!$NE$2:$NE$60=M$3)*(GMWQ!$ND$2:$ND$60=M$4)*(GMWQ!$NF$2:$NF$60=M$1),0),$E52-1966)</f>
        <v>165111</v>
      </c>
      <c r="N52" s="13" cm="1">
        <f t="array" ref="N52">INDEX(GMWQ!$A$2:$NF$60,MATCH(1,(GMWQ!$NE$2:$NE$60=N$3)*(GMWQ!$ND$2:$ND$60=N$4)*(GMWQ!$NF$2:$NF$60=N$1),0),$E52-1966)</f>
        <v>37.046770000000002</v>
      </c>
      <c r="O52" s="13" cm="1">
        <f t="array" ref="O52">INDEX(GMWQ!$A$2:$NF$60,MATCH(1,(GMWQ!$NE$2:$NE$60=O$3)*(GMWQ!$ND$2:$ND$60=O$4)*(GMWQ!$NF$2:$NF$60=O$1),0),$E52-1966)</f>
        <v>24245</v>
      </c>
      <c r="P52" s="13" cm="1">
        <f t="array" ref="P52">INDEX(GMWQ!$A$2:$NF$60,MATCH(1,(GMWQ!$NE$2:$NE$60=P$3)*(GMWQ!$ND$2:$ND$60=P$4)*(GMWQ!$NF$2:$NF$60=P$1),0),$E52-1966)</f>
        <v>24245</v>
      </c>
      <c r="Q52" s="13" cm="1">
        <f t="array" ref="Q52">INDEX(GMWQ!$A$2:$NF$60,MATCH(1,(GMWQ!$NE$2:$NE$60=Q$3)*(GMWQ!$ND$2:$ND$60=Q$4)*(GMWQ!$NF$2:$NF$60=Q$1),0),$E52-1966)</f>
        <v>24245</v>
      </c>
    </row>
    <row r="53" spans="1:17" x14ac:dyDescent="0.25">
      <c r="B53" s="13">
        <f t="shared" si="4"/>
        <v>1984</v>
      </c>
      <c r="C53" s="13">
        <f t="shared" si="4"/>
        <v>1984</v>
      </c>
      <c r="E53" s="13">
        <f t="shared" si="5"/>
        <v>2019</v>
      </c>
      <c r="F53" s="13" cm="1">
        <f t="array" ref="F53">INDEX(GMWQ!$A$2:$NF$60,MATCH(1,(GMWQ!$NE$2:$NE$60=F$3)*(GMWQ!$ND$2:$ND$60=F$4)*(GMWQ!$NF$2:$NF$60=F$1),0),$E53-1966)</f>
        <v>43.386560000000003</v>
      </c>
      <c r="G53" s="13" cm="1">
        <f t="array" ref="G53">INDEX(GMWQ!$A$2:$NF$60,MATCH(1,(GMWQ!$NE$2:$NE$60=G$3)*(GMWQ!$ND$2:$ND$60=G$4)*(GMWQ!$NF$2:$NF$60=G$1),0),$E53-1966)</f>
        <v>3185.183</v>
      </c>
      <c r="H53" s="13" cm="1">
        <f t="array" ref="H53">INDEX(GMWQ!$A$2:$NF$60,MATCH(1,(GMWQ!$NE$2:$NE$60=H$3)*(GMWQ!$ND$2:$ND$60=H$4)*(GMWQ!$NF$2:$NF$60=H$1),0),$E53-1966)</f>
        <v>96.732339999999994</v>
      </c>
      <c r="I53" s="13" cm="1">
        <f t="array" ref="I53">INDEX(GMWQ!$A$2:$NF$60,MATCH(1,(GMWQ!$NE$2:$NE$60=I$3)*(GMWQ!$ND$2:$ND$60=I$4)*(GMWQ!$NF$2:$NF$60=I$1),0),$E53-1966)</f>
        <v>20871</v>
      </c>
      <c r="J53" s="13" cm="1">
        <f t="array" ref="J53">INDEX(GMWQ!$A$2:$NF$60,MATCH(1,(GMWQ!$NE$2:$NE$60=J$3)*(GMWQ!$ND$2:$ND$60=J$4)*(GMWQ!$NF$2:$NF$60=J$1),0),$E53-1966)</f>
        <v>94862</v>
      </c>
      <c r="K53" s="13" cm="1">
        <f t="array" ref="K53">INDEX(GMWQ!$A$2:$NF$60,MATCH(1,(GMWQ!$NE$2:$NE$60=K$3)*(GMWQ!$ND$2:$ND$60=K$4)*(GMWQ!$NF$2:$NF$60=K$1),0),$E53-1966)</f>
        <v>39158</v>
      </c>
      <c r="L53" s="13" cm="1">
        <f t="array" ref="L53">INDEX(GMWQ!$A$2:$NF$60,MATCH(1,(GMWQ!$NE$2:$NE$60=L$3)*(GMWQ!$ND$2:$ND$60=L$4)*(GMWQ!$NF$2:$NF$60=L$1),0),$E53-1966)</f>
        <v>62678</v>
      </c>
      <c r="M53" s="13" cm="1">
        <f t="array" ref="M53">INDEX(GMWQ!$A$2:$NF$60,MATCH(1,(GMWQ!$NE$2:$NE$60=M$3)*(GMWQ!$ND$2:$ND$60=M$4)*(GMWQ!$NF$2:$NF$60=M$1),0),$E53-1966)</f>
        <v>169770</v>
      </c>
      <c r="N53" s="13" cm="1">
        <f t="array" ref="N53">INDEX(GMWQ!$A$2:$NF$60,MATCH(1,(GMWQ!$NE$2:$NE$60=N$3)*(GMWQ!$ND$2:$ND$60=N$4)*(GMWQ!$NF$2:$NF$60=N$1),0),$E53-1966)</f>
        <v>37.471260000000001</v>
      </c>
      <c r="O53" s="13" cm="1">
        <f t="array" ref="O53">INDEX(GMWQ!$A$2:$NF$60,MATCH(1,(GMWQ!$NE$2:$NE$60=O$3)*(GMWQ!$ND$2:$ND$60=O$4)*(GMWQ!$NF$2:$NF$60=O$1),0),$E53-1966)</f>
        <v>24335</v>
      </c>
      <c r="P53" s="13" cm="1">
        <f t="array" ref="P53">INDEX(GMWQ!$A$2:$NF$60,MATCH(1,(GMWQ!$NE$2:$NE$60=P$3)*(GMWQ!$ND$2:$ND$60=P$4)*(GMWQ!$NF$2:$NF$60=P$1),0),$E53-1966)</f>
        <v>24335</v>
      </c>
      <c r="Q53" s="13" cm="1">
        <f t="array" ref="Q53">INDEX(GMWQ!$A$2:$NF$60,MATCH(1,(GMWQ!$NE$2:$NE$60=Q$3)*(GMWQ!$ND$2:$ND$60=Q$4)*(GMWQ!$NF$2:$NF$60=Q$1),0),$E53-1966)</f>
        <v>24335</v>
      </c>
    </row>
    <row r="54" spans="1:17" x14ac:dyDescent="0.25">
      <c r="B54" s="13">
        <f t="shared" si="4"/>
        <v>1984</v>
      </c>
      <c r="C54" s="13">
        <f t="shared" si="4"/>
        <v>1984</v>
      </c>
      <c r="E54" s="13">
        <f t="shared" si="5"/>
        <v>2020</v>
      </c>
      <c r="F54" s="13" cm="1">
        <f t="array" ref="F54">INDEX(GMWQ!$A$2:$NF$60,MATCH(1,(GMWQ!$NE$2:$NE$60=F$3)*(GMWQ!$ND$2:$ND$60=F$4)*(GMWQ!$NF$2:$NF$60=F$1),0),$E54-1966)</f>
        <v>43.714590000000001</v>
      </c>
      <c r="G54" s="13" cm="1">
        <f t="array" ref="G54">INDEX(GMWQ!$A$2:$NF$60,MATCH(1,(GMWQ!$NE$2:$NE$60=G$3)*(GMWQ!$ND$2:$ND$60=G$4)*(GMWQ!$NF$2:$NF$60=G$1),0),$E54-1966)</f>
        <v>3267.2579999999998</v>
      </c>
      <c r="H54" s="13" cm="1">
        <f t="array" ref="H54">INDEX(GMWQ!$A$2:$NF$60,MATCH(1,(GMWQ!$NE$2:$NE$60=H$3)*(GMWQ!$ND$2:$ND$60=H$4)*(GMWQ!$NF$2:$NF$60=H$1),0),$E54-1966)</f>
        <v>99.446349999999995</v>
      </c>
      <c r="I54" s="13" cm="1">
        <f t="array" ref="I54">INDEX(GMWQ!$A$2:$NF$60,MATCH(1,(GMWQ!$NE$2:$NE$60=I$3)*(GMWQ!$ND$2:$ND$60=I$4)*(GMWQ!$NF$2:$NF$60=I$1),0),$E54-1966)</f>
        <v>22765</v>
      </c>
      <c r="J54" s="13" cm="1">
        <f t="array" ref="J54">INDEX(GMWQ!$A$2:$NF$60,MATCH(1,(GMWQ!$NE$2:$NE$60=J$3)*(GMWQ!$ND$2:$ND$60=J$4)*(GMWQ!$NF$2:$NF$60=J$1),0),$E54-1966)</f>
        <v>97962</v>
      </c>
      <c r="K54" s="13" cm="1">
        <f t="array" ref="K54">INDEX(GMWQ!$A$2:$NF$60,MATCH(1,(GMWQ!$NE$2:$NE$60=K$3)*(GMWQ!$ND$2:$ND$60=K$4)*(GMWQ!$NF$2:$NF$60=K$1),0),$E54-1966)</f>
        <v>40507</v>
      </c>
      <c r="L54" s="13" cm="1">
        <f t="array" ref="L54">INDEX(GMWQ!$A$2:$NF$60,MATCH(1,(GMWQ!$NE$2:$NE$60=L$3)*(GMWQ!$ND$2:$ND$60=L$4)*(GMWQ!$NF$2:$NF$60=L$1),0),$E54-1966)</f>
        <v>64883</v>
      </c>
      <c r="M54" s="13" cm="1">
        <f t="array" ref="M54">INDEX(GMWQ!$A$2:$NF$60,MATCH(1,(GMWQ!$NE$2:$NE$60=M$3)*(GMWQ!$ND$2:$ND$60=M$4)*(GMWQ!$NF$2:$NF$60=M$1),0),$E54-1966)</f>
        <v>173527</v>
      </c>
      <c r="N54" s="13" cm="1">
        <f t="array" ref="N54">INDEX(GMWQ!$A$2:$NF$60,MATCH(1,(GMWQ!$NE$2:$NE$60=N$3)*(GMWQ!$ND$2:$ND$60=N$4)*(GMWQ!$NF$2:$NF$60=N$1),0),$E54-1966)</f>
        <v>37.954630000000002</v>
      </c>
      <c r="O54" s="13" cm="1">
        <f t="array" ref="O54">INDEX(GMWQ!$A$2:$NF$60,MATCH(1,(GMWQ!$NE$2:$NE$60=O$3)*(GMWQ!$ND$2:$ND$60=O$4)*(GMWQ!$NF$2:$NF$60=O$1),0),$E54-1966)</f>
        <v>24435</v>
      </c>
      <c r="P54" s="13" cm="1">
        <f t="array" ref="P54">INDEX(GMWQ!$A$2:$NF$60,MATCH(1,(GMWQ!$NE$2:$NE$60=P$3)*(GMWQ!$ND$2:$ND$60=P$4)*(GMWQ!$NF$2:$NF$60=P$1),0),$E54-1966)</f>
        <v>24435</v>
      </c>
      <c r="Q54" s="13" cm="1">
        <f t="array" ref="Q54">INDEX(GMWQ!$A$2:$NF$60,MATCH(1,(GMWQ!$NE$2:$NE$60=Q$3)*(GMWQ!$ND$2:$ND$60=Q$4)*(GMWQ!$NF$2:$NF$60=Q$1),0),$E54-1966)</f>
        <v>24435</v>
      </c>
    </row>
    <row r="55" spans="1:17" x14ac:dyDescent="0.25">
      <c r="A55" s="13">
        <v>1985</v>
      </c>
      <c r="B55" s="13">
        <f t="shared" si="4"/>
        <v>1985</v>
      </c>
      <c r="C55" s="13">
        <f t="shared" si="4"/>
        <v>1984</v>
      </c>
      <c r="D55" s="13">
        <f t="shared" si="4"/>
        <v>1984</v>
      </c>
      <c r="E55" s="13">
        <f t="shared" si="5"/>
        <v>2021</v>
      </c>
      <c r="F55" s="13" cm="1">
        <f t="array" ref="F55">INDEX(GMWQ!$A$2:$NF$60,MATCH(1,(GMWQ!$NE$2:$NE$60=F$3)*(GMWQ!$ND$2:$ND$60=F$4)*(GMWQ!$NF$2:$NF$60=F$1),0),$E55-1966)</f>
        <v>43.859360000000002</v>
      </c>
      <c r="G55" s="13" cm="1">
        <f t="array" ref="G55">INDEX(GMWQ!$A$2:$NF$60,MATCH(1,(GMWQ!$NE$2:$NE$60=G$3)*(GMWQ!$ND$2:$ND$60=G$4)*(GMWQ!$NF$2:$NF$60=G$1),0),$E55-1966)</f>
        <v>3359.4520000000002</v>
      </c>
      <c r="H55" s="13" cm="1">
        <f t="array" ref="H55">INDEX(GMWQ!$A$2:$NF$60,MATCH(1,(GMWQ!$NE$2:$NE$60=H$3)*(GMWQ!$ND$2:$ND$60=H$4)*(GMWQ!$NF$2:$NF$60=H$1),0),$E55-1966)</f>
        <v>100.12390000000001</v>
      </c>
      <c r="I55" s="13" cm="1">
        <f t="array" ref="I55">INDEX(GMWQ!$A$2:$NF$60,MATCH(1,(GMWQ!$NE$2:$NE$60=I$3)*(GMWQ!$ND$2:$ND$60=I$4)*(GMWQ!$NF$2:$NF$60=I$1),0),$E55-1966)</f>
        <v>22241</v>
      </c>
      <c r="J55" s="13" cm="1">
        <f t="array" ref="J55">INDEX(GMWQ!$A$2:$NF$60,MATCH(1,(GMWQ!$NE$2:$NE$60=J$3)*(GMWQ!$ND$2:$ND$60=J$4)*(GMWQ!$NF$2:$NF$60=J$1),0),$E55-1966)</f>
        <v>99412</v>
      </c>
      <c r="K55" s="13" cm="1">
        <f t="array" ref="K55">INDEX(GMWQ!$A$2:$NF$60,MATCH(1,(GMWQ!$NE$2:$NE$60=K$3)*(GMWQ!$ND$2:$ND$60=K$4)*(GMWQ!$NF$2:$NF$60=K$1),0),$E55-1966)</f>
        <v>41815</v>
      </c>
      <c r="L55" s="13" cm="1">
        <f t="array" ref="L55">INDEX(GMWQ!$A$2:$NF$60,MATCH(1,(GMWQ!$NE$2:$NE$60=L$3)*(GMWQ!$ND$2:$ND$60=L$4)*(GMWQ!$NF$2:$NF$60=L$1),0),$E55-1966)</f>
        <v>65471</v>
      </c>
      <c r="M55" s="13" cm="1">
        <f t="array" ref="M55">INDEX(GMWQ!$A$2:$NF$60,MATCH(1,(GMWQ!$NE$2:$NE$60=M$3)*(GMWQ!$ND$2:$ND$60=M$4)*(GMWQ!$NF$2:$NF$60=M$1),0),$E55-1966)</f>
        <v>175208</v>
      </c>
      <c r="N55" s="13" cm="1">
        <f t="array" ref="N55">INDEX(GMWQ!$A$2:$NF$60,MATCH(1,(GMWQ!$NE$2:$NE$60=N$3)*(GMWQ!$ND$2:$ND$60=N$4)*(GMWQ!$NF$2:$NF$60=N$1),0),$E55-1966)</f>
        <v>37.86</v>
      </c>
      <c r="O55" s="13" cm="1">
        <f t="array" ref="O55">INDEX(GMWQ!$A$2:$NF$60,MATCH(1,(GMWQ!$NE$2:$NE$60=O$3)*(GMWQ!$ND$2:$ND$60=O$4)*(GMWQ!$NF$2:$NF$60=O$1),0),$E55-1966)</f>
        <v>24515</v>
      </c>
      <c r="P55" s="13" cm="1">
        <f t="array" ref="P55">INDEX(GMWQ!$A$2:$NF$60,MATCH(1,(GMWQ!$NE$2:$NE$60=P$3)*(GMWQ!$ND$2:$ND$60=P$4)*(GMWQ!$NF$2:$NF$60=P$1),0),$E55-1966)</f>
        <v>24515</v>
      </c>
      <c r="Q55" s="13" cm="1">
        <f t="array" ref="Q55">INDEX(GMWQ!$A$2:$NF$60,MATCH(1,(GMWQ!$NE$2:$NE$60=Q$3)*(GMWQ!$ND$2:$ND$60=Q$4)*(GMWQ!$NF$2:$NF$60=Q$1),0),$E55-1966)</f>
        <v>24515</v>
      </c>
    </row>
    <row r="56" spans="1:17" x14ac:dyDescent="0.25">
      <c r="B56" s="13">
        <f t="shared" si="4"/>
        <v>1985</v>
      </c>
      <c r="C56" s="13">
        <f t="shared" si="4"/>
        <v>1985</v>
      </c>
      <c r="E56" s="13">
        <f t="shared" si="5"/>
        <v>2022</v>
      </c>
      <c r="F56" s="13" cm="1">
        <f t="array" ref="F56">INDEX(GMWQ!$A$2:$NF$60,MATCH(1,(GMWQ!$NE$2:$NE$60=F$3)*(GMWQ!$ND$2:$ND$60=F$4)*(GMWQ!$NF$2:$NF$60=F$1),0),$E56-1966)</f>
        <v>43.822589999999998</v>
      </c>
      <c r="G56" s="13" cm="1">
        <f t="array" ref="G56">INDEX(GMWQ!$A$2:$NF$60,MATCH(1,(GMWQ!$NE$2:$NE$60=G$3)*(GMWQ!$ND$2:$ND$60=G$4)*(GMWQ!$NF$2:$NF$60=G$1),0),$E56-1966)</f>
        <v>3403.3</v>
      </c>
      <c r="H56" s="13" cm="1">
        <f t="array" ref="H56">INDEX(GMWQ!$A$2:$NF$60,MATCH(1,(GMWQ!$NE$2:$NE$60=H$3)*(GMWQ!$ND$2:$ND$60=H$4)*(GMWQ!$NF$2:$NF$60=H$1),0),$E56-1966)</f>
        <v>104.4909</v>
      </c>
      <c r="I56" s="13" cm="1">
        <f t="array" ref="I56">INDEX(GMWQ!$A$2:$NF$60,MATCH(1,(GMWQ!$NE$2:$NE$60=I$3)*(GMWQ!$ND$2:$ND$60=I$4)*(GMWQ!$NF$2:$NF$60=I$1),0),$E56-1966)</f>
        <v>25638</v>
      </c>
      <c r="J56" s="13" cm="1">
        <f t="array" ref="J56">INDEX(GMWQ!$A$2:$NF$60,MATCH(1,(GMWQ!$NE$2:$NE$60=J$3)*(GMWQ!$ND$2:$ND$60=J$4)*(GMWQ!$NF$2:$NF$60=J$1),0),$E56-1966)</f>
        <v>103208</v>
      </c>
      <c r="K56" s="13" cm="1">
        <f t="array" ref="K56">INDEX(GMWQ!$A$2:$NF$60,MATCH(1,(GMWQ!$NE$2:$NE$60=K$3)*(GMWQ!$ND$2:$ND$60=K$4)*(GMWQ!$NF$2:$NF$60=K$1),0),$E56-1966)</f>
        <v>42291</v>
      </c>
      <c r="L56" s="13" cm="1">
        <f t="array" ref="L56">INDEX(GMWQ!$A$2:$NF$60,MATCH(1,(GMWQ!$NE$2:$NE$60=L$3)*(GMWQ!$ND$2:$ND$60=L$4)*(GMWQ!$NF$2:$NF$60=L$1),0),$E56-1966)</f>
        <v>66622</v>
      </c>
      <c r="M56" s="13" cm="1">
        <f t="array" ref="M56">INDEX(GMWQ!$A$2:$NF$60,MATCH(1,(GMWQ!$NE$2:$NE$60=M$3)*(GMWQ!$ND$2:$ND$60=M$4)*(GMWQ!$NF$2:$NF$60=M$1),0),$E56-1966)</f>
        <v>175613</v>
      </c>
      <c r="N56" s="13" cm="1">
        <f t="array" ref="N56">INDEX(GMWQ!$A$2:$NF$60,MATCH(1,(GMWQ!$NE$2:$NE$60=N$3)*(GMWQ!$ND$2:$ND$60=N$4)*(GMWQ!$NF$2:$NF$60=N$1),0),$E56-1966)</f>
        <v>38.504060000000003</v>
      </c>
      <c r="O56" s="13" cm="1">
        <f t="array" ref="O56">INDEX(GMWQ!$A$2:$NF$60,MATCH(1,(GMWQ!$NE$2:$NE$60=O$3)*(GMWQ!$ND$2:$ND$60=O$4)*(GMWQ!$NF$2:$NF$60=O$1),0),$E56-1966)</f>
        <v>24570</v>
      </c>
      <c r="P56" s="13" cm="1">
        <f t="array" ref="P56">INDEX(GMWQ!$A$2:$NF$60,MATCH(1,(GMWQ!$NE$2:$NE$60=P$3)*(GMWQ!$ND$2:$ND$60=P$4)*(GMWQ!$NF$2:$NF$60=P$1),0),$E56-1966)</f>
        <v>24570</v>
      </c>
      <c r="Q56" s="13" cm="1">
        <f t="array" ref="Q56">INDEX(GMWQ!$A$2:$NF$60,MATCH(1,(GMWQ!$NE$2:$NE$60=Q$3)*(GMWQ!$ND$2:$ND$60=Q$4)*(GMWQ!$NF$2:$NF$60=Q$1),0),$E56-1966)</f>
        <v>24570</v>
      </c>
    </row>
    <row r="57" spans="1:17" x14ac:dyDescent="0.25">
      <c r="B57" s="13">
        <f t="shared" si="4"/>
        <v>1985</v>
      </c>
      <c r="C57" s="13">
        <f t="shared" si="4"/>
        <v>1985</v>
      </c>
      <c r="E57" s="13">
        <f t="shared" si="5"/>
        <v>2023</v>
      </c>
      <c r="F57" s="13" cm="1">
        <f t="array" ref="F57">INDEX(GMWQ!$A$2:$NF$60,MATCH(1,(GMWQ!$NE$2:$NE$60=F$3)*(GMWQ!$ND$2:$ND$60=F$4)*(GMWQ!$NF$2:$NF$60=F$1),0),$E57-1966)</f>
        <v>44.954189999999997</v>
      </c>
      <c r="G57" s="13" cm="1">
        <f t="array" ref="G57">INDEX(GMWQ!$A$2:$NF$60,MATCH(1,(GMWQ!$NE$2:$NE$60=G$3)*(GMWQ!$ND$2:$ND$60=G$4)*(GMWQ!$NF$2:$NF$60=G$1),0),$E57-1966)</f>
        <v>3447.1480000000001</v>
      </c>
      <c r="H57" s="13" cm="1">
        <f t="array" ref="H57">INDEX(GMWQ!$A$2:$NF$60,MATCH(1,(GMWQ!$NE$2:$NE$60=H$3)*(GMWQ!$ND$2:$ND$60=H$4)*(GMWQ!$NF$2:$NF$60=H$1),0),$E57-1966)</f>
        <v>107.6677</v>
      </c>
      <c r="I57" s="13" cm="1">
        <f t="array" ref="I57">INDEX(GMWQ!$A$2:$NF$60,MATCH(1,(GMWQ!$NE$2:$NE$60=I$3)*(GMWQ!$ND$2:$ND$60=I$4)*(GMWQ!$NF$2:$NF$60=I$1),0),$E57-1966)</f>
        <v>25043</v>
      </c>
      <c r="J57" s="13" cm="1">
        <f t="array" ref="J57">INDEX(GMWQ!$A$2:$NF$60,MATCH(1,(GMWQ!$NE$2:$NE$60=J$3)*(GMWQ!$ND$2:$ND$60=J$4)*(GMWQ!$NF$2:$NF$60=J$1),0),$E57-1966)</f>
        <v>105169</v>
      </c>
      <c r="K57" s="13" cm="1">
        <f t="array" ref="K57">INDEX(GMWQ!$A$2:$NF$60,MATCH(1,(GMWQ!$NE$2:$NE$60=K$3)*(GMWQ!$ND$2:$ND$60=K$4)*(GMWQ!$NF$2:$NF$60=K$1),0),$E57-1966)</f>
        <v>42933</v>
      </c>
      <c r="L57" s="13" cm="1">
        <f t="array" ref="L57">INDEX(GMWQ!$A$2:$NF$60,MATCH(1,(GMWQ!$NE$2:$NE$60=L$3)*(GMWQ!$ND$2:$ND$60=L$4)*(GMWQ!$NF$2:$NF$60=L$1),0),$E57-1966)</f>
        <v>67715</v>
      </c>
      <c r="M57" s="13" cm="1">
        <f t="array" ref="M57">INDEX(GMWQ!$A$2:$NF$60,MATCH(1,(GMWQ!$NE$2:$NE$60=M$3)*(GMWQ!$ND$2:$ND$60=M$4)*(GMWQ!$NF$2:$NF$60=M$1),0),$E57-1966)</f>
        <v>175957</v>
      </c>
      <c r="N57" s="13" cm="1">
        <f t="array" ref="N57">INDEX(GMWQ!$A$2:$NF$60,MATCH(1,(GMWQ!$NE$2:$NE$60=N$3)*(GMWQ!$ND$2:$ND$60=N$4)*(GMWQ!$NF$2:$NF$60=N$1),0),$E57-1966)</f>
        <v>39.084150000000001</v>
      </c>
      <c r="O57" s="13" cm="1">
        <f t="array" ref="O57">INDEX(GMWQ!$A$2:$NF$60,MATCH(1,(GMWQ!$NE$2:$NE$60=O$3)*(GMWQ!$ND$2:$ND$60=O$4)*(GMWQ!$NF$2:$NF$60=O$1),0),$E57-1966)</f>
        <v>24625</v>
      </c>
      <c r="P57" s="13" cm="1">
        <f t="array" ref="P57">INDEX(GMWQ!$A$2:$NF$60,MATCH(1,(GMWQ!$NE$2:$NE$60=P$3)*(GMWQ!$ND$2:$ND$60=P$4)*(GMWQ!$NF$2:$NF$60=P$1),0),$E57-1966)</f>
        <v>24625</v>
      </c>
      <c r="Q57" s="13" cm="1">
        <f t="array" ref="Q57">INDEX(GMWQ!$A$2:$NF$60,MATCH(1,(GMWQ!$NE$2:$NE$60=Q$3)*(GMWQ!$ND$2:$ND$60=Q$4)*(GMWQ!$NF$2:$NF$60=Q$1),0),$E57-1966)</f>
        <v>24625</v>
      </c>
    </row>
    <row r="58" spans="1:17" x14ac:dyDescent="0.25">
      <c r="B58" s="13">
        <f t="shared" si="4"/>
        <v>1985</v>
      </c>
      <c r="C58" s="13">
        <f t="shared" si="4"/>
        <v>1985</v>
      </c>
      <c r="E58" s="13">
        <f t="shared" si="5"/>
        <v>2024</v>
      </c>
      <c r="F58" s="13" cm="1">
        <f t="array" ref="F58">INDEX(GMWQ!$A$2:$NF$60,MATCH(1,(GMWQ!$NE$2:$NE$60=F$3)*(GMWQ!$ND$2:$ND$60=F$4)*(GMWQ!$NF$2:$NF$60=F$1),0),$E58-1966)</f>
        <v>45.39808</v>
      </c>
      <c r="G58" s="13" cm="1">
        <f t="array" ref="G58">INDEX(GMWQ!$A$2:$NF$60,MATCH(1,(GMWQ!$NE$2:$NE$60=G$3)*(GMWQ!$ND$2:$ND$60=G$4)*(GMWQ!$NF$2:$NF$60=G$1),0),$E58-1966)</f>
        <v>3557.3310000000001</v>
      </c>
      <c r="H58" s="13" cm="1">
        <f t="array" ref="H58">INDEX(GMWQ!$A$2:$NF$60,MATCH(1,(GMWQ!$NE$2:$NE$60=H$3)*(GMWQ!$ND$2:$ND$60=H$4)*(GMWQ!$NF$2:$NF$60=H$1),0),$E58-1966)</f>
        <v>109.6371</v>
      </c>
      <c r="I58" s="13" cm="1">
        <f t="array" ref="I58">INDEX(GMWQ!$A$2:$NF$60,MATCH(1,(GMWQ!$NE$2:$NE$60=I$3)*(GMWQ!$ND$2:$ND$60=I$4)*(GMWQ!$NF$2:$NF$60=I$1),0),$E58-1966)</f>
        <v>25785</v>
      </c>
      <c r="J58" s="13" cm="1">
        <f t="array" ref="J58">INDEX(GMWQ!$A$2:$NF$60,MATCH(1,(GMWQ!$NE$2:$NE$60=J$3)*(GMWQ!$ND$2:$ND$60=J$4)*(GMWQ!$NF$2:$NF$60=J$1),0),$E58-1966)</f>
        <v>106841</v>
      </c>
      <c r="K58" s="13" cm="1">
        <f t="array" ref="K58">INDEX(GMWQ!$A$2:$NF$60,MATCH(1,(GMWQ!$NE$2:$NE$60=K$3)*(GMWQ!$ND$2:$ND$60=K$4)*(GMWQ!$NF$2:$NF$60=K$1),0),$E58-1966)</f>
        <v>43938</v>
      </c>
      <c r="L58" s="13" cm="1">
        <f t="array" ref="L58">INDEX(GMWQ!$A$2:$NF$60,MATCH(1,(GMWQ!$NE$2:$NE$60=L$3)*(GMWQ!$ND$2:$ND$60=L$4)*(GMWQ!$NF$2:$NF$60=L$1),0),$E58-1966)</f>
        <v>69185</v>
      </c>
      <c r="M58" s="13" cm="1">
        <f t="array" ref="M58">INDEX(GMWQ!$A$2:$NF$60,MATCH(1,(GMWQ!$NE$2:$NE$60=M$3)*(GMWQ!$ND$2:$ND$60=M$4)*(GMWQ!$NF$2:$NF$60=M$1),0),$E58-1966)</f>
        <v>177164</v>
      </c>
      <c r="N58" s="13" cm="1">
        <f t="array" ref="N58">INDEX(GMWQ!$A$2:$NF$60,MATCH(1,(GMWQ!$NE$2:$NE$60=N$3)*(GMWQ!$ND$2:$ND$60=N$4)*(GMWQ!$NF$2:$NF$60=N$1),0),$E58-1966)</f>
        <v>39.675939999999997</v>
      </c>
      <c r="O58" s="13" cm="1">
        <f t="array" ref="O58">INDEX(GMWQ!$A$2:$NF$60,MATCH(1,(GMWQ!$NE$2:$NE$60=O$3)*(GMWQ!$ND$2:$ND$60=O$4)*(GMWQ!$NF$2:$NF$60=O$1),0),$E58-1966)</f>
        <v>24660</v>
      </c>
      <c r="P58" s="13" cm="1">
        <f t="array" ref="P58">INDEX(GMWQ!$A$2:$NF$60,MATCH(1,(GMWQ!$NE$2:$NE$60=P$3)*(GMWQ!$ND$2:$ND$60=P$4)*(GMWQ!$NF$2:$NF$60=P$1),0),$E58-1966)</f>
        <v>24660</v>
      </c>
      <c r="Q58" s="13" cm="1">
        <f t="array" ref="Q58">INDEX(GMWQ!$A$2:$NF$60,MATCH(1,(GMWQ!$NE$2:$NE$60=Q$3)*(GMWQ!$ND$2:$ND$60=Q$4)*(GMWQ!$NF$2:$NF$60=Q$1),0),$E58-1966)</f>
        <v>24660</v>
      </c>
    </row>
    <row r="59" spans="1:17" x14ac:dyDescent="0.25">
      <c r="A59" s="13">
        <v>1986</v>
      </c>
      <c r="B59" s="13">
        <f t="shared" si="4"/>
        <v>1986</v>
      </c>
      <c r="C59" s="13">
        <f t="shared" si="4"/>
        <v>1985</v>
      </c>
      <c r="D59" s="13">
        <f t="shared" si="4"/>
        <v>1985</v>
      </c>
      <c r="E59" s="13">
        <f t="shared" si="5"/>
        <v>2025</v>
      </c>
      <c r="F59" s="13" cm="1">
        <f t="array" ref="F59">INDEX(GMWQ!$A$2:$NF$60,MATCH(1,(GMWQ!$NE$2:$NE$60=F$3)*(GMWQ!$ND$2:$ND$60=F$4)*(GMWQ!$NF$2:$NF$60=F$1),0),$E59-1966)</f>
        <v>45.991010000000003</v>
      </c>
      <c r="G59" s="13" cm="1">
        <f t="array" ref="G59">INDEX(GMWQ!$A$2:$NF$60,MATCH(1,(GMWQ!$NE$2:$NE$60=G$3)*(GMWQ!$ND$2:$ND$60=G$4)*(GMWQ!$NF$2:$NF$60=G$1),0),$E59-1966)</f>
        <v>3637.1570000000002</v>
      </c>
      <c r="H59" s="13" cm="1">
        <f t="array" ref="H59">INDEX(GMWQ!$A$2:$NF$60,MATCH(1,(GMWQ!$NE$2:$NE$60=H$3)*(GMWQ!$ND$2:$ND$60=H$4)*(GMWQ!$NF$2:$NF$60=H$1),0),$E59-1966)</f>
        <v>110.8912</v>
      </c>
      <c r="I59" s="13" cm="1">
        <f t="array" ref="I59">INDEX(GMWQ!$A$2:$NF$60,MATCH(1,(GMWQ!$NE$2:$NE$60=I$3)*(GMWQ!$ND$2:$ND$60=I$4)*(GMWQ!$NF$2:$NF$60=I$1),0),$E59-1966)</f>
        <v>25399</v>
      </c>
      <c r="J59" s="13" cm="1">
        <f t="array" ref="J59">INDEX(GMWQ!$A$2:$NF$60,MATCH(1,(GMWQ!$NE$2:$NE$60=J$3)*(GMWQ!$ND$2:$ND$60=J$4)*(GMWQ!$NF$2:$NF$60=J$1),0),$E59-1966)</f>
        <v>108753</v>
      </c>
      <c r="K59" s="13" cm="1">
        <f t="array" ref="K59">INDEX(GMWQ!$A$2:$NF$60,MATCH(1,(GMWQ!$NE$2:$NE$60=K$3)*(GMWQ!$ND$2:$ND$60=K$4)*(GMWQ!$NF$2:$NF$60=K$1),0),$E59-1966)</f>
        <v>44894</v>
      </c>
      <c r="L59" s="13" cm="1">
        <f t="array" ref="L59">INDEX(GMWQ!$A$2:$NF$60,MATCH(1,(GMWQ!$NE$2:$NE$60=L$3)*(GMWQ!$ND$2:$ND$60=L$4)*(GMWQ!$NF$2:$NF$60=L$1),0),$E59-1966)</f>
        <v>70501</v>
      </c>
      <c r="M59" s="13" cm="1">
        <f t="array" ref="M59">INDEX(GMWQ!$A$2:$NF$60,MATCH(1,(GMWQ!$NE$2:$NE$60=M$3)*(GMWQ!$ND$2:$ND$60=M$4)*(GMWQ!$NF$2:$NF$60=M$1),0),$E59-1966)</f>
        <v>179729</v>
      </c>
      <c r="N59" s="13" cm="1">
        <f t="array" ref="N59">INDEX(GMWQ!$A$2:$NF$60,MATCH(1,(GMWQ!$NE$2:$NE$60=N$3)*(GMWQ!$ND$2:$ND$60=N$4)*(GMWQ!$NF$2:$NF$60=N$1),0),$E59-1966)</f>
        <v>39.730350000000001</v>
      </c>
      <c r="O59" s="13" cm="1">
        <f t="array" ref="O59">INDEX(GMWQ!$A$2:$NF$60,MATCH(1,(GMWQ!$NE$2:$NE$60=O$3)*(GMWQ!$ND$2:$ND$60=O$4)*(GMWQ!$NF$2:$NF$60=O$1),0),$E59-1966)</f>
        <v>24670</v>
      </c>
      <c r="P59" s="13" cm="1">
        <f t="array" ref="P59">INDEX(GMWQ!$A$2:$NF$60,MATCH(1,(GMWQ!$NE$2:$NE$60=P$3)*(GMWQ!$ND$2:$ND$60=P$4)*(GMWQ!$NF$2:$NF$60=P$1),0),$E59-1966)</f>
        <v>24670</v>
      </c>
      <c r="Q59" s="13" cm="1">
        <f t="array" ref="Q59">INDEX(GMWQ!$A$2:$NF$60,MATCH(1,(GMWQ!$NE$2:$NE$60=Q$3)*(GMWQ!$ND$2:$ND$60=Q$4)*(GMWQ!$NF$2:$NF$60=Q$1),0),$E59-1966)</f>
        <v>24670</v>
      </c>
    </row>
    <row r="60" spans="1:17" x14ac:dyDescent="0.25">
      <c r="B60" s="13">
        <f t="shared" ref="B60:D75" si="6">+B56+1</f>
        <v>1986</v>
      </c>
      <c r="C60" s="13">
        <f t="shared" si="6"/>
        <v>1986</v>
      </c>
      <c r="E60" s="13">
        <f t="shared" si="5"/>
        <v>2026</v>
      </c>
      <c r="F60" s="13" cm="1">
        <f t="array" ref="F60">INDEX(GMWQ!$A$2:$NF$60,MATCH(1,(GMWQ!$NE$2:$NE$60=F$3)*(GMWQ!$ND$2:$ND$60=F$4)*(GMWQ!$NF$2:$NF$60=F$1),0),$E60-1966)</f>
        <v>46.486730000000001</v>
      </c>
      <c r="G60" s="13" cm="1">
        <f t="array" ref="G60">INDEX(GMWQ!$A$2:$NF$60,MATCH(1,(GMWQ!$NE$2:$NE$60=G$3)*(GMWQ!$ND$2:$ND$60=G$4)*(GMWQ!$NF$2:$NF$60=G$1),0),$E60-1966)</f>
        <v>3792.3130000000001</v>
      </c>
      <c r="H60" s="13" cm="1">
        <f t="array" ref="H60">INDEX(GMWQ!$A$2:$NF$60,MATCH(1,(GMWQ!$NE$2:$NE$60=H$3)*(GMWQ!$ND$2:$ND$60=H$4)*(GMWQ!$NF$2:$NF$60=H$1),0),$E60-1966)</f>
        <v>115.3305</v>
      </c>
      <c r="I60" s="13" cm="1">
        <f t="array" ref="I60">INDEX(GMWQ!$A$2:$NF$60,MATCH(1,(GMWQ!$NE$2:$NE$60=I$3)*(GMWQ!$ND$2:$ND$60=I$4)*(GMWQ!$NF$2:$NF$60=I$1),0),$E60-1966)</f>
        <v>24729</v>
      </c>
      <c r="J60" s="13" cm="1">
        <f t="array" ref="J60">INDEX(GMWQ!$A$2:$NF$60,MATCH(1,(GMWQ!$NE$2:$NE$60=J$3)*(GMWQ!$ND$2:$ND$60=J$4)*(GMWQ!$NF$2:$NF$60=J$1),0),$E60-1966)</f>
        <v>110079</v>
      </c>
      <c r="K60" s="13" cm="1">
        <f t="array" ref="K60">INDEX(GMWQ!$A$2:$NF$60,MATCH(1,(GMWQ!$NE$2:$NE$60=K$3)*(GMWQ!$ND$2:$ND$60=K$4)*(GMWQ!$NF$2:$NF$60=K$1),0),$E60-1966)</f>
        <v>45788</v>
      </c>
      <c r="L60" s="13" cm="1">
        <f t="array" ref="L60">INDEX(GMWQ!$A$2:$NF$60,MATCH(1,(GMWQ!$NE$2:$NE$60=L$3)*(GMWQ!$ND$2:$ND$60=L$4)*(GMWQ!$NF$2:$NF$60=L$1),0),$E60-1966)</f>
        <v>73909</v>
      </c>
      <c r="M60" s="13" cm="1">
        <f t="array" ref="M60">INDEX(GMWQ!$A$2:$NF$60,MATCH(1,(GMWQ!$NE$2:$NE$60=M$3)*(GMWQ!$ND$2:$ND$60=M$4)*(GMWQ!$NF$2:$NF$60=M$1),0),$E60-1966)</f>
        <v>186661</v>
      </c>
      <c r="N60" s="13" cm="1">
        <f t="array" ref="N60">INDEX(GMWQ!$A$2:$NF$60,MATCH(1,(GMWQ!$NE$2:$NE$60=N$3)*(GMWQ!$ND$2:$ND$60=N$4)*(GMWQ!$NF$2:$NF$60=N$1),0),$E60-1966)</f>
        <v>40.117289999999997</v>
      </c>
      <c r="O60" s="13" cm="1">
        <f t="array" ref="O60">INDEX(GMWQ!$A$2:$NF$60,MATCH(1,(GMWQ!$NE$2:$NE$60=O$3)*(GMWQ!$ND$2:$ND$60=O$4)*(GMWQ!$NF$2:$NF$60=O$1),0),$E60-1966)</f>
        <v>24695</v>
      </c>
      <c r="P60" s="13" cm="1">
        <f t="array" ref="P60">INDEX(GMWQ!$A$2:$NF$60,MATCH(1,(GMWQ!$NE$2:$NE$60=P$3)*(GMWQ!$ND$2:$ND$60=P$4)*(GMWQ!$NF$2:$NF$60=P$1),0),$E60-1966)</f>
        <v>24695</v>
      </c>
      <c r="Q60" s="13" cm="1">
        <f t="array" ref="Q60">INDEX(GMWQ!$A$2:$NF$60,MATCH(1,(GMWQ!$NE$2:$NE$60=Q$3)*(GMWQ!$ND$2:$ND$60=Q$4)*(GMWQ!$NF$2:$NF$60=Q$1),0),$E60-1966)</f>
        <v>24695</v>
      </c>
    </row>
    <row r="61" spans="1:17" x14ac:dyDescent="0.25">
      <c r="B61" s="13">
        <f t="shared" si="6"/>
        <v>1986</v>
      </c>
      <c r="C61" s="13">
        <f t="shared" si="6"/>
        <v>1986</v>
      </c>
      <c r="E61" s="13">
        <f t="shared" si="5"/>
        <v>2027</v>
      </c>
      <c r="F61" s="13" cm="1">
        <f t="array" ref="F61">INDEX(GMWQ!$A$2:$NF$60,MATCH(1,(GMWQ!$NE$2:$NE$60=F$3)*(GMWQ!$ND$2:$ND$60=F$4)*(GMWQ!$NF$2:$NF$60=F$1),0),$E61-1966)</f>
        <v>46.848269999999999</v>
      </c>
      <c r="G61" s="13" cm="1">
        <f t="array" ref="G61">INDEX(GMWQ!$A$2:$NF$60,MATCH(1,(GMWQ!$NE$2:$NE$60=G$3)*(GMWQ!$ND$2:$ND$60=G$4)*(GMWQ!$NF$2:$NF$60=G$1),0),$E61-1966)</f>
        <v>3863.145</v>
      </c>
      <c r="H61" s="13" cm="1">
        <f t="array" ref="H61">INDEX(GMWQ!$A$2:$NF$60,MATCH(1,(GMWQ!$NE$2:$NE$60=H$3)*(GMWQ!$ND$2:$ND$60=H$4)*(GMWQ!$NF$2:$NF$60=H$1),0),$E61-1966)</f>
        <v>118.2911</v>
      </c>
      <c r="I61" s="13" cm="1">
        <f t="array" ref="I61">INDEX(GMWQ!$A$2:$NF$60,MATCH(1,(GMWQ!$NE$2:$NE$60=I$3)*(GMWQ!$ND$2:$ND$60=I$4)*(GMWQ!$NF$2:$NF$60=I$1),0),$E61-1966)</f>
        <v>25297</v>
      </c>
      <c r="J61" s="13" cm="1">
        <f t="array" ref="J61">INDEX(GMWQ!$A$2:$NF$60,MATCH(1,(GMWQ!$NE$2:$NE$60=J$3)*(GMWQ!$ND$2:$ND$60=J$4)*(GMWQ!$NF$2:$NF$60=J$1),0),$E61-1966)</f>
        <v>111989</v>
      </c>
      <c r="K61" s="13" cm="1">
        <f t="array" ref="K61">INDEX(GMWQ!$A$2:$NF$60,MATCH(1,(GMWQ!$NE$2:$NE$60=K$3)*(GMWQ!$ND$2:$ND$60=K$4)*(GMWQ!$NF$2:$NF$60=K$1),0),$E61-1966)</f>
        <v>46565</v>
      </c>
      <c r="L61" s="13" cm="1">
        <f t="array" ref="L61">INDEX(GMWQ!$A$2:$NF$60,MATCH(1,(GMWQ!$NE$2:$NE$60=L$3)*(GMWQ!$ND$2:$ND$60=L$4)*(GMWQ!$NF$2:$NF$60=L$1),0),$E61-1966)</f>
        <v>73297</v>
      </c>
      <c r="M61" s="13" cm="1">
        <f t="array" ref="M61">INDEX(GMWQ!$A$2:$NF$60,MATCH(1,(GMWQ!$NE$2:$NE$60=M$3)*(GMWQ!$ND$2:$ND$60=M$4)*(GMWQ!$NF$2:$NF$60=M$1),0),$E61-1966)</f>
        <v>183119</v>
      </c>
      <c r="N61" s="13" cm="1">
        <f t="array" ref="N61">INDEX(GMWQ!$A$2:$NF$60,MATCH(1,(GMWQ!$NE$2:$NE$60=N$3)*(GMWQ!$ND$2:$ND$60=N$4)*(GMWQ!$NF$2:$NF$60=N$1),0),$E61-1966)</f>
        <v>40.552900000000001</v>
      </c>
      <c r="O61" s="13" cm="1">
        <f t="array" ref="O61">INDEX(GMWQ!$A$2:$NF$60,MATCH(1,(GMWQ!$NE$2:$NE$60=O$3)*(GMWQ!$ND$2:$ND$60=O$4)*(GMWQ!$NF$2:$NF$60=O$1),0),$E61-1966)</f>
        <v>24770</v>
      </c>
      <c r="P61" s="13" cm="1">
        <f t="array" ref="P61">INDEX(GMWQ!$A$2:$NF$60,MATCH(1,(GMWQ!$NE$2:$NE$60=P$3)*(GMWQ!$ND$2:$ND$60=P$4)*(GMWQ!$NF$2:$NF$60=P$1),0),$E61-1966)</f>
        <v>24770</v>
      </c>
      <c r="Q61" s="13" cm="1">
        <f t="array" ref="Q61">INDEX(GMWQ!$A$2:$NF$60,MATCH(1,(GMWQ!$NE$2:$NE$60=Q$3)*(GMWQ!$ND$2:$ND$60=Q$4)*(GMWQ!$NF$2:$NF$60=Q$1),0),$E61-1966)</f>
        <v>24770</v>
      </c>
    </row>
    <row r="62" spans="1:17" x14ac:dyDescent="0.25">
      <c r="B62" s="13">
        <f t="shared" si="6"/>
        <v>1986</v>
      </c>
      <c r="C62" s="13">
        <f t="shared" si="6"/>
        <v>1986</v>
      </c>
      <c r="E62" s="13">
        <f t="shared" si="5"/>
        <v>2028</v>
      </c>
      <c r="F62" s="13" cm="1">
        <f t="array" ref="F62">INDEX(GMWQ!$A$2:$NF$60,MATCH(1,(GMWQ!$NE$2:$NE$60=F$3)*(GMWQ!$ND$2:$ND$60=F$4)*(GMWQ!$NF$2:$NF$60=F$1),0),$E62-1966)</f>
        <v>46.625970000000002</v>
      </c>
      <c r="G62" s="13" cm="1">
        <f t="array" ref="G62">INDEX(GMWQ!$A$2:$NF$60,MATCH(1,(GMWQ!$NE$2:$NE$60=G$3)*(GMWQ!$ND$2:$ND$60=G$4)*(GMWQ!$NF$2:$NF$60=G$1),0),$E62-1966)</f>
        <v>3930.6030000000001</v>
      </c>
      <c r="H62" s="13" cm="1">
        <f t="array" ref="H62">INDEX(GMWQ!$A$2:$NF$60,MATCH(1,(GMWQ!$NE$2:$NE$60=H$3)*(GMWQ!$ND$2:$ND$60=H$4)*(GMWQ!$NF$2:$NF$60=H$1),0),$E62-1966)</f>
        <v>120.3198</v>
      </c>
      <c r="I62" s="13" cm="1">
        <f t="array" ref="I62">INDEX(GMWQ!$A$2:$NF$60,MATCH(1,(GMWQ!$NE$2:$NE$60=I$3)*(GMWQ!$ND$2:$ND$60=I$4)*(GMWQ!$NF$2:$NF$60=I$1),0),$E62-1966)</f>
        <v>27509</v>
      </c>
      <c r="J62" s="13" cm="1">
        <f t="array" ref="J62">INDEX(GMWQ!$A$2:$NF$60,MATCH(1,(GMWQ!$NE$2:$NE$60=J$3)*(GMWQ!$ND$2:$ND$60=J$4)*(GMWQ!$NF$2:$NF$60=J$1),0),$E62-1966)</f>
        <v>115779</v>
      </c>
      <c r="K62" s="13" cm="1">
        <f t="array" ref="K62">INDEX(GMWQ!$A$2:$NF$60,MATCH(1,(GMWQ!$NE$2:$NE$60=K$3)*(GMWQ!$ND$2:$ND$60=K$4)*(GMWQ!$NF$2:$NF$60=K$1),0),$E62-1966)</f>
        <v>47221</v>
      </c>
      <c r="L62" s="13" cm="1">
        <f t="array" ref="L62">INDEX(GMWQ!$A$2:$NF$60,MATCH(1,(GMWQ!$NE$2:$NE$60=L$3)*(GMWQ!$ND$2:$ND$60=L$4)*(GMWQ!$NF$2:$NF$60=L$1),0),$E62-1966)</f>
        <v>74329</v>
      </c>
      <c r="M62" s="13" cm="1">
        <f t="array" ref="M62">INDEX(GMWQ!$A$2:$NF$60,MATCH(1,(GMWQ!$NE$2:$NE$60=M$3)*(GMWQ!$ND$2:$ND$60=M$4)*(GMWQ!$NF$2:$NF$60=M$1),0),$E62-1966)</f>
        <v>183388</v>
      </c>
      <c r="N62" s="13" cm="1">
        <f t="array" ref="N62">INDEX(GMWQ!$A$2:$NF$60,MATCH(1,(GMWQ!$NE$2:$NE$60=N$3)*(GMWQ!$ND$2:$ND$60=N$4)*(GMWQ!$NF$2:$NF$60=N$1),0),$E62-1966)</f>
        <v>41.085500000000003</v>
      </c>
      <c r="O62" s="13" cm="1">
        <f t="array" ref="O62">INDEX(GMWQ!$A$2:$NF$60,MATCH(1,(GMWQ!$NE$2:$NE$60=O$3)*(GMWQ!$ND$2:$ND$60=O$4)*(GMWQ!$NF$2:$NF$60=O$1),0),$E62-1966)</f>
        <v>24850</v>
      </c>
      <c r="P62" s="13" cm="1">
        <f t="array" ref="P62">INDEX(GMWQ!$A$2:$NF$60,MATCH(1,(GMWQ!$NE$2:$NE$60=P$3)*(GMWQ!$ND$2:$ND$60=P$4)*(GMWQ!$NF$2:$NF$60=P$1),0),$E62-1966)</f>
        <v>24850</v>
      </c>
      <c r="Q62" s="13" cm="1">
        <f t="array" ref="Q62">INDEX(GMWQ!$A$2:$NF$60,MATCH(1,(GMWQ!$NE$2:$NE$60=Q$3)*(GMWQ!$ND$2:$ND$60=Q$4)*(GMWQ!$NF$2:$NF$60=Q$1),0),$E62-1966)</f>
        <v>24850</v>
      </c>
    </row>
    <row r="63" spans="1:17" x14ac:dyDescent="0.25">
      <c r="A63" s="13">
        <v>1987</v>
      </c>
      <c r="B63" s="13">
        <f t="shared" si="6"/>
        <v>1987</v>
      </c>
      <c r="C63" s="13">
        <f t="shared" si="6"/>
        <v>1986</v>
      </c>
      <c r="D63" s="13">
        <f t="shared" si="6"/>
        <v>1986</v>
      </c>
      <c r="E63" s="13">
        <f t="shared" si="5"/>
        <v>2029</v>
      </c>
      <c r="F63" s="13" cm="1">
        <f t="array" ref="F63">INDEX(GMWQ!$A$2:$NF$60,MATCH(1,(GMWQ!$NE$2:$NE$60=F$3)*(GMWQ!$ND$2:$ND$60=F$4)*(GMWQ!$NF$2:$NF$60=F$1),0),$E63-1966)</f>
        <v>46.734940000000002</v>
      </c>
      <c r="G63" s="13" cm="1">
        <f t="array" ref="G63">INDEX(GMWQ!$A$2:$NF$60,MATCH(1,(GMWQ!$NE$2:$NE$60=G$3)*(GMWQ!$ND$2:$ND$60=G$4)*(GMWQ!$NF$2:$NF$60=G$1),0),$E63-1966)</f>
        <v>4305</v>
      </c>
      <c r="H63" s="13" cm="1">
        <f t="array" ref="H63">INDEX(GMWQ!$A$2:$NF$60,MATCH(1,(GMWQ!$NE$2:$NE$60=H$3)*(GMWQ!$ND$2:$ND$60=H$4)*(GMWQ!$NF$2:$NF$60=H$1),0),$E63-1966)</f>
        <v>121.41079999999999</v>
      </c>
      <c r="I63" s="13" cm="1">
        <f t="array" ref="I63">INDEX(GMWQ!$A$2:$NF$60,MATCH(1,(GMWQ!$NE$2:$NE$60=I$3)*(GMWQ!$ND$2:$ND$60=I$4)*(GMWQ!$NF$2:$NF$60=I$1),0),$E63-1966)</f>
        <v>27991</v>
      </c>
      <c r="J63" s="13" cm="1">
        <f t="array" ref="J63">INDEX(GMWQ!$A$2:$NF$60,MATCH(1,(GMWQ!$NE$2:$NE$60=J$3)*(GMWQ!$ND$2:$ND$60=J$4)*(GMWQ!$NF$2:$NF$60=J$1),0),$E63-1966)</f>
        <v>118136</v>
      </c>
      <c r="K63" s="13" cm="1">
        <f t="array" ref="K63">INDEX(GMWQ!$A$2:$NF$60,MATCH(1,(GMWQ!$NE$2:$NE$60=K$3)*(GMWQ!$ND$2:$ND$60=K$4)*(GMWQ!$NF$2:$NF$60=K$1),0),$E63-1966)</f>
        <v>47918</v>
      </c>
      <c r="L63" s="13" cm="1">
        <f t="array" ref="L63">INDEX(GMWQ!$A$2:$NF$60,MATCH(1,(GMWQ!$NE$2:$NE$60=L$3)*(GMWQ!$ND$2:$ND$60=L$4)*(GMWQ!$NF$2:$NF$60=L$1),0),$E63-1966)</f>
        <v>74158</v>
      </c>
      <c r="M63" s="13" cm="1">
        <f t="array" ref="M63">INDEX(GMWQ!$A$2:$NF$60,MATCH(1,(GMWQ!$NE$2:$NE$60=M$3)*(GMWQ!$ND$2:$ND$60=M$4)*(GMWQ!$NF$2:$NF$60=M$1),0),$E63-1966)</f>
        <v>180901</v>
      </c>
      <c r="N63" s="13" cm="1">
        <f t="array" ref="N63">INDEX(GMWQ!$A$2:$NF$60,MATCH(1,(GMWQ!$NE$2:$NE$60=N$3)*(GMWQ!$ND$2:$ND$60=N$4)*(GMWQ!$NF$2:$NF$60=N$1),0),$E63-1966)</f>
        <v>41.470970000000001</v>
      </c>
      <c r="O63" s="13" cm="1">
        <f t="array" ref="O63">INDEX(GMWQ!$A$2:$NF$60,MATCH(1,(GMWQ!$NE$2:$NE$60=O$3)*(GMWQ!$ND$2:$ND$60=O$4)*(GMWQ!$NF$2:$NF$60=O$1),0),$E63-1966)</f>
        <v>24925</v>
      </c>
      <c r="P63" s="13" cm="1">
        <f t="array" ref="P63">INDEX(GMWQ!$A$2:$NF$60,MATCH(1,(GMWQ!$NE$2:$NE$60=P$3)*(GMWQ!$ND$2:$ND$60=P$4)*(GMWQ!$NF$2:$NF$60=P$1),0),$E63-1966)</f>
        <v>24925</v>
      </c>
      <c r="Q63" s="13" cm="1">
        <f t="array" ref="Q63">INDEX(GMWQ!$A$2:$NF$60,MATCH(1,(GMWQ!$NE$2:$NE$60=Q$3)*(GMWQ!$ND$2:$ND$60=Q$4)*(GMWQ!$NF$2:$NF$60=Q$1),0),$E63-1966)</f>
        <v>24925</v>
      </c>
    </row>
    <row r="64" spans="1:17" x14ac:dyDescent="0.25">
      <c r="B64" s="13">
        <f t="shared" si="6"/>
        <v>1987</v>
      </c>
      <c r="C64" s="13">
        <f t="shared" si="6"/>
        <v>1987</v>
      </c>
      <c r="E64" s="13">
        <f t="shared" si="5"/>
        <v>2030</v>
      </c>
      <c r="F64" s="13" cm="1">
        <f t="array" ref="F64">INDEX(GMWQ!$A$2:$NF$60,MATCH(1,(GMWQ!$NE$2:$NE$60=F$3)*(GMWQ!$ND$2:$ND$60=F$4)*(GMWQ!$NF$2:$NF$60=F$1),0),$E64-1966)</f>
        <v>47.143540000000002</v>
      </c>
      <c r="G64" s="13" cm="1">
        <f t="array" ref="G64">INDEX(GMWQ!$A$2:$NF$60,MATCH(1,(GMWQ!$NE$2:$NE$60=G$3)*(GMWQ!$ND$2:$ND$60=G$4)*(GMWQ!$NF$2:$NF$60=G$1),0),$E64-1966)</f>
        <v>4334</v>
      </c>
      <c r="H64" s="13" cm="1">
        <f t="array" ref="H64">INDEX(GMWQ!$A$2:$NF$60,MATCH(1,(GMWQ!$NE$2:$NE$60=H$3)*(GMWQ!$ND$2:$ND$60=H$4)*(GMWQ!$NF$2:$NF$60=H$1),0),$E64-1966)</f>
        <v>125.7916</v>
      </c>
      <c r="I64" s="13" cm="1">
        <f t="array" ref="I64">INDEX(GMWQ!$A$2:$NF$60,MATCH(1,(GMWQ!$NE$2:$NE$60=I$3)*(GMWQ!$ND$2:$ND$60=I$4)*(GMWQ!$NF$2:$NF$60=I$1),0),$E64-1966)</f>
        <v>29936</v>
      </c>
      <c r="J64" s="13" cm="1">
        <f t="array" ref="J64">INDEX(GMWQ!$A$2:$NF$60,MATCH(1,(GMWQ!$NE$2:$NE$60=J$3)*(GMWQ!$ND$2:$ND$60=J$4)*(GMWQ!$NF$2:$NF$60=J$1),0),$E64-1966)</f>
        <v>121739</v>
      </c>
      <c r="K64" s="13" cm="1">
        <f t="array" ref="K64">INDEX(GMWQ!$A$2:$NF$60,MATCH(1,(GMWQ!$NE$2:$NE$60=K$3)*(GMWQ!$ND$2:$ND$60=K$4)*(GMWQ!$NF$2:$NF$60=K$1),0),$E64-1966)</f>
        <v>49142</v>
      </c>
      <c r="L64" s="13" cm="1">
        <f t="array" ref="L64">INDEX(GMWQ!$A$2:$NF$60,MATCH(1,(GMWQ!$NE$2:$NE$60=L$3)*(GMWQ!$ND$2:$ND$60=L$4)*(GMWQ!$NF$2:$NF$60=L$1),0),$E64-1966)</f>
        <v>76563</v>
      </c>
      <c r="M64" s="13" cm="1">
        <f t="array" ref="M64">INDEX(GMWQ!$A$2:$NF$60,MATCH(1,(GMWQ!$NE$2:$NE$60=M$3)*(GMWQ!$ND$2:$ND$60=M$4)*(GMWQ!$NF$2:$NF$60=M$1),0),$E64-1966)</f>
        <v>185020</v>
      </c>
      <c r="N64" s="13" cm="1">
        <f t="array" ref="N64">INDEX(GMWQ!$A$2:$NF$60,MATCH(1,(GMWQ!$NE$2:$NE$60=N$3)*(GMWQ!$ND$2:$ND$60=N$4)*(GMWQ!$NF$2:$NF$60=N$1),0),$E64-1966)</f>
        <v>41.902000000000001</v>
      </c>
      <c r="O64" s="13" cm="1">
        <f t="array" ref="O64">INDEX(GMWQ!$A$2:$NF$60,MATCH(1,(GMWQ!$NE$2:$NE$60=O$3)*(GMWQ!$ND$2:$ND$60=O$4)*(GMWQ!$NF$2:$NF$60=O$1),0),$E64-1966)</f>
        <v>25110</v>
      </c>
      <c r="P64" s="13" cm="1">
        <f t="array" ref="P64">INDEX(GMWQ!$A$2:$NF$60,MATCH(1,(GMWQ!$NE$2:$NE$60=P$3)*(GMWQ!$ND$2:$ND$60=P$4)*(GMWQ!$NF$2:$NF$60=P$1),0),$E64-1966)</f>
        <v>25110</v>
      </c>
      <c r="Q64" s="13" cm="1">
        <f t="array" ref="Q64">INDEX(GMWQ!$A$2:$NF$60,MATCH(1,(GMWQ!$NE$2:$NE$60=Q$3)*(GMWQ!$ND$2:$ND$60=Q$4)*(GMWQ!$NF$2:$NF$60=Q$1),0),$E64-1966)</f>
        <v>25110</v>
      </c>
    </row>
    <row r="65" spans="1:17" x14ac:dyDescent="0.25">
      <c r="B65" s="13">
        <f t="shared" si="6"/>
        <v>1987</v>
      </c>
      <c r="C65" s="13">
        <f t="shared" si="6"/>
        <v>1987</v>
      </c>
      <c r="E65" s="13">
        <f t="shared" si="5"/>
        <v>2031</v>
      </c>
      <c r="F65" s="13" cm="1">
        <f t="array" ref="F65">INDEX(GMWQ!$A$2:$NF$60,MATCH(1,(GMWQ!$NE$2:$NE$60=F$3)*(GMWQ!$ND$2:$ND$60=F$4)*(GMWQ!$NF$2:$NF$60=F$1),0),$E65-1966)</f>
        <v>47.220829999999999</v>
      </c>
      <c r="G65" s="13" cm="1">
        <f t="array" ref="G65">INDEX(GMWQ!$A$2:$NF$60,MATCH(1,(GMWQ!$NE$2:$NE$60=G$3)*(GMWQ!$ND$2:$ND$60=G$4)*(GMWQ!$NF$2:$NF$60=G$1),0),$E65-1966)</f>
        <v>4487</v>
      </c>
      <c r="H65" s="13" cm="1">
        <f t="array" ref="H65">INDEX(GMWQ!$A$2:$NF$60,MATCH(1,(GMWQ!$NE$2:$NE$60=H$3)*(GMWQ!$ND$2:$ND$60=H$4)*(GMWQ!$NF$2:$NF$60=H$1),0),$E65-1966)</f>
        <v>130.0642</v>
      </c>
      <c r="I65" s="13" cm="1">
        <f t="array" ref="I65">INDEX(GMWQ!$A$2:$NF$60,MATCH(1,(GMWQ!$NE$2:$NE$60=I$3)*(GMWQ!$ND$2:$ND$60=I$4)*(GMWQ!$NF$2:$NF$60=I$1),0),$E65-1966)</f>
        <v>32609</v>
      </c>
      <c r="J65" s="13" cm="1">
        <f t="array" ref="J65">INDEX(GMWQ!$A$2:$NF$60,MATCH(1,(GMWQ!$NE$2:$NE$60=J$3)*(GMWQ!$ND$2:$ND$60=J$4)*(GMWQ!$NF$2:$NF$60=J$1),0),$E65-1966)</f>
        <v>127119</v>
      </c>
      <c r="K65" s="13" cm="1">
        <f t="array" ref="K65">INDEX(GMWQ!$A$2:$NF$60,MATCH(1,(GMWQ!$NE$2:$NE$60=K$3)*(GMWQ!$ND$2:$ND$60=K$4)*(GMWQ!$NF$2:$NF$60=K$1),0),$E65-1966)</f>
        <v>50573</v>
      </c>
      <c r="L65" s="13" cm="1">
        <f t="array" ref="L65">INDEX(GMWQ!$A$2:$NF$60,MATCH(1,(GMWQ!$NE$2:$NE$60=L$3)*(GMWQ!$ND$2:$ND$60=L$4)*(GMWQ!$NF$2:$NF$60=L$1),0),$E65-1966)</f>
        <v>78295</v>
      </c>
      <c r="M65" s="13" cm="1">
        <f t="array" ref="M65">INDEX(GMWQ!$A$2:$NF$60,MATCH(1,(GMWQ!$NE$2:$NE$60=M$3)*(GMWQ!$ND$2:$ND$60=M$4)*(GMWQ!$NF$2:$NF$60=M$1),0),$E65-1966)</f>
        <v>187551</v>
      </c>
      <c r="N65" s="13" cm="1">
        <f t="array" ref="N65">INDEX(GMWQ!$A$2:$NF$60,MATCH(1,(GMWQ!$NE$2:$NE$60=N$3)*(GMWQ!$ND$2:$ND$60=N$4)*(GMWQ!$NF$2:$NF$60=N$1),0),$E65-1966)</f>
        <v>42.296129999999998</v>
      </c>
      <c r="O65" s="13" cm="1">
        <f t="array" ref="O65">INDEX(GMWQ!$A$2:$NF$60,MATCH(1,(GMWQ!$NE$2:$NE$60=O$3)*(GMWQ!$ND$2:$ND$60=O$4)*(GMWQ!$NF$2:$NF$60=O$1),0),$E65-1966)</f>
        <v>25345</v>
      </c>
      <c r="P65" s="13" cm="1">
        <f t="array" ref="P65">INDEX(GMWQ!$A$2:$NF$60,MATCH(1,(GMWQ!$NE$2:$NE$60=P$3)*(GMWQ!$ND$2:$ND$60=P$4)*(GMWQ!$NF$2:$NF$60=P$1),0),$E65-1966)</f>
        <v>25345</v>
      </c>
      <c r="Q65" s="13" cm="1">
        <f t="array" ref="Q65">INDEX(GMWQ!$A$2:$NF$60,MATCH(1,(GMWQ!$NE$2:$NE$60=Q$3)*(GMWQ!$ND$2:$ND$60=Q$4)*(GMWQ!$NF$2:$NF$60=Q$1),0),$E65-1966)</f>
        <v>25345</v>
      </c>
    </row>
    <row r="66" spans="1:17" x14ac:dyDescent="0.25">
      <c r="B66" s="13">
        <f t="shared" si="6"/>
        <v>1987</v>
      </c>
      <c r="C66" s="13">
        <f t="shared" si="6"/>
        <v>1987</v>
      </c>
      <c r="E66" s="13">
        <f t="shared" si="5"/>
        <v>2032</v>
      </c>
      <c r="F66" s="13" cm="1">
        <f t="array" ref="F66">INDEX(GMWQ!$A$2:$NF$60,MATCH(1,(GMWQ!$NE$2:$NE$60=F$3)*(GMWQ!$ND$2:$ND$60=F$4)*(GMWQ!$NF$2:$NF$60=F$1),0),$E66-1966)</f>
        <v>47.960340000000002</v>
      </c>
      <c r="G66" s="13" cm="1">
        <f t="array" ref="G66">INDEX(GMWQ!$A$2:$NF$60,MATCH(1,(GMWQ!$NE$2:$NE$60=G$3)*(GMWQ!$ND$2:$ND$60=G$4)*(GMWQ!$NF$2:$NF$60=G$1),0),$E66-1966)</f>
        <v>4632</v>
      </c>
      <c r="H66" s="13" cm="1">
        <f t="array" ref="H66">INDEX(GMWQ!$A$2:$NF$60,MATCH(1,(GMWQ!$NE$2:$NE$60=H$3)*(GMWQ!$ND$2:$ND$60=H$4)*(GMWQ!$NF$2:$NF$60=H$1),0),$E66-1966)</f>
        <v>132.7039</v>
      </c>
      <c r="I66" s="13" cm="1">
        <f t="array" ref="I66">INDEX(GMWQ!$A$2:$NF$60,MATCH(1,(GMWQ!$NE$2:$NE$60=I$3)*(GMWQ!$ND$2:$ND$60=I$4)*(GMWQ!$NF$2:$NF$60=I$1),0),$E66-1966)</f>
        <v>32677</v>
      </c>
      <c r="J66" s="13" cm="1">
        <f t="array" ref="J66">INDEX(GMWQ!$A$2:$NF$60,MATCH(1,(GMWQ!$NE$2:$NE$60=J$3)*(GMWQ!$ND$2:$ND$60=J$4)*(GMWQ!$NF$2:$NF$60=J$1),0),$E66-1966)</f>
        <v>129815</v>
      </c>
      <c r="K66" s="13" cm="1">
        <f t="array" ref="K66">INDEX(GMWQ!$A$2:$NF$60,MATCH(1,(GMWQ!$NE$2:$NE$60=K$3)*(GMWQ!$ND$2:$ND$60=K$4)*(GMWQ!$NF$2:$NF$60=K$1),0),$E66-1966)</f>
        <v>52081</v>
      </c>
      <c r="L66" s="13" cm="1">
        <f t="array" ref="L66">INDEX(GMWQ!$A$2:$NF$60,MATCH(1,(GMWQ!$NE$2:$NE$60=L$3)*(GMWQ!$ND$2:$ND$60=L$4)*(GMWQ!$NF$2:$NF$60=L$1),0),$E66-1966)</f>
        <v>79796</v>
      </c>
      <c r="M66" s="13" cm="1">
        <f t="array" ref="M66">INDEX(GMWQ!$A$2:$NF$60,MATCH(1,(GMWQ!$NE$2:$NE$60=M$3)*(GMWQ!$ND$2:$ND$60=M$4)*(GMWQ!$NF$2:$NF$60=M$1),0),$E66-1966)</f>
        <v>188860</v>
      </c>
      <c r="N66" s="13" cm="1">
        <f t="array" ref="N66">INDEX(GMWQ!$A$2:$NF$60,MATCH(1,(GMWQ!$NE$2:$NE$60=N$3)*(GMWQ!$ND$2:$ND$60=N$4)*(GMWQ!$NF$2:$NF$60=N$1),0),$E66-1966)</f>
        <v>42.821930000000002</v>
      </c>
      <c r="O66" s="13" cm="1">
        <f t="array" ref="O66">INDEX(GMWQ!$A$2:$NF$60,MATCH(1,(GMWQ!$NE$2:$NE$60=O$3)*(GMWQ!$ND$2:$ND$60=O$4)*(GMWQ!$NF$2:$NF$60=O$1),0),$E66-1966)</f>
        <v>25575</v>
      </c>
      <c r="P66" s="13" cm="1">
        <f t="array" ref="P66">INDEX(GMWQ!$A$2:$NF$60,MATCH(1,(GMWQ!$NE$2:$NE$60=P$3)*(GMWQ!$ND$2:$ND$60=P$4)*(GMWQ!$NF$2:$NF$60=P$1),0),$E66-1966)</f>
        <v>25575</v>
      </c>
      <c r="Q66" s="13" cm="1">
        <f t="array" ref="Q66">INDEX(GMWQ!$A$2:$NF$60,MATCH(1,(GMWQ!$NE$2:$NE$60=Q$3)*(GMWQ!$ND$2:$ND$60=Q$4)*(GMWQ!$NF$2:$NF$60=Q$1),0),$E66-1966)</f>
        <v>25575</v>
      </c>
    </row>
    <row r="67" spans="1:17" x14ac:dyDescent="0.25">
      <c r="A67" s="13">
        <v>1988</v>
      </c>
      <c r="B67" s="13">
        <f t="shared" si="6"/>
        <v>1988</v>
      </c>
      <c r="C67" s="13">
        <f t="shared" si="6"/>
        <v>1987</v>
      </c>
      <c r="D67" s="13">
        <f t="shared" si="6"/>
        <v>1987</v>
      </c>
      <c r="E67" s="13">
        <f t="shared" si="5"/>
        <v>2033</v>
      </c>
      <c r="F67" s="13" cm="1">
        <f t="array" ref="F67">INDEX(GMWQ!$A$2:$NF$60,MATCH(1,(GMWQ!$NE$2:$NE$60=F$3)*(GMWQ!$ND$2:$ND$60=F$4)*(GMWQ!$NF$2:$NF$60=F$1),0),$E67-1966)</f>
        <v>48.486249999999998</v>
      </c>
      <c r="G67" s="13" cm="1">
        <f t="array" ref="G67">INDEX(GMWQ!$A$2:$NF$60,MATCH(1,(GMWQ!$NE$2:$NE$60=G$3)*(GMWQ!$ND$2:$ND$60=G$4)*(GMWQ!$NF$2:$NF$60=G$1),0),$E67-1966)</f>
        <v>4640</v>
      </c>
      <c r="H67" s="13" cm="1">
        <f t="array" ref="H67">INDEX(GMWQ!$A$2:$NF$60,MATCH(1,(GMWQ!$NE$2:$NE$60=H$3)*(GMWQ!$ND$2:$ND$60=H$4)*(GMWQ!$NF$2:$NF$60=H$1),0),$E67-1966)</f>
        <v>134.46860000000001</v>
      </c>
      <c r="I67" s="13" cm="1">
        <f t="array" ref="I67">INDEX(GMWQ!$A$2:$NF$60,MATCH(1,(GMWQ!$NE$2:$NE$60=I$3)*(GMWQ!$ND$2:$ND$60=I$4)*(GMWQ!$NF$2:$NF$60=I$1),0),$E67-1966)</f>
        <v>33698</v>
      </c>
      <c r="J67" s="13" cm="1">
        <f t="array" ref="J67">INDEX(GMWQ!$A$2:$NF$60,MATCH(1,(GMWQ!$NE$2:$NE$60=J$3)*(GMWQ!$ND$2:$ND$60=J$4)*(GMWQ!$NF$2:$NF$60=J$1),0),$E67-1966)</f>
        <v>133283</v>
      </c>
      <c r="K67" s="13" cm="1">
        <f t="array" ref="K67">INDEX(GMWQ!$A$2:$NF$60,MATCH(1,(GMWQ!$NE$2:$NE$60=K$3)*(GMWQ!$ND$2:$ND$60=K$4)*(GMWQ!$NF$2:$NF$60=K$1),0),$E67-1966)</f>
        <v>53600</v>
      </c>
      <c r="L67" s="13" cm="1">
        <f t="array" ref="L67">INDEX(GMWQ!$A$2:$NF$60,MATCH(1,(GMWQ!$NE$2:$NE$60=L$3)*(GMWQ!$ND$2:$ND$60=L$4)*(GMWQ!$NF$2:$NF$60=L$1),0),$E67-1966)</f>
        <v>82285</v>
      </c>
      <c r="M67" s="13" cm="1">
        <f t="array" ref="M67">INDEX(GMWQ!$A$2:$NF$60,MATCH(1,(GMWQ!$NE$2:$NE$60=M$3)*(GMWQ!$ND$2:$ND$60=M$4)*(GMWQ!$NF$2:$NF$60=M$1),0),$E67-1966)</f>
        <v>191709</v>
      </c>
      <c r="N67" s="13" cm="1">
        <f t="array" ref="N67">INDEX(GMWQ!$A$2:$NF$60,MATCH(1,(GMWQ!$NE$2:$NE$60=N$3)*(GMWQ!$ND$2:$ND$60=N$4)*(GMWQ!$NF$2:$NF$60=N$1),0),$E67-1966)</f>
        <v>43.419350000000001</v>
      </c>
      <c r="O67" s="13" cm="1">
        <f t="array" ref="O67">INDEX(GMWQ!$A$2:$NF$60,MATCH(1,(GMWQ!$NE$2:$NE$60=O$3)*(GMWQ!$ND$2:$ND$60=O$4)*(GMWQ!$NF$2:$NF$60=O$1),0),$E67-1966)</f>
        <v>25795</v>
      </c>
      <c r="P67" s="13" cm="1">
        <f t="array" ref="P67">INDEX(GMWQ!$A$2:$NF$60,MATCH(1,(GMWQ!$NE$2:$NE$60=P$3)*(GMWQ!$ND$2:$ND$60=P$4)*(GMWQ!$NF$2:$NF$60=P$1),0),$E67-1966)</f>
        <v>25795</v>
      </c>
      <c r="Q67" s="13" cm="1">
        <f t="array" ref="Q67">INDEX(GMWQ!$A$2:$NF$60,MATCH(1,(GMWQ!$NE$2:$NE$60=Q$3)*(GMWQ!$ND$2:$ND$60=Q$4)*(GMWQ!$NF$2:$NF$60=Q$1),0),$E67-1966)</f>
        <v>25795</v>
      </c>
    </row>
    <row r="68" spans="1:17" x14ac:dyDescent="0.25">
      <c r="B68" s="13">
        <f t="shared" si="6"/>
        <v>1988</v>
      </c>
      <c r="C68" s="13">
        <f t="shared" si="6"/>
        <v>1988</v>
      </c>
      <c r="E68" s="13">
        <f t="shared" si="5"/>
        <v>2034</v>
      </c>
      <c r="F68" s="13" cm="1">
        <f t="array" ref="F68">INDEX(GMWQ!$A$2:$NF$60,MATCH(1,(GMWQ!$NE$2:$NE$60=F$3)*(GMWQ!$ND$2:$ND$60=F$4)*(GMWQ!$NF$2:$NF$60=F$1),0),$E68-1966)</f>
        <v>49.414969999999997</v>
      </c>
      <c r="G68" s="13" cm="1">
        <f t="array" ref="G68">INDEX(GMWQ!$A$2:$NF$60,MATCH(1,(GMWQ!$NE$2:$NE$60=G$3)*(GMWQ!$ND$2:$ND$60=G$4)*(GMWQ!$NF$2:$NF$60=G$1),0),$E68-1966)</f>
        <v>4879</v>
      </c>
      <c r="H68" s="13" cm="1">
        <f t="array" ref="H68">INDEX(GMWQ!$A$2:$NF$60,MATCH(1,(GMWQ!$NE$2:$NE$60=H$3)*(GMWQ!$ND$2:$ND$60=H$4)*(GMWQ!$NF$2:$NF$60=H$1),0),$E68-1966)</f>
        <v>139.05330000000001</v>
      </c>
      <c r="I68" s="13" cm="1">
        <f t="array" ref="I68">INDEX(GMWQ!$A$2:$NF$60,MATCH(1,(GMWQ!$NE$2:$NE$60=I$3)*(GMWQ!$ND$2:$ND$60=I$4)*(GMWQ!$NF$2:$NF$60=I$1),0),$E68-1966)</f>
        <v>34292</v>
      </c>
      <c r="J68" s="13" cm="1">
        <f t="array" ref="J68">INDEX(GMWQ!$A$2:$NF$60,MATCH(1,(GMWQ!$NE$2:$NE$60=J$3)*(GMWQ!$ND$2:$ND$60=J$4)*(GMWQ!$NF$2:$NF$60=J$1),0),$E68-1966)</f>
        <v>136630</v>
      </c>
      <c r="K68" s="13" cm="1">
        <f t="array" ref="K68">INDEX(GMWQ!$A$2:$NF$60,MATCH(1,(GMWQ!$NE$2:$NE$60=K$3)*(GMWQ!$ND$2:$ND$60=K$4)*(GMWQ!$NF$2:$NF$60=K$1),0),$E68-1966)</f>
        <v>54866</v>
      </c>
      <c r="L68" s="13" cm="1">
        <f t="array" ref="L68">INDEX(GMWQ!$A$2:$NF$60,MATCH(1,(GMWQ!$NE$2:$NE$60=L$3)*(GMWQ!$ND$2:$ND$60=L$4)*(GMWQ!$NF$2:$NF$60=L$1),0),$E68-1966)</f>
        <v>84810</v>
      </c>
      <c r="M68" s="13" cm="1">
        <f t="array" ref="M68">INDEX(GMWQ!$A$2:$NF$60,MATCH(1,(GMWQ!$NE$2:$NE$60=M$3)*(GMWQ!$ND$2:$ND$60=M$4)*(GMWQ!$NF$2:$NF$60=M$1),0),$E68-1966)</f>
        <v>194935</v>
      </c>
      <c r="N68" s="13" cm="1">
        <f t="array" ref="N68">INDEX(GMWQ!$A$2:$NF$60,MATCH(1,(GMWQ!$NE$2:$NE$60=N$3)*(GMWQ!$ND$2:$ND$60=N$4)*(GMWQ!$NF$2:$NF$60=N$1),0),$E68-1966)</f>
        <v>44.057639999999999</v>
      </c>
      <c r="O68" s="13" cm="1">
        <f t="array" ref="O68">INDEX(GMWQ!$A$2:$NF$60,MATCH(1,(GMWQ!$NE$2:$NE$60=O$3)*(GMWQ!$ND$2:$ND$60=O$4)*(GMWQ!$NF$2:$NF$60=O$1),0),$E68-1966)</f>
        <v>25970</v>
      </c>
      <c r="P68" s="13" cm="1">
        <f t="array" ref="P68">INDEX(GMWQ!$A$2:$NF$60,MATCH(1,(GMWQ!$NE$2:$NE$60=P$3)*(GMWQ!$ND$2:$ND$60=P$4)*(GMWQ!$NF$2:$NF$60=P$1),0),$E68-1966)</f>
        <v>25970</v>
      </c>
      <c r="Q68" s="13" cm="1">
        <f t="array" ref="Q68">INDEX(GMWQ!$A$2:$NF$60,MATCH(1,(GMWQ!$NE$2:$NE$60=Q$3)*(GMWQ!$ND$2:$ND$60=Q$4)*(GMWQ!$NF$2:$NF$60=Q$1),0),$E68-1966)</f>
        <v>25970</v>
      </c>
    </row>
    <row r="69" spans="1:17" x14ac:dyDescent="0.25">
      <c r="B69" s="13">
        <f t="shared" si="6"/>
        <v>1988</v>
      </c>
      <c r="C69" s="13">
        <f t="shared" si="6"/>
        <v>1988</v>
      </c>
      <c r="E69" s="13">
        <f t="shared" si="5"/>
        <v>2035</v>
      </c>
      <c r="F69" s="13" cm="1">
        <f t="array" ref="F69">INDEX(GMWQ!$A$2:$NF$60,MATCH(1,(GMWQ!$NE$2:$NE$60=F$3)*(GMWQ!$ND$2:$ND$60=F$4)*(GMWQ!$NF$2:$NF$60=F$1),0),$E69-1966)</f>
        <v>50.342970000000001</v>
      </c>
      <c r="G69" s="13" cm="1">
        <f t="array" ref="G69">INDEX(GMWQ!$A$2:$NF$60,MATCH(1,(GMWQ!$NE$2:$NE$60=G$3)*(GMWQ!$ND$2:$ND$60=G$4)*(GMWQ!$NF$2:$NF$60=G$1),0),$E69-1966)</f>
        <v>5040</v>
      </c>
      <c r="H69" s="13" cm="1">
        <f t="array" ref="H69">INDEX(GMWQ!$A$2:$NF$60,MATCH(1,(GMWQ!$NE$2:$NE$60=H$3)*(GMWQ!$ND$2:$ND$60=H$4)*(GMWQ!$NF$2:$NF$60=H$1),0),$E69-1966)</f>
        <v>144.16399999999999</v>
      </c>
      <c r="I69" s="13" cm="1">
        <f t="array" ref="I69">INDEX(GMWQ!$A$2:$NF$60,MATCH(1,(GMWQ!$NE$2:$NE$60=I$3)*(GMWQ!$ND$2:$ND$60=I$4)*(GMWQ!$NF$2:$NF$60=I$1),0),$E69-1966)</f>
        <v>35863</v>
      </c>
      <c r="J69" s="13" cm="1">
        <f t="array" ref="J69">INDEX(GMWQ!$A$2:$NF$60,MATCH(1,(GMWQ!$NE$2:$NE$60=J$3)*(GMWQ!$ND$2:$ND$60=J$4)*(GMWQ!$NF$2:$NF$60=J$1),0),$E69-1966)</f>
        <v>140801</v>
      </c>
      <c r="K69" s="13" cm="1">
        <f t="array" ref="K69">INDEX(GMWQ!$A$2:$NF$60,MATCH(1,(GMWQ!$NE$2:$NE$60=K$3)*(GMWQ!$ND$2:$ND$60=K$4)*(GMWQ!$NF$2:$NF$60=K$1),0),$E69-1966)</f>
        <v>56587</v>
      </c>
      <c r="L69" s="13" cm="1">
        <f t="array" ref="L69">INDEX(GMWQ!$A$2:$NF$60,MATCH(1,(GMWQ!$NE$2:$NE$60=L$3)*(GMWQ!$ND$2:$ND$60=L$4)*(GMWQ!$NF$2:$NF$60=L$1),0),$E69-1966)</f>
        <v>86563</v>
      </c>
      <c r="M69" s="13" cm="1">
        <f t="array" ref="M69">INDEX(GMWQ!$A$2:$NF$60,MATCH(1,(GMWQ!$NE$2:$NE$60=M$3)*(GMWQ!$ND$2:$ND$60=M$4)*(GMWQ!$NF$2:$NF$60=M$1),0),$E69-1966)</f>
        <v>197179</v>
      </c>
      <c r="N69" s="13" cm="1">
        <f t="array" ref="N69">INDEX(GMWQ!$A$2:$NF$60,MATCH(1,(GMWQ!$NE$2:$NE$60=N$3)*(GMWQ!$ND$2:$ND$60=N$4)*(GMWQ!$NF$2:$NF$60=N$1),0),$E69-1966)</f>
        <v>44.47437</v>
      </c>
      <c r="O69" s="13" cm="1">
        <f t="array" ref="O69">INDEX(GMWQ!$A$2:$NF$60,MATCH(1,(GMWQ!$NE$2:$NE$60=O$3)*(GMWQ!$ND$2:$ND$60=O$4)*(GMWQ!$NF$2:$NF$60=O$1),0),$E69-1966)</f>
        <v>26160</v>
      </c>
      <c r="P69" s="13" cm="1">
        <f t="array" ref="P69">INDEX(GMWQ!$A$2:$NF$60,MATCH(1,(GMWQ!$NE$2:$NE$60=P$3)*(GMWQ!$ND$2:$ND$60=P$4)*(GMWQ!$NF$2:$NF$60=P$1),0),$E69-1966)</f>
        <v>26160</v>
      </c>
      <c r="Q69" s="13" cm="1">
        <f t="array" ref="Q69">INDEX(GMWQ!$A$2:$NF$60,MATCH(1,(GMWQ!$NE$2:$NE$60=Q$3)*(GMWQ!$ND$2:$ND$60=Q$4)*(GMWQ!$NF$2:$NF$60=Q$1),0),$E69-1966)</f>
        <v>26160</v>
      </c>
    </row>
    <row r="70" spans="1:17" x14ac:dyDescent="0.25">
      <c r="B70" s="13">
        <f t="shared" si="6"/>
        <v>1988</v>
      </c>
      <c r="C70" s="13">
        <f t="shared" si="6"/>
        <v>1988</v>
      </c>
      <c r="E70" s="13">
        <f t="shared" si="5"/>
        <v>2036</v>
      </c>
      <c r="F70" s="13" cm="1">
        <f t="array" ref="F70">INDEX(GMWQ!$A$2:$NF$60,MATCH(1,(GMWQ!$NE$2:$NE$60=F$3)*(GMWQ!$ND$2:$ND$60=F$4)*(GMWQ!$NF$2:$NF$60=F$1),0),$E70-1966)</f>
        <v>51.531849999999999</v>
      </c>
      <c r="G70" s="13" cm="1">
        <f t="array" ref="G70">INDEX(GMWQ!$A$2:$NF$60,MATCH(1,(GMWQ!$NE$2:$NE$60=G$3)*(GMWQ!$ND$2:$ND$60=G$4)*(GMWQ!$NF$2:$NF$60=G$1),0),$E70-1966)</f>
        <v>5234</v>
      </c>
      <c r="H70" s="13" cm="1">
        <f t="array" ref="H70">INDEX(GMWQ!$A$2:$NF$60,MATCH(1,(GMWQ!$NE$2:$NE$60=H$3)*(GMWQ!$ND$2:$ND$60=H$4)*(GMWQ!$NF$2:$NF$60=H$1),0),$E70-1966)</f>
        <v>148.042</v>
      </c>
      <c r="I70" s="13" cm="1">
        <f t="array" ref="I70">INDEX(GMWQ!$A$2:$NF$60,MATCH(1,(GMWQ!$NE$2:$NE$60=I$3)*(GMWQ!$ND$2:$ND$60=I$4)*(GMWQ!$NF$2:$NF$60=I$1),0),$E70-1966)</f>
        <v>37039</v>
      </c>
      <c r="J70" s="13" cm="1">
        <f t="array" ref="J70">INDEX(GMWQ!$A$2:$NF$60,MATCH(1,(GMWQ!$NE$2:$NE$60=J$3)*(GMWQ!$ND$2:$ND$60=J$4)*(GMWQ!$NF$2:$NF$60=J$1),0),$E70-1966)</f>
        <v>144969</v>
      </c>
      <c r="K70" s="13" cm="1">
        <f t="array" ref="K70">INDEX(GMWQ!$A$2:$NF$60,MATCH(1,(GMWQ!$NE$2:$NE$60=K$3)*(GMWQ!$ND$2:$ND$60=K$4)*(GMWQ!$NF$2:$NF$60=K$1),0),$E70-1966)</f>
        <v>58368</v>
      </c>
      <c r="L70" s="13" cm="1">
        <f t="array" ref="L70">INDEX(GMWQ!$A$2:$NF$60,MATCH(1,(GMWQ!$NE$2:$NE$60=L$3)*(GMWQ!$ND$2:$ND$60=L$4)*(GMWQ!$NF$2:$NF$60=L$1),0),$E70-1966)</f>
        <v>88240</v>
      </c>
      <c r="M70" s="13" cm="1">
        <f t="array" ref="M70">INDEX(GMWQ!$A$2:$NF$60,MATCH(1,(GMWQ!$NE$2:$NE$60=M$3)*(GMWQ!$ND$2:$ND$60=M$4)*(GMWQ!$NF$2:$NF$60=M$1),0),$E70-1966)</f>
        <v>198740</v>
      </c>
      <c r="N70" s="13" cm="1">
        <f t="array" ref="N70">INDEX(GMWQ!$A$2:$NF$60,MATCH(1,(GMWQ!$NE$2:$NE$60=N$3)*(GMWQ!$ND$2:$ND$60=N$4)*(GMWQ!$NF$2:$NF$60=N$1),0),$E70-1966)</f>
        <v>44.994630000000001</v>
      </c>
      <c r="O70" s="13" cm="1">
        <f t="array" ref="O70">INDEX(GMWQ!$A$2:$NF$60,MATCH(1,(GMWQ!$NE$2:$NE$60=O$3)*(GMWQ!$ND$2:$ND$60=O$4)*(GMWQ!$NF$2:$NF$60=O$1),0),$E70-1966)</f>
        <v>26355</v>
      </c>
      <c r="P70" s="13" cm="1">
        <f t="array" ref="P70">INDEX(GMWQ!$A$2:$NF$60,MATCH(1,(GMWQ!$NE$2:$NE$60=P$3)*(GMWQ!$ND$2:$ND$60=P$4)*(GMWQ!$NF$2:$NF$60=P$1),0),$E70-1966)</f>
        <v>26355</v>
      </c>
      <c r="Q70" s="13" cm="1">
        <f t="array" ref="Q70">INDEX(GMWQ!$A$2:$NF$60,MATCH(1,(GMWQ!$NE$2:$NE$60=Q$3)*(GMWQ!$ND$2:$ND$60=Q$4)*(GMWQ!$NF$2:$NF$60=Q$1),0),$E70-1966)</f>
        <v>26355</v>
      </c>
    </row>
    <row r="71" spans="1:17" x14ac:dyDescent="0.25">
      <c r="A71" s="13">
        <v>1989</v>
      </c>
      <c r="B71" s="13">
        <f t="shared" si="6"/>
        <v>1989</v>
      </c>
      <c r="C71" s="13">
        <f t="shared" si="6"/>
        <v>1988</v>
      </c>
      <c r="D71" s="13">
        <f t="shared" si="6"/>
        <v>1988</v>
      </c>
      <c r="E71" s="13">
        <f t="shared" si="5"/>
        <v>2037</v>
      </c>
      <c r="F71" s="13" cm="1">
        <f t="array" ref="F71">INDEX(GMWQ!$A$2:$NF$60,MATCH(1,(GMWQ!$NE$2:$NE$60=F$3)*(GMWQ!$ND$2:$ND$60=F$4)*(GMWQ!$NF$2:$NF$60=F$1),0),$E71-1966)</f>
        <v>52.552460000000004</v>
      </c>
      <c r="G71" s="13" cm="1">
        <f t="array" ref="G71">INDEX(GMWQ!$A$2:$NF$60,MATCH(1,(GMWQ!$NE$2:$NE$60=G$3)*(GMWQ!$ND$2:$ND$60=G$4)*(GMWQ!$NF$2:$NF$60=G$1),0),$E71-1966)</f>
        <v>5239</v>
      </c>
      <c r="H71" s="13" cm="1">
        <f t="array" ref="H71">INDEX(GMWQ!$A$2:$NF$60,MATCH(1,(GMWQ!$NE$2:$NE$60=H$3)*(GMWQ!$ND$2:$ND$60=H$4)*(GMWQ!$NF$2:$NF$60=H$1),0),$E71-1966)</f>
        <v>150.62790000000001</v>
      </c>
      <c r="I71" s="13" cm="1">
        <f t="array" ref="I71">INDEX(GMWQ!$A$2:$NF$60,MATCH(1,(GMWQ!$NE$2:$NE$60=I$3)*(GMWQ!$ND$2:$ND$60=I$4)*(GMWQ!$NF$2:$NF$60=I$1),0),$E71-1966)</f>
        <v>38606</v>
      </c>
      <c r="J71" s="13" cm="1">
        <f t="array" ref="J71">INDEX(GMWQ!$A$2:$NF$60,MATCH(1,(GMWQ!$NE$2:$NE$60=J$3)*(GMWQ!$ND$2:$ND$60=J$4)*(GMWQ!$NF$2:$NF$60=J$1),0),$E71-1966)</f>
        <v>148623</v>
      </c>
      <c r="K71" s="13" cm="1">
        <f t="array" ref="K71">INDEX(GMWQ!$A$2:$NF$60,MATCH(1,(GMWQ!$NE$2:$NE$60=K$3)*(GMWQ!$ND$2:$ND$60=K$4)*(GMWQ!$NF$2:$NF$60=K$1),0),$E71-1966)</f>
        <v>59745</v>
      </c>
      <c r="L71" s="13" cm="1">
        <f t="array" ref="L71">INDEX(GMWQ!$A$2:$NF$60,MATCH(1,(GMWQ!$NE$2:$NE$60=L$3)*(GMWQ!$ND$2:$ND$60=L$4)*(GMWQ!$NF$2:$NF$60=L$1),0),$E71-1966)</f>
        <v>90548</v>
      </c>
      <c r="M71" s="13" cm="1">
        <f t="array" ref="M71">INDEX(GMWQ!$A$2:$NF$60,MATCH(1,(GMWQ!$NE$2:$NE$60=M$3)*(GMWQ!$ND$2:$ND$60=M$4)*(GMWQ!$NF$2:$NF$60=M$1),0),$E71-1966)</f>
        <v>201265</v>
      </c>
      <c r="N71" s="13" cm="1">
        <f t="array" ref="N71">INDEX(GMWQ!$A$2:$NF$60,MATCH(1,(GMWQ!$NE$2:$NE$60=N$3)*(GMWQ!$ND$2:$ND$60=N$4)*(GMWQ!$NF$2:$NF$60=N$1),0),$E71-1966)</f>
        <v>45.505809999999997</v>
      </c>
      <c r="O71" s="13" cm="1">
        <f t="array" ref="O71">INDEX(GMWQ!$A$2:$NF$60,MATCH(1,(GMWQ!$NE$2:$NE$60=O$3)*(GMWQ!$ND$2:$ND$60=O$4)*(GMWQ!$NF$2:$NF$60=O$1),0),$E71-1966)</f>
        <v>26590</v>
      </c>
      <c r="P71" s="13" cm="1">
        <f t="array" ref="P71">INDEX(GMWQ!$A$2:$NF$60,MATCH(1,(GMWQ!$NE$2:$NE$60=P$3)*(GMWQ!$ND$2:$ND$60=P$4)*(GMWQ!$NF$2:$NF$60=P$1),0),$E71-1966)</f>
        <v>26590</v>
      </c>
      <c r="Q71" s="13" cm="1">
        <f t="array" ref="Q71">INDEX(GMWQ!$A$2:$NF$60,MATCH(1,(GMWQ!$NE$2:$NE$60=Q$3)*(GMWQ!$ND$2:$ND$60=Q$4)*(GMWQ!$NF$2:$NF$60=Q$1),0),$E71-1966)</f>
        <v>26590</v>
      </c>
    </row>
    <row r="72" spans="1:17" x14ac:dyDescent="0.25">
      <c r="B72" s="13">
        <f t="shared" si="6"/>
        <v>1989</v>
      </c>
      <c r="C72" s="13">
        <f t="shared" si="6"/>
        <v>1989</v>
      </c>
      <c r="E72" s="13">
        <f t="shared" si="5"/>
        <v>2038</v>
      </c>
      <c r="F72" s="13" cm="1">
        <f t="array" ref="F72">INDEX(GMWQ!$A$2:$NF$60,MATCH(1,(GMWQ!$NE$2:$NE$60=F$3)*(GMWQ!$ND$2:$ND$60=F$4)*(GMWQ!$NF$2:$NF$60=F$1),0),$E72-1966)</f>
        <v>53.574669999999998</v>
      </c>
      <c r="G72" s="13" cm="1">
        <f t="array" ref="G72">INDEX(GMWQ!$A$2:$NF$60,MATCH(1,(GMWQ!$NE$2:$NE$60=G$3)*(GMWQ!$ND$2:$ND$60=G$4)*(GMWQ!$NF$2:$NF$60=G$1),0),$E72-1966)</f>
        <v>5247</v>
      </c>
      <c r="H72" s="13" cm="1">
        <f t="array" ref="H72">INDEX(GMWQ!$A$2:$NF$60,MATCH(1,(GMWQ!$NE$2:$NE$60=H$3)*(GMWQ!$ND$2:$ND$60=H$4)*(GMWQ!$NF$2:$NF$60=H$1),0),$E72-1966)</f>
        <v>155.5334</v>
      </c>
      <c r="I72" s="13" cm="1">
        <f t="array" ref="I72">INDEX(GMWQ!$A$2:$NF$60,MATCH(1,(GMWQ!$NE$2:$NE$60=I$3)*(GMWQ!$ND$2:$ND$60=I$4)*(GMWQ!$NF$2:$NF$60=I$1),0),$E72-1966)</f>
        <v>38243</v>
      </c>
      <c r="J72" s="13" cm="1">
        <f t="array" ref="J72">INDEX(GMWQ!$A$2:$NF$60,MATCH(1,(GMWQ!$NE$2:$NE$60=J$3)*(GMWQ!$ND$2:$ND$60=J$4)*(GMWQ!$NF$2:$NF$60=J$1),0),$E72-1966)</f>
        <v>151262</v>
      </c>
      <c r="K72" s="13" cm="1">
        <f t="array" ref="K72">INDEX(GMWQ!$A$2:$NF$60,MATCH(1,(GMWQ!$NE$2:$NE$60=K$3)*(GMWQ!$ND$2:$ND$60=K$4)*(GMWQ!$NF$2:$NF$60=K$1),0),$E72-1966)</f>
        <v>61400</v>
      </c>
      <c r="L72" s="13" cm="1">
        <f t="array" ref="L72">INDEX(GMWQ!$A$2:$NF$60,MATCH(1,(GMWQ!$NE$2:$NE$60=L$3)*(GMWQ!$ND$2:$ND$60=L$4)*(GMWQ!$NF$2:$NF$60=L$1),0),$E72-1966)</f>
        <v>93363</v>
      </c>
      <c r="M72" s="13" cm="1">
        <f t="array" ref="M72">INDEX(GMWQ!$A$2:$NF$60,MATCH(1,(GMWQ!$NE$2:$NE$60=M$3)*(GMWQ!$ND$2:$ND$60=M$4)*(GMWQ!$NF$2:$NF$60=M$1),0),$E72-1966)</f>
        <v>204179</v>
      </c>
      <c r="N72" s="13" cm="1">
        <f t="array" ref="N72">INDEX(GMWQ!$A$2:$NF$60,MATCH(1,(GMWQ!$NE$2:$NE$60=N$3)*(GMWQ!$ND$2:$ND$60=N$4)*(GMWQ!$NF$2:$NF$60=N$1),0),$E72-1966)</f>
        <v>46.23854</v>
      </c>
      <c r="O72" s="13" cm="1">
        <f t="array" ref="O72">INDEX(GMWQ!$A$2:$NF$60,MATCH(1,(GMWQ!$NE$2:$NE$60=O$3)*(GMWQ!$ND$2:$ND$60=O$4)*(GMWQ!$NF$2:$NF$60=O$1),0),$E72-1966)</f>
        <v>26730</v>
      </c>
      <c r="P72" s="13" cm="1">
        <f t="array" ref="P72">INDEX(GMWQ!$A$2:$NF$60,MATCH(1,(GMWQ!$NE$2:$NE$60=P$3)*(GMWQ!$ND$2:$ND$60=P$4)*(GMWQ!$NF$2:$NF$60=P$1),0),$E72-1966)</f>
        <v>26730</v>
      </c>
      <c r="Q72" s="13" cm="1">
        <f t="array" ref="Q72">INDEX(GMWQ!$A$2:$NF$60,MATCH(1,(GMWQ!$NE$2:$NE$60=Q$3)*(GMWQ!$ND$2:$ND$60=Q$4)*(GMWQ!$NF$2:$NF$60=Q$1),0),$E72-1966)</f>
        <v>26730</v>
      </c>
    </row>
    <row r="73" spans="1:17" x14ac:dyDescent="0.25">
      <c r="B73" s="13">
        <f t="shared" si="6"/>
        <v>1989</v>
      </c>
      <c r="C73" s="13">
        <f t="shared" si="6"/>
        <v>1989</v>
      </c>
      <c r="E73" s="13">
        <f t="shared" si="5"/>
        <v>2039</v>
      </c>
      <c r="F73" s="13" cm="1">
        <f t="array" ref="F73">INDEX(GMWQ!$A$2:$NF$60,MATCH(1,(GMWQ!$NE$2:$NE$60=F$3)*(GMWQ!$ND$2:$ND$60=F$4)*(GMWQ!$NF$2:$NF$60=F$1),0),$E73-1966)</f>
        <v>54.88494</v>
      </c>
      <c r="G73" s="13" cm="1">
        <f t="array" ref="G73">INDEX(GMWQ!$A$2:$NF$60,MATCH(1,(GMWQ!$NE$2:$NE$60=G$3)*(GMWQ!$ND$2:$ND$60=G$4)*(GMWQ!$NF$2:$NF$60=G$1),0),$E73-1966)</f>
        <v>5405</v>
      </c>
      <c r="H73" s="13" cm="1">
        <f t="array" ref="H73">INDEX(GMWQ!$A$2:$NF$60,MATCH(1,(GMWQ!$NE$2:$NE$60=H$3)*(GMWQ!$ND$2:$ND$60=H$4)*(GMWQ!$NF$2:$NF$60=H$1),0),$E73-1966)</f>
        <v>160.64189999999999</v>
      </c>
      <c r="I73" s="13" cm="1">
        <f t="array" ref="I73">INDEX(GMWQ!$A$2:$NF$60,MATCH(1,(GMWQ!$NE$2:$NE$60=I$3)*(GMWQ!$ND$2:$ND$60=I$4)*(GMWQ!$NF$2:$NF$60=I$1),0),$E73-1966)</f>
        <v>39834</v>
      </c>
      <c r="J73" s="13" cm="1">
        <f t="array" ref="J73">INDEX(GMWQ!$A$2:$NF$60,MATCH(1,(GMWQ!$NE$2:$NE$60=J$3)*(GMWQ!$ND$2:$ND$60=J$4)*(GMWQ!$NF$2:$NF$60=J$1),0),$E73-1966)</f>
        <v>155370</v>
      </c>
      <c r="K73" s="13" cm="1">
        <f t="array" ref="K73">INDEX(GMWQ!$A$2:$NF$60,MATCH(1,(GMWQ!$NE$2:$NE$60=K$3)*(GMWQ!$ND$2:$ND$60=K$4)*(GMWQ!$NF$2:$NF$60=K$1),0),$E73-1966)</f>
        <v>63022</v>
      </c>
      <c r="L73" s="13" cm="1">
        <f t="array" ref="L73">INDEX(GMWQ!$A$2:$NF$60,MATCH(1,(GMWQ!$NE$2:$NE$60=L$3)*(GMWQ!$ND$2:$ND$60=L$4)*(GMWQ!$NF$2:$NF$60=L$1),0),$E73-1966)</f>
        <v>97490</v>
      </c>
      <c r="M73" s="13" cm="1">
        <f t="array" ref="M73">INDEX(GMWQ!$A$2:$NF$60,MATCH(1,(GMWQ!$NE$2:$NE$60=M$3)*(GMWQ!$ND$2:$ND$60=M$4)*(GMWQ!$NF$2:$NF$60=M$1),0),$E73-1966)</f>
        <v>209872</v>
      </c>
      <c r="N73" s="13" cm="1">
        <f t="array" ref="N73">INDEX(GMWQ!$A$2:$NF$60,MATCH(1,(GMWQ!$NE$2:$NE$60=N$3)*(GMWQ!$ND$2:$ND$60=N$4)*(GMWQ!$NF$2:$NF$60=N$1),0),$E73-1966)</f>
        <v>47.012500000000003</v>
      </c>
      <c r="O73" s="13" cm="1">
        <f t="array" ref="O73">INDEX(GMWQ!$A$2:$NF$60,MATCH(1,(GMWQ!$NE$2:$NE$60=O$3)*(GMWQ!$ND$2:$ND$60=O$4)*(GMWQ!$NF$2:$NF$60=O$1),0),$E73-1966)</f>
        <v>26795</v>
      </c>
      <c r="P73" s="13" cm="1">
        <f t="array" ref="P73">INDEX(GMWQ!$A$2:$NF$60,MATCH(1,(GMWQ!$NE$2:$NE$60=P$3)*(GMWQ!$ND$2:$ND$60=P$4)*(GMWQ!$NF$2:$NF$60=P$1),0),$E73-1966)</f>
        <v>26795</v>
      </c>
      <c r="Q73" s="13" cm="1">
        <f t="array" ref="Q73">INDEX(GMWQ!$A$2:$NF$60,MATCH(1,(GMWQ!$NE$2:$NE$60=Q$3)*(GMWQ!$ND$2:$ND$60=Q$4)*(GMWQ!$NF$2:$NF$60=Q$1),0),$E73-1966)</f>
        <v>26795</v>
      </c>
    </row>
    <row r="74" spans="1:17" x14ac:dyDescent="0.25">
      <c r="B74" s="13">
        <f t="shared" si="6"/>
        <v>1989</v>
      </c>
      <c r="C74" s="13">
        <f t="shared" si="6"/>
        <v>1989</v>
      </c>
      <c r="E74" s="13">
        <f t="shared" si="5"/>
        <v>2040</v>
      </c>
      <c r="F74" s="13" cm="1">
        <f t="array" ref="F74">INDEX(GMWQ!$A$2:$NF$60,MATCH(1,(GMWQ!$NE$2:$NE$60=F$3)*(GMWQ!$ND$2:$ND$60=F$4)*(GMWQ!$NF$2:$NF$60=F$1),0),$E74-1966)</f>
        <v>56.612250000000003</v>
      </c>
      <c r="G74" s="13" cm="1">
        <f t="array" ref="G74">INDEX(GMWQ!$A$2:$NF$60,MATCH(1,(GMWQ!$NE$2:$NE$60=G$3)*(GMWQ!$ND$2:$ND$60=G$4)*(GMWQ!$NF$2:$NF$60=G$1),0),$E74-1966)</f>
        <v>5609</v>
      </c>
      <c r="H74" s="13" cm="1">
        <f t="array" ref="H74">INDEX(GMWQ!$A$2:$NF$60,MATCH(1,(GMWQ!$NE$2:$NE$60=H$3)*(GMWQ!$ND$2:$ND$60=H$4)*(GMWQ!$NF$2:$NF$60=H$1),0),$E74-1966)</f>
        <v>165.39500000000001</v>
      </c>
      <c r="I74" s="13" cm="1">
        <f t="array" ref="I74">INDEX(GMWQ!$A$2:$NF$60,MATCH(1,(GMWQ!$NE$2:$NE$60=I$3)*(GMWQ!$ND$2:$ND$60=I$4)*(GMWQ!$NF$2:$NF$60=I$1),0),$E74-1966)</f>
        <v>40680</v>
      </c>
      <c r="J74" s="13" cm="1">
        <f t="array" ref="J74">INDEX(GMWQ!$A$2:$NF$60,MATCH(1,(GMWQ!$NE$2:$NE$60=J$3)*(GMWQ!$ND$2:$ND$60=J$4)*(GMWQ!$NF$2:$NF$60=J$1),0),$E74-1966)</f>
        <v>159376</v>
      </c>
      <c r="K74" s="13" cm="1">
        <f t="array" ref="K74">INDEX(GMWQ!$A$2:$NF$60,MATCH(1,(GMWQ!$NE$2:$NE$60=K$3)*(GMWQ!$ND$2:$ND$60=K$4)*(GMWQ!$NF$2:$NF$60=K$1),0),$E74-1966)</f>
        <v>65073</v>
      </c>
      <c r="L74" s="13" cm="1">
        <f t="array" ref="L74">INDEX(GMWQ!$A$2:$NF$60,MATCH(1,(GMWQ!$NE$2:$NE$60=L$3)*(GMWQ!$ND$2:$ND$60=L$4)*(GMWQ!$NF$2:$NF$60=L$1),0),$E74-1966)</f>
        <v>98361</v>
      </c>
      <c r="M74" s="13" cm="1">
        <f t="array" ref="M74">INDEX(GMWQ!$A$2:$NF$60,MATCH(1,(GMWQ!$NE$2:$NE$60=M$3)*(GMWQ!$ND$2:$ND$60=M$4)*(GMWQ!$NF$2:$NF$60=M$1),0),$E74-1966)</f>
        <v>207949</v>
      </c>
      <c r="N74" s="13" cm="1">
        <f t="array" ref="N74">INDEX(GMWQ!$A$2:$NF$60,MATCH(1,(GMWQ!$NE$2:$NE$60=N$3)*(GMWQ!$ND$2:$ND$60=N$4)*(GMWQ!$NF$2:$NF$60=N$1),0),$E74-1966)</f>
        <v>47.891399999999997</v>
      </c>
      <c r="O74" s="13" cm="1">
        <f t="array" ref="O74">INDEX(GMWQ!$A$2:$NF$60,MATCH(1,(GMWQ!$NE$2:$NE$60=O$3)*(GMWQ!$ND$2:$ND$60=O$4)*(GMWQ!$NF$2:$NF$60=O$1),0),$E74-1966)</f>
        <v>26880</v>
      </c>
      <c r="P74" s="13" cm="1">
        <f t="array" ref="P74">INDEX(GMWQ!$A$2:$NF$60,MATCH(1,(GMWQ!$NE$2:$NE$60=P$3)*(GMWQ!$ND$2:$ND$60=P$4)*(GMWQ!$NF$2:$NF$60=P$1),0),$E74-1966)</f>
        <v>26880</v>
      </c>
      <c r="Q74" s="13" cm="1">
        <f t="array" ref="Q74">INDEX(GMWQ!$A$2:$NF$60,MATCH(1,(GMWQ!$NE$2:$NE$60=Q$3)*(GMWQ!$ND$2:$ND$60=Q$4)*(GMWQ!$NF$2:$NF$60=Q$1),0),$E74-1966)</f>
        <v>26880</v>
      </c>
    </row>
    <row r="75" spans="1:17" x14ac:dyDescent="0.25">
      <c r="A75" s="13">
        <v>1990</v>
      </c>
      <c r="B75" s="13">
        <f t="shared" si="6"/>
        <v>1990</v>
      </c>
      <c r="C75" s="13">
        <f t="shared" si="6"/>
        <v>1989</v>
      </c>
      <c r="D75" s="13">
        <f t="shared" si="6"/>
        <v>1989</v>
      </c>
      <c r="E75" s="13">
        <f t="shared" si="5"/>
        <v>2041</v>
      </c>
      <c r="F75" s="13" cm="1">
        <f t="array" ref="F75">INDEX(GMWQ!$A$2:$NF$60,MATCH(1,(GMWQ!$NE$2:$NE$60=F$3)*(GMWQ!$ND$2:$ND$60=F$4)*(GMWQ!$NF$2:$NF$60=F$1),0),$E75-1966)</f>
        <v>57.932279999999999</v>
      </c>
      <c r="G75" s="13" cm="1">
        <f t="array" ref="G75">INDEX(GMWQ!$A$2:$NF$60,MATCH(1,(GMWQ!$NE$2:$NE$60=G$3)*(GMWQ!$ND$2:$ND$60=G$4)*(GMWQ!$NF$2:$NF$60=G$1),0),$E75-1966)</f>
        <v>5594</v>
      </c>
      <c r="H75" s="13" cm="1">
        <f t="array" ref="H75">INDEX(GMWQ!$A$2:$NF$60,MATCH(1,(GMWQ!$NE$2:$NE$60=H$3)*(GMWQ!$ND$2:$ND$60=H$4)*(GMWQ!$NF$2:$NF$60=H$1),0),$E75-1966)</f>
        <v>167.1534</v>
      </c>
      <c r="I75" s="13" cm="1">
        <f t="array" ref="I75">INDEX(GMWQ!$A$2:$NF$60,MATCH(1,(GMWQ!$NE$2:$NE$60=I$3)*(GMWQ!$ND$2:$ND$60=I$4)*(GMWQ!$NF$2:$NF$60=I$1),0),$E75-1966)</f>
        <v>40800</v>
      </c>
      <c r="J75" s="13" cm="1">
        <f t="array" ref="J75">INDEX(GMWQ!$A$2:$NF$60,MATCH(1,(GMWQ!$NE$2:$NE$60=J$3)*(GMWQ!$ND$2:$ND$60=J$4)*(GMWQ!$NF$2:$NF$60=J$1),0),$E75-1966)</f>
        <v>163056</v>
      </c>
      <c r="K75" s="13" cm="1">
        <f t="array" ref="K75">INDEX(GMWQ!$A$2:$NF$60,MATCH(1,(GMWQ!$NE$2:$NE$60=K$3)*(GMWQ!$ND$2:$ND$60=K$4)*(GMWQ!$NF$2:$NF$60=K$1),0),$E75-1966)</f>
        <v>67024</v>
      </c>
      <c r="L75" s="13" cm="1">
        <f t="array" ref="L75">INDEX(GMWQ!$A$2:$NF$60,MATCH(1,(GMWQ!$NE$2:$NE$60=L$3)*(GMWQ!$ND$2:$ND$60=L$4)*(GMWQ!$NF$2:$NF$60=L$1),0),$E75-1966)</f>
        <v>102928</v>
      </c>
      <c r="M75" s="13" cm="1">
        <f t="array" ref="M75">INDEX(GMWQ!$A$2:$NF$60,MATCH(1,(GMWQ!$NE$2:$NE$60=M$3)*(GMWQ!$ND$2:$ND$60=M$4)*(GMWQ!$NF$2:$NF$60=M$1),0),$E75-1966)</f>
        <v>213872</v>
      </c>
      <c r="N75" s="13" cm="1">
        <f t="array" ref="N75">INDEX(GMWQ!$A$2:$NF$60,MATCH(1,(GMWQ!$NE$2:$NE$60=N$3)*(GMWQ!$ND$2:$ND$60=N$4)*(GMWQ!$NF$2:$NF$60=N$1),0),$E75-1966)</f>
        <v>48.684229999999999</v>
      </c>
      <c r="O75" s="13" cm="1">
        <f t="array" ref="O75">INDEX(GMWQ!$A$2:$NF$60,MATCH(1,(GMWQ!$NE$2:$NE$60=O$3)*(GMWQ!$ND$2:$ND$60=O$4)*(GMWQ!$NF$2:$NF$60=O$1),0),$E75-1966)</f>
        <v>26900</v>
      </c>
      <c r="P75" s="13" cm="1">
        <f t="array" ref="P75">INDEX(GMWQ!$A$2:$NF$60,MATCH(1,(GMWQ!$NE$2:$NE$60=P$3)*(GMWQ!$ND$2:$ND$60=P$4)*(GMWQ!$NF$2:$NF$60=P$1),0),$E75-1966)</f>
        <v>26900</v>
      </c>
      <c r="Q75" s="13" cm="1">
        <f t="array" ref="Q75">INDEX(GMWQ!$A$2:$NF$60,MATCH(1,(GMWQ!$NE$2:$NE$60=Q$3)*(GMWQ!$ND$2:$ND$60=Q$4)*(GMWQ!$NF$2:$NF$60=Q$1),0),$E75-1966)</f>
        <v>26900</v>
      </c>
    </row>
    <row r="76" spans="1:17" x14ac:dyDescent="0.25">
      <c r="B76" s="13">
        <f t="shared" ref="B76:D91" si="7">+B72+1</f>
        <v>1990</v>
      </c>
      <c r="C76" s="13">
        <f t="shared" si="7"/>
        <v>1990</v>
      </c>
      <c r="E76" s="13">
        <f t="shared" si="5"/>
        <v>2042</v>
      </c>
      <c r="F76" s="13" cm="1">
        <f t="array" ref="F76">INDEX(GMWQ!$A$2:$NF$60,MATCH(1,(GMWQ!$NE$2:$NE$60=F$3)*(GMWQ!$ND$2:$ND$60=F$4)*(GMWQ!$NF$2:$NF$60=F$1),0),$E76-1966)</f>
        <v>58.926490000000001</v>
      </c>
      <c r="G76" s="13" cm="1">
        <f t="array" ref="G76">INDEX(GMWQ!$A$2:$NF$60,MATCH(1,(GMWQ!$NE$2:$NE$60=G$3)*(GMWQ!$ND$2:$ND$60=G$4)*(GMWQ!$NF$2:$NF$60=G$1),0),$E76-1966)</f>
        <v>5782</v>
      </c>
      <c r="H76" s="13" cm="1">
        <f t="array" ref="H76">INDEX(GMWQ!$A$2:$NF$60,MATCH(1,(GMWQ!$NE$2:$NE$60=H$3)*(GMWQ!$ND$2:$ND$60=H$4)*(GMWQ!$NF$2:$NF$60=H$1),0),$E76-1966)</f>
        <v>174.4332</v>
      </c>
      <c r="I76" s="13" cm="1">
        <f t="array" ref="I76">INDEX(GMWQ!$A$2:$NF$60,MATCH(1,(GMWQ!$NE$2:$NE$60=I$3)*(GMWQ!$ND$2:$ND$60=I$4)*(GMWQ!$NF$2:$NF$60=I$1),0),$E76-1966)</f>
        <v>41606</v>
      </c>
      <c r="J76" s="13" cm="1">
        <f t="array" ref="J76">INDEX(GMWQ!$A$2:$NF$60,MATCH(1,(GMWQ!$NE$2:$NE$60=J$3)*(GMWQ!$ND$2:$ND$60=J$4)*(GMWQ!$NF$2:$NF$60=J$1),0),$E76-1966)</f>
        <v>166719</v>
      </c>
      <c r="K76" s="13" cm="1">
        <f t="array" ref="K76">INDEX(GMWQ!$A$2:$NF$60,MATCH(1,(GMWQ!$NE$2:$NE$60=K$3)*(GMWQ!$ND$2:$ND$60=K$4)*(GMWQ!$NF$2:$NF$60=K$1),0),$E76-1966)</f>
        <v>68633</v>
      </c>
      <c r="L76" s="13" cm="1">
        <f t="array" ref="L76">INDEX(GMWQ!$A$2:$NF$60,MATCH(1,(GMWQ!$NE$2:$NE$60=L$3)*(GMWQ!$ND$2:$ND$60=L$4)*(GMWQ!$NF$2:$NF$60=L$1),0),$E76-1966)</f>
        <v>103890</v>
      </c>
      <c r="M76" s="13" cm="1">
        <f t="array" ref="M76">INDEX(GMWQ!$A$2:$NF$60,MATCH(1,(GMWQ!$NE$2:$NE$60=M$3)*(GMWQ!$ND$2:$ND$60=M$4)*(GMWQ!$NF$2:$NF$60=M$1),0),$E76-1966)</f>
        <v>211391</v>
      </c>
      <c r="N76" s="13" cm="1">
        <f t="array" ref="N76">INDEX(GMWQ!$A$2:$NF$60,MATCH(1,(GMWQ!$NE$2:$NE$60=N$3)*(GMWQ!$ND$2:$ND$60=N$4)*(GMWQ!$NF$2:$NF$60=N$1),0),$E76-1966)</f>
        <v>49.740929999999999</v>
      </c>
      <c r="O76" s="13" cm="1">
        <f t="array" ref="O76">INDEX(GMWQ!$A$2:$NF$60,MATCH(1,(GMWQ!$NE$2:$NE$60=O$3)*(GMWQ!$ND$2:$ND$60=O$4)*(GMWQ!$NF$2:$NF$60=O$1),0),$E76-1966)</f>
        <v>26935</v>
      </c>
      <c r="P76" s="13" cm="1">
        <f t="array" ref="P76">INDEX(GMWQ!$A$2:$NF$60,MATCH(1,(GMWQ!$NE$2:$NE$60=P$3)*(GMWQ!$ND$2:$ND$60=P$4)*(GMWQ!$NF$2:$NF$60=P$1),0),$E76-1966)</f>
        <v>26935</v>
      </c>
      <c r="Q76" s="13" cm="1">
        <f t="array" ref="Q76">INDEX(GMWQ!$A$2:$NF$60,MATCH(1,(GMWQ!$NE$2:$NE$60=Q$3)*(GMWQ!$ND$2:$ND$60=Q$4)*(GMWQ!$NF$2:$NF$60=Q$1),0),$E76-1966)</f>
        <v>26935</v>
      </c>
    </row>
    <row r="77" spans="1:17" x14ac:dyDescent="0.25">
      <c r="B77" s="13">
        <f t="shared" si="7"/>
        <v>1990</v>
      </c>
      <c r="C77" s="13">
        <f t="shared" si="7"/>
        <v>1990</v>
      </c>
      <c r="E77" s="13">
        <f t="shared" si="5"/>
        <v>2043</v>
      </c>
      <c r="F77" s="13" cm="1">
        <f t="array" ref="F77">INDEX(GMWQ!$A$2:$NF$60,MATCH(1,(GMWQ!$NE$2:$NE$60=F$3)*(GMWQ!$ND$2:$ND$60=F$4)*(GMWQ!$NF$2:$NF$60=F$1),0),$E77-1966)</f>
        <v>60.597549999999998</v>
      </c>
      <c r="G77" s="13" cm="1">
        <f t="array" ref="G77">INDEX(GMWQ!$A$2:$NF$60,MATCH(1,(GMWQ!$NE$2:$NE$60=G$3)*(GMWQ!$ND$2:$ND$60=G$4)*(GMWQ!$NF$2:$NF$60=G$1),0),$E77-1966)</f>
        <v>5930</v>
      </c>
      <c r="H77" s="13" cm="1">
        <f t="array" ref="H77">INDEX(GMWQ!$A$2:$NF$60,MATCH(1,(GMWQ!$NE$2:$NE$60=H$3)*(GMWQ!$ND$2:$ND$60=H$4)*(GMWQ!$NF$2:$NF$60=H$1),0),$E77-1966)</f>
        <v>181.6447</v>
      </c>
      <c r="I77" s="13" cm="1">
        <f t="array" ref="I77">INDEX(GMWQ!$A$2:$NF$60,MATCH(1,(GMWQ!$NE$2:$NE$60=I$3)*(GMWQ!$ND$2:$ND$60=I$4)*(GMWQ!$NF$2:$NF$60=I$1),0),$E77-1966)</f>
        <v>42072</v>
      </c>
      <c r="J77" s="13" cm="1">
        <f t="array" ref="J77">INDEX(GMWQ!$A$2:$NF$60,MATCH(1,(GMWQ!$NE$2:$NE$60=J$3)*(GMWQ!$ND$2:$ND$60=J$4)*(GMWQ!$NF$2:$NF$60=J$1),0),$E77-1966)</f>
        <v>170068</v>
      </c>
      <c r="K77" s="13" cm="1">
        <f t="array" ref="K77">INDEX(GMWQ!$A$2:$NF$60,MATCH(1,(GMWQ!$NE$2:$NE$60=K$3)*(GMWQ!$ND$2:$ND$60=K$4)*(GMWQ!$NF$2:$NF$60=K$1),0),$E77-1966)</f>
        <v>69705</v>
      </c>
      <c r="L77" s="13" cm="1">
        <f t="array" ref="L77">INDEX(GMWQ!$A$2:$NF$60,MATCH(1,(GMWQ!$NE$2:$NE$60=L$3)*(GMWQ!$ND$2:$ND$60=L$4)*(GMWQ!$NF$2:$NF$60=L$1),0),$E77-1966)</f>
        <v>107142</v>
      </c>
      <c r="M77" s="13" cm="1">
        <f t="array" ref="M77">INDEX(GMWQ!$A$2:$NF$60,MATCH(1,(GMWQ!$NE$2:$NE$60=M$3)*(GMWQ!$ND$2:$ND$60=M$4)*(GMWQ!$NF$2:$NF$60=M$1),0),$E77-1966)</f>
        <v>213462</v>
      </c>
      <c r="N77" s="13" cm="1">
        <f t="array" ref="N77">INDEX(GMWQ!$A$2:$NF$60,MATCH(1,(GMWQ!$NE$2:$NE$60=N$3)*(GMWQ!$ND$2:$ND$60=N$4)*(GMWQ!$NF$2:$NF$60=N$1),0),$E77-1966)</f>
        <v>50.820700000000002</v>
      </c>
      <c r="O77" s="13" cm="1">
        <f t="array" ref="O77">INDEX(GMWQ!$A$2:$NF$60,MATCH(1,(GMWQ!$NE$2:$NE$60=O$3)*(GMWQ!$ND$2:$ND$60=O$4)*(GMWQ!$NF$2:$NF$60=O$1),0),$E77-1966)</f>
        <v>26900</v>
      </c>
      <c r="P77" s="13" cm="1">
        <f t="array" ref="P77">INDEX(GMWQ!$A$2:$NF$60,MATCH(1,(GMWQ!$NE$2:$NE$60=P$3)*(GMWQ!$ND$2:$ND$60=P$4)*(GMWQ!$NF$2:$NF$60=P$1),0),$E77-1966)</f>
        <v>26900</v>
      </c>
      <c r="Q77" s="13" cm="1">
        <f t="array" ref="Q77">INDEX(GMWQ!$A$2:$NF$60,MATCH(1,(GMWQ!$NE$2:$NE$60=Q$3)*(GMWQ!$ND$2:$ND$60=Q$4)*(GMWQ!$NF$2:$NF$60=Q$1),0),$E77-1966)</f>
        <v>26900</v>
      </c>
    </row>
    <row r="78" spans="1:17" x14ac:dyDescent="0.25">
      <c r="B78" s="13">
        <f t="shared" si="7"/>
        <v>1990</v>
      </c>
      <c r="C78" s="13">
        <f t="shared" si="7"/>
        <v>1990</v>
      </c>
      <c r="E78" s="13">
        <f t="shared" si="5"/>
        <v>2044</v>
      </c>
      <c r="F78" s="13" cm="1">
        <f t="array" ref="F78">INDEX(GMWQ!$A$2:$NF$60,MATCH(1,(GMWQ!$NE$2:$NE$60=F$3)*(GMWQ!$ND$2:$ND$60=F$4)*(GMWQ!$NF$2:$NF$60=F$1),0),$E78-1966)</f>
        <v>61.549779999999998</v>
      </c>
      <c r="G78" s="13" cm="1">
        <f t="array" ref="G78">INDEX(GMWQ!$A$2:$NF$60,MATCH(1,(GMWQ!$NE$2:$NE$60=G$3)*(GMWQ!$ND$2:$ND$60=G$4)*(GMWQ!$NF$2:$NF$60=G$1),0),$E78-1966)</f>
        <v>6012</v>
      </c>
      <c r="H78" s="13" cm="1">
        <f t="array" ref="H78">INDEX(GMWQ!$A$2:$NF$60,MATCH(1,(GMWQ!$NE$2:$NE$60=H$3)*(GMWQ!$ND$2:$ND$60=H$4)*(GMWQ!$NF$2:$NF$60=H$1),0),$E78-1966)</f>
        <v>185.41390000000001</v>
      </c>
      <c r="I78" s="13" cm="1">
        <f t="array" ref="I78">INDEX(GMWQ!$A$2:$NF$60,MATCH(1,(GMWQ!$NE$2:$NE$60=I$3)*(GMWQ!$ND$2:$ND$60=I$4)*(GMWQ!$NF$2:$NF$60=I$1),0),$E78-1966)</f>
        <v>42207</v>
      </c>
      <c r="J78" s="13" cm="1">
        <f t="array" ref="J78">INDEX(GMWQ!$A$2:$NF$60,MATCH(1,(GMWQ!$NE$2:$NE$60=J$3)*(GMWQ!$ND$2:$ND$60=J$4)*(GMWQ!$NF$2:$NF$60=J$1),0),$E78-1966)</f>
        <v>170954</v>
      </c>
      <c r="K78" s="13" cm="1">
        <f t="array" ref="K78">INDEX(GMWQ!$A$2:$NF$60,MATCH(1,(GMWQ!$NE$2:$NE$60=K$3)*(GMWQ!$ND$2:$ND$60=K$4)*(GMWQ!$NF$2:$NF$60=K$1),0),$E78-1966)</f>
        <v>70275</v>
      </c>
      <c r="L78" s="13" cm="1">
        <f t="array" ref="L78">INDEX(GMWQ!$A$2:$NF$60,MATCH(1,(GMWQ!$NE$2:$NE$60=L$3)*(GMWQ!$ND$2:$ND$60=L$4)*(GMWQ!$NF$2:$NF$60=L$1),0),$E78-1966)</f>
        <v>110535</v>
      </c>
      <c r="M78" s="13" cm="1">
        <f t="array" ref="M78">INDEX(GMWQ!$A$2:$NF$60,MATCH(1,(GMWQ!$NE$2:$NE$60=M$3)*(GMWQ!$ND$2:$ND$60=M$4)*(GMWQ!$NF$2:$NF$60=M$1),0),$E78-1966)</f>
        <v>216821</v>
      </c>
      <c r="N78" s="13" cm="1">
        <f t="array" ref="N78">INDEX(GMWQ!$A$2:$NF$60,MATCH(1,(GMWQ!$NE$2:$NE$60=N$3)*(GMWQ!$ND$2:$ND$60=N$4)*(GMWQ!$NF$2:$NF$60=N$1),0),$E78-1966)</f>
        <v>51.63449</v>
      </c>
      <c r="O78" s="13" cm="1">
        <f t="array" ref="O78">INDEX(GMWQ!$A$2:$NF$60,MATCH(1,(GMWQ!$NE$2:$NE$60=O$3)*(GMWQ!$ND$2:$ND$60=O$4)*(GMWQ!$NF$2:$NF$60=O$1),0),$E78-1966)</f>
        <v>26750</v>
      </c>
      <c r="P78" s="13" cm="1">
        <f t="array" ref="P78">INDEX(GMWQ!$A$2:$NF$60,MATCH(1,(GMWQ!$NE$2:$NE$60=P$3)*(GMWQ!$ND$2:$ND$60=P$4)*(GMWQ!$NF$2:$NF$60=P$1),0),$E78-1966)</f>
        <v>26750</v>
      </c>
      <c r="Q78" s="13" cm="1">
        <f t="array" ref="Q78">INDEX(GMWQ!$A$2:$NF$60,MATCH(1,(GMWQ!$NE$2:$NE$60=Q$3)*(GMWQ!$ND$2:$ND$60=Q$4)*(GMWQ!$NF$2:$NF$60=Q$1),0),$E78-1966)</f>
        <v>26750</v>
      </c>
    </row>
    <row r="79" spans="1:17" x14ac:dyDescent="0.25">
      <c r="A79" s="13">
        <v>1991</v>
      </c>
      <c r="B79" s="13">
        <f t="shared" si="7"/>
        <v>1991</v>
      </c>
      <c r="C79" s="13">
        <f t="shared" si="7"/>
        <v>1990</v>
      </c>
      <c r="D79" s="13">
        <f t="shared" si="7"/>
        <v>1990</v>
      </c>
      <c r="E79" s="13">
        <f t="shared" si="5"/>
        <v>2045</v>
      </c>
      <c r="F79" s="13" cm="1">
        <f t="array" ref="F79">INDEX(GMWQ!$A$2:$NF$60,MATCH(1,(GMWQ!$NE$2:$NE$60=F$3)*(GMWQ!$ND$2:$ND$60=F$4)*(GMWQ!$NF$2:$NF$60=F$1),0),$E79-1966)</f>
        <v>62.954430000000002</v>
      </c>
      <c r="G79" s="13" cm="1">
        <f t="array" ref="G79">INDEX(GMWQ!$A$2:$NF$60,MATCH(1,(GMWQ!$NE$2:$NE$60=G$3)*(GMWQ!$ND$2:$ND$60=G$4)*(GMWQ!$NF$2:$NF$60=G$1),0),$E79-1966)</f>
        <v>5974</v>
      </c>
      <c r="H79" s="13" cm="1">
        <f t="array" ref="H79">INDEX(GMWQ!$A$2:$NF$60,MATCH(1,(GMWQ!$NE$2:$NE$60=H$3)*(GMWQ!$ND$2:$ND$60=H$4)*(GMWQ!$NF$2:$NF$60=H$1),0),$E79-1966)</f>
        <v>187.09540000000001</v>
      </c>
      <c r="I79" s="13" cm="1">
        <f t="array" ref="I79">INDEX(GMWQ!$A$2:$NF$60,MATCH(1,(GMWQ!$NE$2:$NE$60=I$3)*(GMWQ!$ND$2:$ND$60=I$4)*(GMWQ!$NF$2:$NF$60=I$1),0),$E79-1966)</f>
        <v>41614</v>
      </c>
      <c r="J79" s="13" cm="1">
        <f t="array" ref="J79">INDEX(GMWQ!$A$2:$NF$60,MATCH(1,(GMWQ!$NE$2:$NE$60=J$3)*(GMWQ!$ND$2:$ND$60=J$4)*(GMWQ!$NF$2:$NF$60=J$1),0),$E79-1966)</f>
        <v>173192</v>
      </c>
      <c r="K79" s="13" cm="1">
        <f t="array" ref="K79">INDEX(GMWQ!$A$2:$NF$60,MATCH(1,(GMWQ!$NE$2:$NE$60=K$3)*(GMWQ!$ND$2:$ND$60=K$4)*(GMWQ!$NF$2:$NF$60=K$1),0),$E79-1966)</f>
        <v>71362</v>
      </c>
      <c r="L79" s="13" cm="1">
        <f t="array" ref="L79">INDEX(GMWQ!$A$2:$NF$60,MATCH(1,(GMWQ!$NE$2:$NE$60=L$3)*(GMWQ!$ND$2:$ND$60=L$4)*(GMWQ!$NF$2:$NF$60=L$1),0),$E79-1966)</f>
        <v>113229</v>
      </c>
      <c r="M79" s="13" cm="1">
        <f t="array" ref="M79">INDEX(GMWQ!$A$2:$NF$60,MATCH(1,(GMWQ!$NE$2:$NE$60=M$3)*(GMWQ!$ND$2:$ND$60=M$4)*(GMWQ!$NF$2:$NF$60=M$1),0),$E79-1966)</f>
        <v>218128</v>
      </c>
      <c r="N79" s="13" cm="1">
        <f t="array" ref="N79">INDEX(GMWQ!$A$2:$NF$60,MATCH(1,(GMWQ!$NE$2:$NE$60=N$3)*(GMWQ!$ND$2:$ND$60=N$4)*(GMWQ!$NF$2:$NF$60=N$1),0),$E79-1966)</f>
        <v>52.673259999999999</v>
      </c>
      <c r="O79" s="13" cm="1">
        <f t="array" ref="O79">INDEX(GMWQ!$A$2:$NF$60,MATCH(1,(GMWQ!$NE$2:$NE$60=O$3)*(GMWQ!$ND$2:$ND$60=O$4)*(GMWQ!$NF$2:$NF$60=O$1),0),$E79-1966)</f>
        <v>26530</v>
      </c>
      <c r="P79" s="13" cm="1">
        <f t="array" ref="P79">INDEX(GMWQ!$A$2:$NF$60,MATCH(1,(GMWQ!$NE$2:$NE$60=P$3)*(GMWQ!$ND$2:$ND$60=P$4)*(GMWQ!$NF$2:$NF$60=P$1),0),$E79-1966)</f>
        <v>26530</v>
      </c>
      <c r="Q79" s="13" cm="1">
        <f t="array" ref="Q79">INDEX(GMWQ!$A$2:$NF$60,MATCH(1,(GMWQ!$NE$2:$NE$60=Q$3)*(GMWQ!$ND$2:$ND$60=Q$4)*(GMWQ!$NF$2:$NF$60=Q$1),0),$E79-1966)</f>
        <v>26530</v>
      </c>
    </row>
    <row r="80" spans="1:17" x14ac:dyDescent="0.25">
      <c r="B80" s="13">
        <f t="shared" si="7"/>
        <v>1991</v>
      </c>
      <c r="C80" s="13">
        <f t="shared" si="7"/>
        <v>1991</v>
      </c>
      <c r="E80" s="13">
        <f t="shared" si="5"/>
        <v>2046</v>
      </c>
      <c r="F80" s="13" cm="1">
        <f t="array" ref="F80">INDEX(GMWQ!$A$2:$NF$60,MATCH(1,(GMWQ!$NE$2:$NE$60=F$3)*(GMWQ!$ND$2:$ND$60=F$4)*(GMWQ!$NF$2:$NF$60=F$1),0),$E80-1966)</f>
        <v>64.018299999999996</v>
      </c>
      <c r="G80" s="13" cm="1">
        <f t="array" ref="G80">INDEX(GMWQ!$A$2:$NF$60,MATCH(1,(GMWQ!$NE$2:$NE$60=G$3)*(GMWQ!$ND$2:$ND$60=G$4)*(GMWQ!$NF$2:$NF$60=G$1),0),$E80-1966)</f>
        <v>6126</v>
      </c>
      <c r="H80" s="13" cm="1">
        <f t="array" ref="H80">INDEX(GMWQ!$A$2:$NF$60,MATCH(1,(GMWQ!$NE$2:$NE$60=H$3)*(GMWQ!$ND$2:$ND$60=H$4)*(GMWQ!$NF$2:$NF$60=H$1),0),$E80-1966)</f>
        <v>192.89080000000001</v>
      </c>
      <c r="I80" s="13" cm="1">
        <f t="array" ref="I80">INDEX(GMWQ!$A$2:$NF$60,MATCH(1,(GMWQ!$NE$2:$NE$60=I$3)*(GMWQ!$ND$2:$ND$60=I$4)*(GMWQ!$NF$2:$NF$60=I$1),0),$E80-1966)</f>
        <v>41313</v>
      </c>
      <c r="J80" s="13" cm="1">
        <f t="array" ref="J80">INDEX(GMWQ!$A$2:$NF$60,MATCH(1,(GMWQ!$NE$2:$NE$60=J$3)*(GMWQ!$ND$2:$ND$60=J$4)*(GMWQ!$NF$2:$NF$60=J$1),0),$E80-1966)</f>
        <v>175822</v>
      </c>
      <c r="K80" s="13" cm="1">
        <f t="array" ref="K80">INDEX(GMWQ!$A$2:$NF$60,MATCH(1,(GMWQ!$NE$2:$NE$60=K$3)*(GMWQ!$ND$2:$ND$60=K$4)*(GMWQ!$NF$2:$NF$60=K$1),0),$E80-1966)</f>
        <v>72227</v>
      </c>
      <c r="L80" s="13" cm="1">
        <f t="array" ref="L80">INDEX(GMWQ!$A$2:$NF$60,MATCH(1,(GMWQ!$NE$2:$NE$60=L$3)*(GMWQ!$ND$2:$ND$60=L$4)*(GMWQ!$NF$2:$NF$60=L$1),0),$E80-1966)</f>
        <v>113790</v>
      </c>
      <c r="M80" s="13" cm="1">
        <f t="array" ref="M80">INDEX(GMWQ!$A$2:$NF$60,MATCH(1,(GMWQ!$NE$2:$NE$60=M$3)*(GMWQ!$ND$2:$ND$60=M$4)*(GMWQ!$NF$2:$NF$60=M$1),0),$E80-1966)</f>
        <v>214176</v>
      </c>
      <c r="N80" s="13" cm="1">
        <f t="array" ref="N80">INDEX(GMWQ!$A$2:$NF$60,MATCH(1,(GMWQ!$NE$2:$NE$60=N$3)*(GMWQ!$ND$2:$ND$60=N$4)*(GMWQ!$NF$2:$NF$60=N$1),0),$E80-1966)</f>
        <v>53.885460000000002</v>
      </c>
      <c r="O80" s="13" cm="1">
        <f t="array" ref="O80">INDEX(GMWQ!$A$2:$NF$60,MATCH(1,(GMWQ!$NE$2:$NE$60=O$3)*(GMWQ!$ND$2:$ND$60=O$4)*(GMWQ!$NF$2:$NF$60=O$1),0),$E80-1966)</f>
        <v>26275</v>
      </c>
      <c r="P80" s="13" cm="1">
        <f t="array" ref="P80">INDEX(GMWQ!$A$2:$NF$60,MATCH(1,(GMWQ!$NE$2:$NE$60=P$3)*(GMWQ!$ND$2:$ND$60=P$4)*(GMWQ!$NF$2:$NF$60=P$1),0),$E80-1966)</f>
        <v>26275</v>
      </c>
      <c r="Q80" s="13" cm="1">
        <f t="array" ref="Q80">INDEX(GMWQ!$A$2:$NF$60,MATCH(1,(GMWQ!$NE$2:$NE$60=Q$3)*(GMWQ!$ND$2:$ND$60=Q$4)*(GMWQ!$NF$2:$NF$60=Q$1),0),$E80-1966)</f>
        <v>26275</v>
      </c>
    </row>
    <row r="81" spans="1:17" x14ac:dyDescent="0.25">
      <c r="B81" s="13">
        <f t="shared" si="7"/>
        <v>1991</v>
      </c>
      <c r="C81" s="13">
        <f t="shared" si="7"/>
        <v>1991</v>
      </c>
      <c r="E81" s="13">
        <f t="shared" si="5"/>
        <v>2047</v>
      </c>
      <c r="F81" s="13" cm="1">
        <f t="array" ref="F81">INDEX(GMWQ!$A$2:$NF$60,MATCH(1,(GMWQ!$NE$2:$NE$60=F$3)*(GMWQ!$ND$2:$ND$60=F$4)*(GMWQ!$NF$2:$NF$60=F$1),0),$E81-1966)</f>
        <v>65.249420000000001</v>
      </c>
      <c r="G81" s="13" cm="1">
        <f t="array" ref="G81">INDEX(GMWQ!$A$2:$NF$60,MATCH(1,(GMWQ!$NE$2:$NE$60=G$3)*(GMWQ!$ND$2:$ND$60=G$4)*(GMWQ!$NF$2:$NF$60=G$1),0),$E81-1966)</f>
        <v>6125</v>
      </c>
      <c r="H81" s="13" cm="1">
        <f t="array" ref="H81">INDEX(GMWQ!$A$2:$NF$60,MATCH(1,(GMWQ!$NE$2:$NE$60=H$3)*(GMWQ!$ND$2:$ND$60=H$4)*(GMWQ!$NF$2:$NF$60=H$1),0),$E81-1966)</f>
        <v>198.7286</v>
      </c>
      <c r="I81" s="13" cm="1">
        <f t="array" ref="I81">INDEX(GMWQ!$A$2:$NF$60,MATCH(1,(GMWQ!$NE$2:$NE$60=I$3)*(GMWQ!$ND$2:$ND$60=I$4)*(GMWQ!$NF$2:$NF$60=I$1),0),$E81-1966)</f>
        <v>40056</v>
      </c>
      <c r="J81" s="13" cm="1">
        <f t="array" ref="J81">INDEX(GMWQ!$A$2:$NF$60,MATCH(1,(GMWQ!$NE$2:$NE$60=J$3)*(GMWQ!$ND$2:$ND$60=J$4)*(GMWQ!$NF$2:$NF$60=J$1),0),$E81-1966)</f>
        <v>177280</v>
      </c>
      <c r="K81" s="13" cm="1">
        <f t="array" ref="K81">INDEX(GMWQ!$A$2:$NF$60,MATCH(1,(GMWQ!$NE$2:$NE$60=K$3)*(GMWQ!$ND$2:$ND$60=K$4)*(GMWQ!$NF$2:$NF$60=K$1),0),$E81-1966)</f>
        <v>73567</v>
      </c>
      <c r="L81" s="13" cm="1">
        <f t="array" ref="L81">INDEX(GMWQ!$A$2:$NF$60,MATCH(1,(GMWQ!$NE$2:$NE$60=L$3)*(GMWQ!$ND$2:$ND$60=L$4)*(GMWQ!$NF$2:$NF$60=L$1),0),$E81-1966)</f>
        <v>118607</v>
      </c>
      <c r="M81" s="13" cm="1">
        <f t="array" ref="M81">INDEX(GMWQ!$A$2:$NF$60,MATCH(1,(GMWQ!$NE$2:$NE$60=M$3)*(GMWQ!$ND$2:$ND$60=M$4)*(GMWQ!$NF$2:$NF$60=M$1),0),$E81-1966)</f>
        <v>220568</v>
      </c>
      <c r="N81" s="13" cm="1">
        <f t="array" ref="N81">INDEX(GMWQ!$A$2:$NF$60,MATCH(1,(GMWQ!$NE$2:$NE$60=N$3)*(GMWQ!$ND$2:$ND$60=N$4)*(GMWQ!$NF$2:$NF$60=N$1),0),$E81-1966)</f>
        <v>54.572029999999998</v>
      </c>
      <c r="O81" s="13" cm="1">
        <f t="array" ref="O81">INDEX(GMWQ!$A$2:$NF$60,MATCH(1,(GMWQ!$NE$2:$NE$60=O$3)*(GMWQ!$ND$2:$ND$60=O$4)*(GMWQ!$NF$2:$NF$60=O$1),0),$E81-1966)</f>
        <v>26025</v>
      </c>
      <c r="P81" s="13" cm="1">
        <f t="array" ref="P81">INDEX(GMWQ!$A$2:$NF$60,MATCH(1,(GMWQ!$NE$2:$NE$60=P$3)*(GMWQ!$ND$2:$ND$60=P$4)*(GMWQ!$NF$2:$NF$60=P$1),0),$E81-1966)</f>
        <v>26025</v>
      </c>
      <c r="Q81" s="13" cm="1">
        <f t="array" ref="Q81">INDEX(GMWQ!$A$2:$NF$60,MATCH(1,(GMWQ!$NE$2:$NE$60=Q$3)*(GMWQ!$ND$2:$ND$60=Q$4)*(GMWQ!$NF$2:$NF$60=Q$1),0),$E81-1966)</f>
        <v>26025</v>
      </c>
    </row>
    <row r="82" spans="1:17" x14ac:dyDescent="0.25">
      <c r="B82" s="13">
        <f t="shared" si="7"/>
        <v>1991</v>
      </c>
      <c r="C82" s="13">
        <f t="shared" si="7"/>
        <v>1991</v>
      </c>
      <c r="E82" s="13">
        <f t="shared" si="5"/>
        <v>2048</v>
      </c>
      <c r="F82" s="13" cm="1">
        <f t="array" ref="F82">INDEX(GMWQ!$A$2:$NF$60,MATCH(1,(GMWQ!$NE$2:$NE$60=F$3)*(GMWQ!$ND$2:$ND$60=F$4)*(GMWQ!$NF$2:$NF$60=F$1),0),$E82-1966)</f>
        <v>66.141959999999997</v>
      </c>
      <c r="G82" s="13" cm="1">
        <f t="array" ref="G82">INDEX(GMWQ!$A$2:$NF$60,MATCH(1,(GMWQ!$NE$2:$NE$60=G$3)*(GMWQ!$ND$2:$ND$60=G$4)*(GMWQ!$NF$2:$NF$60=G$1),0),$E82-1966)</f>
        <v>6492</v>
      </c>
      <c r="H82" s="13" cm="1">
        <f t="array" ref="H82">INDEX(GMWQ!$A$2:$NF$60,MATCH(1,(GMWQ!$NE$2:$NE$60=H$3)*(GMWQ!$ND$2:$ND$60=H$4)*(GMWQ!$NF$2:$NF$60=H$1),0),$E82-1966)</f>
        <v>202.2243</v>
      </c>
      <c r="I82" s="13" cm="1">
        <f t="array" ref="I82">INDEX(GMWQ!$A$2:$NF$60,MATCH(1,(GMWQ!$NE$2:$NE$60=I$3)*(GMWQ!$ND$2:$ND$60=I$4)*(GMWQ!$NF$2:$NF$60=I$1),0),$E82-1966)</f>
        <v>40341</v>
      </c>
      <c r="J82" s="13" cm="1">
        <f t="array" ref="J82">INDEX(GMWQ!$A$2:$NF$60,MATCH(1,(GMWQ!$NE$2:$NE$60=J$3)*(GMWQ!$ND$2:$ND$60=J$4)*(GMWQ!$NF$2:$NF$60=J$1),0),$E82-1966)</f>
        <v>179590</v>
      </c>
      <c r="K82" s="13" cm="1">
        <f t="array" ref="K82">INDEX(GMWQ!$A$2:$NF$60,MATCH(1,(GMWQ!$NE$2:$NE$60=K$3)*(GMWQ!$ND$2:$ND$60=K$4)*(GMWQ!$NF$2:$NF$60=K$1),0),$E82-1966)</f>
        <v>74440</v>
      </c>
      <c r="L82" s="13" cm="1">
        <f t="array" ref="L82">INDEX(GMWQ!$A$2:$NF$60,MATCH(1,(GMWQ!$NE$2:$NE$60=L$3)*(GMWQ!$ND$2:$ND$60=L$4)*(GMWQ!$NF$2:$NF$60=L$1),0),$E82-1966)</f>
        <v>119800</v>
      </c>
      <c r="M82" s="13" cm="1">
        <f t="array" ref="M82">INDEX(GMWQ!$A$2:$NF$60,MATCH(1,(GMWQ!$NE$2:$NE$60=M$3)*(GMWQ!$ND$2:$ND$60=M$4)*(GMWQ!$NF$2:$NF$60=M$1),0),$E82-1966)</f>
        <v>220151</v>
      </c>
      <c r="N82" s="13" cm="1">
        <f t="array" ref="N82">INDEX(GMWQ!$A$2:$NF$60,MATCH(1,(GMWQ!$NE$2:$NE$60=N$3)*(GMWQ!$ND$2:$ND$60=N$4)*(GMWQ!$NF$2:$NF$60=N$1),0),$E82-1966)</f>
        <v>55.194969999999998</v>
      </c>
      <c r="O82" s="13" cm="1">
        <f t="array" ref="O82">INDEX(GMWQ!$A$2:$NF$60,MATCH(1,(GMWQ!$NE$2:$NE$60=O$3)*(GMWQ!$ND$2:$ND$60=O$4)*(GMWQ!$NF$2:$NF$60=O$1),0),$E82-1966)</f>
        <v>25820</v>
      </c>
      <c r="P82" s="13" cm="1">
        <f t="array" ref="P82">INDEX(GMWQ!$A$2:$NF$60,MATCH(1,(GMWQ!$NE$2:$NE$60=P$3)*(GMWQ!$ND$2:$ND$60=P$4)*(GMWQ!$NF$2:$NF$60=P$1),0),$E82-1966)</f>
        <v>25820</v>
      </c>
      <c r="Q82" s="13" cm="1">
        <f t="array" ref="Q82">INDEX(GMWQ!$A$2:$NF$60,MATCH(1,(GMWQ!$NE$2:$NE$60=Q$3)*(GMWQ!$ND$2:$ND$60=Q$4)*(GMWQ!$NF$2:$NF$60=Q$1),0),$E82-1966)</f>
        <v>25820</v>
      </c>
    </row>
    <row r="83" spans="1:17" x14ac:dyDescent="0.25">
      <c r="A83" s="13">
        <v>1992</v>
      </c>
      <c r="B83" s="13">
        <f t="shared" si="7"/>
        <v>1992</v>
      </c>
      <c r="C83" s="13">
        <f t="shared" si="7"/>
        <v>1991</v>
      </c>
      <c r="D83" s="13">
        <f t="shared" si="7"/>
        <v>1991</v>
      </c>
      <c r="E83" s="13">
        <f t="shared" si="5"/>
        <v>2049</v>
      </c>
      <c r="F83" s="13" cm="1">
        <f t="array" ref="F83">INDEX(GMWQ!$A$2:$NF$60,MATCH(1,(GMWQ!$NE$2:$NE$60=F$3)*(GMWQ!$ND$2:$ND$60=F$4)*(GMWQ!$NF$2:$NF$60=F$1),0),$E83-1966)</f>
        <v>66.781809999999993</v>
      </c>
      <c r="G83" s="13" cm="1">
        <f t="array" ref="G83">INDEX(GMWQ!$A$2:$NF$60,MATCH(1,(GMWQ!$NE$2:$NE$60=G$3)*(GMWQ!$ND$2:$ND$60=G$4)*(GMWQ!$NF$2:$NF$60=G$1),0),$E83-1966)</f>
        <v>6453</v>
      </c>
      <c r="H83" s="13" cm="1">
        <f t="array" ref="H83">INDEX(GMWQ!$A$2:$NF$60,MATCH(1,(GMWQ!$NE$2:$NE$60=H$3)*(GMWQ!$ND$2:$ND$60=H$4)*(GMWQ!$NF$2:$NF$60=H$1),0),$E83-1966)</f>
        <v>203.99180000000001</v>
      </c>
      <c r="I83" s="13" cm="1">
        <f t="array" ref="I83">INDEX(GMWQ!$A$2:$NF$60,MATCH(1,(GMWQ!$NE$2:$NE$60=I$3)*(GMWQ!$ND$2:$ND$60=I$4)*(GMWQ!$NF$2:$NF$60=I$1),0),$E83-1966)</f>
        <v>40279</v>
      </c>
      <c r="J83" s="13" cm="1">
        <f t="array" ref="J83">INDEX(GMWQ!$A$2:$NF$60,MATCH(1,(GMWQ!$NE$2:$NE$60=J$3)*(GMWQ!$ND$2:$ND$60=J$4)*(GMWQ!$NF$2:$NF$60=J$1),0),$E83-1966)</f>
        <v>181438</v>
      </c>
      <c r="K83" s="13" cm="1">
        <f t="array" ref="K83">INDEX(GMWQ!$A$2:$NF$60,MATCH(1,(GMWQ!$NE$2:$NE$60=K$3)*(GMWQ!$ND$2:$ND$60=K$4)*(GMWQ!$NF$2:$NF$60=K$1),0),$E83-1966)</f>
        <v>75209</v>
      </c>
      <c r="L83" s="13" cm="1">
        <f t="array" ref="L83">INDEX(GMWQ!$A$2:$NF$60,MATCH(1,(GMWQ!$NE$2:$NE$60=L$3)*(GMWQ!$ND$2:$ND$60=L$4)*(GMWQ!$NF$2:$NF$60=L$1),0),$E83-1966)</f>
        <v>121876</v>
      </c>
      <c r="M83" s="13" cm="1">
        <f t="array" ref="M83">INDEX(GMWQ!$A$2:$NF$60,MATCH(1,(GMWQ!$NE$2:$NE$60=M$3)*(GMWQ!$ND$2:$ND$60=M$4)*(GMWQ!$NF$2:$NF$60=M$1),0),$E83-1966)</f>
        <v>221591</v>
      </c>
      <c r="N83" s="13" cm="1">
        <f t="array" ref="N83">INDEX(GMWQ!$A$2:$NF$60,MATCH(1,(GMWQ!$NE$2:$NE$60=N$3)*(GMWQ!$ND$2:$ND$60=N$4)*(GMWQ!$NF$2:$NF$60=N$1),0),$E83-1966)</f>
        <v>55.830660000000002</v>
      </c>
      <c r="O83" s="13" cm="1">
        <f t="array" ref="O83">INDEX(GMWQ!$A$2:$NF$60,MATCH(1,(GMWQ!$NE$2:$NE$60=O$3)*(GMWQ!$ND$2:$ND$60=O$4)*(GMWQ!$NF$2:$NF$60=O$1),0),$E83-1966)</f>
        <v>25710</v>
      </c>
      <c r="P83" s="13" cm="1">
        <f t="array" ref="P83">INDEX(GMWQ!$A$2:$NF$60,MATCH(1,(GMWQ!$NE$2:$NE$60=P$3)*(GMWQ!$ND$2:$ND$60=P$4)*(GMWQ!$NF$2:$NF$60=P$1),0),$E83-1966)</f>
        <v>25710</v>
      </c>
      <c r="Q83" s="13" cm="1">
        <f t="array" ref="Q83">INDEX(GMWQ!$A$2:$NF$60,MATCH(1,(GMWQ!$NE$2:$NE$60=Q$3)*(GMWQ!$ND$2:$ND$60=Q$4)*(GMWQ!$NF$2:$NF$60=Q$1),0),$E83-1966)</f>
        <v>25710</v>
      </c>
    </row>
    <row r="84" spans="1:17" x14ac:dyDescent="0.25">
      <c r="B84" s="13">
        <f t="shared" si="7"/>
        <v>1992</v>
      </c>
      <c r="C84" s="13">
        <f t="shared" si="7"/>
        <v>1992</v>
      </c>
      <c r="E84" s="13">
        <f t="shared" si="5"/>
        <v>2050</v>
      </c>
      <c r="F84" s="13" cm="1">
        <f t="array" ref="F84">INDEX(GMWQ!$A$2:$NF$60,MATCH(1,(GMWQ!$NE$2:$NE$60=F$3)*(GMWQ!$ND$2:$ND$60=F$4)*(GMWQ!$NF$2:$NF$60=F$1),0),$E84-1966)</f>
        <v>66.674689999999998</v>
      </c>
      <c r="G84" s="13" cm="1">
        <f t="array" ref="G84">INDEX(GMWQ!$A$2:$NF$60,MATCH(1,(GMWQ!$NE$2:$NE$60=G$3)*(GMWQ!$ND$2:$ND$60=G$4)*(GMWQ!$NF$2:$NF$60=G$1),0),$E84-1966)</f>
        <v>6234</v>
      </c>
      <c r="H84" s="13" cm="1">
        <f t="array" ref="H84">INDEX(GMWQ!$A$2:$NF$60,MATCH(1,(GMWQ!$NE$2:$NE$60=H$3)*(GMWQ!$ND$2:$ND$60=H$4)*(GMWQ!$NF$2:$NF$60=H$1),0),$E84-1966)</f>
        <v>209.3937</v>
      </c>
      <c r="I84" s="13" cm="1">
        <f t="array" ref="I84">INDEX(GMWQ!$A$2:$NF$60,MATCH(1,(GMWQ!$NE$2:$NE$60=I$3)*(GMWQ!$ND$2:$ND$60=I$4)*(GMWQ!$NF$2:$NF$60=I$1),0),$E84-1966)</f>
        <v>41056</v>
      </c>
      <c r="J84" s="13" cm="1">
        <f t="array" ref="J84">INDEX(GMWQ!$A$2:$NF$60,MATCH(1,(GMWQ!$NE$2:$NE$60=J$3)*(GMWQ!$ND$2:$ND$60=J$4)*(GMWQ!$NF$2:$NF$60=J$1),0),$E84-1966)</f>
        <v>181889</v>
      </c>
      <c r="K84" s="13" cm="1">
        <f t="array" ref="K84">INDEX(GMWQ!$A$2:$NF$60,MATCH(1,(GMWQ!$NE$2:$NE$60=K$3)*(GMWQ!$ND$2:$ND$60=K$4)*(GMWQ!$NF$2:$NF$60=K$1),0),$E84-1966)</f>
        <v>75152</v>
      </c>
      <c r="L84" s="13" cm="1">
        <f t="array" ref="L84">INDEX(GMWQ!$A$2:$NF$60,MATCH(1,(GMWQ!$NE$2:$NE$60=L$3)*(GMWQ!$ND$2:$ND$60=L$4)*(GMWQ!$NF$2:$NF$60=L$1),0),$E84-1966)</f>
        <v>123668</v>
      </c>
      <c r="M84" s="13" cm="1">
        <f t="array" ref="M84">INDEX(GMWQ!$A$2:$NF$60,MATCH(1,(GMWQ!$NE$2:$NE$60=M$3)*(GMWQ!$ND$2:$ND$60=M$4)*(GMWQ!$NF$2:$NF$60=M$1),0),$E84-1966)</f>
        <v>223785</v>
      </c>
      <c r="N84" s="13" cm="1">
        <f t="array" ref="N84">INDEX(GMWQ!$A$2:$NF$60,MATCH(1,(GMWQ!$NE$2:$NE$60=N$3)*(GMWQ!$ND$2:$ND$60=N$4)*(GMWQ!$NF$2:$NF$60=N$1),0),$E84-1966)</f>
        <v>56.101179999999999</v>
      </c>
      <c r="O84" s="13" cm="1">
        <f t="array" ref="O84">INDEX(GMWQ!$A$2:$NF$60,MATCH(1,(GMWQ!$NE$2:$NE$60=O$3)*(GMWQ!$ND$2:$ND$60=O$4)*(GMWQ!$NF$2:$NF$60=O$1),0),$E84-1966)</f>
        <v>25605</v>
      </c>
      <c r="P84" s="13" cm="1">
        <f t="array" ref="P84">INDEX(GMWQ!$A$2:$NF$60,MATCH(1,(GMWQ!$NE$2:$NE$60=P$3)*(GMWQ!$ND$2:$ND$60=P$4)*(GMWQ!$NF$2:$NF$60=P$1),0),$E84-1966)</f>
        <v>25605</v>
      </c>
      <c r="Q84" s="13" cm="1">
        <f t="array" ref="Q84">INDEX(GMWQ!$A$2:$NF$60,MATCH(1,(GMWQ!$NE$2:$NE$60=Q$3)*(GMWQ!$ND$2:$ND$60=Q$4)*(GMWQ!$NF$2:$NF$60=Q$1),0),$E84-1966)</f>
        <v>25605</v>
      </c>
    </row>
    <row r="85" spans="1:17" x14ac:dyDescent="0.25">
      <c r="B85" s="13">
        <f t="shared" si="7"/>
        <v>1992</v>
      </c>
      <c r="C85" s="13">
        <f t="shared" si="7"/>
        <v>1992</v>
      </c>
      <c r="E85" s="13">
        <f t="shared" si="5"/>
        <v>2051</v>
      </c>
      <c r="F85" s="13" cm="1">
        <f t="array" ref="F85">INDEX(GMWQ!$A$2:$NF$60,MATCH(1,(GMWQ!$NE$2:$NE$60=F$3)*(GMWQ!$ND$2:$ND$60=F$4)*(GMWQ!$NF$2:$NF$60=F$1),0),$E85-1966)</f>
        <v>66.449650000000005</v>
      </c>
      <c r="G85" s="13" cm="1">
        <f t="array" ref="G85">INDEX(GMWQ!$A$2:$NF$60,MATCH(1,(GMWQ!$NE$2:$NE$60=G$3)*(GMWQ!$ND$2:$ND$60=G$4)*(GMWQ!$NF$2:$NF$60=G$1),0),$E85-1966)</f>
        <v>6198</v>
      </c>
      <c r="H85" s="13" cm="1">
        <f t="array" ref="H85">INDEX(GMWQ!$A$2:$NF$60,MATCH(1,(GMWQ!$NE$2:$NE$60=H$3)*(GMWQ!$ND$2:$ND$60=H$4)*(GMWQ!$NF$2:$NF$60=H$1),0),$E85-1966)</f>
        <v>213.14080000000001</v>
      </c>
      <c r="I85" s="13" cm="1">
        <f t="array" ref="I85">INDEX(GMWQ!$A$2:$NF$60,MATCH(1,(GMWQ!$NE$2:$NE$60=I$3)*(GMWQ!$ND$2:$ND$60=I$4)*(GMWQ!$NF$2:$NF$60=I$1),0),$E85-1966)</f>
        <v>40289</v>
      </c>
      <c r="J85" s="13" cm="1">
        <f t="array" ref="J85">INDEX(GMWQ!$A$2:$NF$60,MATCH(1,(GMWQ!$NE$2:$NE$60=J$3)*(GMWQ!$ND$2:$ND$60=J$4)*(GMWQ!$NF$2:$NF$60=J$1),0),$E85-1966)</f>
        <v>182558</v>
      </c>
      <c r="K85" s="13" cm="1">
        <f t="array" ref="K85">INDEX(GMWQ!$A$2:$NF$60,MATCH(1,(GMWQ!$NE$2:$NE$60=K$3)*(GMWQ!$ND$2:$ND$60=K$4)*(GMWQ!$NF$2:$NF$60=K$1),0),$E85-1966)</f>
        <v>75133</v>
      </c>
      <c r="L85" s="13" cm="1">
        <f t="array" ref="L85">INDEX(GMWQ!$A$2:$NF$60,MATCH(1,(GMWQ!$NE$2:$NE$60=L$3)*(GMWQ!$ND$2:$ND$60=L$4)*(GMWQ!$NF$2:$NF$60=L$1),0),$E85-1966)</f>
        <v>125292</v>
      </c>
      <c r="M85" s="13" cm="1">
        <f t="array" ref="M85">INDEX(GMWQ!$A$2:$NF$60,MATCH(1,(GMWQ!$NE$2:$NE$60=M$3)*(GMWQ!$ND$2:$ND$60=M$4)*(GMWQ!$NF$2:$NF$60=M$1),0),$E85-1966)</f>
        <v>225633</v>
      </c>
      <c r="N85" s="13" cm="1">
        <f t="array" ref="N85">INDEX(GMWQ!$A$2:$NF$60,MATCH(1,(GMWQ!$NE$2:$NE$60=N$3)*(GMWQ!$ND$2:$ND$60=N$4)*(GMWQ!$NF$2:$NF$60=N$1),0),$E85-1966)</f>
        <v>56.413730000000001</v>
      </c>
      <c r="O85" s="13" cm="1">
        <f t="array" ref="O85">INDEX(GMWQ!$A$2:$NF$60,MATCH(1,(GMWQ!$NE$2:$NE$60=O$3)*(GMWQ!$ND$2:$ND$60=O$4)*(GMWQ!$NF$2:$NF$60=O$1),0),$E85-1966)</f>
        <v>25509</v>
      </c>
      <c r="P85" s="13" cm="1">
        <f t="array" ref="P85">INDEX(GMWQ!$A$2:$NF$60,MATCH(1,(GMWQ!$NE$2:$NE$60=P$3)*(GMWQ!$ND$2:$ND$60=P$4)*(GMWQ!$NF$2:$NF$60=P$1),0),$E85-1966)</f>
        <v>25509</v>
      </c>
      <c r="Q85" s="13" cm="1">
        <f t="array" ref="Q85">INDEX(GMWQ!$A$2:$NF$60,MATCH(1,(GMWQ!$NE$2:$NE$60=Q$3)*(GMWQ!$ND$2:$ND$60=Q$4)*(GMWQ!$NF$2:$NF$60=Q$1),0),$E85-1966)</f>
        <v>25509</v>
      </c>
    </row>
    <row r="86" spans="1:17" x14ac:dyDescent="0.25">
      <c r="B86" s="13">
        <f t="shared" si="7"/>
        <v>1992</v>
      </c>
      <c r="C86" s="13">
        <f t="shared" si="7"/>
        <v>1992</v>
      </c>
      <c r="E86" s="13">
        <f t="shared" si="5"/>
        <v>2052</v>
      </c>
      <c r="F86" s="13" cm="1">
        <f t="array" ref="F86">INDEX(GMWQ!$A$2:$NF$60,MATCH(1,(GMWQ!$NE$2:$NE$60=F$3)*(GMWQ!$ND$2:$ND$60=F$4)*(GMWQ!$NF$2:$NF$60=F$1),0),$E86-1966)</f>
        <v>66.484099999999998</v>
      </c>
      <c r="G86" s="13" cm="1">
        <f t="array" ref="G86">INDEX(GMWQ!$A$2:$NF$60,MATCH(1,(GMWQ!$NE$2:$NE$60=G$3)*(GMWQ!$ND$2:$ND$60=G$4)*(GMWQ!$NF$2:$NF$60=G$1),0),$E86-1966)</f>
        <v>6517</v>
      </c>
      <c r="H86" s="13" cm="1">
        <f t="array" ref="H86">INDEX(GMWQ!$A$2:$NF$60,MATCH(1,(GMWQ!$NE$2:$NE$60=H$3)*(GMWQ!$ND$2:$ND$60=H$4)*(GMWQ!$NF$2:$NF$60=H$1),0),$E86-1966)</f>
        <v>215.0164</v>
      </c>
      <c r="I86" s="13" cm="1">
        <f t="array" ref="I86">INDEX(GMWQ!$A$2:$NF$60,MATCH(1,(GMWQ!$NE$2:$NE$60=I$3)*(GMWQ!$ND$2:$ND$60=I$4)*(GMWQ!$NF$2:$NF$60=I$1),0),$E86-1966)</f>
        <v>41932</v>
      </c>
      <c r="J86" s="13" cm="1">
        <f t="array" ref="J86">INDEX(GMWQ!$A$2:$NF$60,MATCH(1,(GMWQ!$NE$2:$NE$60=J$3)*(GMWQ!$ND$2:$ND$60=J$4)*(GMWQ!$NF$2:$NF$60=J$1),0),$E86-1966)</f>
        <v>184989</v>
      </c>
      <c r="K86" s="13" cm="1">
        <f t="array" ref="K86">INDEX(GMWQ!$A$2:$NF$60,MATCH(1,(GMWQ!$NE$2:$NE$60=K$3)*(GMWQ!$ND$2:$ND$60=K$4)*(GMWQ!$NF$2:$NF$60=K$1),0),$E86-1966)</f>
        <v>75419</v>
      </c>
      <c r="L86" s="13" cm="1">
        <f t="array" ref="L86">INDEX(GMWQ!$A$2:$NF$60,MATCH(1,(GMWQ!$NE$2:$NE$60=L$3)*(GMWQ!$ND$2:$ND$60=L$4)*(GMWQ!$NF$2:$NF$60=L$1),0),$E86-1966)</f>
        <v>126339</v>
      </c>
      <c r="M86" s="13" cm="1">
        <f t="array" ref="M86">INDEX(GMWQ!$A$2:$NF$60,MATCH(1,(GMWQ!$NE$2:$NE$60=M$3)*(GMWQ!$ND$2:$ND$60=M$4)*(GMWQ!$NF$2:$NF$60=M$1),0),$E86-1966)</f>
        <v>225562</v>
      </c>
      <c r="N86" s="13" cm="1">
        <f t="array" ref="N86">INDEX(GMWQ!$A$2:$NF$60,MATCH(1,(GMWQ!$NE$2:$NE$60=N$3)*(GMWQ!$ND$2:$ND$60=N$4)*(GMWQ!$NF$2:$NF$60=N$1),0),$E86-1966)</f>
        <v>56.871429999999997</v>
      </c>
      <c r="O86" s="13" cm="1">
        <f t="array" ref="O86">INDEX(GMWQ!$A$2:$NF$60,MATCH(1,(GMWQ!$NE$2:$NE$60=O$3)*(GMWQ!$ND$2:$ND$60=O$4)*(GMWQ!$NF$2:$NF$60=O$1),0),$E86-1966)</f>
        <v>25336</v>
      </c>
      <c r="P86" s="13" cm="1">
        <f t="array" ref="P86">INDEX(GMWQ!$A$2:$NF$60,MATCH(1,(GMWQ!$NE$2:$NE$60=P$3)*(GMWQ!$ND$2:$ND$60=P$4)*(GMWQ!$NF$2:$NF$60=P$1),0),$E86-1966)</f>
        <v>25336</v>
      </c>
      <c r="Q86" s="13" cm="1">
        <f t="array" ref="Q86">INDEX(GMWQ!$A$2:$NF$60,MATCH(1,(GMWQ!$NE$2:$NE$60=Q$3)*(GMWQ!$ND$2:$ND$60=Q$4)*(GMWQ!$NF$2:$NF$60=Q$1),0),$E86-1966)</f>
        <v>25336</v>
      </c>
    </row>
    <row r="87" spans="1:17" x14ac:dyDescent="0.25">
      <c r="A87" s="13">
        <v>1993</v>
      </c>
      <c r="B87" s="13">
        <f t="shared" si="7"/>
        <v>1993</v>
      </c>
      <c r="C87" s="13">
        <f t="shared" si="7"/>
        <v>1992</v>
      </c>
      <c r="D87" s="13">
        <f t="shared" si="7"/>
        <v>1992</v>
      </c>
      <c r="E87" s="13">
        <f t="shared" si="5"/>
        <v>2053</v>
      </c>
      <c r="F87" s="13" cm="1">
        <f t="array" ref="F87">INDEX(GMWQ!$A$2:$NF$60,MATCH(1,(GMWQ!$NE$2:$NE$60=F$3)*(GMWQ!$ND$2:$ND$60=F$4)*(GMWQ!$NF$2:$NF$60=F$1),0),$E87-1966)</f>
        <v>66.488950000000003</v>
      </c>
      <c r="G87" s="13" cm="1">
        <f t="array" ref="G87">INDEX(GMWQ!$A$2:$NF$60,MATCH(1,(GMWQ!$NE$2:$NE$60=G$3)*(GMWQ!$ND$2:$ND$60=G$4)*(GMWQ!$NF$2:$NF$60=G$1),0),$E87-1966)</f>
        <v>6477</v>
      </c>
      <c r="H87" s="13" cm="1">
        <f t="array" ref="H87">INDEX(GMWQ!$A$2:$NF$60,MATCH(1,(GMWQ!$NE$2:$NE$60=H$3)*(GMWQ!$ND$2:$ND$60=H$4)*(GMWQ!$NF$2:$NF$60=H$1),0),$E87-1966)</f>
        <v>213.95429999999999</v>
      </c>
      <c r="I87" s="13" cm="1">
        <f t="array" ref="I87">INDEX(GMWQ!$A$2:$NF$60,MATCH(1,(GMWQ!$NE$2:$NE$60=I$3)*(GMWQ!$ND$2:$ND$60=I$4)*(GMWQ!$NF$2:$NF$60=I$1),0),$E87-1966)</f>
        <v>45549</v>
      </c>
      <c r="J87" s="13" cm="1">
        <f t="array" ref="J87">INDEX(GMWQ!$A$2:$NF$60,MATCH(1,(GMWQ!$NE$2:$NE$60=J$3)*(GMWQ!$ND$2:$ND$60=J$4)*(GMWQ!$NF$2:$NF$60=J$1),0),$E87-1966)</f>
        <v>189580</v>
      </c>
      <c r="K87" s="13" cm="1">
        <f t="array" ref="K87">INDEX(GMWQ!$A$2:$NF$60,MATCH(1,(GMWQ!$NE$2:$NE$60=K$3)*(GMWQ!$ND$2:$ND$60=K$4)*(GMWQ!$NF$2:$NF$60=K$1),0),$E87-1966)</f>
        <v>75569</v>
      </c>
      <c r="L87" s="13" cm="1">
        <f t="array" ref="L87">INDEX(GMWQ!$A$2:$NF$60,MATCH(1,(GMWQ!$NE$2:$NE$60=L$3)*(GMWQ!$ND$2:$ND$60=L$4)*(GMWQ!$NF$2:$NF$60=L$1),0),$E87-1966)</f>
        <v>127313</v>
      </c>
      <c r="M87" s="13" cm="1">
        <f t="array" ref="M87">INDEX(GMWQ!$A$2:$NF$60,MATCH(1,(GMWQ!$NE$2:$NE$60=M$3)*(GMWQ!$ND$2:$ND$60=M$4)*(GMWQ!$NF$2:$NF$60=M$1),0),$E87-1966)</f>
        <v>224008</v>
      </c>
      <c r="N87" s="13" cm="1">
        <f t="array" ref="N87">INDEX(GMWQ!$A$2:$NF$60,MATCH(1,(GMWQ!$NE$2:$NE$60=N$3)*(GMWQ!$ND$2:$ND$60=N$4)*(GMWQ!$NF$2:$NF$60=N$1),0),$E87-1966)</f>
        <v>57.520229999999998</v>
      </c>
      <c r="O87" s="13" cm="1">
        <f t="array" ref="O87">INDEX(GMWQ!$A$2:$NF$60,MATCH(1,(GMWQ!$NE$2:$NE$60=O$3)*(GMWQ!$ND$2:$ND$60=O$4)*(GMWQ!$NF$2:$NF$60=O$1),0),$E87-1966)</f>
        <v>25282</v>
      </c>
      <c r="P87" s="13" cm="1">
        <f t="array" ref="P87">INDEX(GMWQ!$A$2:$NF$60,MATCH(1,(GMWQ!$NE$2:$NE$60=P$3)*(GMWQ!$ND$2:$ND$60=P$4)*(GMWQ!$NF$2:$NF$60=P$1),0),$E87-1966)</f>
        <v>25282</v>
      </c>
      <c r="Q87" s="13" cm="1">
        <f t="array" ref="Q87">INDEX(GMWQ!$A$2:$NF$60,MATCH(1,(GMWQ!$NE$2:$NE$60=Q$3)*(GMWQ!$ND$2:$ND$60=Q$4)*(GMWQ!$NF$2:$NF$60=Q$1),0),$E87-1966)</f>
        <v>25282</v>
      </c>
    </row>
    <row r="88" spans="1:17" x14ac:dyDescent="0.25">
      <c r="B88" s="13">
        <f t="shared" si="7"/>
        <v>1993</v>
      </c>
      <c r="C88" s="13">
        <f t="shared" si="7"/>
        <v>1993</v>
      </c>
      <c r="E88" s="13">
        <f t="shared" si="5"/>
        <v>2054</v>
      </c>
      <c r="F88" s="13" cm="1">
        <f t="array" ref="F88">INDEX(GMWQ!$A$2:$NF$60,MATCH(1,(GMWQ!$NE$2:$NE$60=F$3)*(GMWQ!$ND$2:$ND$60=F$4)*(GMWQ!$NF$2:$NF$60=F$1),0),$E88-1966)</f>
        <v>67.052409999999995</v>
      </c>
      <c r="G88" s="13" cm="1">
        <f t="array" ref="G88">INDEX(GMWQ!$A$2:$NF$60,MATCH(1,(GMWQ!$NE$2:$NE$60=G$3)*(GMWQ!$ND$2:$ND$60=G$4)*(GMWQ!$NF$2:$NF$60=G$1),0),$E88-1966)</f>
        <v>6646</v>
      </c>
      <c r="H88" s="13" cm="1">
        <f t="array" ref="H88">INDEX(GMWQ!$A$2:$NF$60,MATCH(1,(GMWQ!$NE$2:$NE$60=H$3)*(GMWQ!$ND$2:$ND$60=H$4)*(GMWQ!$NF$2:$NF$60=H$1),0),$E88-1966)</f>
        <v>217.78450000000001</v>
      </c>
      <c r="I88" s="13" cm="1">
        <f t="array" ref="I88">INDEX(GMWQ!$A$2:$NF$60,MATCH(1,(GMWQ!$NE$2:$NE$60=I$3)*(GMWQ!$ND$2:$ND$60=I$4)*(GMWQ!$NF$2:$NF$60=I$1),0),$E88-1966)</f>
        <v>44417</v>
      </c>
      <c r="J88" s="13" cm="1">
        <f t="array" ref="J88">INDEX(GMWQ!$A$2:$NF$60,MATCH(1,(GMWQ!$NE$2:$NE$60=J$3)*(GMWQ!$ND$2:$ND$60=J$4)*(GMWQ!$NF$2:$NF$60=J$1),0),$E88-1966)</f>
        <v>189802</v>
      </c>
      <c r="K88" s="13" cm="1">
        <f t="array" ref="K88">INDEX(GMWQ!$A$2:$NF$60,MATCH(1,(GMWQ!$NE$2:$NE$60=K$3)*(GMWQ!$ND$2:$ND$60=K$4)*(GMWQ!$NF$2:$NF$60=K$1),0),$E88-1966)</f>
        <v>76688</v>
      </c>
      <c r="L88" s="13" cm="1">
        <f t="array" ref="L88">INDEX(GMWQ!$A$2:$NF$60,MATCH(1,(GMWQ!$NE$2:$NE$60=L$3)*(GMWQ!$ND$2:$ND$60=L$4)*(GMWQ!$NF$2:$NF$60=L$1),0),$E88-1966)</f>
        <v>131724</v>
      </c>
      <c r="M88" s="13" cm="1">
        <f t="array" ref="M88">INDEX(GMWQ!$A$2:$NF$60,MATCH(1,(GMWQ!$NE$2:$NE$60=M$3)*(GMWQ!$ND$2:$ND$60=M$4)*(GMWQ!$NF$2:$NF$60=M$1),0),$E88-1966)</f>
        <v>230278</v>
      </c>
      <c r="N88" s="13" cm="1">
        <f t="array" ref="N88">INDEX(GMWQ!$A$2:$NF$60,MATCH(1,(GMWQ!$NE$2:$NE$60=N$3)*(GMWQ!$ND$2:$ND$60=N$4)*(GMWQ!$NF$2:$NF$60=N$1),0),$E88-1966)</f>
        <v>57.92465</v>
      </c>
      <c r="O88" s="13" cm="1">
        <f t="array" ref="O88">INDEX(GMWQ!$A$2:$NF$60,MATCH(1,(GMWQ!$NE$2:$NE$60=O$3)*(GMWQ!$ND$2:$ND$60=O$4)*(GMWQ!$NF$2:$NF$60=O$1),0),$E88-1966)</f>
        <v>25293</v>
      </c>
      <c r="P88" s="13" cm="1">
        <f t="array" ref="P88">INDEX(GMWQ!$A$2:$NF$60,MATCH(1,(GMWQ!$NE$2:$NE$60=P$3)*(GMWQ!$ND$2:$ND$60=P$4)*(GMWQ!$NF$2:$NF$60=P$1),0),$E88-1966)</f>
        <v>25293</v>
      </c>
      <c r="Q88" s="13" cm="1">
        <f t="array" ref="Q88">INDEX(GMWQ!$A$2:$NF$60,MATCH(1,(GMWQ!$NE$2:$NE$60=Q$3)*(GMWQ!$ND$2:$ND$60=Q$4)*(GMWQ!$NF$2:$NF$60=Q$1),0),$E88-1966)</f>
        <v>25293</v>
      </c>
    </row>
    <row r="89" spans="1:17" x14ac:dyDescent="0.25">
      <c r="B89" s="13">
        <f t="shared" si="7"/>
        <v>1993</v>
      </c>
      <c r="C89" s="13">
        <f t="shared" si="7"/>
        <v>1993</v>
      </c>
      <c r="E89" s="13">
        <f t="shared" si="5"/>
        <v>2055</v>
      </c>
      <c r="F89" s="13" cm="1">
        <f t="array" ref="F89">INDEX(GMWQ!$A$2:$NF$60,MATCH(1,(GMWQ!$NE$2:$NE$60=F$3)*(GMWQ!$ND$2:$ND$60=F$4)*(GMWQ!$NF$2:$NF$60=F$1),0),$E89-1966)</f>
        <v>67.312259999999995</v>
      </c>
      <c r="G89" s="13" cm="1">
        <f t="array" ref="G89">INDEX(GMWQ!$A$2:$NF$60,MATCH(1,(GMWQ!$NE$2:$NE$60=G$3)*(GMWQ!$ND$2:$ND$60=G$4)*(GMWQ!$NF$2:$NF$60=G$1),0),$E89-1966)</f>
        <v>6727</v>
      </c>
      <c r="H89" s="13" cm="1">
        <f t="array" ref="H89">INDEX(GMWQ!$A$2:$NF$60,MATCH(1,(GMWQ!$NE$2:$NE$60=H$3)*(GMWQ!$ND$2:$ND$60=H$4)*(GMWQ!$NF$2:$NF$60=H$1),0),$E89-1966)</f>
        <v>221.5908</v>
      </c>
      <c r="I89" s="13" cm="1">
        <f t="array" ref="I89">INDEX(GMWQ!$A$2:$NF$60,MATCH(1,(GMWQ!$NE$2:$NE$60=I$3)*(GMWQ!$ND$2:$ND$60=I$4)*(GMWQ!$NF$2:$NF$60=I$1),0),$E89-1966)</f>
        <v>45845</v>
      </c>
      <c r="J89" s="13" cm="1">
        <f t="array" ref="J89">INDEX(GMWQ!$A$2:$NF$60,MATCH(1,(GMWQ!$NE$2:$NE$60=J$3)*(GMWQ!$ND$2:$ND$60=J$4)*(GMWQ!$NF$2:$NF$60=J$1),0),$E89-1966)</f>
        <v>193552</v>
      </c>
      <c r="K89" s="13" cm="1">
        <f t="array" ref="K89">INDEX(GMWQ!$A$2:$NF$60,MATCH(1,(GMWQ!$NE$2:$NE$60=K$3)*(GMWQ!$ND$2:$ND$60=K$4)*(GMWQ!$NF$2:$NF$60=K$1),0),$E89-1966)</f>
        <v>77806</v>
      </c>
      <c r="L89" s="13" cm="1">
        <f t="array" ref="L89">INDEX(GMWQ!$A$2:$NF$60,MATCH(1,(GMWQ!$NE$2:$NE$60=L$3)*(GMWQ!$ND$2:$ND$60=L$4)*(GMWQ!$NF$2:$NF$60=L$1),0),$E89-1966)</f>
        <v>133457</v>
      </c>
      <c r="M89" s="13" cm="1">
        <f t="array" ref="M89">INDEX(GMWQ!$A$2:$NF$60,MATCH(1,(GMWQ!$NE$2:$NE$60=M$3)*(GMWQ!$ND$2:$ND$60=M$4)*(GMWQ!$NF$2:$NF$60=M$1),0),$E89-1966)</f>
        <v>232470</v>
      </c>
      <c r="N89" s="13" cm="1">
        <f t="array" ref="N89">INDEX(GMWQ!$A$2:$NF$60,MATCH(1,(GMWQ!$NE$2:$NE$60=N$3)*(GMWQ!$ND$2:$ND$60=N$4)*(GMWQ!$NF$2:$NF$60=N$1),0),$E89-1966)</f>
        <v>58.235169999999997</v>
      </c>
      <c r="O89" s="13" cm="1">
        <f t="array" ref="O89">INDEX(GMWQ!$A$2:$NF$60,MATCH(1,(GMWQ!$NE$2:$NE$60=O$3)*(GMWQ!$ND$2:$ND$60=O$4)*(GMWQ!$NF$2:$NF$60=O$1),0),$E89-1966)</f>
        <v>25316</v>
      </c>
      <c r="P89" s="13" cm="1">
        <f t="array" ref="P89">INDEX(GMWQ!$A$2:$NF$60,MATCH(1,(GMWQ!$NE$2:$NE$60=P$3)*(GMWQ!$ND$2:$ND$60=P$4)*(GMWQ!$NF$2:$NF$60=P$1),0),$E89-1966)</f>
        <v>25316</v>
      </c>
      <c r="Q89" s="13" cm="1">
        <f t="array" ref="Q89">INDEX(GMWQ!$A$2:$NF$60,MATCH(1,(GMWQ!$NE$2:$NE$60=Q$3)*(GMWQ!$ND$2:$ND$60=Q$4)*(GMWQ!$NF$2:$NF$60=Q$1),0),$E89-1966)</f>
        <v>25316</v>
      </c>
    </row>
    <row r="90" spans="1:17" x14ac:dyDescent="0.25">
      <c r="B90" s="13">
        <f t="shared" si="7"/>
        <v>1993</v>
      </c>
      <c r="C90" s="13">
        <f t="shared" si="7"/>
        <v>1993</v>
      </c>
      <c r="E90" s="13">
        <f t="shared" si="5"/>
        <v>2056</v>
      </c>
      <c r="F90" s="13" cm="1">
        <f t="array" ref="F90">INDEX(GMWQ!$A$2:$NF$60,MATCH(1,(GMWQ!$NE$2:$NE$60=F$3)*(GMWQ!$ND$2:$ND$60=F$4)*(GMWQ!$NF$2:$NF$60=F$1),0),$E90-1966)</f>
        <v>67.660259999999994</v>
      </c>
      <c r="G90" s="13" cm="1">
        <f t="array" ref="G90">INDEX(GMWQ!$A$2:$NF$60,MATCH(1,(GMWQ!$NE$2:$NE$60=G$3)*(GMWQ!$ND$2:$ND$60=G$4)*(GMWQ!$NF$2:$NF$60=G$1),0),$E90-1966)</f>
        <v>6997</v>
      </c>
      <c r="H90" s="13" cm="1">
        <f t="array" ref="H90">INDEX(GMWQ!$A$2:$NF$60,MATCH(1,(GMWQ!$NE$2:$NE$60=H$3)*(GMWQ!$ND$2:$ND$60=H$4)*(GMWQ!$NF$2:$NF$60=H$1),0),$E90-1966)</f>
        <v>222.90620000000001</v>
      </c>
      <c r="I90" s="13" cm="1">
        <f t="array" ref="I90">INDEX(GMWQ!$A$2:$NF$60,MATCH(1,(GMWQ!$NE$2:$NE$60=I$3)*(GMWQ!$ND$2:$ND$60=I$4)*(GMWQ!$NF$2:$NF$60=I$1),0),$E90-1966)</f>
        <v>46796</v>
      </c>
      <c r="J90" s="13" cm="1">
        <f t="array" ref="J90">INDEX(GMWQ!$A$2:$NF$60,MATCH(1,(GMWQ!$NE$2:$NE$60=J$3)*(GMWQ!$ND$2:$ND$60=J$4)*(GMWQ!$NF$2:$NF$60=J$1),0),$E90-1966)</f>
        <v>196921</v>
      </c>
      <c r="K90" s="13" cm="1">
        <f t="array" ref="K90">INDEX(GMWQ!$A$2:$NF$60,MATCH(1,(GMWQ!$NE$2:$NE$60=K$3)*(GMWQ!$ND$2:$ND$60=K$4)*(GMWQ!$NF$2:$NF$60=K$1),0),$E90-1966)</f>
        <v>78382</v>
      </c>
      <c r="L90" s="13" cm="1">
        <f t="array" ref="L90">INDEX(GMWQ!$A$2:$NF$60,MATCH(1,(GMWQ!$NE$2:$NE$60=L$3)*(GMWQ!$ND$2:$ND$60=L$4)*(GMWQ!$NF$2:$NF$60=L$1),0),$E90-1966)</f>
        <v>135003</v>
      </c>
      <c r="M90" s="13" cm="1">
        <f t="array" ref="M90">INDEX(GMWQ!$A$2:$NF$60,MATCH(1,(GMWQ!$NE$2:$NE$60=M$3)*(GMWQ!$ND$2:$ND$60=M$4)*(GMWQ!$NF$2:$NF$60=M$1),0),$E90-1966)</f>
        <v>233411</v>
      </c>
      <c r="N90" s="13" cm="1">
        <f t="array" ref="N90">INDEX(GMWQ!$A$2:$NF$60,MATCH(1,(GMWQ!$NE$2:$NE$60=N$3)*(GMWQ!$ND$2:$ND$60=N$4)*(GMWQ!$NF$2:$NF$60=N$1),0),$E90-1966)</f>
        <v>58.644260000000003</v>
      </c>
      <c r="O90" s="13" cm="1">
        <f t="array" ref="O90">INDEX(GMWQ!$A$2:$NF$60,MATCH(1,(GMWQ!$NE$2:$NE$60=O$3)*(GMWQ!$ND$2:$ND$60=O$4)*(GMWQ!$NF$2:$NF$60=O$1),0),$E90-1966)</f>
        <v>25320</v>
      </c>
      <c r="P90" s="13" cm="1">
        <f t="array" ref="P90">INDEX(GMWQ!$A$2:$NF$60,MATCH(1,(GMWQ!$NE$2:$NE$60=P$3)*(GMWQ!$ND$2:$ND$60=P$4)*(GMWQ!$NF$2:$NF$60=P$1),0),$E90-1966)</f>
        <v>25320</v>
      </c>
      <c r="Q90" s="13" cm="1">
        <f t="array" ref="Q90">INDEX(GMWQ!$A$2:$NF$60,MATCH(1,(GMWQ!$NE$2:$NE$60=Q$3)*(GMWQ!$ND$2:$ND$60=Q$4)*(GMWQ!$NF$2:$NF$60=Q$1),0),$E90-1966)</f>
        <v>25320</v>
      </c>
    </row>
    <row r="91" spans="1:17" x14ac:dyDescent="0.25">
      <c r="A91" s="13">
        <v>1994</v>
      </c>
      <c r="B91" s="13">
        <f t="shared" si="7"/>
        <v>1994</v>
      </c>
      <c r="C91" s="13">
        <f t="shared" si="7"/>
        <v>1993</v>
      </c>
      <c r="D91" s="13">
        <f t="shared" si="7"/>
        <v>1993</v>
      </c>
      <c r="E91" s="13">
        <f t="shared" si="5"/>
        <v>2057</v>
      </c>
      <c r="F91" s="13" cm="1">
        <f t="array" ref="F91">INDEX(GMWQ!$A$2:$NF$60,MATCH(1,(GMWQ!$NE$2:$NE$60=F$3)*(GMWQ!$ND$2:$ND$60=F$4)*(GMWQ!$NF$2:$NF$60=F$1),0),$E91-1966)</f>
        <v>67.295590000000004</v>
      </c>
      <c r="G91" s="13" cm="1">
        <f t="array" ref="G91">INDEX(GMWQ!$A$2:$NF$60,MATCH(1,(GMWQ!$NE$2:$NE$60=G$3)*(GMWQ!$ND$2:$ND$60=G$4)*(GMWQ!$NF$2:$NF$60=G$1),0),$E91-1966)</f>
        <v>6841</v>
      </c>
      <c r="H91" s="13" cm="1">
        <f t="array" ref="H91">INDEX(GMWQ!$A$2:$NF$60,MATCH(1,(GMWQ!$NE$2:$NE$60=H$3)*(GMWQ!$ND$2:$ND$60=H$4)*(GMWQ!$NF$2:$NF$60=H$1),0),$E91-1966)</f>
        <v>222.8023</v>
      </c>
      <c r="I91" s="13" cm="1">
        <f t="array" ref="I91">INDEX(GMWQ!$A$2:$NF$60,MATCH(1,(GMWQ!$NE$2:$NE$60=I$3)*(GMWQ!$ND$2:$ND$60=I$4)*(GMWQ!$NF$2:$NF$60=I$1),0),$E91-1966)</f>
        <v>49533</v>
      </c>
      <c r="J91" s="13" cm="1">
        <f t="array" ref="J91">INDEX(GMWQ!$A$2:$NF$60,MATCH(1,(GMWQ!$NE$2:$NE$60=J$3)*(GMWQ!$ND$2:$ND$60=J$4)*(GMWQ!$NF$2:$NF$60=J$1),0),$E91-1966)</f>
        <v>199796</v>
      </c>
      <c r="K91" s="13" cm="1">
        <f t="array" ref="K91">INDEX(GMWQ!$A$2:$NF$60,MATCH(1,(GMWQ!$NE$2:$NE$60=K$3)*(GMWQ!$ND$2:$ND$60=K$4)*(GMWQ!$NF$2:$NF$60=K$1),0),$E91-1966)</f>
        <v>78938</v>
      </c>
      <c r="L91" s="13" cm="1">
        <f t="array" ref="L91">INDEX(GMWQ!$A$2:$NF$60,MATCH(1,(GMWQ!$NE$2:$NE$60=L$3)*(GMWQ!$ND$2:$ND$60=L$4)*(GMWQ!$NF$2:$NF$60=L$1),0),$E91-1966)</f>
        <v>134597</v>
      </c>
      <c r="M91" s="13" cm="1">
        <f t="array" ref="M91">INDEX(GMWQ!$A$2:$NF$60,MATCH(1,(GMWQ!$NE$2:$NE$60=M$3)*(GMWQ!$ND$2:$ND$60=M$4)*(GMWQ!$NF$2:$NF$60=M$1),0),$E91-1966)</f>
        <v>232541</v>
      </c>
      <c r="N91" s="13" cm="1">
        <f t="array" ref="N91">INDEX(GMWQ!$A$2:$NF$60,MATCH(1,(GMWQ!$NE$2:$NE$60=N$3)*(GMWQ!$ND$2:$ND$60=N$4)*(GMWQ!$NF$2:$NF$60=N$1),0),$E91-1966)</f>
        <v>58.658009999999997</v>
      </c>
      <c r="O91" s="13" cm="1">
        <f t="array" ref="O91">INDEX(GMWQ!$A$2:$NF$60,MATCH(1,(GMWQ!$NE$2:$NE$60=O$3)*(GMWQ!$ND$2:$ND$60=O$4)*(GMWQ!$NF$2:$NF$60=O$1),0),$E91-1966)</f>
        <v>25408</v>
      </c>
      <c r="P91" s="13" cm="1">
        <f t="array" ref="P91">INDEX(GMWQ!$A$2:$NF$60,MATCH(1,(GMWQ!$NE$2:$NE$60=P$3)*(GMWQ!$ND$2:$ND$60=P$4)*(GMWQ!$NF$2:$NF$60=P$1),0),$E91-1966)</f>
        <v>25408</v>
      </c>
      <c r="Q91" s="13" cm="1">
        <f t="array" ref="Q91">INDEX(GMWQ!$A$2:$NF$60,MATCH(1,(GMWQ!$NE$2:$NE$60=Q$3)*(GMWQ!$ND$2:$ND$60=Q$4)*(GMWQ!$NF$2:$NF$60=Q$1),0),$E91-1966)</f>
        <v>25408</v>
      </c>
    </row>
    <row r="92" spans="1:17" x14ac:dyDescent="0.25">
      <c r="B92" s="13">
        <f t="shared" ref="B92:D107" si="8">+B88+1</f>
        <v>1994</v>
      </c>
      <c r="C92" s="13">
        <f t="shared" si="8"/>
        <v>1994</v>
      </c>
      <c r="E92" s="13">
        <f t="shared" si="5"/>
        <v>2058</v>
      </c>
      <c r="F92" s="13" cm="1">
        <f t="array" ref="F92">INDEX(GMWQ!$A$2:$NF$60,MATCH(1,(GMWQ!$NE$2:$NE$60=F$3)*(GMWQ!$ND$2:$ND$60=F$4)*(GMWQ!$NF$2:$NF$60=F$1),0),$E92-1966)</f>
        <v>66.660129999999995</v>
      </c>
      <c r="G92" s="13" cm="1">
        <f t="array" ref="G92">INDEX(GMWQ!$A$2:$NF$60,MATCH(1,(GMWQ!$NE$2:$NE$60=G$3)*(GMWQ!$ND$2:$ND$60=G$4)*(GMWQ!$NF$2:$NF$60=G$1),0),$E92-1966)</f>
        <v>6602</v>
      </c>
      <c r="H92" s="13" cm="1">
        <f t="array" ref="H92">INDEX(GMWQ!$A$2:$NF$60,MATCH(1,(GMWQ!$NE$2:$NE$60=H$3)*(GMWQ!$ND$2:$ND$60=H$4)*(GMWQ!$NF$2:$NF$60=H$1),0),$E92-1966)</f>
        <v>227.5204</v>
      </c>
      <c r="I92" s="13" cm="1">
        <f t="array" ref="I92">INDEX(GMWQ!$A$2:$NF$60,MATCH(1,(GMWQ!$NE$2:$NE$60=I$3)*(GMWQ!$ND$2:$ND$60=I$4)*(GMWQ!$NF$2:$NF$60=I$1),0),$E92-1966)</f>
        <v>49608</v>
      </c>
      <c r="J92" s="13" cm="1">
        <f t="array" ref="J92">INDEX(GMWQ!$A$2:$NF$60,MATCH(1,(GMWQ!$NE$2:$NE$60=J$3)*(GMWQ!$ND$2:$ND$60=J$4)*(GMWQ!$NF$2:$NF$60=J$1),0),$E92-1966)</f>
        <v>200691</v>
      </c>
      <c r="K92" s="13" cm="1">
        <f t="array" ref="K92">INDEX(GMWQ!$A$2:$NF$60,MATCH(1,(GMWQ!$NE$2:$NE$60=K$3)*(GMWQ!$ND$2:$ND$60=K$4)*(GMWQ!$NF$2:$NF$60=K$1),0),$E92-1966)</f>
        <v>79168</v>
      </c>
      <c r="L92" s="13" cm="1">
        <f t="array" ref="L92">INDEX(GMWQ!$A$2:$NF$60,MATCH(1,(GMWQ!$NE$2:$NE$60=L$3)*(GMWQ!$ND$2:$ND$60=L$4)*(GMWQ!$NF$2:$NF$60=L$1),0),$E92-1966)</f>
        <v>135173</v>
      </c>
      <c r="M92" s="13" cm="1">
        <f t="array" ref="M92">INDEX(GMWQ!$A$2:$NF$60,MATCH(1,(GMWQ!$NE$2:$NE$60=M$3)*(GMWQ!$ND$2:$ND$60=M$4)*(GMWQ!$NF$2:$NF$60=M$1),0),$E92-1966)</f>
        <v>232173</v>
      </c>
      <c r="N92" s="13" cm="1">
        <f t="array" ref="N92">INDEX(GMWQ!$A$2:$NF$60,MATCH(1,(GMWQ!$NE$2:$NE$60=N$3)*(GMWQ!$ND$2:$ND$60=N$4)*(GMWQ!$NF$2:$NF$60=N$1),0),$E92-1966)</f>
        <v>58.931699999999999</v>
      </c>
      <c r="O92" s="13" cm="1">
        <f t="array" ref="O92">INDEX(GMWQ!$A$2:$NF$60,MATCH(1,(GMWQ!$NE$2:$NE$60=O$3)*(GMWQ!$ND$2:$ND$60=O$4)*(GMWQ!$NF$2:$NF$60=O$1),0),$E92-1966)</f>
        <v>25451</v>
      </c>
      <c r="P92" s="13" cm="1">
        <f t="array" ref="P92">INDEX(GMWQ!$A$2:$NF$60,MATCH(1,(GMWQ!$NE$2:$NE$60=P$3)*(GMWQ!$ND$2:$ND$60=P$4)*(GMWQ!$NF$2:$NF$60=P$1),0),$E92-1966)</f>
        <v>25451</v>
      </c>
      <c r="Q92" s="13" cm="1">
        <f t="array" ref="Q92">INDEX(GMWQ!$A$2:$NF$60,MATCH(1,(GMWQ!$NE$2:$NE$60=Q$3)*(GMWQ!$ND$2:$ND$60=Q$4)*(GMWQ!$NF$2:$NF$60=Q$1),0),$E92-1966)</f>
        <v>25451</v>
      </c>
    </row>
    <row r="93" spans="1:17" x14ac:dyDescent="0.25">
      <c r="B93" s="13">
        <f t="shared" si="8"/>
        <v>1994</v>
      </c>
      <c r="C93" s="13">
        <f t="shared" si="8"/>
        <v>1994</v>
      </c>
      <c r="E93" s="13">
        <f t="shared" si="5"/>
        <v>2059</v>
      </c>
      <c r="F93" s="13" cm="1">
        <f t="array" ref="F93">INDEX(GMWQ!$A$2:$NF$60,MATCH(1,(GMWQ!$NE$2:$NE$60=F$3)*(GMWQ!$ND$2:$ND$60=F$4)*(GMWQ!$NF$2:$NF$60=F$1),0),$E93-1966)</f>
        <v>67.098290000000006</v>
      </c>
      <c r="G93" s="13" cm="1">
        <f t="array" ref="G93">INDEX(GMWQ!$A$2:$NF$60,MATCH(1,(GMWQ!$NE$2:$NE$60=G$3)*(GMWQ!$ND$2:$ND$60=G$4)*(GMWQ!$NF$2:$NF$60=G$1),0),$E93-1966)</f>
        <v>6704</v>
      </c>
      <c r="H93" s="13" cm="1">
        <f t="array" ref="H93">INDEX(GMWQ!$A$2:$NF$60,MATCH(1,(GMWQ!$NE$2:$NE$60=H$3)*(GMWQ!$ND$2:$ND$60=H$4)*(GMWQ!$NF$2:$NF$60=H$1),0),$E93-1966)</f>
        <v>232.0582</v>
      </c>
      <c r="I93" s="13" cm="1">
        <f t="array" ref="I93">INDEX(GMWQ!$A$2:$NF$60,MATCH(1,(GMWQ!$NE$2:$NE$60=I$3)*(GMWQ!$ND$2:$ND$60=I$4)*(GMWQ!$NF$2:$NF$60=I$1),0),$E93-1966)</f>
        <v>49092</v>
      </c>
      <c r="J93" s="13" cm="1">
        <f t="array" ref="J93">INDEX(GMWQ!$A$2:$NF$60,MATCH(1,(GMWQ!$NE$2:$NE$60=J$3)*(GMWQ!$ND$2:$ND$60=J$4)*(GMWQ!$NF$2:$NF$60=J$1),0),$E93-1966)</f>
        <v>203292</v>
      </c>
      <c r="K93" s="13" cm="1">
        <f t="array" ref="K93">INDEX(GMWQ!$A$2:$NF$60,MATCH(1,(GMWQ!$NE$2:$NE$60=K$3)*(GMWQ!$ND$2:$ND$60=K$4)*(GMWQ!$NF$2:$NF$60=K$1),0),$E93-1966)</f>
        <v>80425</v>
      </c>
      <c r="L93" s="13" cm="1">
        <f t="array" ref="L93">INDEX(GMWQ!$A$2:$NF$60,MATCH(1,(GMWQ!$NE$2:$NE$60=L$3)*(GMWQ!$ND$2:$ND$60=L$4)*(GMWQ!$NF$2:$NF$60=L$1),0),$E93-1966)</f>
        <v>138183</v>
      </c>
      <c r="M93" s="13" cm="1">
        <f t="array" ref="M93">INDEX(GMWQ!$A$2:$NF$60,MATCH(1,(GMWQ!$NE$2:$NE$60=M$3)*(GMWQ!$ND$2:$ND$60=M$4)*(GMWQ!$NF$2:$NF$60=M$1),0),$E93-1966)</f>
        <v>236870</v>
      </c>
      <c r="N93" s="13" cm="1">
        <f t="array" ref="N93">INDEX(GMWQ!$A$2:$NF$60,MATCH(1,(GMWQ!$NE$2:$NE$60=N$3)*(GMWQ!$ND$2:$ND$60=N$4)*(GMWQ!$NF$2:$NF$60=N$1),0),$E93-1966)</f>
        <v>59.150840000000002</v>
      </c>
      <c r="O93" s="13" cm="1">
        <f t="array" ref="O93">INDEX(GMWQ!$A$2:$NF$60,MATCH(1,(GMWQ!$NE$2:$NE$60=O$3)*(GMWQ!$ND$2:$ND$60=O$4)*(GMWQ!$NF$2:$NF$60=O$1),0),$E93-1966)</f>
        <v>25559</v>
      </c>
      <c r="P93" s="13" cm="1">
        <f t="array" ref="P93">INDEX(GMWQ!$A$2:$NF$60,MATCH(1,(GMWQ!$NE$2:$NE$60=P$3)*(GMWQ!$ND$2:$ND$60=P$4)*(GMWQ!$NF$2:$NF$60=P$1),0),$E93-1966)</f>
        <v>25559</v>
      </c>
      <c r="Q93" s="13" cm="1">
        <f t="array" ref="Q93">INDEX(GMWQ!$A$2:$NF$60,MATCH(1,(GMWQ!$NE$2:$NE$60=Q$3)*(GMWQ!$ND$2:$ND$60=Q$4)*(GMWQ!$NF$2:$NF$60=Q$1),0),$E93-1966)</f>
        <v>25559</v>
      </c>
    </row>
    <row r="94" spans="1:17" x14ac:dyDescent="0.25">
      <c r="B94" s="13">
        <f t="shared" si="8"/>
        <v>1994</v>
      </c>
      <c r="C94" s="13">
        <f t="shared" si="8"/>
        <v>1994</v>
      </c>
      <c r="E94" s="13">
        <f t="shared" si="5"/>
        <v>2060</v>
      </c>
      <c r="F94" s="13" cm="1">
        <f t="array" ref="F94">INDEX(GMWQ!$A$2:$NF$60,MATCH(1,(GMWQ!$NE$2:$NE$60=F$3)*(GMWQ!$ND$2:$ND$60=F$4)*(GMWQ!$NF$2:$NF$60=F$1),0),$E94-1966)</f>
        <v>67.555109999999999</v>
      </c>
      <c r="G94" s="13" cm="1">
        <f t="array" ref="G94">INDEX(GMWQ!$A$2:$NF$60,MATCH(1,(GMWQ!$NE$2:$NE$60=G$3)*(GMWQ!$ND$2:$ND$60=G$4)*(GMWQ!$NF$2:$NF$60=G$1),0),$E94-1966)</f>
        <v>6891</v>
      </c>
      <c r="H94" s="13" cm="1">
        <f t="array" ref="H94">INDEX(GMWQ!$A$2:$NF$60,MATCH(1,(GMWQ!$NE$2:$NE$60=H$3)*(GMWQ!$ND$2:$ND$60=H$4)*(GMWQ!$NF$2:$NF$60=H$1),0),$E94-1966)</f>
        <v>233.2474</v>
      </c>
      <c r="I94" s="13" cm="1">
        <f t="array" ref="I94">INDEX(GMWQ!$A$2:$NF$60,MATCH(1,(GMWQ!$NE$2:$NE$60=I$3)*(GMWQ!$ND$2:$ND$60=I$4)*(GMWQ!$NF$2:$NF$60=I$1),0),$E94-1966)</f>
        <v>51164</v>
      </c>
      <c r="J94" s="13" cm="1">
        <f t="array" ref="J94">INDEX(GMWQ!$A$2:$NF$60,MATCH(1,(GMWQ!$NE$2:$NE$60=J$3)*(GMWQ!$ND$2:$ND$60=J$4)*(GMWQ!$NF$2:$NF$60=J$1),0),$E94-1966)</f>
        <v>207015</v>
      </c>
      <c r="K94" s="13" cm="1">
        <f t="array" ref="K94">INDEX(GMWQ!$A$2:$NF$60,MATCH(1,(GMWQ!$NE$2:$NE$60=K$3)*(GMWQ!$ND$2:$ND$60=K$4)*(GMWQ!$NF$2:$NF$60=K$1),0),$E94-1966)</f>
        <v>81329</v>
      </c>
      <c r="L94" s="13" cm="1">
        <f t="array" ref="L94">INDEX(GMWQ!$A$2:$NF$60,MATCH(1,(GMWQ!$NE$2:$NE$60=L$3)*(GMWQ!$ND$2:$ND$60=L$4)*(GMWQ!$NF$2:$NF$60=L$1),0),$E94-1966)</f>
        <v>138391</v>
      </c>
      <c r="M94" s="13" cm="1">
        <f t="array" ref="M94">INDEX(GMWQ!$A$2:$NF$60,MATCH(1,(GMWQ!$NE$2:$NE$60=M$3)*(GMWQ!$ND$2:$ND$60=M$4)*(GMWQ!$NF$2:$NF$60=M$1),0),$E94-1966)</f>
        <v>235558</v>
      </c>
      <c r="N94" s="13" cm="1">
        <f t="array" ref="N94">INDEX(GMWQ!$A$2:$NF$60,MATCH(1,(GMWQ!$NE$2:$NE$60=N$3)*(GMWQ!$ND$2:$ND$60=N$4)*(GMWQ!$NF$2:$NF$60=N$1),0),$E94-1966)</f>
        <v>59.541040000000002</v>
      </c>
      <c r="O94" s="13" cm="1">
        <f t="array" ref="O94">INDEX(GMWQ!$A$2:$NF$60,MATCH(1,(GMWQ!$NE$2:$NE$60=O$3)*(GMWQ!$ND$2:$ND$60=O$4)*(GMWQ!$NF$2:$NF$60=O$1),0),$E94-1966)</f>
        <v>25600</v>
      </c>
      <c r="P94" s="13" cm="1">
        <f t="array" ref="P94">INDEX(GMWQ!$A$2:$NF$60,MATCH(1,(GMWQ!$NE$2:$NE$60=P$3)*(GMWQ!$ND$2:$ND$60=P$4)*(GMWQ!$NF$2:$NF$60=P$1),0),$E94-1966)</f>
        <v>25600</v>
      </c>
      <c r="Q94" s="13" cm="1">
        <f t="array" ref="Q94">INDEX(GMWQ!$A$2:$NF$60,MATCH(1,(GMWQ!$NE$2:$NE$60=Q$3)*(GMWQ!$ND$2:$ND$60=Q$4)*(GMWQ!$NF$2:$NF$60=Q$1),0),$E94-1966)</f>
        <v>25600</v>
      </c>
    </row>
    <row r="95" spans="1:17" x14ac:dyDescent="0.25">
      <c r="A95" s="13">
        <v>1995</v>
      </c>
      <c r="B95" s="13">
        <f t="shared" si="8"/>
        <v>1995</v>
      </c>
      <c r="C95" s="13">
        <f t="shared" si="8"/>
        <v>1994</v>
      </c>
      <c r="D95" s="13">
        <f t="shared" si="8"/>
        <v>1994</v>
      </c>
      <c r="E95" s="13">
        <f t="shared" si="5"/>
        <v>2061</v>
      </c>
      <c r="F95" s="13" cm="1">
        <f t="array" ref="F95">INDEX(GMWQ!$A$2:$NF$60,MATCH(1,(GMWQ!$NE$2:$NE$60=F$3)*(GMWQ!$ND$2:$ND$60=F$4)*(GMWQ!$NF$2:$NF$60=F$1),0),$E95-1966)</f>
        <v>67.762289999999993</v>
      </c>
      <c r="G95" s="13" cm="1">
        <f t="array" ref="G95">INDEX(GMWQ!$A$2:$NF$60,MATCH(1,(GMWQ!$NE$2:$NE$60=G$3)*(GMWQ!$ND$2:$ND$60=G$4)*(GMWQ!$NF$2:$NF$60=G$1),0),$E95-1966)</f>
        <v>6872</v>
      </c>
      <c r="H95" s="13" cm="1">
        <f t="array" ref="H95">INDEX(GMWQ!$A$2:$NF$60,MATCH(1,(GMWQ!$NE$2:$NE$60=H$3)*(GMWQ!$ND$2:$ND$60=H$4)*(GMWQ!$NF$2:$NF$60=H$1),0),$E95-1966)</f>
        <v>232.66929999999999</v>
      </c>
      <c r="I95" s="13" cm="1">
        <f t="array" ref="I95">INDEX(GMWQ!$A$2:$NF$60,MATCH(1,(GMWQ!$NE$2:$NE$60=I$3)*(GMWQ!$ND$2:$ND$60=I$4)*(GMWQ!$NF$2:$NF$60=I$1),0),$E95-1966)</f>
        <v>50799</v>
      </c>
      <c r="J95" s="13" cm="1">
        <f t="array" ref="J95">INDEX(GMWQ!$A$2:$NF$60,MATCH(1,(GMWQ!$NE$2:$NE$60=J$3)*(GMWQ!$ND$2:$ND$60=J$4)*(GMWQ!$NF$2:$NF$60=J$1),0),$E95-1966)</f>
        <v>208657</v>
      </c>
      <c r="K95" s="13" cm="1">
        <f t="array" ref="K95">INDEX(GMWQ!$A$2:$NF$60,MATCH(1,(GMWQ!$NE$2:$NE$60=K$3)*(GMWQ!$ND$2:$ND$60=K$4)*(GMWQ!$NF$2:$NF$60=K$1),0),$E95-1966)</f>
        <v>82018</v>
      </c>
      <c r="L95" s="13" cm="1">
        <f t="array" ref="L95">INDEX(GMWQ!$A$2:$NF$60,MATCH(1,(GMWQ!$NE$2:$NE$60=L$3)*(GMWQ!$ND$2:$ND$60=L$4)*(GMWQ!$NF$2:$NF$60=L$1),0),$E95-1966)</f>
        <v>141861</v>
      </c>
      <c r="M95" s="13" cm="1">
        <f t="array" ref="M95">INDEX(GMWQ!$A$2:$NF$60,MATCH(1,(GMWQ!$NE$2:$NE$60=M$3)*(GMWQ!$ND$2:$ND$60=M$4)*(GMWQ!$NF$2:$NF$60=M$1),0),$E95-1966)</f>
        <v>239669</v>
      </c>
      <c r="N95" s="13" cm="1">
        <f t="array" ref="N95">INDEX(GMWQ!$A$2:$NF$60,MATCH(1,(GMWQ!$NE$2:$NE$60=N$3)*(GMWQ!$ND$2:$ND$60=N$4)*(GMWQ!$NF$2:$NF$60=N$1),0),$E95-1966)</f>
        <v>59.871699999999997</v>
      </c>
      <c r="O95" s="13" cm="1">
        <f t="array" ref="O95">INDEX(GMWQ!$A$2:$NF$60,MATCH(1,(GMWQ!$NE$2:$NE$60=O$3)*(GMWQ!$ND$2:$ND$60=O$4)*(GMWQ!$NF$2:$NF$60=O$1),0),$E95-1966)</f>
        <v>25670</v>
      </c>
      <c r="P95" s="13" cm="1">
        <f t="array" ref="P95">INDEX(GMWQ!$A$2:$NF$60,MATCH(1,(GMWQ!$NE$2:$NE$60=P$3)*(GMWQ!$ND$2:$ND$60=P$4)*(GMWQ!$NF$2:$NF$60=P$1),0),$E95-1966)</f>
        <v>25670</v>
      </c>
      <c r="Q95" s="13" cm="1">
        <f t="array" ref="Q95">INDEX(GMWQ!$A$2:$NF$60,MATCH(1,(GMWQ!$NE$2:$NE$60=Q$3)*(GMWQ!$ND$2:$ND$60=Q$4)*(GMWQ!$NF$2:$NF$60=Q$1),0),$E95-1966)</f>
        <v>25670</v>
      </c>
    </row>
    <row r="96" spans="1:17" x14ac:dyDescent="0.25">
      <c r="B96" s="13">
        <f t="shared" si="8"/>
        <v>1995</v>
      </c>
      <c r="C96" s="13">
        <f t="shared" si="8"/>
        <v>1995</v>
      </c>
      <c r="E96" s="13">
        <f t="shared" si="5"/>
        <v>2062</v>
      </c>
      <c r="F96" s="13" cm="1">
        <f t="array" ref="F96">INDEX(GMWQ!$A$2:$NF$60,MATCH(1,(GMWQ!$NE$2:$NE$60=F$3)*(GMWQ!$ND$2:$ND$60=F$4)*(GMWQ!$NF$2:$NF$60=F$1),0),$E96-1966)</f>
        <v>68.626689999999996</v>
      </c>
      <c r="G96" s="13" cm="1">
        <f t="array" ref="G96">INDEX(GMWQ!$A$2:$NF$60,MATCH(1,(GMWQ!$NE$2:$NE$60=G$3)*(GMWQ!$ND$2:$ND$60=G$4)*(GMWQ!$NF$2:$NF$60=G$1),0),$E96-1966)</f>
        <v>6901</v>
      </c>
      <c r="H96" s="13" cm="1">
        <f t="array" ref="H96">INDEX(GMWQ!$A$2:$NF$60,MATCH(1,(GMWQ!$NE$2:$NE$60=H$3)*(GMWQ!$ND$2:$ND$60=H$4)*(GMWQ!$NF$2:$NF$60=H$1),0),$E96-1966)</f>
        <v>237.69069999999999</v>
      </c>
      <c r="I96" s="13" cm="1">
        <f t="array" ref="I96">INDEX(GMWQ!$A$2:$NF$60,MATCH(1,(GMWQ!$NE$2:$NE$60=I$3)*(GMWQ!$ND$2:$ND$60=I$4)*(GMWQ!$NF$2:$NF$60=I$1),0),$E96-1966)</f>
        <v>49847</v>
      </c>
      <c r="J96" s="13" cm="1">
        <f t="array" ref="J96">INDEX(GMWQ!$A$2:$NF$60,MATCH(1,(GMWQ!$NE$2:$NE$60=J$3)*(GMWQ!$ND$2:$ND$60=J$4)*(GMWQ!$NF$2:$NF$60=J$1),0),$E96-1966)</f>
        <v>210748</v>
      </c>
      <c r="K96" s="13" cm="1">
        <f t="array" ref="K96">INDEX(GMWQ!$A$2:$NF$60,MATCH(1,(GMWQ!$NE$2:$NE$60=K$3)*(GMWQ!$ND$2:$ND$60=K$4)*(GMWQ!$NF$2:$NF$60=K$1),0),$E96-1966)</f>
        <v>83079</v>
      </c>
      <c r="L96" s="13" cm="1">
        <f t="array" ref="L96">INDEX(GMWQ!$A$2:$NF$60,MATCH(1,(GMWQ!$NE$2:$NE$60=L$3)*(GMWQ!$ND$2:$ND$60=L$4)*(GMWQ!$NF$2:$NF$60=L$1),0),$E96-1966)</f>
        <v>143287</v>
      </c>
      <c r="M96" s="13" cm="1">
        <f t="array" ref="M96">INDEX(GMWQ!$A$2:$NF$60,MATCH(1,(GMWQ!$NE$2:$NE$60=M$3)*(GMWQ!$ND$2:$ND$60=M$4)*(GMWQ!$NF$2:$NF$60=M$1),0),$E96-1966)</f>
        <v>239943</v>
      </c>
      <c r="N96" s="13" cm="1">
        <f t="array" ref="N96">INDEX(GMWQ!$A$2:$NF$60,MATCH(1,(GMWQ!$NE$2:$NE$60=N$3)*(GMWQ!$ND$2:$ND$60=N$4)*(GMWQ!$NF$2:$NF$60=N$1),0),$E96-1966)</f>
        <v>60.466740000000001</v>
      </c>
      <c r="O96" s="13" cm="1">
        <f t="array" ref="O96">INDEX(GMWQ!$A$2:$NF$60,MATCH(1,(GMWQ!$NE$2:$NE$60=O$3)*(GMWQ!$ND$2:$ND$60=O$4)*(GMWQ!$NF$2:$NF$60=O$1),0),$E96-1966)</f>
        <v>25770</v>
      </c>
      <c r="P96" s="13" cm="1">
        <f t="array" ref="P96">INDEX(GMWQ!$A$2:$NF$60,MATCH(1,(GMWQ!$NE$2:$NE$60=P$3)*(GMWQ!$ND$2:$ND$60=P$4)*(GMWQ!$NF$2:$NF$60=P$1),0),$E96-1966)</f>
        <v>25770</v>
      </c>
      <c r="Q96" s="13" cm="1">
        <f t="array" ref="Q96">INDEX(GMWQ!$A$2:$NF$60,MATCH(1,(GMWQ!$NE$2:$NE$60=Q$3)*(GMWQ!$ND$2:$ND$60=Q$4)*(GMWQ!$NF$2:$NF$60=Q$1),0),$E96-1966)</f>
        <v>25770</v>
      </c>
    </row>
    <row r="97" spans="1:17" x14ac:dyDescent="0.25">
      <c r="B97" s="13">
        <f t="shared" si="8"/>
        <v>1995</v>
      </c>
      <c r="C97" s="13">
        <f t="shared" si="8"/>
        <v>1995</v>
      </c>
      <c r="E97" s="13">
        <f t="shared" si="5"/>
        <v>2063</v>
      </c>
      <c r="F97" s="13" cm="1">
        <f t="array" ref="F97">INDEX(GMWQ!$A$2:$NF$60,MATCH(1,(GMWQ!$NE$2:$NE$60=F$3)*(GMWQ!$ND$2:$ND$60=F$4)*(GMWQ!$NF$2:$NF$60=F$1),0),$E97-1966)</f>
        <v>68.505549999999999</v>
      </c>
      <c r="G97" s="13" cm="1">
        <f t="array" ref="G97">INDEX(GMWQ!$A$2:$NF$60,MATCH(1,(GMWQ!$NE$2:$NE$60=G$3)*(GMWQ!$ND$2:$ND$60=G$4)*(GMWQ!$NF$2:$NF$60=G$1),0),$E97-1966)</f>
        <v>6999</v>
      </c>
      <c r="H97" s="13" cm="1">
        <f t="array" ref="H97">INDEX(GMWQ!$A$2:$NF$60,MATCH(1,(GMWQ!$NE$2:$NE$60=H$3)*(GMWQ!$ND$2:$ND$60=H$4)*(GMWQ!$NF$2:$NF$60=H$1),0),$E97-1966)</f>
        <v>240.27940000000001</v>
      </c>
      <c r="I97" s="13" cm="1">
        <f t="array" ref="I97">INDEX(GMWQ!$A$2:$NF$60,MATCH(1,(GMWQ!$NE$2:$NE$60=I$3)*(GMWQ!$ND$2:$ND$60=I$4)*(GMWQ!$NF$2:$NF$60=I$1),0),$E97-1966)</f>
        <v>52286</v>
      </c>
      <c r="J97" s="13" cm="1">
        <f t="array" ref="J97">INDEX(GMWQ!$A$2:$NF$60,MATCH(1,(GMWQ!$NE$2:$NE$60=J$3)*(GMWQ!$ND$2:$ND$60=J$4)*(GMWQ!$NF$2:$NF$60=J$1),0),$E97-1966)</f>
        <v>214616</v>
      </c>
      <c r="K97" s="13" cm="1">
        <f t="array" ref="K97">INDEX(GMWQ!$A$2:$NF$60,MATCH(1,(GMWQ!$NE$2:$NE$60=K$3)*(GMWQ!$ND$2:$ND$60=K$4)*(GMWQ!$NF$2:$NF$60=K$1),0),$E97-1966)</f>
        <v>83880</v>
      </c>
      <c r="L97" s="13" cm="1">
        <f t="array" ref="L97">INDEX(GMWQ!$A$2:$NF$60,MATCH(1,(GMWQ!$NE$2:$NE$60=L$3)*(GMWQ!$ND$2:$ND$60=L$4)*(GMWQ!$NF$2:$NF$60=L$1),0),$E97-1966)</f>
        <v>146426</v>
      </c>
      <c r="M97" s="13" cm="1">
        <f t="array" ref="M97">INDEX(GMWQ!$A$2:$NF$60,MATCH(1,(GMWQ!$NE$2:$NE$60=M$3)*(GMWQ!$ND$2:$ND$60=M$4)*(GMWQ!$NF$2:$NF$60=M$1),0),$E97-1966)</f>
        <v>242123</v>
      </c>
      <c r="N97" s="13" cm="1">
        <f t="array" ref="N97">INDEX(GMWQ!$A$2:$NF$60,MATCH(1,(GMWQ!$NE$2:$NE$60=N$3)*(GMWQ!$ND$2:$ND$60=N$4)*(GMWQ!$NF$2:$NF$60=N$1),0),$E97-1966)</f>
        <v>61.436</v>
      </c>
      <c r="O97" s="13" cm="1">
        <f t="array" ref="O97">INDEX(GMWQ!$A$2:$NF$60,MATCH(1,(GMWQ!$NE$2:$NE$60=O$3)*(GMWQ!$ND$2:$ND$60=O$4)*(GMWQ!$NF$2:$NF$60=O$1),0),$E97-1966)</f>
        <v>25852</v>
      </c>
      <c r="P97" s="13" cm="1">
        <f t="array" ref="P97">INDEX(GMWQ!$A$2:$NF$60,MATCH(1,(GMWQ!$NE$2:$NE$60=P$3)*(GMWQ!$ND$2:$ND$60=P$4)*(GMWQ!$NF$2:$NF$60=P$1),0),$E97-1966)</f>
        <v>25852</v>
      </c>
      <c r="Q97" s="13" cm="1">
        <f t="array" ref="Q97">INDEX(GMWQ!$A$2:$NF$60,MATCH(1,(GMWQ!$NE$2:$NE$60=Q$3)*(GMWQ!$ND$2:$ND$60=Q$4)*(GMWQ!$NF$2:$NF$60=Q$1),0),$E97-1966)</f>
        <v>25852</v>
      </c>
    </row>
    <row r="98" spans="1:17" x14ac:dyDescent="0.25">
      <c r="B98" s="13">
        <f t="shared" si="8"/>
        <v>1995</v>
      </c>
      <c r="C98" s="13">
        <f t="shared" si="8"/>
        <v>1995</v>
      </c>
      <c r="E98" s="13">
        <f t="shared" si="5"/>
        <v>2064</v>
      </c>
      <c r="F98" s="13" cm="1">
        <f t="array" ref="F98">INDEX(GMWQ!$A$2:$NF$60,MATCH(1,(GMWQ!$NE$2:$NE$60=F$3)*(GMWQ!$ND$2:$ND$60=F$4)*(GMWQ!$NF$2:$NF$60=F$1),0),$E98-1966)</f>
        <v>69.301109999999994</v>
      </c>
      <c r="G98" s="13" cm="1">
        <f t="array" ref="G98">INDEX(GMWQ!$A$2:$NF$60,MATCH(1,(GMWQ!$NE$2:$NE$60=G$3)*(GMWQ!$ND$2:$ND$60=G$4)*(GMWQ!$NF$2:$NF$60=G$1),0),$E98-1966)</f>
        <v>7120</v>
      </c>
      <c r="H98" s="13" cm="1">
        <f t="array" ref="H98">INDEX(GMWQ!$A$2:$NF$60,MATCH(1,(GMWQ!$NE$2:$NE$60=H$3)*(GMWQ!$ND$2:$ND$60=H$4)*(GMWQ!$NF$2:$NF$60=H$1),0),$E98-1966)</f>
        <v>241.90459999999999</v>
      </c>
      <c r="I98" s="13" cm="1">
        <f t="array" ref="I98">INDEX(GMWQ!$A$2:$NF$60,MATCH(1,(GMWQ!$NE$2:$NE$60=I$3)*(GMWQ!$ND$2:$ND$60=I$4)*(GMWQ!$NF$2:$NF$60=I$1),0),$E98-1966)</f>
        <v>53374</v>
      </c>
      <c r="J98" s="13" cm="1">
        <f t="array" ref="J98">INDEX(GMWQ!$A$2:$NF$60,MATCH(1,(GMWQ!$NE$2:$NE$60=J$3)*(GMWQ!$ND$2:$ND$60=J$4)*(GMWQ!$NF$2:$NF$60=J$1),0),$E98-1966)</f>
        <v>217824</v>
      </c>
      <c r="K98" s="13" cm="1">
        <f t="array" ref="K98">INDEX(GMWQ!$A$2:$NF$60,MATCH(1,(GMWQ!$NE$2:$NE$60=K$3)*(GMWQ!$ND$2:$ND$60=K$4)*(GMWQ!$NF$2:$NF$60=K$1),0),$E98-1966)</f>
        <v>85407</v>
      </c>
      <c r="L98" s="13" cm="1">
        <f t="array" ref="L98">INDEX(GMWQ!$A$2:$NF$60,MATCH(1,(GMWQ!$NE$2:$NE$60=L$3)*(GMWQ!$ND$2:$ND$60=L$4)*(GMWQ!$NF$2:$NF$60=L$1),0),$E98-1966)</f>
        <v>147725</v>
      </c>
      <c r="M98" s="13" cm="1">
        <f t="array" ref="M98">INDEX(GMWQ!$A$2:$NF$60,MATCH(1,(GMWQ!$NE$2:$NE$60=M$3)*(GMWQ!$ND$2:$ND$60=M$4)*(GMWQ!$NF$2:$NF$60=M$1),0),$E98-1966)</f>
        <v>243427</v>
      </c>
      <c r="N98" s="13" cm="1">
        <f t="array" ref="N98">INDEX(GMWQ!$A$2:$NF$60,MATCH(1,(GMWQ!$NE$2:$NE$60=N$3)*(GMWQ!$ND$2:$ND$60=N$4)*(GMWQ!$NF$2:$NF$60=N$1),0),$E98-1966)</f>
        <v>61.456009999999999</v>
      </c>
      <c r="O98" s="13" cm="1">
        <f t="array" ref="O98">INDEX(GMWQ!$A$2:$NF$60,MATCH(1,(GMWQ!$NE$2:$NE$60=O$3)*(GMWQ!$ND$2:$ND$60=O$4)*(GMWQ!$NF$2:$NF$60=O$1),0),$E98-1966)</f>
        <v>25982</v>
      </c>
      <c r="P98" s="13" cm="1">
        <f t="array" ref="P98">INDEX(GMWQ!$A$2:$NF$60,MATCH(1,(GMWQ!$NE$2:$NE$60=P$3)*(GMWQ!$ND$2:$ND$60=P$4)*(GMWQ!$NF$2:$NF$60=P$1),0),$E98-1966)</f>
        <v>25982</v>
      </c>
      <c r="Q98" s="13" cm="1">
        <f t="array" ref="Q98">INDEX(GMWQ!$A$2:$NF$60,MATCH(1,(GMWQ!$NE$2:$NE$60=Q$3)*(GMWQ!$ND$2:$ND$60=Q$4)*(GMWQ!$NF$2:$NF$60=Q$1),0),$E98-1966)</f>
        <v>25982</v>
      </c>
    </row>
    <row r="99" spans="1:17" x14ac:dyDescent="0.25">
      <c r="A99" s="13">
        <v>1996</v>
      </c>
      <c r="B99" s="13">
        <f t="shared" si="8"/>
        <v>1996</v>
      </c>
      <c r="C99" s="13">
        <f t="shared" si="8"/>
        <v>1995</v>
      </c>
      <c r="D99" s="13">
        <f t="shared" si="8"/>
        <v>1995</v>
      </c>
      <c r="E99" s="13">
        <f t="shared" si="5"/>
        <v>2065</v>
      </c>
      <c r="F99" s="13" cm="1">
        <f t="array" ref="F99">INDEX(GMWQ!$A$2:$NF$60,MATCH(1,(GMWQ!$NE$2:$NE$60=F$3)*(GMWQ!$ND$2:$ND$60=F$4)*(GMWQ!$NF$2:$NF$60=F$1),0),$E99-1966)</f>
        <v>69.588480000000004</v>
      </c>
      <c r="G99" s="13" cm="1">
        <f t="array" ref="G99">INDEX(GMWQ!$A$2:$NF$60,MATCH(1,(GMWQ!$NE$2:$NE$60=G$3)*(GMWQ!$ND$2:$ND$60=G$4)*(GMWQ!$NF$2:$NF$60=G$1),0),$E99-1966)</f>
        <v>7100</v>
      </c>
      <c r="H99" s="13" cm="1">
        <f t="array" ref="H99">INDEX(GMWQ!$A$2:$NF$60,MATCH(1,(GMWQ!$NE$2:$NE$60=H$3)*(GMWQ!$ND$2:$ND$60=H$4)*(GMWQ!$NF$2:$NF$60=H$1),0),$E99-1966)</f>
        <v>241.40309999999999</v>
      </c>
      <c r="I99" s="13" cm="1">
        <f t="array" ref="I99">INDEX(GMWQ!$A$2:$NF$60,MATCH(1,(GMWQ!$NE$2:$NE$60=I$3)*(GMWQ!$ND$2:$ND$60=I$4)*(GMWQ!$NF$2:$NF$60=I$1),0),$E99-1966)</f>
        <v>54595</v>
      </c>
      <c r="J99" s="13" cm="1">
        <f t="array" ref="J99">INDEX(GMWQ!$A$2:$NF$60,MATCH(1,(GMWQ!$NE$2:$NE$60=J$3)*(GMWQ!$ND$2:$ND$60=J$4)*(GMWQ!$NF$2:$NF$60=J$1),0),$E99-1966)</f>
        <v>221433</v>
      </c>
      <c r="K99" s="13" cm="1">
        <f t="array" ref="K99">INDEX(GMWQ!$A$2:$NF$60,MATCH(1,(GMWQ!$NE$2:$NE$60=K$3)*(GMWQ!$ND$2:$ND$60=K$4)*(GMWQ!$NF$2:$NF$60=K$1),0),$E99-1966)</f>
        <v>85835</v>
      </c>
      <c r="L99" s="13" cm="1">
        <f t="array" ref="L99">INDEX(GMWQ!$A$2:$NF$60,MATCH(1,(GMWQ!$NE$2:$NE$60=L$3)*(GMWQ!$ND$2:$ND$60=L$4)*(GMWQ!$NF$2:$NF$60=L$1),0),$E99-1966)</f>
        <v>151630</v>
      </c>
      <c r="M99" s="13" cm="1">
        <f t="array" ref="M99">INDEX(GMWQ!$A$2:$NF$60,MATCH(1,(GMWQ!$NE$2:$NE$60=M$3)*(GMWQ!$ND$2:$ND$60=M$4)*(GMWQ!$NF$2:$NF$60=M$1),0),$E99-1966)</f>
        <v>247598</v>
      </c>
      <c r="N99" s="13" cm="1">
        <f t="array" ref="N99">INDEX(GMWQ!$A$2:$NF$60,MATCH(1,(GMWQ!$NE$2:$NE$60=N$3)*(GMWQ!$ND$2:$ND$60=N$4)*(GMWQ!$NF$2:$NF$60=N$1),0),$E99-1966)</f>
        <v>62.042369999999998</v>
      </c>
      <c r="O99" s="13" cm="1">
        <f t="array" ref="O99">INDEX(GMWQ!$A$2:$NF$60,MATCH(1,(GMWQ!$NE$2:$NE$60=O$3)*(GMWQ!$ND$2:$ND$60=O$4)*(GMWQ!$NF$2:$NF$60=O$1),0),$E99-1966)</f>
        <v>25970</v>
      </c>
      <c r="P99" s="13" cm="1">
        <f t="array" ref="P99">INDEX(GMWQ!$A$2:$NF$60,MATCH(1,(GMWQ!$NE$2:$NE$60=P$3)*(GMWQ!$ND$2:$ND$60=P$4)*(GMWQ!$NF$2:$NF$60=P$1),0),$E99-1966)</f>
        <v>25970</v>
      </c>
      <c r="Q99" s="13" cm="1">
        <f t="array" ref="Q99">INDEX(GMWQ!$A$2:$NF$60,MATCH(1,(GMWQ!$NE$2:$NE$60=Q$3)*(GMWQ!$ND$2:$ND$60=Q$4)*(GMWQ!$NF$2:$NF$60=Q$1),0),$E99-1966)</f>
        <v>25970</v>
      </c>
    </row>
    <row r="100" spans="1:17" x14ac:dyDescent="0.25">
      <c r="B100" s="13">
        <f t="shared" si="8"/>
        <v>1996</v>
      </c>
      <c r="C100" s="13">
        <f t="shared" si="8"/>
        <v>1996</v>
      </c>
      <c r="E100" s="13">
        <f t="shared" si="5"/>
        <v>2066</v>
      </c>
      <c r="F100" s="13" cm="1">
        <f t="array" ref="F100">INDEX(GMWQ!$A$2:$NF$60,MATCH(1,(GMWQ!$NE$2:$NE$60=F$3)*(GMWQ!$ND$2:$ND$60=F$4)*(GMWQ!$NF$2:$NF$60=F$1),0),$E100-1966)</f>
        <v>70.225399999999993</v>
      </c>
      <c r="G100" s="13" cm="1">
        <f t="array" ref="G100">INDEX(GMWQ!$A$2:$NF$60,MATCH(1,(GMWQ!$NE$2:$NE$60=G$3)*(GMWQ!$ND$2:$ND$60=G$4)*(GMWQ!$NF$2:$NF$60=G$1),0),$E100-1966)</f>
        <v>7308</v>
      </c>
      <c r="H100" s="13" cm="1">
        <f t="array" ref="H100">INDEX(GMWQ!$A$2:$NF$60,MATCH(1,(GMWQ!$NE$2:$NE$60=H$3)*(GMWQ!$ND$2:$ND$60=H$4)*(GMWQ!$NF$2:$NF$60=H$1),0),$E100-1966)</f>
        <v>247.31559999999999</v>
      </c>
      <c r="I100" s="13" cm="1">
        <f t="array" ref="I100">INDEX(GMWQ!$A$2:$NF$60,MATCH(1,(GMWQ!$NE$2:$NE$60=I$3)*(GMWQ!$ND$2:$ND$60=I$4)*(GMWQ!$NF$2:$NF$60=I$1),0),$E100-1966)</f>
        <v>57114</v>
      </c>
      <c r="J100" s="13" cm="1">
        <f t="array" ref="J100">INDEX(GMWQ!$A$2:$NF$60,MATCH(1,(GMWQ!$NE$2:$NE$60=J$3)*(GMWQ!$ND$2:$ND$60=J$4)*(GMWQ!$NF$2:$NF$60=J$1),0),$E100-1966)</f>
        <v>226187</v>
      </c>
      <c r="K100" s="13" cm="1">
        <f t="array" ref="K100">INDEX(GMWQ!$A$2:$NF$60,MATCH(1,(GMWQ!$NE$2:$NE$60=K$3)*(GMWQ!$ND$2:$ND$60=K$4)*(GMWQ!$NF$2:$NF$60=K$1),0),$E100-1966)</f>
        <v>86705</v>
      </c>
      <c r="L100" s="13" cm="1">
        <f t="array" ref="L100">INDEX(GMWQ!$A$2:$NF$60,MATCH(1,(GMWQ!$NE$2:$NE$60=L$3)*(GMWQ!$ND$2:$ND$60=L$4)*(GMWQ!$NF$2:$NF$60=L$1),0),$E100-1966)</f>
        <v>153565</v>
      </c>
      <c r="M100" s="13" cm="1">
        <f t="array" ref="M100">INDEX(GMWQ!$A$2:$NF$60,MATCH(1,(GMWQ!$NE$2:$NE$60=M$3)*(GMWQ!$ND$2:$ND$60=M$4)*(GMWQ!$NF$2:$NF$60=M$1),0),$E100-1966)</f>
        <v>247441</v>
      </c>
      <c r="N100" s="13" cm="1">
        <f t="array" ref="N100">INDEX(GMWQ!$A$2:$NF$60,MATCH(1,(GMWQ!$NE$2:$NE$60=N$3)*(GMWQ!$ND$2:$ND$60=N$4)*(GMWQ!$NF$2:$NF$60=N$1),0),$E100-1966)</f>
        <v>62.74926</v>
      </c>
      <c r="O100" s="13" cm="1">
        <f t="array" ref="O100">INDEX(GMWQ!$A$2:$NF$60,MATCH(1,(GMWQ!$NE$2:$NE$60=O$3)*(GMWQ!$ND$2:$ND$60=O$4)*(GMWQ!$NF$2:$NF$60=O$1),0),$E100-1966)</f>
        <v>26009</v>
      </c>
      <c r="P100" s="13" cm="1">
        <f t="array" ref="P100">INDEX(GMWQ!$A$2:$NF$60,MATCH(1,(GMWQ!$NE$2:$NE$60=P$3)*(GMWQ!$ND$2:$ND$60=P$4)*(GMWQ!$NF$2:$NF$60=P$1),0),$E100-1966)</f>
        <v>26009</v>
      </c>
      <c r="Q100" s="13" cm="1">
        <f t="array" ref="Q100">INDEX(GMWQ!$A$2:$NF$60,MATCH(1,(GMWQ!$NE$2:$NE$60=Q$3)*(GMWQ!$ND$2:$ND$60=Q$4)*(GMWQ!$NF$2:$NF$60=Q$1),0),$E100-1966)</f>
        <v>26009</v>
      </c>
    </row>
    <row r="101" spans="1:17" x14ac:dyDescent="0.25">
      <c r="B101" s="13">
        <f t="shared" si="8"/>
        <v>1996</v>
      </c>
      <c r="C101" s="13">
        <f t="shared" si="8"/>
        <v>1996</v>
      </c>
      <c r="E101" s="13">
        <f t="shared" si="5"/>
        <v>2067</v>
      </c>
      <c r="F101" s="13" cm="1">
        <f t="array" ref="F101">INDEX(GMWQ!$A$2:$NF$60,MATCH(1,(GMWQ!$NE$2:$NE$60=F$3)*(GMWQ!$ND$2:$ND$60=F$4)*(GMWQ!$NF$2:$NF$60=F$1),0),$E101-1966)</f>
        <v>70.571240000000003</v>
      </c>
      <c r="G101" s="13" cm="1">
        <f t="array" ref="G101">INDEX(GMWQ!$A$2:$NF$60,MATCH(1,(GMWQ!$NE$2:$NE$60=G$3)*(GMWQ!$ND$2:$ND$60=G$4)*(GMWQ!$NF$2:$NF$60=G$1),0),$E101-1966)</f>
        <v>7377</v>
      </c>
      <c r="H101" s="13" cm="1">
        <f t="array" ref="H101">INDEX(GMWQ!$A$2:$NF$60,MATCH(1,(GMWQ!$NE$2:$NE$60=H$3)*(GMWQ!$ND$2:$ND$60=H$4)*(GMWQ!$NF$2:$NF$60=H$1),0),$E101-1966)</f>
        <v>251.52930000000001</v>
      </c>
      <c r="I101" s="13" cm="1">
        <f t="array" ref="I101">INDEX(GMWQ!$A$2:$NF$60,MATCH(1,(GMWQ!$NE$2:$NE$60=I$3)*(GMWQ!$ND$2:$ND$60=I$4)*(GMWQ!$NF$2:$NF$60=I$1),0),$E101-1966)</f>
        <v>58848</v>
      </c>
      <c r="J101" s="13" cm="1">
        <f t="array" ref="J101">INDEX(GMWQ!$A$2:$NF$60,MATCH(1,(GMWQ!$NE$2:$NE$60=J$3)*(GMWQ!$ND$2:$ND$60=J$4)*(GMWQ!$NF$2:$NF$60=J$1),0),$E101-1966)</f>
        <v>229912</v>
      </c>
      <c r="K101" s="13" cm="1">
        <f t="array" ref="K101">INDEX(GMWQ!$A$2:$NF$60,MATCH(1,(GMWQ!$NE$2:$NE$60=K$3)*(GMWQ!$ND$2:$ND$60=K$4)*(GMWQ!$NF$2:$NF$60=K$1),0),$E101-1966)</f>
        <v>88031</v>
      </c>
      <c r="L101" s="13" cm="1">
        <f t="array" ref="L101">INDEX(GMWQ!$A$2:$NF$60,MATCH(1,(GMWQ!$NE$2:$NE$60=L$3)*(GMWQ!$ND$2:$ND$60=L$4)*(GMWQ!$NF$2:$NF$60=L$1),0),$E101-1966)</f>
        <v>156382</v>
      </c>
      <c r="M101" s="13" cm="1">
        <f t="array" ref="M101">INDEX(GMWQ!$A$2:$NF$60,MATCH(1,(GMWQ!$NE$2:$NE$60=M$3)*(GMWQ!$ND$2:$ND$60=M$4)*(GMWQ!$NF$2:$NF$60=M$1),0),$E101-1966)</f>
        <v>250067</v>
      </c>
      <c r="N101" s="13" cm="1">
        <f t="array" ref="N101">INDEX(GMWQ!$A$2:$NF$60,MATCH(1,(GMWQ!$NE$2:$NE$60=N$3)*(GMWQ!$ND$2:$ND$60=N$4)*(GMWQ!$NF$2:$NF$60=N$1),0),$E101-1966)</f>
        <v>63.249040000000001</v>
      </c>
      <c r="O101" s="13" cm="1">
        <f t="array" ref="O101">INDEX(GMWQ!$A$2:$NF$60,MATCH(1,(GMWQ!$NE$2:$NE$60=O$3)*(GMWQ!$ND$2:$ND$60=O$4)*(GMWQ!$NF$2:$NF$60=O$1),0),$E101-1966)</f>
        <v>26062</v>
      </c>
      <c r="P101" s="13" cm="1">
        <f t="array" ref="P101">INDEX(GMWQ!$A$2:$NF$60,MATCH(1,(GMWQ!$NE$2:$NE$60=P$3)*(GMWQ!$ND$2:$ND$60=P$4)*(GMWQ!$NF$2:$NF$60=P$1),0),$E101-1966)</f>
        <v>26062</v>
      </c>
      <c r="Q101" s="13" cm="1">
        <f t="array" ref="Q101">INDEX(GMWQ!$A$2:$NF$60,MATCH(1,(GMWQ!$NE$2:$NE$60=Q$3)*(GMWQ!$ND$2:$ND$60=Q$4)*(GMWQ!$NF$2:$NF$60=Q$1),0),$E101-1966)</f>
        <v>26062</v>
      </c>
    </row>
    <row r="102" spans="1:17" x14ac:dyDescent="0.25">
      <c r="B102" s="13">
        <f t="shared" si="8"/>
        <v>1996</v>
      </c>
      <c r="C102" s="13">
        <f t="shared" si="8"/>
        <v>1996</v>
      </c>
      <c r="E102" s="13">
        <f t="shared" si="5"/>
        <v>2068</v>
      </c>
      <c r="F102" s="13" cm="1">
        <f t="array" ref="F102">INDEX(GMWQ!$A$2:$NF$60,MATCH(1,(GMWQ!$NE$2:$NE$60=F$3)*(GMWQ!$ND$2:$ND$60=F$4)*(GMWQ!$NF$2:$NF$60=F$1),0),$E102-1966)</f>
        <v>70.170429999999996</v>
      </c>
      <c r="G102" s="13" cm="1">
        <f t="array" ref="G102">INDEX(GMWQ!$A$2:$NF$60,MATCH(1,(GMWQ!$NE$2:$NE$60=G$3)*(GMWQ!$ND$2:$ND$60=G$4)*(GMWQ!$NF$2:$NF$60=G$1),0),$E102-1966)</f>
        <v>7428</v>
      </c>
      <c r="H102" s="13" cm="1">
        <f t="array" ref="H102">INDEX(GMWQ!$A$2:$NF$60,MATCH(1,(GMWQ!$NE$2:$NE$60=H$3)*(GMWQ!$ND$2:$ND$60=H$4)*(GMWQ!$NF$2:$NF$60=H$1),0),$E102-1966)</f>
        <v>253.94390000000001</v>
      </c>
      <c r="I102" s="13" cm="1">
        <f t="array" ref="I102">INDEX(GMWQ!$A$2:$NF$60,MATCH(1,(GMWQ!$NE$2:$NE$60=I$3)*(GMWQ!$ND$2:$ND$60=I$4)*(GMWQ!$NF$2:$NF$60=I$1),0),$E102-1966)</f>
        <v>60252</v>
      </c>
      <c r="J102" s="13" cm="1">
        <f t="array" ref="J102">INDEX(GMWQ!$A$2:$NF$60,MATCH(1,(GMWQ!$NE$2:$NE$60=J$3)*(GMWQ!$ND$2:$ND$60=J$4)*(GMWQ!$NF$2:$NF$60=J$1),0),$E102-1966)</f>
        <v>232461</v>
      </c>
      <c r="K102" s="13" cm="1">
        <f t="array" ref="K102">INDEX(GMWQ!$A$2:$NF$60,MATCH(1,(GMWQ!$NE$2:$NE$60=K$3)*(GMWQ!$ND$2:$ND$60=K$4)*(GMWQ!$NF$2:$NF$60=K$1),0),$E102-1966)</f>
        <v>88882</v>
      </c>
      <c r="L102" s="13" cm="1">
        <f t="array" ref="L102">INDEX(GMWQ!$A$2:$NF$60,MATCH(1,(GMWQ!$NE$2:$NE$60=L$3)*(GMWQ!$ND$2:$ND$60=L$4)*(GMWQ!$NF$2:$NF$60=L$1),0),$E102-1966)</f>
        <v>154146</v>
      </c>
      <c r="M102" s="13" cm="1">
        <f t="array" ref="M102">INDEX(GMWQ!$A$2:$NF$60,MATCH(1,(GMWQ!$NE$2:$NE$60=M$3)*(GMWQ!$ND$2:$ND$60=M$4)*(GMWQ!$NF$2:$NF$60=M$1),0),$E102-1966)</f>
        <v>245800</v>
      </c>
      <c r="N102" s="13" cm="1">
        <f t="array" ref="N102">INDEX(GMWQ!$A$2:$NF$60,MATCH(1,(GMWQ!$NE$2:$NE$60=N$3)*(GMWQ!$ND$2:$ND$60=N$4)*(GMWQ!$NF$2:$NF$60=N$1),0),$E102-1966)</f>
        <v>63.442030000000003</v>
      </c>
      <c r="O102" s="13" cm="1">
        <f t="array" ref="O102">INDEX(GMWQ!$A$2:$NF$60,MATCH(1,(GMWQ!$NE$2:$NE$60=O$3)*(GMWQ!$ND$2:$ND$60=O$4)*(GMWQ!$NF$2:$NF$60=O$1),0),$E102-1966)</f>
        <v>26198</v>
      </c>
      <c r="P102" s="13" cm="1">
        <f t="array" ref="P102">INDEX(GMWQ!$A$2:$NF$60,MATCH(1,(GMWQ!$NE$2:$NE$60=P$3)*(GMWQ!$ND$2:$ND$60=P$4)*(GMWQ!$NF$2:$NF$60=P$1),0),$E102-1966)</f>
        <v>26198</v>
      </c>
      <c r="Q102" s="13" cm="1">
        <f t="array" ref="Q102">INDEX(GMWQ!$A$2:$NF$60,MATCH(1,(GMWQ!$NE$2:$NE$60=Q$3)*(GMWQ!$ND$2:$ND$60=Q$4)*(GMWQ!$NF$2:$NF$60=Q$1),0),$E102-1966)</f>
        <v>26198</v>
      </c>
    </row>
    <row r="103" spans="1:17" x14ac:dyDescent="0.25">
      <c r="A103" s="13">
        <v>1997</v>
      </c>
      <c r="B103" s="13">
        <f t="shared" si="8"/>
        <v>1997</v>
      </c>
      <c r="C103" s="13">
        <f t="shared" si="8"/>
        <v>1996</v>
      </c>
      <c r="D103" s="13">
        <f t="shared" si="8"/>
        <v>1996</v>
      </c>
      <c r="E103" s="13">
        <f t="shared" si="5"/>
        <v>2069</v>
      </c>
      <c r="F103" s="13" cm="1">
        <f t="array" ref="F103">INDEX(GMWQ!$A$2:$NF$60,MATCH(1,(GMWQ!$NE$2:$NE$60=F$3)*(GMWQ!$ND$2:$ND$60=F$4)*(GMWQ!$NF$2:$NF$60=F$1),0),$E103-1966)</f>
        <v>71.376000000000005</v>
      </c>
      <c r="G103" s="13" cm="1">
        <f t="array" ref="G103">INDEX(GMWQ!$A$2:$NF$60,MATCH(1,(GMWQ!$NE$2:$NE$60=G$3)*(GMWQ!$ND$2:$ND$60=G$4)*(GMWQ!$NF$2:$NF$60=G$1),0),$E103-1966)</f>
        <v>7219</v>
      </c>
      <c r="H103" s="13" cm="1">
        <f t="array" ref="H103">INDEX(GMWQ!$A$2:$NF$60,MATCH(1,(GMWQ!$NE$2:$NE$60=H$3)*(GMWQ!$ND$2:$ND$60=H$4)*(GMWQ!$NF$2:$NF$60=H$1),0),$E103-1966)</f>
        <v>253.93029999999999</v>
      </c>
      <c r="I103" s="13" cm="1">
        <f t="array" ref="I103">INDEX(GMWQ!$A$2:$NF$60,MATCH(1,(GMWQ!$NE$2:$NE$60=I$3)*(GMWQ!$ND$2:$ND$60=I$4)*(GMWQ!$NF$2:$NF$60=I$1),0),$E103-1966)</f>
        <v>58562</v>
      </c>
      <c r="J103" s="13" cm="1">
        <f t="array" ref="J103">INDEX(GMWQ!$A$2:$NF$60,MATCH(1,(GMWQ!$NE$2:$NE$60=J$3)*(GMWQ!$ND$2:$ND$60=J$4)*(GMWQ!$NF$2:$NF$60=J$1),0),$E103-1966)</f>
        <v>232749</v>
      </c>
      <c r="K103" s="13" cm="1">
        <f t="array" ref="K103">INDEX(GMWQ!$A$2:$NF$60,MATCH(1,(GMWQ!$NE$2:$NE$60=K$3)*(GMWQ!$ND$2:$ND$60=K$4)*(GMWQ!$NF$2:$NF$60=K$1),0),$E103-1966)</f>
        <v>92102</v>
      </c>
      <c r="L103" s="13" cm="1">
        <f t="array" ref="L103">INDEX(GMWQ!$A$2:$NF$60,MATCH(1,(GMWQ!$NE$2:$NE$60=L$3)*(GMWQ!$ND$2:$ND$60=L$4)*(GMWQ!$NF$2:$NF$60=L$1),0),$E103-1966)</f>
        <v>156641</v>
      </c>
      <c r="M103" s="13" cm="1">
        <f t="array" ref="M103">INDEX(GMWQ!$A$2:$NF$60,MATCH(1,(GMWQ!$NE$2:$NE$60=M$3)*(GMWQ!$ND$2:$ND$60=M$4)*(GMWQ!$NF$2:$NF$60=M$1),0),$E103-1966)</f>
        <v>249558</v>
      </c>
      <c r="N103" s="13" cm="1">
        <f t="array" ref="N103">INDEX(GMWQ!$A$2:$NF$60,MATCH(1,(GMWQ!$NE$2:$NE$60=N$3)*(GMWQ!$ND$2:$ND$60=N$4)*(GMWQ!$NF$2:$NF$60=N$1),0),$E103-1966)</f>
        <v>63.580829999999999</v>
      </c>
      <c r="O103" s="13" cm="1">
        <f t="array" ref="O103">INDEX(GMWQ!$A$2:$NF$60,MATCH(1,(GMWQ!$NE$2:$NE$60=O$3)*(GMWQ!$ND$2:$ND$60=O$4)*(GMWQ!$NF$2:$NF$60=O$1),0),$E103-1966)</f>
        <v>26381</v>
      </c>
      <c r="P103" s="13" cm="1">
        <f t="array" ref="P103">INDEX(GMWQ!$A$2:$NF$60,MATCH(1,(GMWQ!$NE$2:$NE$60=P$3)*(GMWQ!$ND$2:$ND$60=P$4)*(GMWQ!$NF$2:$NF$60=P$1),0),$E103-1966)</f>
        <v>26381</v>
      </c>
      <c r="Q103" s="13" cm="1">
        <f t="array" ref="Q103">INDEX(GMWQ!$A$2:$NF$60,MATCH(1,(GMWQ!$NE$2:$NE$60=Q$3)*(GMWQ!$ND$2:$ND$60=Q$4)*(GMWQ!$NF$2:$NF$60=Q$1),0),$E103-1966)</f>
        <v>26381</v>
      </c>
    </row>
    <row r="104" spans="1:17" x14ac:dyDescent="0.25">
      <c r="B104" s="13">
        <f t="shared" si="8"/>
        <v>1997</v>
      </c>
      <c r="C104" s="13">
        <f t="shared" si="8"/>
        <v>1997</v>
      </c>
      <c r="E104" s="13">
        <f t="shared" si="5"/>
        <v>2070</v>
      </c>
      <c r="F104" s="13" cm="1">
        <f t="array" ref="F104">INDEX(GMWQ!$A$2:$NF$60,MATCH(1,(GMWQ!$NE$2:$NE$60=F$3)*(GMWQ!$ND$2:$ND$60=F$4)*(GMWQ!$NF$2:$NF$60=F$1),0),$E104-1966)</f>
        <v>72.359440000000006</v>
      </c>
      <c r="G104" s="13" cm="1">
        <f t="array" ref="G104">INDEX(GMWQ!$A$2:$NF$60,MATCH(1,(GMWQ!$NE$2:$NE$60=G$3)*(GMWQ!$ND$2:$ND$60=G$4)*(GMWQ!$NF$2:$NF$60=G$1),0),$E104-1966)</f>
        <v>7704</v>
      </c>
      <c r="H104" s="13" cm="1">
        <f t="array" ref="H104">INDEX(GMWQ!$A$2:$NF$60,MATCH(1,(GMWQ!$NE$2:$NE$60=H$3)*(GMWQ!$ND$2:$ND$60=H$4)*(GMWQ!$NF$2:$NF$60=H$1),0),$E104-1966)</f>
        <v>259.93700000000001</v>
      </c>
      <c r="I104" s="13" cm="1">
        <f t="array" ref="I104">INDEX(GMWQ!$A$2:$NF$60,MATCH(1,(GMWQ!$NE$2:$NE$60=I$3)*(GMWQ!$ND$2:$ND$60=I$4)*(GMWQ!$NF$2:$NF$60=I$1),0),$E104-1966)</f>
        <v>56887</v>
      </c>
      <c r="J104" s="13" cm="1">
        <f t="array" ref="J104">INDEX(GMWQ!$A$2:$NF$60,MATCH(1,(GMWQ!$NE$2:$NE$60=J$3)*(GMWQ!$ND$2:$ND$60=J$4)*(GMWQ!$NF$2:$NF$60=J$1),0),$E104-1966)</f>
        <v>235998</v>
      </c>
      <c r="K104" s="13" cm="1">
        <f t="array" ref="K104">INDEX(GMWQ!$A$2:$NF$60,MATCH(1,(GMWQ!$NE$2:$NE$60=K$3)*(GMWQ!$ND$2:$ND$60=K$4)*(GMWQ!$NF$2:$NF$60=K$1),0),$E104-1966)</f>
        <v>94136</v>
      </c>
      <c r="L104" s="13" cm="1">
        <f t="array" ref="L104">INDEX(GMWQ!$A$2:$NF$60,MATCH(1,(GMWQ!$NE$2:$NE$60=L$3)*(GMWQ!$ND$2:$ND$60=L$4)*(GMWQ!$NF$2:$NF$60=L$1),0),$E104-1966)</f>
        <v>159690</v>
      </c>
      <c r="M104" s="13" cm="1">
        <f t="array" ref="M104">INDEX(GMWQ!$A$2:$NF$60,MATCH(1,(GMWQ!$NE$2:$NE$60=M$3)*(GMWQ!$ND$2:$ND$60=M$4)*(GMWQ!$NF$2:$NF$60=M$1),0),$E104-1966)</f>
        <v>251781</v>
      </c>
      <c r="N104" s="13" cm="1">
        <f t="array" ref="N104">INDEX(GMWQ!$A$2:$NF$60,MATCH(1,(GMWQ!$NE$2:$NE$60=N$3)*(GMWQ!$ND$2:$ND$60=N$4)*(GMWQ!$NF$2:$NF$60=N$1),0),$E104-1966)</f>
        <v>64.262900000000002</v>
      </c>
      <c r="O104" s="13" cm="1">
        <f t="array" ref="O104">INDEX(GMWQ!$A$2:$NF$60,MATCH(1,(GMWQ!$NE$2:$NE$60=O$3)*(GMWQ!$ND$2:$ND$60=O$4)*(GMWQ!$NF$2:$NF$60=O$1),0),$E104-1966)</f>
        <v>26514</v>
      </c>
      <c r="P104" s="13" cm="1">
        <f t="array" ref="P104">INDEX(GMWQ!$A$2:$NF$60,MATCH(1,(GMWQ!$NE$2:$NE$60=P$3)*(GMWQ!$ND$2:$ND$60=P$4)*(GMWQ!$NF$2:$NF$60=P$1),0),$E104-1966)</f>
        <v>26514</v>
      </c>
      <c r="Q104" s="13" cm="1">
        <f t="array" ref="Q104">INDEX(GMWQ!$A$2:$NF$60,MATCH(1,(GMWQ!$NE$2:$NE$60=Q$3)*(GMWQ!$ND$2:$ND$60=Q$4)*(GMWQ!$NF$2:$NF$60=Q$1),0),$E104-1966)</f>
        <v>26514</v>
      </c>
    </row>
    <row r="105" spans="1:17" x14ac:dyDescent="0.25">
      <c r="B105" s="13">
        <f t="shared" si="8"/>
        <v>1997</v>
      </c>
      <c r="C105" s="13">
        <f t="shared" si="8"/>
        <v>1997</v>
      </c>
      <c r="E105" s="13">
        <f t="shared" si="5"/>
        <v>2071</v>
      </c>
      <c r="F105" s="13" cm="1">
        <f t="array" ref="F105">INDEX(GMWQ!$A$2:$NF$60,MATCH(1,(GMWQ!$NE$2:$NE$60=F$3)*(GMWQ!$ND$2:$ND$60=F$4)*(GMWQ!$NF$2:$NF$60=F$1),0),$E105-1966)</f>
        <v>73.215940000000003</v>
      </c>
      <c r="G105" s="13" cm="1">
        <f t="array" ref="G105">INDEX(GMWQ!$A$2:$NF$60,MATCH(1,(GMWQ!$NE$2:$NE$60=G$3)*(GMWQ!$ND$2:$ND$60=G$4)*(GMWQ!$NF$2:$NF$60=G$1),0),$E105-1966)</f>
        <v>8050</v>
      </c>
      <c r="H105" s="13" cm="1">
        <f t="array" ref="H105">INDEX(GMWQ!$A$2:$NF$60,MATCH(1,(GMWQ!$NE$2:$NE$60=H$3)*(GMWQ!$ND$2:$ND$60=H$4)*(GMWQ!$NF$2:$NF$60=H$1),0),$E105-1966)</f>
        <v>264.79160000000002</v>
      </c>
      <c r="I105" s="13" cm="1">
        <f t="array" ref="I105">INDEX(GMWQ!$A$2:$NF$60,MATCH(1,(GMWQ!$NE$2:$NE$60=I$3)*(GMWQ!$ND$2:$ND$60=I$4)*(GMWQ!$NF$2:$NF$60=I$1),0),$E105-1966)</f>
        <v>61702</v>
      </c>
      <c r="J105" s="13" cm="1">
        <f t="array" ref="J105">INDEX(GMWQ!$A$2:$NF$60,MATCH(1,(GMWQ!$NE$2:$NE$60=J$3)*(GMWQ!$ND$2:$ND$60=J$4)*(GMWQ!$NF$2:$NF$60=J$1),0),$E105-1966)</f>
        <v>243388</v>
      </c>
      <c r="K105" s="13" cm="1">
        <f t="array" ref="K105">INDEX(GMWQ!$A$2:$NF$60,MATCH(1,(GMWQ!$NE$2:$NE$60=K$3)*(GMWQ!$ND$2:$ND$60=K$4)*(GMWQ!$NF$2:$NF$60=K$1),0),$E105-1966)</f>
        <v>95889</v>
      </c>
      <c r="L105" s="13" cm="1">
        <f t="array" ref="L105">INDEX(GMWQ!$A$2:$NF$60,MATCH(1,(GMWQ!$NE$2:$NE$60=L$3)*(GMWQ!$ND$2:$ND$60=L$4)*(GMWQ!$NF$2:$NF$60=L$1),0),$E105-1966)</f>
        <v>162111</v>
      </c>
      <c r="M105" s="13" cm="1">
        <f t="array" ref="M105">INDEX(GMWQ!$A$2:$NF$60,MATCH(1,(GMWQ!$NE$2:$NE$60=M$3)*(GMWQ!$ND$2:$ND$60=M$4)*(GMWQ!$NF$2:$NF$60=M$1),0),$E105-1966)</f>
        <v>254358</v>
      </c>
      <c r="N105" s="13" cm="1">
        <f t="array" ref="N105">INDEX(GMWQ!$A$2:$NF$60,MATCH(1,(GMWQ!$NE$2:$NE$60=N$3)*(GMWQ!$ND$2:$ND$60=N$4)*(GMWQ!$NF$2:$NF$60=N$1),0),$E105-1966)</f>
        <v>64.613010000000003</v>
      </c>
      <c r="O105" s="13" cm="1">
        <f t="array" ref="O105">INDEX(GMWQ!$A$2:$NF$60,MATCH(1,(GMWQ!$NE$2:$NE$60=O$3)*(GMWQ!$ND$2:$ND$60=O$4)*(GMWQ!$NF$2:$NF$60=O$1),0),$E105-1966)</f>
        <v>26572</v>
      </c>
      <c r="P105" s="13" cm="1">
        <f t="array" ref="P105">INDEX(GMWQ!$A$2:$NF$60,MATCH(1,(GMWQ!$NE$2:$NE$60=P$3)*(GMWQ!$ND$2:$ND$60=P$4)*(GMWQ!$NF$2:$NF$60=P$1),0),$E105-1966)</f>
        <v>26572</v>
      </c>
      <c r="Q105" s="13" cm="1">
        <f t="array" ref="Q105">INDEX(GMWQ!$A$2:$NF$60,MATCH(1,(GMWQ!$NE$2:$NE$60=Q$3)*(GMWQ!$ND$2:$ND$60=Q$4)*(GMWQ!$NF$2:$NF$60=Q$1),0),$E105-1966)</f>
        <v>26572</v>
      </c>
    </row>
    <row r="106" spans="1:17" x14ac:dyDescent="0.25">
      <c r="B106" s="13">
        <f t="shared" si="8"/>
        <v>1997</v>
      </c>
      <c r="C106" s="13">
        <f t="shared" si="8"/>
        <v>1997</v>
      </c>
      <c r="E106" s="13">
        <f t="shared" si="5"/>
        <v>2072</v>
      </c>
      <c r="F106" s="13" cm="1">
        <f t="array" ref="F106">INDEX(GMWQ!$A$2:$NF$60,MATCH(1,(GMWQ!$NE$2:$NE$60=F$3)*(GMWQ!$ND$2:$ND$60=F$4)*(GMWQ!$NF$2:$NF$60=F$1),0),$E106-1966)</f>
        <v>72.752009999999999</v>
      </c>
      <c r="G106" s="13" cm="1">
        <f t="array" ref="G106">INDEX(GMWQ!$A$2:$NF$60,MATCH(1,(GMWQ!$NE$2:$NE$60=G$3)*(GMWQ!$ND$2:$ND$60=G$4)*(GMWQ!$NF$2:$NF$60=G$1),0),$E106-1966)</f>
        <v>8065</v>
      </c>
      <c r="H106" s="13" cm="1">
        <f t="array" ref="H106">INDEX(GMWQ!$A$2:$NF$60,MATCH(1,(GMWQ!$NE$2:$NE$60=H$3)*(GMWQ!$ND$2:$ND$60=H$4)*(GMWQ!$NF$2:$NF$60=H$1),0),$E106-1966)</f>
        <v>268.61829999999998</v>
      </c>
      <c r="I106" s="13" cm="1">
        <f t="array" ref="I106">INDEX(GMWQ!$A$2:$NF$60,MATCH(1,(GMWQ!$NE$2:$NE$60=I$3)*(GMWQ!$ND$2:$ND$60=I$4)*(GMWQ!$NF$2:$NF$60=I$1),0),$E106-1966)</f>
        <v>57396</v>
      </c>
      <c r="J106" s="13" cm="1">
        <f t="array" ref="J106">INDEX(GMWQ!$A$2:$NF$60,MATCH(1,(GMWQ!$NE$2:$NE$60=J$3)*(GMWQ!$ND$2:$ND$60=J$4)*(GMWQ!$NF$2:$NF$60=J$1),0),$E106-1966)</f>
        <v>241270</v>
      </c>
      <c r="K106" s="13" cm="1">
        <f t="array" ref="K106">INDEX(GMWQ!$A$2:$NF$60,MATCH(1,(GMWQ!$NE$2:$NE$60=K$3)*(GMWQ!$ND$2:$ND$60=K$4)*(GMWQ!$NF$2:$NF$60=K$1),0),$E106-1966)</f>
        <v>96781</v>
      </c>
      <c r="L106" s="13" cm="1">
        <f t="array" ref="L106">INDEX(GMWQ!$A$2:$NF$60,MATCH(1,(GMWQ!$NE$2:$NE$60=L$3)*(GMWQ!$ND$2:$ND$60=L$4)*(GMWQ!$NF$2:$NF$60=L$1),0),$E106-1966)</f>
        <v>160529</v>
      </c>
      <c r="M106" s="13" cm="1">
        <f t="array" ref="M106">INDEX(GMWQ!$A$2:$NF$60,MATCH(1,(GMWQ!$NE$2:$NE$60=M$3)*(GMWQ!$ND$2:$ND$60=M$4)*(GMWQ!$NF$2:$NF$60=M$1),0),$E106-1966)</f>
        <v>253468</v>
      </c>
      <c r="N106" s="13" cm="1">
        <f t="array" ref="N106">INDEX(GMWQ!$A$2:$NF$60,MATCH(1,(GMWQ!$NE$2:$NE$60=N$3)*(GMWQ!$ND$2:$ND$60=N$4)*(GMWQ!$NF$2:$NF$60=N$1),0),$E106-1966)</f>
        <v>64.192869999999999</v>
      </c>
      <c r="O106" s="13" cm="1">
        <f t="array" ref="O106">INDEX(GMWQ!$A$2:$NF$60,MATCH(1,(GMWQ!$NE$2:$NE$60=O$3)*(GMWQ!$ND$2:$ND$60=O$4)*(GMWQ!$NF$2:$NF$60=O$1),0),$E106-1966)</f>
        <v>26636</v>
      </c>
      <c r="P106" s="13" cm="1">
        <f t="array" ref="P106">INDEX(GMWQ!$A$2:$NF$60,MATCH(1,(GMWQ!$NE$2:$NE$60=P$3)*(GMWQ!$ND$2:$ND$60=P$4)*(GMWQ!$NF$2:$NF$60=P$1),0),$E106-1966)</f>
        <v>26636</v>
      </c>
      <c r="Q106" s="13" cm="1">
        <f t="array" ref="Q106">INDEX(GMWQ!$A$2:$NF$60,MATCH(1,(GMWQ!$NE$2:$NE$60=Q$3)*(GMWQ!$ND$2:$ND$60=Q$4)*(GMWQ!$NF$2:$NF$60=Q$1),0),$E106-1966)</f>
        <v>26636</v>
      </c>
    </row>
    <row r="107" spans="1:17" x14ac:dyDescent="0.25">
      <c r="A107" s="13">
        <v>1998</v>
      </c>
      <c r="B107" s="13">
        <f t="shared" si="8"/>
        <v>1998</v>
      </c>
      <c r="C107" s="13">
        <f t="shared" si="8"/>
        <v>1997</v>
      </c>
      <c r="D107" s="13">
        <f t="shared" si="8"/>
        <v>1997</v>
      </c>
      <c r="E107" s="13">
        <f t="shared" si="5"/>
        <v>2073</v>
      </c>
      <c r="F107" s="13" cm="1">
        <f t="array" ref="F107">INDEX(GMWQ!$A$2:$NF$60,MATCH(1,(GMWQ!$NE$2:$NE$60=F$3)*(GMWQ!$ND$2:$ND$60=F$4)*(GMWQ!$NF$2:$NF$60=F$1),0),$E107-1966)</f>
        <v>72.372510000000005</v>
      </c>
      <c r="G107" s="13" cm="1">
        <f t="array" ref="G107">INDEX(GMWQ!$A$2:$NF$60,MATCH(1,(GMWQ!$NE$2:$NE$60=G$3)*(GMWQ!$ND$2:$ND$60=G$4)*(GMWQ!$NF$2:$NF$60=G$1),0),$E107-1966)</f>
        <v>7887</v>
      </c>
      <c r="H107" s="13" cm="1">
        <f t="array" ref="H107">INDEX(GMWQ!$A$2:$NF$60,MATCH(1,(GMWQ!$NE$2:$NE$60=H$3)*(GMWQ!$ND$2:$ND$60=H$4)*(GMWQ!$NF$2:$NF$60=H$1),0),$E107-1966)</f>
        <v>269.56689999999998</v>
      </c>
      <c r="I107" s="13" cm="1">
        <f t="array" ref="I107">INDEX(GMWQ!$A$2:$NF$60,MATCH(1,(GMWQ!$NE$2:$NE$60=I$3)*(GMWQ!$ND$2:$ND$60=I$4)*(GMWQ!$NF$2:$NF$60=I$1),0),$E107-1966)</f>
        <v>61415</v>
      </c>
      <c r="J107" s="13" cm="1">
        <f t="array" ref="J107">INDEX(GMWQ!$A$2:$NF$60,MATCH(1,(GMWQ!$NE$2:$NE$60=J$3)*(GMWQ!$ND$2:$ND$60=J$4)*(GMWQ!$NF$2:$NF$60=J$1),0),$E107-1966)</f>
        <v>245958</v>
      </c>
      <c r="K107" s="13" cm="1">
        <f t="array" ref="K107">INDEX(GMWQ!$A$2:$NF$60,MATCH(1,(GMWQ!$NE$2:$NE$60=K$3)*(GMWQ!$ND$2:$ND$60=K$4)*(GMWQ!$NF$2:$NF$60=K$1),0),$E107-1966)</f>
        <v>97162</v>
      </c>
      <c r="L107" s="13" cm="1">
        <f t="array" ref="L107">INDEX(GMWQ!$A$2:$NF$60,MATCH(1,(GMWQ!$NE$2:$NE$60=L$3)*(GMWQ!$ND$2:$ND$60=L$4)*(GMWQ!$NF$2:$NF$60=L$1),0),$E107-1966)</f>
        <v>161179</v>
      </c>
      <c r="M107" s="13" cm="1">
        <f t="array" ref="M107">INDEX(GMWQ!$A$2:$NF$60,MATCH(1,(GMWQ!$NE$2:$NE$60=M$3)*(GMWQ!$ND$2:$ND$60=M$4)*(GMWQ!$NF$2:$NF$60=M$1),0),$E107-1966)</f>
        <v>253069</v>
      </c>
      <c r="N107" s="13" cm="1">
        <f t="array" ref="N107">INDEX(GMWQ!$A$2:$NF$60,MATCH(1,(GMWQ!$NE$2:$NE$60=N$3)*(GMWQ!$ND$2:$ND$60=N$4)*(GMWQ!$NF$2:$NF$60=N$1),0),$E107-1966)</f>
        <v>64.509810000000002</v>
      </c>
      <c r="O107" s="13" cm="1">
        <f t="array" ref="O107">INDEX(GMWQ!$A$2:$NF$60,MATCH(1,(GMWQ!$NE$2:$NE$60=O$3)*(GMWQ!$ND$2:$ND$60=O$4)*(GMWQ!$NF$2:$NF$60=O$1),0),$E107-1966)</f>
        <v>26677</v>
      </c>
      <c r="P107" s="13" cm="1">
        <f t="array" ref="P107">INDEX(GMWQ!$A$2:$NF$60,MATCH(1,(GMWQ!$NE$2:$NE$60=P$3)*(GMWQ!$ND$2:$ND$60=P$4)*(GMWQ!$NF$2:$NF$60=P$1),0),$E107-1966)</f>
        <v>26677</v>
      </c>
      <c r="Q107" s="13" cm="1">
        <f t="array" ref="Q107">INDEX(GMWQ!$A$2:$NF$60,MATCH(1,(GMWQ!$NE$2:$NE$60=Q$3)*(GMWQ!$ND$2:$ND$60=Q$4)*(GMWQ!$NF$2:$NF$60=Q$1),0),$E107-1966)</f>
        <v>26677</v>
      </c>
    </row>
    <row r="108" spans="1:17" x14ac:dyDescent="0.25">
      <c r="B108" s="13">
        <f t="shared" ref="B108:D123" si="9">+B104+1</f>
        <v>1998</v>
      </c>
      <c r="C108" s="13">
        <f t="shared" si="9"/>
        <v>1998</v>
      </c>
      <c r="E108" s="13">
        <f t="shared" si="5"/>
        <v>2074</v>
      </c>
      <c r="F108" s="13" cm="1">
        <f t="array" ref="F108">INDEX(GMWQ!$A$2:$NF$60,MATCH(1,(GMWQ!$NE$2:$NE$60=F$3)*(GMWQ!$ND$2:$ND$60=F$4)*(GMWQ!$NF$2:$NF$60=F$1),0),$E108-1966)</f>
        <v>73.19435</v>
      </c>
      <c r="G108" s="13" cm="1">
        <f t="array" ref="G108">INDEX(GMWQ!$A$2:$NF$60,MATCH(1,(GMWQ!$NE$2:$NE$60=G$3)*(GMWQ!$ND$2:$ND$60=G$4)*(GMWQ!$NF$2:$NF$60=G$1),0),$E108-1966)</f>
        <v>8048</v>
      </c>
      <c r="H108" s="13" cm="1">
        <f t="array" ref="H108">INDEX(GMWQ!$A$2:$NF$60,MATCH(1,(GMWQ!$NE$2:$NE$60=H$3)*(GMWQ!$ND$2:$ND$60=H$4)*(GMWQ!$NF$2:$NF$60=H$1),0),$E108-1966)</f>
        <v>278.03019999999998</v>
      </c>
      <c r="I108" s="13" cm="1">
        <f t="array" ref="I108">INDEX(GMWQ!$A$2:$NF$60,MATCH(1,(GMWQ!$NE$2:$NE$60=I$3)*(GMWQ!$ND$2:$ND$60=I$4)*(GMWQ!$NF$2:$NF$60=I$1),0),$E108-1966)</f>
        <v>60315</v>
      </c>
      <c r="J108" s="13" cm="1">
        <f t="array" ref="J108">INDEX(GMWQ!$A$2:$NF$60,MATCH(1,(GMWQ!$NE$2:$NE$60=J$3)*(GMWQ!$ND$2:$ND$60=J$4)*(GMWQ!$NF$2:$NF$60=J$1),0),$E108-1966)</f>
        <v>248081</v>
      </c>
      <c r="K108" s="13" cm="1">
        <f t="array" ref="K108">INDEX(GMWQ!$A$2:$NF$60,MATCH(1,(GMWQ!$NE$2:$NE$60=K$3)*(GMWQ!$ND$2:$ND$60=K$4)*(GMWQ!$NF$2:$NF$60=K$1),0),$E108-1966)</f>
        <v>98670</v>
      </c>
      <c r="L108" s="13" cm="1">
        <f t="array" ref="L108">INDEX(GMWQ!$A$2:$NF$60,MATCH(1,(GMWQ!$NE$2:$NE$60=L$3)*(GMWQ!$ND$2:$ND$60=L$4)*(GMWQ!$NF$2:$NF$60=L$1),0),$E108-1966)</f>
        <v>163132</v>
      </c>
      <c r="M108" s="13" cm="1">
        <f t="array" ref="M108">INDEX(GMWQ!$A$2:$NF$60,MATCH(1,(GMWQ!$NE$2:$NE$60=M$3)*(GMWQ!$ND$2:$ND$60=M$4)*(GMWQ!$NF$2:$NF$60=M$1),0),$E108-1966)</f>
        <v>254576</v>
      </c>
      <c r="N108" s="13" cm="1">
        <f t="array" ref="N108">INDEX(GMWQ!$A$2:$NF$60,MATCH(1,(GMWQ!$NE$2:$NE$60=N$3)*(GMWQ!$ND$2:$ND$60=N$4)*(GMWQ!$NF$2:$NF$60=N$1),0),$E108-1966)</f>
        <v>64.882829999999998</v>
      </c>
      <c r="O108" s="13" cm="1">
        <f t="array" ref="O108">INDEX(GMWQ!$A$2:$NF$60,MATCH(1,(GMWQ!$NE$2:$NE$60=O$3)*(GMWQ!$ND$2:$ND$60=O$4)*(GMWQ!$NF$2:$NF$60=O$1),0),$E108-1966)</f>
        <v>26714</v>
      </c>
      <c r="P108" s="13" cm="1">
        <f t="array" ref="P108">INDEX(GMWQ!$A$2:$NF$60,MATCH(1,(GMWQ!$NE$2:$NE$60=P$3)*(GMWQ!$ND$2:$ND$60=P$4)*(GMWQ!$NF$2:$NF$60=P$1),0),$E108-1966)</f>
        <v>26714</v>
      </c>
      <c r="Q108" s="13" cm="1">
        <f t="array" ref="Q108">INDEX(GMWQ!$A$2:$NF$60,MATCH(1,(GMWQ!$NE$2:$NE$60=Q$3)*(GMWQ!$ND$2:$ND$60=Q$4)*(GMWQ!$NF$2:$NF$60=Q$1),0),$E108-1966)</f>
        <v>26714</v>
      </c>
    </row>
    <row r="109" spans="1:17" x14ac:dyDescent="0.25">
      <c r="B109" s="13">
        <f t="shared" si="9"/>
        <v>1998</v>
      </c>
      <c r="C109" s="13">
        <f t="shared" si="9"/>
        <v>1998</v>
      </c>
      <c r="E109" s="13">
        <f t="shared" si="5"/>
        <v>2075</v>
      </c>
      <c r="F109" s="13" cm="1">
        <f t="array" ref="F109">INDEX(GMWQ!$A$2:$NF$60,MATCH(1,(GMWQ!$NE$2:$NE$60=F$3)*(GMWQ!$ND$2:$ND$60=F$4)*(GMWQ!$NF$2:$NF$60=F$1),0),$E109-1966)</f>
        <v>74.333060000000003</v>
      </c>
      <c r="G109" s="13" cm="1">
        <f t="array" ref="G109">INDEX(GMWQ!$A$2:$NF$60,MATCH(1,(GMWQ!$NE$2:$NE$60=G$3)*(GMWQ!$ND$2:$ND$60=G$4)*(GMWQ!$NF$2:$NF$60=G$1),0),$E109-1966)</f>
        <v>8448</v>
      </c>
      <c r="H109" s="13" cm="1">
        <f t="array" ref="H109">INDEX(GMWQ!$A$2:$NF$60,MATCH(1,(GMWQ!$NE$2:$NE$60=H$3)*(GMWQ!$ND$2:$ND$60=H$4)*(GMWQ!$NF$2:$NF$60=H$1),0),$E109-1966)</f>
        <v>282.88189999999997</v>
      </c>
      <c r="I109" s="13" cm="1">
        <f t="array" ref="I109">INDEX(GMWQ!$A$2:$NF$60,MATCH(1,(GMWQ!$NE$2:$NE$60=I$3)*(GMWQ!$ND$2:$ND$60=I$4)*(GMWQ!$NF$2:$NF$60=I$1),0),$E109-1966)</f>
        <v>59247</v>
      </c>
      <c r="J109" s="13" cm="1">
        <f t="array" ref="J109">INDEX(GMWQ!$A$2:$NF$60,MATCH(1,(GMWQ!$NE$2:$NE$60=J$3)*(GMWQ!$ND$2:$ND$60=J$4)*(GMWQ!$NF$2:$NF$60=J$1),0),$E109-1966)</f>
        <v>250560</v>
      </c>
      <c r="K109" s="13" cm="1">
        <f t="array" ref="K109">INDEX(GMWQ!$A$2:$NF$60,MATCH(1,(GMWQ!$NE$2:$NE$60=K$3)*(GMWQ!$ND$2:$ND$60=K$4)*(GMWQ!$NF$2:$NF$60=K$1),0),$E109-1966)</f>
        <v>100519</v>
      </c>
      <c r="L109" s="13" cm="1">
        <f t="array" ref="L109">INDEX(GMWQ!$A$2:$NF$60,MATCH(1,(GMWQ!$NE$2:$NE$60=L$3)*(GMWQ!$ND$2:$ND$60=L$4)*(GMWQ!$NF$2:$NF$60=L$1),0),$E109-1966)</f>
        <v>163306</v>
      </c>
      <c r="M109" s="13" cm="1">
        <f t="array" ref="M109">INDEX(GMWQ!$A$2:$NF$60,MATCH(1,(GMWQ!$NE$2:$NE$60=M$3)*(GMWQ!$ND$2:$ND$60=M$4)*(GMWQ!$NF$2:$NF$60=M$1),0),$E109-1966)</f>
        <v>253636</v>
      </c>
      <c r="N109" s="13" cm="1">
        <f t="array" ref="N109">INDEX(GMWQ!$A$2:$NF$60,MATCH(1,(GMWQ!$NE$2:$NE$60=N$3)*(GMWQ!$ND$2:$ND$60=N$4)*(GMWQ!$NF$2:$NF$60=N$1),0),$E109-1966)</f>
        <v>65.287790000000001</v>
      </c>
      <c r="O109" s="13" cm="1">
        <f t="array" ref="O109">INDEX(GMWQ!$A$2:$NF$60,MATCH(1,(GMWQ!$NE$2:$NE$60=O$3)*(GMWQ!$ND$2:$ND$60=O$4)*(GMWQ!$NF$2:$NF$60=O$1),0),$E109-1966)</f>
        <v>26834</v>
      </c>
      <c r="P109" s="13" cm="1">
        <f t="array" ref="P109">INDEX(GMWQ!$A$2:$NF$60,MATCH(1,(GMWQ!$NE$2:$NE$60=P$3)*(GMWQ!$ND$2:$ND$60=P$4)*(GMWQ!$NF$2:$NF$60=P$1),0),$E109-1966)</f>
        <v>26834</v>
      </c>
      <c r="Q109" s="13" cm="1">
        <f t="array" ref="Q109">INDEX(GMWQ!$A$2:$NF$60,MATCH(1,(GMWQ!$NE$2:$NE$60=Q$3)*(GMWQ!$ND$2:$ND$60=Q$4)*(GMWQ!$NF$2:$NF$60=Q$1),0),$E109-1966)</f>
        <v>26834</v>
      </c>
    </row>
    <row r="110" spans="1:17" x14ac:dyDescent="0.25">
      <c r="B110" s="13">
        <f t="shared" si="9"/>
        <v>1998</v>
      </c>
      <c r="C110" s="13">
        <f t="shared" si="9"/>
        <v>1998</v>
      </c>
      <c r="E110" s="13">
        <f t="shared" si="5"/>
        <v>2076</v>
      </c>
      <c r="F110" s="13" cm="1">
        <f t="array" ref="F110">INDEX(GMWQ!$A$2:$NF$60,MATCH(1,(GMWQ!$NE$2:$NE$60=F$3)*(GMWQ!$ND$2:$ND$60=F$4)*(GMWQ!$NF$2:$NF$60=F$1),0),$E110-1966)</f>
        <v>74.287930000000003</v>
      </c>
      <c r="G110" s="13" cm="1">
        <f t="array" ref="G110">INDEX(GMWQ!$A$2:$NF$60,MATCH(1,(GMWQ!$NE$2:$NE$60=G$3)*(GMWQ!$ND$2:$ND$60=G$4)*(GMWQ!$NF$2:$NF$60=G$1),0),$E110-1966)</f>
        <v>8468</v>
      </c>
      <c r="H110" s="13" cm="1">
        <f t="array" ref="H110">INDEX(GMWQ!$A$2:$NF$60,MATCH(1,(GMWQ!$NE$2:$NE$60=H$3)*(GMWQ!$ND$2:$ND$60=H$4)*(GMWQ!$NF$2:$NF$60=H$1),0),$E110-1966)</f>
        <v>285.15710000000001</v>
      </c>
      <c r="I110" s="13" cm="1">
        <f t="array" ref="I110">INDEX(GMWQ!$A$2:$NF$60,MATCH(1,(GMWQ!$NE$2:$NE$60=I$3)*(GMWQ!$ND$2:$ND$60=I$4)*(GMWQ!$NF$2:$NF$60=I$1),0),$E110-1966)</f>
        <v>61018</v>
      </c>
      <c r="J110" s="13" cm="1">
        <f t="array" ref="J110">INDEX(GMWQ!$A$2:$NF$60,MATCH(1,(GMWQ!$NE$2:$NE$60=J$3)*(GMWQ!$ND$2:$ND$60=J$4)*(GMWQ!$NF$2:$NF$60=J$1),0),$E110-1966)</f>
        <v>253902</v>
      </c>
      <c r="K110" s="13" cm="1">
        <f t="array" ref="K110">INDEX(GMWQ!$A$2:$NF$60,MATCH(1,(GMWQ!$NE$2:$NE$60=K$3)*(GMWQ!$ND$2:$ND$60=K$4)*(GMWQ!$NF$2:$NF$60=K$1),0),$E110-1966)</f>
        <v>101058</v>
      </c>
      <c r="L110" s="13" cm="1">
        <f t="array" ref="L110">INDEX(GMWQ!$A$2:$NF$60,MATCH(1,(GMWQ!$NE$2:$NE$60=L$3)*(GMWQ!$ND$2:$ND$60=L$4)*(GMWQ!$NF$2:$NF$60=L$1),0),$E110-1966)</f>
        <v>166168</v>
      </c>
      <c r="M110" s="13" cm="1">
        <f t="array" ref="M110">INDEX(GMWQ!$A$2:$NF$60,MATCH(1,(GMWQ!$NE$2:$NE$60=M$3)*(GMWQ!$ND$2:$ND$60=M$4)*(GMWQ!$NF$2:$NF$60=M$1),0),$E110-1966)</f>
        <v>257028</v>
      </c>
      <c r="N110" s="13" cm="1">
        <f t="array" ref="N110">INDEX(GMWQ!$A$2:$NF$60,MATCH(1,(GMWQ!$NE$2:$NE$60=N$3)*(GMWQ!$ND$2:$ND$60=N$4)*(GMWQ!$NF$2:$NF$60=N$1),0),$E110-1966)</f>
        <v>65.436549999999997</v>
      </c>
      <c r="O110" s="13" cm="1">
        <f t="array" ref="O110">INDEX(GMWQ!$A$2:$NF$60,MATCH(1,(GMWQ!$NE$2:$NE$60=O$3)*(GMWQ!$ND$2:$ND$60=O$4)*(GMWQ!$NF$2:$NF$60=O$1),0),$E110-1966)</f>
        <v>26955</v>
      </c>
      <c r="P110" s="13" cm="1">
        <f t="array" ref="P110">INDEX(GMWQ!$A$2:$NF$60,MATCH(1,(GMWQ!$NE$2:$NE$60=P$3)*(GMWQ!$ND$2:$ND$60=P$4)*(GMWQ!$NF$2:$NF$60=P$1),0),$E110-1966)</f>
        <v>26955</v>
      </c>
      <c r="Q110" s="13" cm="1">
        <f t="array" ref="Q110">INDEX(GMWQ!$A$2:$NF$60,MATCH(1,(GMWQ!$NE$2:$NE$60=Q$3)*(GMWQ!$ND$2:$ND$60=Q$4)*(GMWQ!$NF$2:$NF$60=Q$1),0),$E110-1966)</f>
        <v>26955</v>
      </c>
    </row>
    <row r="111" spans="1:17" x14ac:dyDescent="0.25">
      <c r="A111" s="13">
        <v>1999</v>
      </c>
      <c r="B111" s="13">
        <f t="shared" si="9"/>
        <v>1999</v>
      </c>
      <c r="C111" s="13">
        <f t="shared" si="9"/>
        <v>1998</v>
      </c>
      <c r="D111" s="13">
        <f t="shared" si="9"/>
        <v>1998</v>
      </c>
      <c r="E111" s="13">
        <f t="shared" si="5"/>
        <v>2077</v>
      </c>
      <c r="F111" s="13" cm="1">
        <f t="array" ref="F111">INDEX(GMWQ!$A$2:$NF$60,MATCH(1,(GMWQ!$NE$2:$NE$60=F$3)*(GMWQ!$ND$2:$ND$60=F$4)*(GMWQ!$NF$2:$NF$60=F$1),0),$E111-1966)</f>
        <v>76.114940000000004</v>
      </c>
      <c r="G111" s="13" cm="1">
        <f t="array" ref="G111">INDEX(GMWQ!$A$2:$NF$60,MATCH(1,(GMWQ!$NE$2:$NE$60=G$3)*(GMWQ!$ND$2:$ND$60=G$4)*(GMWQ!$NF$2:$NF$60=G$1),0),$E111-1966)</f>
        <v>8757</v>
      </c>
      <c r="H111" s="13" cm="1">
        <f t="array" ref="H111">INDEX(GMWQ!$A$2:$NF$60,MATCH(1,(GMWQ!$NE$2:$NE$60=H$3)*(GMWQ!$ND$2:$ND$60=H$4)*(GMWQ!$NF$2:$NF$60=H$1),0),$E111-1966)</f>
        <v>284.69069999999999</v>
      </c>
      <c r="I111" s="13" cm="1">
        <f t="array" ref="I111">INDEX(GMWQ!$A$2:$NF$60,MATCH(1,(GMWQ!$NE$2:$NE$60=I$3)*(GMWQ!$ND$2:$ND$60=I$4)*(GMWQ!$NF$2:$NF$60=I$1),0),$E111-1966)</f>
        <v>58057</v>
      </c>
      <c r="J111" s="13" cm="1">
        <f t="array" ref="J111">INDEX(GMWQ!$A$2:$NF$60,MATCH(1,(GMWQ!$NE$2:$NE$60=J$3)*(GMWQ!$ND$2:$ND$60=J$4)*(GMWQ!$NF$2:$NF$60=J$1),0),$E111-1966)</f>
        <v>255903</v>
      </c>
      <c r="K111" s="13" cm="1">
        <f t="array" ref="K111">INDEX(GMWQ!$A$2:$NF$60,MATCH(1,(GMWQ!$NE$2:$NE$60=K$3)*(GMWQ!$ND$2:$ND$60=K$4)*(GMWQ!$NF$2:$NF$60=K$1),0),$E111-1966)</f>
        <v>103815</v>
      </c>
      <c r="L111" s="13" cm="1">
        <f t="array" ref="L111">INDEX(GMWQ!$A$2:$NF$60,MATCH(1,(GMWQ!$NE$2:$NE$60=L$3)*(GMWQ!$ND$2:$ND$60=L$4)*(GMWQ!$NF$2:$NF$60=L$1),0),$E111-1966)</f>
        <v>165049</v>
      </c>
      <c r="M111" s="13" cm="1">
        <f t="array" ref="M111">INDEX(GMWQ!$A$2:$NF$60,MATCH(1,(GMWQ!$NE$2:$NE$60=M$3)*(GMWQ!$ND$2:$ND$60=M$4)*(GMWQ!$NF$2:$NF$60=M$1),0),$E111-1966)</f>
        <v>254037</v>
      </c>
      <c r="N111" s="13" cm="1">
        <f t="array" ref="N111">INDEX(GMWQ!$A$2:$NF$60,MATCH(1,(GMWQ!$NE$2:$NE$60=N$3)*(GMWQ!$ND$2:$ND$60=N$4)*(GMWQ!$NF$2:$NF$60=N$1),0),$E111-1966)</f>
        <v>65.678430000000006</v>
      </c>
      <c r="O111" s="13" cm="1">
        <f t="array" ref="O111">INDEX(GMWQ!$A$2:$NF$60,MATCH(1,(GMWQ!$NE$2:$NE$60=O$3)*(GMWQ!$ND$2:$ND$60=O$4)*(GMWQ!$NF$2:$NF$60=O$1),0),$E111-1966)</f>
        <v>27036</v>
      </c>
      <c r="P111" s="13" cm="1">
        <f t="array" ref="P111">INDEX(GMWQ!$A$2:$NF$60,MATCH(1,(GMWQ!$NE$2:$NE$60=P$3)*(GMWQ!$ND$2:$ND$60=P$4)*(GMWQ!$NF$2:$NF$60=P$1),0),$E111-1966)</f>
        <v>27036</v>
      </c>
      <c r="Q111" s="13" cm="1">
        <f t="array" ref="Q111">INDEX(GMWQ!$A$2:$NF$60,MATCH(1,(GMWQ!$NE$2:$NE$60=Q$3)*(GMWQ!$ND$2:$ND$60=Q$4)*(GMWQ!$NF$2:$NF$60=Q$1),0),$E111-1966)</f>
        <v>27036</v>
      </c>
    </row>
    <row r="112" spans="1:17" x14ac:dyDescent="0.25">
      <c r="B112" s="13">
        <f t="shared" si="9"/>
        <v>1999</v>
      </c>
      <c r="C112" s="13">
        <f t="shared" si="9"/>
        <v>1999</v>
      </c>
      <c r="E112" s="13">
        <f t="shared" si="5"/>
        <v>2078</v>
      </c>
      <c r="F112" s="13" cm="1">
        <f t="array" ref="F112">INDEX(GMWQ!$A$2:$NF$60,MATCH(1,(GMWQ!$NE$2:$NE$60=F$3)*(GMWQ!$ND$2:$ND$60=F$4)*(GMWQ!$NF$2:$NF$60=F$1),0),$E112-1966)</f>
        <v>77.443020000000004</v>
      </c>
      <c r="G112" s="13" cm="1">
        <f t="array" ref="G112">INDEX(GMWQ!$A$2:$NF$60,MATCH(1,(GMWQ!$NE$2:$NE$60=G$3)*(GMWQ!$ND$2:$ND$60=G$4)*(GMWQ!$NF$2:$NF$60=G$1),0),$E112-1966)</f>
        <v>8818</v>
      </c>
      <c r="H112" s="13" cm="1">
        <f t="array" ref="H112">INDEX(GMWQ!$A$2:$NF$60,MATCH(1,(GMWQ!$NE$2:$NE$60=H$3)*(GMWQ!$ND$2:$ND$60=H$4)*(GMWQ!$NF$2:$NF$60=H$1),0),$E112-1966)</f>
        <v>293.50729999999999</v>
      </c>
      <c r="I112" s="13" cm="1">
        <f t="array" ref="I112">INDEX(GMWQ!$A$2:$NF$60,MATCH(1,(GMWQ!$NE$2:$NE$60=I$3)*(GMWQ!$ND$2:$ND$60=I$4)*(GMWQ!$NF$2:$NF$60=I$1),0),$E112-1966)</f>
        <v>56566</v>
      </c>
      <c r="J112" s="13" cm="1">
        <f t="array" ref="J112">INDEX(GMWQ!$A$2:$NF$60,MATCH(1,(GMWQ!$NE$2:$NE$60=J$3)*(GMWQ!$ND$2:$ND$60=J$4)*(GMWQ!$NF$2:$NF$60=J$1),0),$E112-1966)</f>
        <v>258404</v>
      </c>
      <c r="K112" s="13" cm="1">
        <f t="array" ref="K112">INDEX(GMWQ!$A$2:$NF$60,MATCH(1,(GMWQ!$NE$2:$NE$60=K$3)*(GMWQ!$ND$2:$ND$60=K$4)*(GMWQ!$NF$2:$NF$60=K$1),0),$E112-1966)</f>
        <v>106514</v>
      </c>
      <c r="L112" s="13" cm="1">
        <f t="array" ref="L112">INDEX(GMWQ!$A$2:$NF$60,MATCH(1,(GMWQ!$NE$2:$NE$60=L$3)*(GMWQ!$ND$2:$ND$60=L$4)*(GMWQ!$NF$2:$NF$60=L$1),0),$E112-1966)</f>
        <v>172636</v>
      </c>
      <c r="M112" s="13" cm="1">
        <f t="array" ref="M112">INDEX(GMWQ!$A$2:$NF$60,MATCH(1,(GMWQ!$NE$2:$NE$60=M$3)*(GMWQ!$ND$2:$ND$60=M$4)*(GMWQ!$NF$2:$NF$60=M$1),0),$E112-1966)</f>
        <v>266557</v>
      </c>
      <c r="N112" s="13" cm="1">
        <f t="array" ref="N112">INDEX(GMWQ!$A$2:$NF$60,MATCH(1,(GMWQ!$NE$2:$NE$60=N$3)*(GMWQ!$ND$2:$ND$60=N$4)*(GMWQ!$NF$2:$NF$60=N$1),0),$E112-1966)</f>
        <v>65.559520000000006</v>
      </c>
      <c r="O112" s="13" cm="1">
        <f t="array" ref="O112">INDEX(GMWQ!$A$2:$NF$60,MATCH(1,(GMWQ!$NE$2:$NE$60=O$3)*(GMWQ!$ND$2:$ND$60=O$4)*(GMWQ!$NF$2:$NF$60=O$1),0),$E112-1966)</f>
        <v>27095</v>
      </c>
      <c r="P112" s="13" cm="1">
        <f t="array" ref="P112">INDEX(GMWQ!$A$2:$NF$60,MATCH(1,(GMWQ!$NE$2:$NE$60=P$3)*(GMWQ!$ND$2:$ND$60=P$4)*(GMWQ!$NF$2:$NF$60=P$1),0),$E112-1966)</f>
        <v>27095</v>
      </c>
      <c r="Q112" s="13" cm="1">
        <f t="array" ref="Q112">INDEX(GMWQ!$A$2:$NF$60,MATCH(1,(GMWQ!$NE$2:$NE$60=Q$3)*(GMWQ!$ND$2:$ND$60=Q$4)*(GMWQ!$NF$2:$NF$60=Q$1),0),$E112-1966)</f>
        <v>27095</v>
      </c>
    </row>
    <row r="113" spans="1:17" x14ac:dyDescent="0.25">
      <c r="B113" s="13">
        <f t="shared" si="9"/>
        <v>1999</v>
      </c>
      <c r="C113" s="13">
        <f t="shared" si="9"/>
        <v>1999</v>
      </c>
      <c r="E113" s="13">
        <f t="shared" ref="E113:E176" si="10">+E112+1</f>
        <v>2079</v>
      </c>
      <c r="F113" s="13" cm="1">
        <f t="array" ref="F113">INDEX(GMWQ!$A$2:$NF$60,MATCH(1,(GMWQ!$NE$2:$NE$60=F$3)*(GMWQ!$ND$2:$ND$60=F$4)*(GMWQ!$NF$2:$NF$60=F$1),0),$E113-1966)</f>
        <v>77.584969999999998</v>
      </c>
      <c r="G113" s="13" cm="1">
        <f t="array" ref="G113">INDEX(GMWQ!$A$2:$NF$60,MATCH(1,(GMWQ!$NE$2:$NE$60=G$3)*(GMWQ!$ND$2:$ND$60=G$4)*(GMWQ!$NF$2:$NF$60=G$1),0),$E113-1966)</f>
        <v>9094</v>
      </c>
      <c r="H113" s="13" cm="1">
        <f t="array" ref="H113">INDEX(GMWQ!$A$2:$NF$60,MATCH(1,(GMWQ!$NE$2:$NE$60=H$3)*(GMWQ!$ND$2:$ND$60=H$4)*(GMWQ!$NF$2:$NF$60=H$1),0),$E113-1966)</f>
        <v>299.82389999999998</v>
      </c>
      <c r="I113" s="13" cm="1">
        <f t="array" ref="I113">INDEX(GMWQ!$A$2:$NF$60,MATCH(1,(GMWQ!$NE$2:$NE$60=I$3)*(GMWQ!$ND$2:$ND$60=I$4)*(GMWQ!$NF$2:$NF$60=I$1),0),$E113-1966)</f>
        <v>55975</v>
      </c>
      <c r="J113" s="13" cm="1">
        <f t="array" ref="J113">INDEX(GMWQ!$A$2:$NF$60,MATCH(1,(GMWQ!$NE$2:$NE$60=J$3)*(GMWQ!$ND$2:$ND$60=J$4)*(GMWQ!$NF$2:$NF$60=J$1),0),$E113-1966)</f>
        <v>261604</v>
      </c>
      <c r="K113" s="13" cm="1">
        <f t="array" ref="K113">INDEX(GMWQ!$A$2:$NF$60,MATCH(1,(GMWQ!$NE$2:$NE$60=K$3)*(GMWQ!$ND$2:$ND$60=K$4)*(GMWQ!$NF$2:$NF$60=K$1),0),$E113-1966)</f>
        <v>108335</v>
      </c>
      <c r="L113" s="13" cm="1">
        <f t="array" ref="L113">INDEX(GMWQ!$A$2:$NF$60,MATCH(1,(GMWQ!$NE$2:$NE$60=L$3)*(GMWQ!$ND$2:$ND$60=L$4)*(GMWQ!$NF$2:$NF$60=L$1),0),$E113-1966)</f>
        <v>172330</v>
      </c>
      <c r="M113" s="13" cm="1">
        <f t="array" ref="M113">INDEX(GMWQ!$A$2:$NF$60,MATCH(1,(GMWQ!$NE$2:$NE$60=M$3)*(GMWQ!$ND$2:$ND$60=M$4)*(GMWQ!$NF$2:$NF$60=M$1),0),$E113-1966)</f>
        <v>267871</v>
      </c>
      <c r="N113" s="13" cm="1">
        <f t="array" ref="N113">INDEX(GMWQ!$A$2:$NF$60,MATCH(1,(GMWQ!$NE$2:$NE$60=N$3)*(GMWQ!$ND$2:$ND$60=N$4)*(GMWQ!$NF$2:$NF$60=N$1),0),$E113-1966)</f>
        <v>65.181330000000003</v>
      </c>
      <c r="O113" s="13" cm="1">
        <f t="array" ref="O113">INDEX(GMWQ!$A$2:$NF$60,MATCH(1,(GMWQ!$NE$2:$NE$60=O$3)*(GMWQ!$ND$2:$ND$60=O$4)*(GMWQ!$NF$2:$NF$60=O$1),0),$E113-1966)</f>
        <v>27218</v>
      </c>
      <c r="P113" s="13" cm="1">
        <f t="array" ref="P113">INDEX(GMWQ!$A$2:$NF$60,MATCH(1,(GMWQ!$NE$2:$NE$60=P$3)*(GMWQ!$ND$2:$ND$60=P$4)*(GMWQ!$NF$2:$NF$60=P$1),0),$E113-1966)</f>
        <v>27218</v>
      </c>
      <c r="Q113" s="13" cm="1">
        <f t="array" ref="Q113">INDEX(GMWQ!$A$2:$NF$60,MATCH(1,(GMWQ!$NE$2:$NE$60=Q$3)*(GMWQ!$ND$2:$ND$60=Q$4)*(GMWQ!$NF$2:$NF$60=Q$1),0),$E113-1966)</f>
        <v>27218</v>
      </c>
    </row>
    <row r="114" spans="1:17" x14ac:dyDescent="0.25">
      <c r="B114" s="13">
        <f t="shared" si="9"/>
        <v>1999</v>
      </c>
      <c r="C114" s="13">
        <f t="shared" si="9"/>
        <v>1999</v>
      </c>
      <c r="E114" s="13">
        <f t="shared" si="10"/>
        <v>2080</v>
      </c>
      <c r="F114" s="13" cm="1">
        <f t="array" ref="F114">INDEX(GMWQ!$A$2:$NF$60,MATCH(1,(GMWQ!$NE$2:$NE$60=F$3)*(GMWQ!$ND$2:$ND$60=F$4)*(GMWQ!$NF$2:$NF$60=F$1),0),$E114-1966)</f>
        <v>77.568190000000001</v>
      </c>
      <c r="G114" s="13" cm="1">
        <f t="array" ref="G114">INDEX(GMWQ!$A$2:$NF$60,MATCH(1,(GMWQ!$NE$2:$NE$60=G$3)*(GMWQ!$ND$2:$ND$60=G$4)*(GMWQ!$NF$2:$NF$60=G$1),0),$E114-1966)</f>
        <v>9184</v>
      </c>
      <c r="H114" s="13" cm="1">
        <f t="array" ref="H114">INDEX(GMWQ!$A$2:$NF$60,MATCH(1,(GMWQ!$NE$2:$NE$60=H$3)*(GMWQ!$ND$2:$ND$60=H$4)*(GMWQ!$NF$2:$NF$60=H$1),0),$E114-1966)</f>
        <v>303.68020000000001</v>
      </c>
      <c r="I114" s="13" cm="1">
        <f t="array" ref="I114">INDEX(GMWQ!$A$2:$NF$60,MATCH(1,(GMWQ!$NE$2:$NE$60=I$3)*(GMWQ!$ND$2:$ND$60=I$4)*(GMWQ!$NF$2:$NF$60=I$1),0),$E114-1966)</f>
        <v>59028</v>
      </c>
      <c r="J114" s="13" cm="1">
        <f t="array" ref="J114">INDEX(GMWQ!$A$2:$NF$60,MATCH(1,(GMWQ!$NE$2:$NE$60=J$3)*(GMWQ!$ND$2:$ND$60=J$4)*(GMWQ!$NF$2:$NF$60=J$1),0),$E114-1966)</f>
        <v>267337</v>
      </c>
      <c r="K114" s="13" cm="1">
        <f t="array" ref="K114">INDEX(GMWQ!$A$2:$NF$60,MATCH(1,(GMWQ!$NE$2:$NE$60=K$3)*(GMWQ!$ND$2:$ND$60=K$4)*(GMWQ!$NF$2:$NF$60=K$1),0),$E114-1966)</f>
        <v>109919</v>
      </c>
      <c r="L114" s="13" cm="1">
        <f t="array" ref="L114">INDEX(GMWQ!$A$2:$NF$60,MATCH(1,(GMWQ!$NE$2:$NE$60=L$3)*(GMWQ!$ND$2:$ND$60=L$4)*(GMWQ!$NF$2:$NF$60=L$1),0),$E114-1966)</f>
        <v>177162</v>
      </c>
      <c r="M114" s="13" cm="1">
        <f t="array" ref="M114">INDEX(GMWQ!$A$2:$NF$60,MATCH(1,(GMWQ!$NE$2:$NE$60=M$3)*(GMWQ!$ND$2:$ND$60=M$4)*(GMWQ!$NF$2:$NF$60=M$1),0),$E114-1966)</f>
        <v>274118</v>
      </c>
      <c r="N114" s="13" cm="1">
        <f t="array" ref="N114">INDEX(GMWQ!$A$2:$NF$60,MATCH(1,(GMWQ!$NE$2:$NE$60=N$3)*(GMWQ!$ND$2:$ND$60=N$4)*(GMWQ!$NF$2:$NF$60=N$1),0),$E114-1966)</f>
        <v>65.406419999999997</v>
      </c>
      <c r="O114" s="13" cm="1">
        <f t="array" ref="O114">INDEX(GMWQ!$A$2:$NF$60,MATCH(1,(GMWQ!$NE$2:$NE$60=O$3)*(GMWQ!$ND$2:$ND$60=O$4)*(GMWQ!$NF$2:$NF$60=O$1),0),$E114-1966)</f>
        <v>27322</v>
      </c>
      <c r="P114" s="13" cm="1">
        <f t="array" ref="P114">INDEX(GMWQ!$A$2:$NF$60,MATCH(1,(GMWQ!$NE$2:$NE$60=P$3)*(GMWQ!$ND$2:$ND$60=P$4)*(GMWQ!$NF$2:$NF$60=P$1),0),$E114-1966)</f>
        <v>27322</v>
      </c>
      <c r="Q114" s="13" cm="1">
        <f t="array" ref="Q114">INDEX(GMWQ!$A$2:$NF$60,MATCH(1,(GMWQ!$NE$2:$NE$60=Q$3)*(GMWQ!$ND$2:$ND$60=Q$4)*(GMWQ!$NF$2:$NF$60=Q$1),0),$E114-1966)</f>
        <v>27322</v>
      </c>
    </row>
    <row r="115" spans="1:17" x14ac:dyDescent="0.25">
      <c r="A115" s="13">
        <v>2000</v>
      </c>
      <c r="B115" s="13">
        <f t="shared" si="9"/>
        <v>2000</v>
      </c>
      <c r="C115" s="13">
        <f t="shared" si="9"/>
        <v>1999</v>
      </c>
      <c r="D115" s="13">
        <f t="shared" si="9"/>
        <v>1999</v>
      </c>
      <c r="E115" s="13">
        <f t="shared" si="10"/>
        <v>2081</v>
      </c>
      <c r="F115" s="13" cm="1">
        <f t="array" ref="F115">INDEX(GMWQ!$A$2:$NF$60,MATCH(1,(GMWQ!$NE$2:$NE$60=F$3)*(GMWQ!$ND$2:$ND$60=F$4)*(GMWQ!$NF$2:$NF$60=F$1),0),$E115-1966)</f>
        <v>77.594200000000001</v>
      </c>
      <c r="G115" s="13" cm="1">
        <f t="array" ref="G115">INDEX(GMWQ!$A$2:$NF$60,MATCH(1,(GMWQ!$NE$2:$NE$60=G$3)*(GMWQ!$ND$2:$ND$60=G$4)*(GMWQ!$NF$2:$NF$60=G$1),0),$E115-1966)</f>
        <v>9313</v>
      </c>
      <c r="H115" s="13" cm="1">
        <f t="array" ref="H115">INDEX(GMWQ!$A$2:$NF$60,MATCH(1,(GMWQ!$NE$2:$NE$60=H$3)*(GMWQ!$ND$2:$ND$60=H$4)*(GMWQ!$NF$2:$NF$60=H$1),0),$E115-1966)</f>
        <v>305.33330000000001</v>
      </c>
      <c r="I115" s="13" cm="1">
        <f t="array" ref="I115">INDEX(GMWQ!$A$2:$NF$60,MATCH(1,(GMWQ!$NE$2:$NE$60=I$3)*(GMWQ!$ND$2:$ND$60=I$4)*(GMWQ!$NF$2:$NF$60=I$1),0),$E115-1966)</f>
        <v>61022</v>
      </c>
      <c r="J115" s="13" cm="1">
        <f t="array" ref="J115">INDEX(GMWQ!$A$2:$NF$60,MATCH(1,(GMWQ!$NE$2:$NE$60=J$3)*(GMWQ!$ND$2:$ND$60=J$4)*(GMWQ!$NF$2:$NF$60=J$1),0),$E115-1966)</f>
        <v>272305</v>
      </c>
      <c r="K115" s="13" cm="1">
        <f t="array" ref="K115">INDEX(GMWQ!$A$2:$NF$60,MATCH(1,(GMWQ!$NE$2:$NE$60=K$3)*(GMWQ!$ND$2:$ND$60=K$4)*(GMWQ!$NF$2:$NF$60=K$1),0),$E115-1966)</f>
        <v>110532</v>
      </c>
      <c r="L115" s="13" cm="1">
        <f t="array" ref="L115">INDEX(GMWQ!$A$2:$NF$60,MATCH(1,(GMWQ!$NE$2:$NE$60=L$3)*(GMWQ!$ND$2:$ND$60=L$4)*(GMWQ!$NF$2:$NF$60=L$1),0),$E115-1966)</f>
        <v>178102</v>
      </c>
      <c r="M115" s="13" cm="1">
        <f t="array" ref="M115">INDEX(GMWQ!$A$2:$NF$60,MATCH(1,(GMWQ!$NE$2:$NE$60=M$3)*(GMWQ!$ND$2:$ND$60=M$4)*(GMWQ!$NF$2:$NF$60=M$1),0),$E115-1966)</f>
        <v>274370</v>
      </c>
      <c r="N115" s="13" cm="1">
        <f t="array" ref="N115">INDEX(GMWQ!$A$2:$NF$60,MATCH(1,(GMWQ!$NE$2:$NE$60=N$3)*(GMWQ!$ND$2:$ND$60=N$4)*(GMWQ!$NF$2:$NF$60=N$1),0),$E115-1966)</f>
        <v>65.636089999999996</v>
      </c>
      <c r="O115" s="13" cm="1">
        <f t="array" ref="O115">INDEX(GMWQ!$A$2:$NF$60,MATCH(1,(GMWQ!$NE$2:$NE$60=O$3)*(GMWQ!$ND$2:$ND$60=O$4)*(GMWQ!$NF$2:$NF$60=O$1),0),$E115-1966)</f>
        <v>27362</v>
      </c>
      <c r="P115" s="13" cm="1">
        <f t="array" ref="P115">INDEX(GMWQ!$A$2:$NF$60,MATCH(1,(GMWQ!$NE$2:$NE$60=P$3)*(GMWQ!$ND$2:$ND$60=P$4)*(GMWQ!$NF$2:$NF$60=P$1),0),$E115-1966)</f>
        <v>27362</v>
      </c>
      <c r="Q115" s="13" cm="1">
        <f t="array" ref="Q115">INDEX(GMWQ!$A$2:$NF$60,MATCH(1,(GMWQ!$NE$2:$NE$60=Q$3)*(GMWQ!$ND$2:$ND$60=Q$4)*(GMWQ!$NF$2:$NF$60=Q$1),0),$E115-1966)</f>
        <v>27362</v>
      </c>
    </row>
    <row r="116" spans="1:17" x14ac:dyDescent="0.25">
      <c r="B116" s="13">
        <f t="shared" si="9"/>
        <v>2000</v>
      </c>
      <c r="C116" s="13">
        <f t="shared" si="9"/>
        <v>2000</v>
      </c>
      <c r="E116" s="13">
        <f t="shared" si="10"/>
        <v>2082</v>
      </c>
      <c r="F116" s="13" cm="1">
        <f t="array" ref="F116">INDEX(GMWQ!$A$2:$NF$60,MATCH(1,(GMWQ!$NE$2:$NE$60=F$3)*(GMWQ!$ND$2:$ND$60=F$4)*(GMWQ!$NF$2:$NF$60=F$1),0),$E116-1966)</f>
        <v>78.701040000000006</v>
      </c>
      <c r="G116" s="13" cm="1">
        <f t="array" ref="G116">INDEX(GMWQ!$A$2:$NF$60,MATCH(1,(GMWQ!$NE$2:$NE$60=G$3)*(GMWQ!$ND$2:$ND$60=G$4)*(GMWQ!$NF$2:$NF$60=G$1),0),$E116-1966)</f>
        <v>9861</v>
      </c>
      <c r="H116" s="13" cm="1">
        <f t="array" ref="H116">INDEX(GMWQ!$A$2:$NF$60,MATCH(1,(GMWQ!$NE$2:$NE$60=H$3)*(GMWQ!$ND$2:$ND$60=H$4)*(GMWQ!$NF$2:$NF$60=H$1),0),$E116-1966)</f>
        <v>310.33330000000001</v>
      </c>
      <c r="I116" s="13" cm="1">
        <f t="array" ref="I116">INDEX(GMWQ!$A$2:$NF$60,MATCH(1,(GMWQ!$NE$2:$NE$60=I$3)*(GMWQ!$ND$2:$ND$60=I$4)*(GMWQ!$NF$2:$NF$60=I$1),0),$E116-1966)</f>
        <v>58869</v>
      </c>
      <c r="J116" s="13" cm="1">
        <f t="array" ref="J116">INDEX(GMWQ!$A$2:$NF$60,MATCH(1,(GMWQ!$NE$2:$NE$60=J$3)*(GMWQ!$ND$2:$ND$60=J$4)*(GMWQ!$NF$2:$NF$60=J$1),0),$E116-1966)</f>
        <v>273916</v>
      </c>
      <c r="K116" s="13" cm="1">
        <f t="array" ref="K116">INDEX(GMWQ!$A$2:$NF$60,MATCH(1,(GMWQ!$NE$2:$NE$60=K$3)*(GMWQ!$ND$2:$ND$60=K$4)*(GMWQ!$NF$2:$NF$60=K$1),0),$E116-1966)</f>
        <v>112629</v>
      </c>
      <c r="L116" s="13" cm="1">
        <f t="array" ref="L116">INDEX(GMWQ!$A$2:$NF$60,MATCH(1,(GMWQ!$NE$2:$NE$60=L$3)*(GMWQ!$ND$2:$ND$60=L$4)*(GMWQ!$NF$2:$NF$60=L$1),0),$E116-1966)</f>
        <v>179721</v>
      </c>
      <c r="M116" s="13" cm="1">
        <f t="array" ref="M116">INDEX(GMWQ!$A$2:$NF$60,MATCH(1,(GMWQ!$NE$2:$NE$60=M$3)*(GMWQ!$ND$2:$ND$60=M$4)*(GMWQ!$NF$2:$NF$60=M$1),0),$E116-1966)</f>
        <v>277466</v>
      </c>
      <c r="N116" s="13" cm="1">
        <f t="array" ref="N116">INDEX(GMWQ!$A$2:$NF$60,MATCH(1,(GMWQ!$NE$2:$NE$60=N$3)*(GMWQ!$ND$2:$ND$60=N$4)*(GMWQ!$NF$2:$NF$60=N$1),0),$E116-1966)</f>
        <v>65.484520000000003</v>
      </c>
      <c r="O116" s="13" cm="1">
        <f t="array" ref="O116">INDEX(GMWQ!$A$2:$NF$60,MATCH(1,(GMWQ!$NE$2:$NE$60=O$3)*(GMWQ!$ND$2:$ND$60=O$4)*(GMWQ!$NF$2:$NF$60=O$1),0),$E116-1966)</f>
        <v>27468</v>
      </c>
      <c r="P116" s="13" cm="1">
        <f t="array" ref="P116">INDEX(GMWQ!$A$2:$NF$60,MATCH(1,(GMWQ!$NE$2:$NE$60=P$3)*(GMWQ!$ND$2:$ND$60=P$4)*(GMWQ!$NF$2:$NF$60=P$1),0),$E116-1966)</f>
        <v>27468</v>
      </c>
      <c r="Q116" s="13" cm="1">
        <f t="array" ref="Q116">INDEX(GMWQ!$A$2:$NF$60,MATCH(1,(GMWQ!$NE$2:$NE$60=Q$3)*(GMWQ!$ND$2:$ND$60=Q$4)*(GMWQ!$NF$2:$NF$60=Q$1),0),$E116-1966)</f>
        <v>27468</v>
      </c>
    </row>
    <row r="117" spans="1:17" x14ac:dyDescent="0.25">
      <c r="B117" s="13">
        <f t="shared" si="9"/>
        <v>2000</v>
      </c>
      <c r="C117" s="13">
        <f t="shared" si="9"/>
        <v>2000</v>
      </c>
      <c r="E117" s="13">
        <f t="shared" si="10"/>
        <v>2083</v>
      </c>
      <c r="F117" s="13" cm="1">
        <f t="array" ref="F117">INDEX(GMWQ!$A$2:$NF$60,MATCH(1,(GMWQ!$NE$2:$NE$60=F$3)*(GMWQ!$ND$2:$ND$60=F$4)*(GMWQ!$NF$2:$NF$60=F$1),0),$E117-1966)</f>
        <v>79.935569999999998</v>
      </c>
      <c r="G117" s="13" cm="1">
        <f t="array" ref="G117">INDEX(GMWQ!$A$2:$NF$60,MATCH(1,(GMWQ!$NE$2:$NE$60=G$3)*(GMWQ!$ND$2:$ND$60=G$4)*(GMWQ!$NF$2:$NF$60=G$1),0),$E117-1966)</f>
        <v>9826</v>
      </c>
      <c r="H117" s="13" cm="1">
        <f t="array" ref="H117">INDEX(GMWQ!$A$2:$NF$60,MATCH(1,(GMWQ!$NE$2:$NE$60=H$3)*(GMWQ!$ND$2:$ND$60=H$4)*(GMWQ!$NF$2:$NF$60=H$1),0),$E117-1966)</f>
        <v>315</v>
      </c>
      <c r="I117" s="13" cm="1">
        <f t="array" ref="I117">INDEX(GMWQ!$A$2:$NF$60,MATCH(1,(GMWQ!$NE$2:$NE$60=I$3)*(GMWQ!$ND$2:$ND$60=I$4)*(GMWQ!$NF$2:$NF$60=I$1),0),$E117-1966)</f>
        <v>57825</v>
      </c>
      <c r="J117" s="13" cm="1">
        <f t="array" ref="J117">INDEX(GMWQ!$A$2:$NF$60,MATCH(1,(GMWQ!$NE$2:$NE$60=J$3)*(GMWQ!$ND$2:$ND$60=J$4)*(GMWQ!$NF$2:$NF$60=J$1),0),$E117-1966)</f>
        <v>276174</v>
      </c>
      <c r="K117" s="13" cm="1">
        <f t="array" ref="K117">INDEX(GMWQ!$A$2:$NF$60,MATCH(1,(GMWQ!$NE$2:$NE$60=K$3)*(GMWQ!$ND$2:$ND$60=K$4)*(GMWQ!$NF$2:$NF$60=K$1),0),$E117-1966)</f>
        <v>115403</v>
      </c>
      <c r="L117" s="13" cm="1">
        <f t="array" ref="L117">INDEX(GMWQ!$A$2:$NF$60,MATCH(1,(GMWQ!$NE$2:$NE$60=L$3)*(GMWQ!$ND$2:$ND$60=L$4)*(GMWQ!$NF$2:$NF$60=L$1),0),$E117-1966)</f>
        <v>183528</v>
      </c>
      <c r="M117" s="13" cm="1">
        <f t="array" ref="M117">INDEX(GMWQ!$A$2:$NF$60,MATCH(1,(GMWQ!$NE$2:$NE$60=M$3)*(GMWQ!$ND$2:$ND$60=M$4)*(GMWQ!$NF$2:$NF$60=M$1),0),$E117-1966)</f>
        <v>283106</v>
      </c>
      <c r="N117" s="13" cm="1">
        <f t="array" ref="N117">INDEX(GMWQ!$A$2:$NF$60,MATCH(1,(GMWQ!$NE$2:$NE$60=N$3)*(GMWQ!$ND$2:$ND$60=N$4)*(GMWQ!$NF$2:$NF$60=N$1),0),$E117-1966)</f>
        <v>65.551580000000001</v>
      </c>
      <c r="O117" s="13" cm="1">
        <f t="array" ref="O117">INDEX(GMWQ!$A$2:$NF$60,MATCH(1,(GMWQ!$NE$2:$NE$60=O$3)*(GMWQ!$ND$2:$ND$60=O$4)*(GMWQ!$NF$2:$NF$60=O$1),0),$E117-1966)</f>
        <v>27555</v>
      </c>
      <c r="P117" s="13" cm="1">
        <f t="array" ref="P117">INDEX(GMWQ!$A$2:$NF$60,MATCH(1,(GMWQ!$NE$2:$NE$60=P$3)*(GMWQ!$ND$2:$ND$60=P$4)*(GMWQ!$NF$2:$NF$60=P$1),0),$E117-1966)</f>
        <v>27555</v>
      </c>
      <c r="Q117" s="13" cm="1">
        <f t="array" ref="Q117">INDEX(GMWQ!$A$2:$NF$60,MATCH(1,(GMWQ!$NE$2:$NE$60=Q$3)*(GMWQ!$ND$2:$ND$60=Q$4)*(GMWQ!$NF$2:$NF$60=Q$1),0),$E117-1966)</f>
        <v>27555</v>
      </c>
    </row>
    <row r="118" spans="1:17" x14ac:dyDescent="0.25">
      <c r="B118" s="13">
        <f t="shared" si="9"/>
        <v>2000</v>
      </c>
      <c r="C118" s="13">
        <f t="shared" si="9"/>
        <v>2000</v>
      </c>
      <c r="E118" s="13">
        <f t="shared" si="10"/>
        <v>2084</v>
      </c>
      <c r="F118" s="13" cm="1">
        <f t="array" ref="F118">INDEX(GMWQ!$A$2:$NF$60,MATCH(1,(GMWQ!$NE$2:$NE$60=F$3)*(GMWQ!$ND$2:$ND$60=F$4)*(GMWQ!$NF$2:$NF$60=F$1),0),$E118-1966)</f>
        <v>81.523009999999999</v>
      </c>
      <c r="G118" s="13" cm="1">
        <f t="array" ref="G118">INDEX(GMWQ!$A$2:$NF$60,MATCH(1,(GMWQ!$NE$2:$NE$60=G$3)*(GMWQ!$ND$2:$ND$60=G$4)*(GMWQ!$NF$2:$NF$60=G$1),0),$E118-1966)</f>
        <v>10195</v>
      </c>
      <c r="H118" s="13" cm="1">
        <f t="array" ref="H118">INDEX(GMWQ!$A$2:$NF$60,MATCH(1,(GMWQ!$NE$2:$NE$60=H$3)*(GMWQ!$ND$2:$ND$60=H$4)*(GMWQ!$NF$2:$NF$60=H$1),0),$E118-1966)</f>
        <v>320.33330000000001</v>
      </c>
      <c r="I118" s="13" cm="1">
        <f t="array" ref="I118">INDEX(GMWQ!$A$2:$NF$60,MATCH(1,(GMWQ!$NE$2:$NE$60=I$3)*(GMWQ!$ND$2:$ND$60=I$4)*(GMWQ!$NF$2:$NF$60=I$1),0),$E118-1966)</f>
        <v>56273</v>
      </c>
      <c r="J118" s="13" cm="1">
        <f t="array" ref="J118">INDEX(GMWQ!$A$2:$NF$60,MATCH(1,(GMWQ!$NE$2:$NE$60=J$3)*(GMWQ!$ND$2:$ND$60=J$4)*(GMWQ!$NF$2:$NF$60=J$1),0),$E118-1966)</f>
        <v>278357</v>
      </c>
      <c r="K118" s="13" cm="1">
        <f t="array" ref="K118">INDEX(GMWQ!$A$2:$NF$60,MATCH(1,(GMWQ!$NE$2:$NE$60=K$3)*(GMWQ!$ND$2:$ND$60=K$4)*(GMWQ!$NF$2:$NF$60=K$1),0),$E118-1966)</f>
        <v>117809</v>
      </c>
      <c r="L118" s="13" cm="1">
        <f t="array" ref="L118">INDEX(GMWQ!$A$2:$NF$60,MATCH(1,(GMWQ!$NE$2:$NE$60=L$3)*(GMWQ!$ND$2:$ND$60=L$4)*(GMWQ!$NF$2:$NF$60=L$1),0),$E118-1966)</f>
        <v>186259</v>
      </c>
      <c r="M118" s="13" cm="1">
        <f t="array" ref="M118">INDEX(GMWQ!$A$2:$NF$60,MATCH(1,(GMWQ!$NE$2:$NE$60=M$3)*(GMWQ!$ND$2:$ND$60=M$4)*(GMWQ!$NF$2:$NF$60=M$1),0),$E118-1966)</f>
        <v>287523</v>
      </c>
      <c r="N118" s="13" cm="1">
        <f t="array" ref="N118">INDEX(GMWQ!$A$2:$NF$60,MATCH(1,(GMWQ!$NE$2:$NE$60=N$3)*(GMWQ!$ND$2:$ND$60=N$4)*(GMWQ!$NF$2:$NF$60=N$1),0),$E118-1966)</f>
        <v>65.450339999999997</v>
      </c>
      <c r="O118" s="13" cm="1">
        <f t="array" ref="O118">INDEX(GMWQ!$A$2:$NF$60,MATCH(1,(GMWQ!$NE$2:$NE$60=O$3)*(GMWQ!$ND$2:$ND$60=O$4)*(GMWQ!$NF$2:$NF$60=O$1),0),$E118-1966)</f>
        <v>27549</v>
      </c>
      <c r="P118" s="13" cm="1">
        <f t="array" ref="P118">INDEX(GMWQ!$A$2:$NF$60,MATCH(1,(GMWQ!$NE$2:$NE$60=P$3)*(GMWQ!$ND$2:$ND$60=P$4)*(GMWQ!$NF$2:$NF$60=P$1),0),$E118-1966)</f>
        <v>27549</v>
      </c>
      <c r="Q118" s="13" cm="1">
        <f t="array" ref="Q118">INDEX(GMWQ!$A$2:$NF$60,MATCH(1,(GMWQ!$NE$2:$NE$60=Q$3)*(GMWQ!$ND$2:$ND$60=Q$4)*(GMWQ!$NF$2:$NF$60=Q$1),0),$E118-1966)</f>
        <v>27549</v>
      </c>
    </row>
    <row r="119" spans="1:17" x14ac:dyDescent="0.25">
      <c r="A119" s="13">
        <v>2001</v>
      </c>
      <c r="B119" s="13">
        <f t="shared" si="9"/>
        <v>2001</v>
      </c>
      <c r="C119" s="13">
        <f t="shared" si="9"/>
        <v>2000</v>
      </c>
      <c r="D119" s="13">
        <f t="shared" si="9"/>
        <v>2000</v>
      </c>
      <c r="E119" s="13">
        <f t="shared" si="10"/>
        <v>2085</v>
      </c>
      <c r="F119" s="13" cm="1">
        <f t="array" ref="F119">INDEX(GMWQ!$A$2:$NF$60,MATCH(1,(GMWQ!$NE$2:$NE$60=F$3)*(GMWQ!$ND$2:$ND$60=F$4)*(GMWQ!$NF$2:$NF$60=F$1),0),$E119-1966)</f>
        <v>82.72627</v>
      </c>
      <c r="G119" s="13" cm="1">
        <f t="array" ref="G119">INDEX(GMWQ!$A$2:$NF$60,MATCH(1,(GMWQ!$NE$2:$NE$60=G$3)*(GMWQ!$ND$2:$ND$60=G$4)*(GMWQ!$NF$2:$NF$60=G$1),0),$E119-1966)</f>
        <v>10811</v>
      </c>
      <c r="H119" s="13" cm="1">
        <f t="array" ref="H119">INDEX(GMWQ!$A$2:$NF$60,MATCH(1,(GMWQ!$NE$2:$NE$60=H$3)*(GMWQ!$ND$2:$ND$60=H$4)*(GMWQ!$NF$2:$NF$60=H$1),0),$E119-1966)</f>
        <v>324</v>
      </c>
      <c r="I119" s="13" cm="1">
        <f t="array" ref="I119">INDEX(GMWQ!$A$2:$NF$60,MATCH(1,(GMWQ!$NE$2:$NE$60=I$3)*(GMWQ!$ND$2:$ND$60=I$4)*(GMWQ!$NF$2:$NF$60=I$1),0),$E119-1966)</f>
        <v>56614</v>
      </c>
      <c r="J119" s="13" cm="1">
        <f t="array" ref="J119">INDEX(GMWQ!$A$2:$NF$60,MATCH(1,(GMWQ!$NE$2:$NE$60=J$3)*(GMWQ!$ND$2:$ND$60=J$4)*(GMWQ!$NF$2:$NF$60=J$1),0),$E119-1966)</f>
        <v>282889</v>
      </c>
      <c r="K119" s="13" cm="1">
        <f t="array" ref="K119">INDEX(GMWQ!$A$2:$NF$60,MATCH(1,(GMWQ!$NE$2:$NE$60=K$3)*(GMWQ!$ND$2:$ND$60=K$4)*(GMWQ!$NF$2:$NF$60=K$1),0),$E119-1966)</f>
        <v>120543</v>
      </c>
      <c r="L119" s="13" cm="1">
        <f t="array" ref="L119">INDEX(GMWQ!$A$2:$NF$60,MATCH(1,(GMWQ!$NE$2:$NE$60=L$3)*(GMWQ!$ND$2:$ND$60=L$4)*(GMWQ!$NF$2:$NF$60=L$1),0),$E119-1966)</f>
        <v>189667</v>
      </c>
      <c r="M119" s="13" cm="1">
        <f t="array" ref="M119">INDEX(GMWQ!$A$2:$NF$60,MATCH(1,(GMWQ!$NE$2:$NE$60=M$3)*(GMWQ!$ND$2:$ND$60=M$4)*(GMWQ!$NF$2:$NF$60=M$1),0),$E119-1966)</f>
        <v>289476</v>
      </c>
      <c r="N119" s="13" cm="1">
        <f t="array" ref="N119">INDEX(GMWQ!$A$2:$NF$60,MATCH(1,(GMWQ!$NE$2:$NE$60=N$3)*(GMWQ!$ND$2:$ND$60=N$4)*(GMWQ!$NF$2:$NF$60=N$1),0),$E119-1966)</f>
        <v>66.186490000000006</v>
      </c>
      <c r="O119" s="13" cm="1">
        <f t="array" ref="O119">INDEX(GMWQ!$A$2:$NF$60,MATCH(1,(GMWQ!$NE$2:$NE$60=O$3)*(GMWQ!$ND$2:$ND$60=O$4)*(GMWQ!$NF$2:$NF$60=O$1),0),$E119-1966)</f>
        <v>27623</v>
      </c>
      <c r="P119" s="13" cm="1">
        <f t="array" ref="P119">INDEX(GMWQ!$A$2:$NF$60,MATCH(1,(GMWQ!$NE$2:$NE$60=P$3)*(GMWQ!$ND$2:$ND$60=P$4)*(GMWQ!$NF$2:$NF$60=P$1),0),$E119-1966)</f>
        <v>27623</v>
      </c>
      <c r="Q119" s="13" cm="1">
        <f t="array" ref="Q119">INDEX(GMWQ!$A$2:$NF$60,MATCH(1,(GMWQ!$NE$2:$NE$60=Q$3)*(GMWQ!$ND$2:$ND$60=Q$4)*(GMWQ!$NF$2:$NF$60=Q$1),0),$E119-1966)</f>
        <v>27623</v>
      </c>
    </row>
    <row r="120" spans="1:17" x14ac:dyDescent="0.25">
      <c r="B120" s="13">
        <f t="shared" si="9"/>
        <v>2001</v>
      </c>
      <c r="C120" s="13">
        <f t="shared" si="9"/>
        <v>2001</v>
      </c>
      <c r="E120" s="13">
        <f t="shared" si="10"/>
        <v>2086</v>
      </c>
      <c r="F120" s="13" cm="1">
        <f t="array" ref="F120">INDEX(GMWQ!$A$2:$NF$60,MATCH(1,(GMWQ!$NE$2:$NE$60=F$3)*(GMWQ!$ND$2:$ND$60=F$4)*(GMWQ!$NF$2:$NF$60=F$1),0),$E120-1966)</f>
        <v>82.110759999999999</v>
      </c>
      <c r="G120" s="13" cm="1">
        <f t="array" ref="G120">INDEX(GMWQ!$A$2:$NF$60,MATCH(1,(GMWQ!$NE$2:$NE$60=G$3)*(GMWQ!$ND$2:$ND$60=G$4)*(GMWQ!$NF$2:$NF$60=G$1),0),$E120-1966)</f>
        <v>9870</v>
      </c>
      <c r="H120" s="13" cm="1">
        <f t="array" ref="H120">INDEX(GMWQ!$A$2:$NF$60,MATCH(1,(GMWQ!$NE$2:$NE$60=H$3)*(GMWQ!$ND$2:$ND$60=H$4)*(GMWQ!$NF$2:$NF$60=H$1),0),$E120-1966)</f>
        <v>327</v>
      </c>
      <c r="I120" s="13" cm="1">
        <f t="array" ref="I120">INDEX(GMWQ!$A$2:$NF$60,MATCH(1,(GMWQ!$NE$2:$NE$60=I$3)*(GMWQ!$ND$2:$ND$60=I$4)*(GMWQ!$NF$2:$NF$60=I$1),0),$E120-1966)</f>
        <v>59422</v>
      </c>
      <c r="J120" s="13" cm="1">
        <f t="array" ref="J120">INDEX(GMWQ!$A$2:$NF$60,MATCH(1,(GMWQ!$NE$2:$NE$60=J$3)*(GMWQ!$ND$2:$ND$60=J$4)*(GMWQ!$NF$2:$NF$60=J$1),0),$E120-1966)</f>
        <v>286728</v>
      </c>
      <c r="K120" s="13" cm="1">
        <f t="array" ref="K120">INDEX(GMWQ!$A$2:$NF$60,MATCH(1,(GMWQ!$NE$2:$NE$60=K$3)*(GMWQ!$ND$2:$ND$60=K$4)*(GMWQ!$NF$2:$NF$60=K$1),0),$E120-1966)</f>
        <v>121007</v>
      </c>
      <c r="L120" s="13" cm="1">
        <f t="array" ref="L120">INDEX(GMWQ!$A$2:$NF$60,MATCH(1,(GMWQ!$NE$2:$NE$60=L$3)*(GMWQ!$ND$2:$ND$60=L$4)*(GMWQ!$NF$2:$NF$60=L$1),0),$E120-1966)</f>
        <v>188957</v>
      </c>
      <c r="M120" s="13" cm="1">
        <f t="array" ref="M120">INDEX(GMWQ!$A$2:$NF$60,MATCH(1,(GMWQ!$NE$2:$NE$60=M$3)*(GMWQ!$ND$2:$ND$60=M$4)*(GMWQ!$NF$2:$NF$60=M$1),0),$E120-1966)</f>
        <v>288052</v>
      </c>
      <c r="N120" s="13" cm="1">
        <f t="array" ref="N120">INDEX(GMWQ!$A$2:$NF$60,MATCH(1,(GMWQ!$NE$2:$NE$60=N$3)*(GMWQ!$ND$2:$ND$60=N$4)*(GMWQ!$NF$2:$NF$60=N$1),0),$E120-1966)</f>
        <v>66.201899999999995</v>
      </c>
      <c r="O120" s="13" cm="1">
        <f t="array" ref="O120">INDEX(GMWQ!$A$2:$NF$60,MATCH(1,(GMWQ!$NE$2:$NE$60=O$3)*(GMWQ!$ND$2:$ND$60=O$4)*(GMWQ!$NF$2:$NF$60=O$1),0),$E120-1966)</f>
        <v>27707</v>
      </c>
      <c r="P120" s="13" cm="1">
        <f t="array" ref="P120">INDEX(GMWQ!$A$2:$NF$60,MATCH(1,(GMWQ!$NE$2:$NE$60=P$3)*(GMWQ!$ND$2:$ND$60=P$4)*(GMWQ!$NF$2:$NF$60=P$1),0),$E120-1966)</f>
        <v>27707</v>
      </c>
      <c r="Q120" s="13" cm="1">
        <f t="array" ref="Q120">INDEX(GMWQ!$A$2:$NF$60,MATCH(1,(GMWQ!$NE$2:$NE$60=Q$3)*(GMWQ!$ND$2:$ND$60=Q$4)*(GMWQ!$NF$2:$NF$60=Q$1),0),$E120-1966)</f>
        <v>27707</v>
      </c>
    </row>
    <row r="121" spans="1:17" x14ac:dyDescent="0.25">
      <c r="B121" s="13">
        <f t="shared" si="9"/>
        <v>2001</v>
      </c>
      <c r="C121" s="13">
        <f t="shared" si="9"/>
        <v>2001</v>
      </c>
      <c r="E121" s="13">
        <f t="shared" si="10"/>
        <v>2087</v>
      </c>
      <c r="F121" s="13" cm="1">
        <f t="array" ref="F121">INDEX(GMWQ!$A$2:$NF$60,MATCH(1,(GMWQ!$NE$2:$NE$60=F$3)*(GMWQ!$ND$2:$ND$60=F$4)*(GMWQ!$NF$2:$NF$60=F$1),0),$E121-1966)</f>
        <v>82.220650000000006</v>
      </c>
      <c r="G121" s="13" cm="1">
        <f t="array" ref="G121">INDEX(GMWQ!$A$2:$NF$60,MATCH(1,(GMWQ!$NE$2:$NE$60=G$3)*(GMWQ!$ND$2:$ND$60=G$4)*(GMWQ!$NF$2:$NF$60=G$1),0),$E121-1966)</f>
        <v>10189</v>
      </c>
      <c r="H121" s="13" cm="1">
        <f t="array" ref="H121">INDEX(GMWQ!$A$2:$NF$60,MATCH(1,(GMWQ!$NE$2:$NE$60=H$3)*(GMWQ!$ND$2:$ND$60=H$4)*(GMWQ!$NF$2:$NF$60=H$1),0),$E121-1966)</f>
        <v>330</v>
      </c>
      <c r="I121" s="13" cm="1">
        <f t="array" ref="I121">INDEX(GMWQ!$A$2:$NF$60,MATCH(1,(GMWQ!$NE$2:$NE$60=I$3)*(GMWQ!$ND$2:$ND$60=I$4)*(GMWQ!$NF$2:$NF$60=I$1),0),$E121-1966)</f>
        <v>59828</v>
      </c>
      <c r="J121" s="13" cm="1">
        <f t="array" ref="J121">INDEX(GMWQ!$A$2:$NF$60,MATCH(1,(GMWQ!$NE$2:$NE$60=J$3)*(GMWQ!$ND$2:$ND$60=J$4)*(GMWQ!$NF$2:$NF$60=J$1),0),$E121-1966)</f>
        <v>288166</v>
      </c>
      <c r="K121" s="13" cm="1">
        <f t="array" ref="K121">INDEX(GMWQ!$A$2:$NF$60,MATCH(1,(GMWQ!$NE$2:$NE$60=K$3)*(GMWQ!$ND$2:$ND$60=K$4)*(GMWQ!$NF$2:$NF$60=K$1),0),$E121-1966)</f>
        <v>121622</v>
      </c>
      <c r="L121" s="13" cm="1">
        <f t="array" ref="L121">INDEX(GMWQ!$A$2:$NF$60,MATCH(1,(GMWQ!$NE$2:$NE$60=L$3)*(GMWQ!$ND$2:$ND$60=L$4)*(GMWQ!$NF$2:$NF$60=L$1),0),$E121-1966)</f>
        <v>190102</v>
      </c>
      <c r="M121" s="13" cm="1">
        <f t="array" ref="M121">INDEX(GMWQ!$A$2:$NF$60,MATCH(1,(GMWQ!$NE$2:$NE$60=M$3)*(GMWQ!$ND$2:$ND$60=M$4)*(GMWQ!$NF$2:$NF$60=M$1),0),$E121-1966)</f>
        <v>289545</v>
      </c>
      <c r="N121" s="13" cm="1">
        <f t="array" ref="N121">INDEX(GMWQ!$A$2:$NF$60,MATCH(1,(GMWQ!$NE$2:$NE$60=N$3)*(GMWQ!$ND$2:$ND$60=N$4)*(GMWQ!$NF$2:$NF$60=N$1),0),$E121-1966)</f>
        <v>66.264560000000003</v>
      </c>
      <c r="O121" s="13" cm="1">
        <f t="array" ref="O121">INDEX(GMWQ!$A$2:$NF$60,MATCH(1,(GMWQ!$NE$2:$NE$60=O$3)*(GMWQ!$ND$2:$ND$60=O$4)*(GMWQ!$NF$2:$NF$60=O$1),0),$E121-1966)</f>
        <v>27715</v>
      </c>
      <c r="P121" s="13" cm="1">
        <f t="array" ref="P121">INDEX(GMWQ!$A$2:$NF$60,MATCH(1,(GMWQ!$NE$2:$NE$60=P$3)*(GMWQ!$ND$2:$ND$60=P$4)*(GMWQ!$NF$2:$NF$60=P$1),0),$E121-1966)</f>
        <v>27715</v>
      </c>
      <c r="Q121" s="13" cm="1">
        <f t="array" ref="Q121">INDEX(GMWQ!$A$2:$NF$60,MATCH(1,(GMWQ!$NE$2:$NE$60=Q$3)*(GMWQ!$ND$2:$ND$60=Q$4)*(GMWQ!$NF$2:$NF$60=Q$1),0),$E121-1966)</f>
        <v>27715</v>
      </c>
    </row>
    <row r="122" spans="1:17" x14ac:dyDescent="0.25">
      <c r="B122" s="13">
        <f t="shared" si="9"/>
        <v>2001</v>
      </c>
      <c r="C122" s="13">
        <f t="shared" si="9"/>
        <v>2001</v>
      </c>
      <c r="E122" s="13">
        <f t="shared" si="10"/>
        <v>2088</v>
      </c>
      <c r="F122" s="13" cm="1">
        <f t="array" ref="F122">INDEX(GMWQ!$A$2:$NF$60,MATCH(1,(GMWQ!$NE$2:$NE$60=F$3)*(GMWQ!$ND$2:$ND$60=F$4)*(GMWQ!$NF$2:$NF$60=F$1),0),$E122-1966)</f>
        <v>82.690380000000005</v>
      </c>
      <c r="G122" s="13" cm="1">
        <f t="array" ref="G122">INDEX(GMWQ!$A$2:$NF$60,MATCH(1,(GMWQ!$NE$2:$NE$60=G$3)*(GMWQ!$ND$2:$ND$60=G$4)*(GMWQ!$NF$2:$NF$60=G$1),0),$E122-1966)</f>
        <v>10298</v>
      </c>
      <c r="H122" s="13" cm="1">
        <f t="array" ref="H122">INDEX(GMWQ!$A$2:$NF$60,MATCH(1,(GMWQ!$NE$2:$NE$60=H$3)*(GMWQ!$ND$2:$ND$60=H$4)*(GMWQ!$NF$2:$NF$60=H$1),0),$E122-1966)</f>
        <v>333.66669999999999</v>
      </c>
      <c r="I122" s="13" cm="1">
        <f t="array" ref="I122">INDEX(GMWQ!$A$2:$NF$60,MATCH(1,(GMWQ!$NE$2:$NE$60=I$3)*(GMWQ!$ND$2:$ND$60=I$4)*(GMWQ!$NF$2:$NF$60=I$1),0),$E122-1966)</f>
        <v>59188</v>
      </c>
      <c r="J122" s="13" cm="1">
        <f t="array" ref="J122">INDEX(GMWQ!$A$2:$NF$60,MATCH(1,(GMWQ!$NE$2:$NE$60=J$3)*(GMWQ!$ND$2:$ND$60=J$4)*(GMWQ!$NF$2:$NF$60=J$1),0),$E122-1966)</f>
        <v>288352</v>
      </c>
      <c r="K122" s="13" cm="1">
        <f t="array" ref="K122">INDEX(GMWQ!$A$2:$NF$60,MATCH(1,(GMWQ!$NE$2:$NE$60=K$3)*(GMWQ!$ND$2:$ND$60=K$4)*(GMWQ!$NF$2:$NF$60=K$1),0),$E122-1966)</f>
        <v>122776</v>
      </c>
      <c r="L122" s="13" cm="1">
        <f t="array" ref="L122">INDEX(GMWQ!$A$2:$NF$60,MATCH(1,(GMWQ!$NE$2:$NE$60=L$3)*(GMWQ!$ND$2:$ND$60=L$4)*(GMWQ!$NF$2:$NF$60=L$1),0),$E122-1966)</f>
        <v>191388</v>
      </c>
      <c r="M122" s="13" cm="1">
        <f t="array" ref="M122">INDEX(GMWQ!$A$2:$NF$60,MATCH(1,(GMWQ!$NE$2:$NE$60=M$3)*(GMWQ!$ND$2:$ND$60=M$4)*(GMWQ!$NF$2:$NF$60=M$1),0),$E122-1966)</f>
        <v>295002</v>
      </c>
      <c r="N122" s="13" cm="1">
        <f t="array" ref="N122">INDEX(GMWQ!$A$2:$NF$60,MATCH(1,(GMWQ!$NE$2:$NE$60=N$3)*(GMWQ!$ND$2:$ND$60=N$4)*(GMWQ!$NF$2:$NF$60=N$1),0),$E122-1966)</f>
        <v>65.423580000000001</v>
      </c>
      <c r="O122" s="13" cm="1">
        <f t="array" ref="O122">INDEX(GMWQ!$A$2:$NF$60,MATCH(1,(GMWQ!$NE$2:$NE$60=O$3)*(GMWQ!$ND$2:$ND$60=O$4)*(GMWQ!$NF$2:$NF$60=O$1),0),$E122-1966)</f>
        <v>27803</v>
      </c>
      <c r="P122" s="13" cm="1">
        <f t="array" ref="P122">INDEX(GMWQ!$A$2:$NF$60,MATCH(1,(GMWQ!$NE$2:$NE$60=P$3)*(GMWQ!$ND$2:$ND$60=P$4)*(GMWQ!$NF$2:$NF$60=P$1),0),$E122-1966)</f>
        <v>27803</v>
      </c>
      <c r="Q122" s="13" cm="1">
        <f t="array" ref="Q122">INDEX(GMWQ!$A$2:$NF$60,MATCH(1,(GMWQ!$NE$2:$NE$60=Q$3)*(GMWQ!$ND$2:$ND$60=Q$4)*(GMWQ!$NF$2:$NF$60=Q$1),0),$E122-1966)</f>
        <v>27803</v>
      </c>
    </row>
    <row r="123" spans="1:17" x14ac:dyDescent="0.25">
      <c r="A123" s="13">
        <v>2002</v>
      </c>
      <c r="B123" s="13">
        <f t="shared" si="9"/>
        <v>2002</v>
      </c>
      <c r="C123" s="13">
        <f t="shared" si="9"/>
        <v>2001</v>
      </c>
      <c r="D123" s="13">
        <f t="shared" si="9"/>
        <v>2001</v>
      </c>
      <c r="E123" s="13">
        <f t="shared" si="10"/>
        <v>2089</v>
      </c>
      <c r="F123" s="13" cm="1">
        <f t="array" ref="F123">INDEX(GMWQ!$A$2:$NF$60,MATCH(1,(GMWQ!$NE$2:$NE$60=F$3)*(GMWQ!$ND$2:$ND$60=F$4)*(GMWQ!$NF$2:$NF$60=F$1),0),$E123-1966)</f>
        <v>82.958079999999995</v>
      </c>
      <c r="G123" s="13" cm="1">
        <f t="array" ref="G123">INDEX(GMWQ!$A$2:$NF$60,MATCH(1,(GMWQ!$NE$2:$NE$60=G$3)*(GMWQ!$ND$2:$ND$60=G$4)*(GMWQ!$NF$2:$NF$60=G$1),0),$E123-1966)</f>
        <v>10629</v>
      </c>
      <c r="H123" s="13" cm="1">
        <f t="array" ref="H123">INDEX(GMWQ!$A$2:$NF$60,MATCH(1,(GMWQ!$NE$2:$NE$60=H$3)*(GMWQ!$ND$2:$ND$60=H$4)*(GMWQ!$NF$2:$NF$60=H$1),0),$E123-1966)</f>
        <v>333.66669999999999</v>
      </c>
      <c r="I123" s="13" cm="1">
        <f t="array" ref="I123">INDEX(GMWQ!$A$2:$NF$60,MATCH(1,(GMWQ!$NE$2:$NE$60=I$3)*(GMWQ!$ND$2:$ND$60=I$4)*(GMWQ!$NF$2:$NF$60=I$1),0),$E123-1966)</f>
        <v>60667</v>
      </c>
      <c r="J123" s="13" cm="1">
        <f t="array" ref="J123">INDEX(GMWQ!$A$2:$NF$60,MATCH(1,(GMWQ!$NE$2:$NE$60=J$3)*(GMWQ!$ND$2:$ND$60=J$4)*(GMWQ!$NF$2:$NF$60=J$1),0),$E123-1966)</f>
        <v>292486</v>
      </c>
      <c r="K123" s="13" cm="1">
        <f t="array" ref="K123">INDEX(GMWQ!$A$2:$NF$60,MATCH(1,(GMWQ!$NE$2:$NE$60=K$3)*(GMWQ!$ND$2:$ND$60=K$4)*(GMWQ!$NF$2:$NF$60=K$1),0),$E123-1966)</f>
        <v>123527</v>
      </c>
      <c r="L123" s="13" cm="1">
        <f t="array" ref="L123">INDEX(GMWQ!$A$2:$NF$60,MATCH(1,(GMWQ!$NE$2:$NE$60=L$3)*(GMWQ!$ND$2:$ND$60=L$4)*(GMWQ!$NF$2:$NF$60=L$1),0),$E123-1966)</f>
        <v>194378</v>
      </c>
      <c r="M123" s="13" cm="1">
        <f t="array" ref="M123">INDEX(GMWQ!$A$2:$NF$60,MATCH(1,(GMWQ!$NE$2:$NE$60=M$3)*(GMWQ!$ND$2:$ND$60=M$4)*(GMWQ!$NF$2:$NF$60=M$1),0),$E123-1966)</f>
        <v>295976</v>
      </c>
      <c r="N123" s="13" cm="1">
        <f t="array" ref="N123">INDEX(GMWQ!$A$2:$NF$60,MATCH(1,(GMWQ!$NE$2:$NE$60=N$3)*(GMWQ!$ND$2:$ND$60=N$4)*(GMWQ!$NF$2:$NF$60=N$1),0),$E123-1966)</f>
        <v>66.208780000000004</v>
      </c>
      <c r="O123" s="13" cm="1">
        <f t="array" ref="O123">INDEX(GMWQ!$A$2:$NF$60,MATCH(1,(GMWQ!$NE$2:$NE$60=O$3)*(GMWQ!$ND$2:$ND$60=O$4)*(GMWQ!$NF$2:$NF$60=O$1),0),$E123-1966)</f>
        <v>27797</v>
      </c>
      <c r="P123" s="13" cm="1">
        <f t="array" ref="P123">INDEX(GMWQ!$A$2:$NF$60,MATCH(1,(GMWQ!$NE$2:$NE$60=P$3)*(GMWQ!$ND$2:$ND$60=P$4)*(GMWQ!$NF$2:$NF$60=P$1),0),$E123-1966)</f>
        <v>27797</v>
      </c>
      <c r="Q123" s="13" cm="1">
        <f t="array" ref="Q123">INDEX(GMWQ!$A$2:$NF$60,MATCH(1,(GMWQ!$NE$2:$NE$60=Q$3)*(GMWQ!$ND$2:$ND$60=Q$4)*(GMWQ!$NF$2:$NF$60=Q$1),0),$E123-1966)</f>
        <v>27797</v>
      </c>
    </row>
    <row r="124" spans="1:17" x14ac:dyDescent="0.25">
      <c r="B124" s="13">
        <f t="shared" ref="B124:D139" si="11">+B120+1</f>
        <v>2002</v>
      </c>
      <c r="C124" s="13">
        <f t="shared" si="11"/>
        <v>2002</v>
      </c>
      <c r="E124" s="13">
        <f t="shared" si="10"/>
        <v>2090</v>
      </c>
      <c r="F124" s="13" cm="1">
        <f t="array" ref="F124">INDEX(GMWQ!$A$2:$NF$60,MATCH(1,(GMWQ!$NE$2:$NE$60=F$3)*(GMWQ!$ND$2:$ND$60=F$4)*(GMWQ!$NF$2:$NF$60=F$1),0),$E124-1966)</f>
        <v>82.72851</v>
      </c>
      <c r="G124" s="13" cm="1">
        <f t="array" ref="G124">INDEX(GMWQ!$A$2:$NF$60,MATCH(1,(GMWQ!$NE$2:$NE$60=G$3)*(GMWQ!$ND$2:$ND$60=G$4)*(GMWQ!$NF$2:$NF$60=G$1),0),$E124-1966)</f>
        <v>10379</v>
      </c>
      <c r="H124" s="13" cm="1">
        <f t="array" ref="H124">INDEX(GMWQ!$A$2:$NF$60,MATCH(1,(GMWQ!$NE$2:$NE$60=H$3)*(GMWQ!$ND$2:$ND$60=H$4)*(GMWQ!$NF$2:$NF$60=H$1),0),$E124-1966)</f>
        <v>339</v>
      </c>
      <c r="I124" s="13" cm="1">
        <f t="array" ref="I124">INDEX(GMWQ!$A$2:$NF$60,MATCH(1,(GMWQ!$NE$2:$NE$60=I$3)*(GMWQ!$ND$2:$ND$60=I$4)*(GMWQ!$NF$2:$NF$60=I$1),0),$E124-1966)</f>
        <v>62293</v>
      </c>
      <c r="J124" s="13" cm="1">
        <f t="array" ref="J124">INDEX(GMWQ!$A$2:$NF$60,MATCH(1,(GMWQ!$NE$2:$NE$60=J$3)*(GMWQ!$ND$2:$ND$60=J$4)*(GMWQ!$NF$2:$NF$60=J$1),0),$E124-1966)</f>
        <v>295516</v>
      </c>
      <c r="K124" s="13" cm="1">
        <f t="array" ref="K124">INDEX(GMWQ!$A$2:$NF$60,MATCH(1,(GMWQ!$NE$2:$NE$60=K$3)*(GMWQ!$ND$2:$ND$60=K$4)*(GMWQ!$NF$2:$NF$60=K$1),0),$E124-1966)</f>
        <v>123778</v>
      </c>
      <c r="L124" s="13" cm="1">
        <f t="array" ref="L124">INDEX(GMWQ!$A$2:$NF$60,MATCH(1,(GMWQ!$NE$2:$NE$60=L$3)*(GMWQ!$ND$2:$ND$60=L$4)*(GMWQ!$NF$2:$NF$60=L$1),0),$E124-1966)</f>
        <v>196467</v>
      </c>
      <c r="M124" s="13" cm="1">
        <f t="array" ref="M124">INDEX(GMWQ!$A$2:$NF$60,MATCH(1,(GMWQ!$NE$2:$NE$60=M$3)*(GMWQ!$ND$2:$ND$60=M$4)*(GMWQ!$NF$2:$NF$60=M$1),0),$E124-1966)</f>
        <v>298538</v>
      </c>
      <c r="N124" s="13" cm="1">
        <f t="array" ref="N124">INDEX(GMWQ!$A$2:$NF$60,MATCH(1,(GMWQ!$NE$2:$NE$60=N$3)*(GMWQ!$ND$2:$ND$60=N$4)*(GMWQ!$NF$2:$NF$60=N$1),0),$E124-1966)</f>
        <v>66.32405</v>
      </c>
      <c r="O124" s="13" cm="1">
        <f t="array" ref="O124">INDEX(GMWQ!$A$2:$NF$60,MATCH(1,(GMWQ!$NE$2:$NE$60=O$3)*(GMWQ!$ND$2:$ND$60=O$4)*(GMWQ!$NF$2:$NF$60=O$1),0),$E124-1966)</f>
        <v>27933</v>
      </c>
      <c r="P124" s="13" cm="1">
        <f t="array" ref="P124">INDEX(GMWQ!$A$2:$NF$60,MATCH(1,(GMWQ!$NE$2:$NE$60=P$3)*(GMWQ!$ND$2:$ND$60=P$4)*(GMWQ!$NF$2:$NF$60=P$1),0),$E124-1966)</f>
        <v>27933</v>
      </c>
      <c r="Q124" s="13" cm="1">
        <f t="array" ref="Q124">INDEX(GMWQ!$A$2:$NF$60,MATCH(1,(GMWQ!$NE$2:$NE$60=Q$3)*(GMWQ!$ND$2:$ND$60=Q$4)*(GMWQ!$NF$2:$NF$60=Q$1),0),$E124-1966)</f>
        <v>27933</v>
      </c>
    </row>
    <row r="125" spans="1:17" x14ac:dyDescent="0.25">
      <c r="B125" s="13">
        <f t="shared" si="11"/>
        <v>2002</v>
      </c>
      <c r="C125" s="13">
        <f t="shared" si="11"/>
        <v>2002</v>
      </c>
      <c r="E125" s="13">
        <f t="shared" si="10"/>
        <v>2091</v>
      </c>
      <c r="F125" s="13" cm="1">
        <f t="array" ref="F125">INDEX(GMWQ!$A$2:$NF$60,MATCH(1,(GMWQ!$NE$2:$NE$60=F$3)*(GMWQ!$ND$2:$ND$60=F$4)*(GMWQ!$NF$2:$NF$60=F$1),0),$E125-1966)</f>
        <v>82.795910000000006</v>
      </c>
      <c r="G125" s="13" cm="1">
        <f t="array" ref="G125">INDEX(GMWQ!$A$2:$NF$60,MATCH(1,(GMWQ!$NE$2:$NE$60=G$3)*(GMWQ!$ND$2:$ND$60=G$4)*(GMWQ!$NF$2:$NF$60=G$1),0),$E125-1966)</f>
        <v>10146</v>
      </c>
      <c r="H125" s="13" cm="1">
        <f t="array" ref="H125">INDEX(GMWQ!$A$2:$NF$60,MATCH(1,(GMWQ!$NE$2:$NE$60=H$3)*(GMWQ!$ND$2:$ND$60=H$4)*(GMWQ!$NF$2:$NF$60=H$1),0),$E125-1966)</f>
        <v>341.33330000000001</v>
      </c>
      <c r="I125" s="13" cm="1">
        <f t="array" ref="I125">INDEX(GMWQ!$A$2:$NF$60,MATCH(1,(GMWQ!$NE$2:$NE$60=I$3)*(GMWQ!$ND$2:$ND$60=I$4)*(GMWQ!$NF$2:$NF$60=I$1),0),$E125-1966)</f>
        <v>64473</v>
      </c>
      <c r="J125" s="13" cm="1">
        <f t="array" ref="J125">INDEX(GMWQ!$A$2:$NF$60,MATCH(1,(GMWQ!$NE$2:$NE$60=J$3)*(GMWQ!$ND$2:$ND$60=J$4)*(GMWQ!$NF$2:$NF$60=J$1),0),$E125-1966)</f>
        <v>299230</v>
      </c>
      <c r="K125" s="13" cm="1">
        <f t="array" ref="K125">INDEX(GMWQ!$A$2:$NF$60,MATCH(1,(GMWQ!$NE$2:$NE$60=K$3)*(GMWQ!$ND$2:$ND$60=K$4)*(GMWQ!$NF$2:$NF$60=K$1),0),$E125-1966)</f>
        <v>125016</v>
      </c>
      <c r="L125" s="13" cm="1">
        <f t="array" ref="L125">INDEX(GMWQ!$A$2:$NF$60,MATCH(1,(GMWQ!$NE$2:$NE$60=L$3)*(GMWQ!$ND$2:$ND$60=L$4)*(GMWQ!$NF$2:$NF$60=L$1),0),$E125-1966)</f>
        <v>196149</v>
      </c>
      <c r="M125" s="13" cm="1">
        <f t="array" ref="M125">INDEX(GMWQ!$A$2:$NF$60,MATCH(1,(GMWQ!$NE$2:$NE$60=M$3)*(GMWQ!$ND$2:$ND$60=M$4)*(GMWQ!$NF$2:$NF$60=M$1),0),$E125-1966)</f>
        <v>297567</v>
      </c>
      <c r="N125" s="13" cm="1">
        <f t="array" ref="N125">INDEX(GMWQ!$A$2:$NF$60,MATCH(1,(GMWQ!$NE$2:$NE$60=N$3)*(GMWQ!$ND$2:$ND$60=N$4)*(GMWQ!$NF$2:$NF$60=N$1),0),$E125-1966)</f>
        <v>66.400880000000001</v>
      </c>
      <c r="O125" s="13" cm="1">
        <f t="array" ref="O125">INDEX(GMWQ!$A$2:$NF$60,MATCH(1,(GMWQ!$NE$2:$NE$60=O$3)*(GMWQ!$ND$2:$ND$60=O$4)*(GMWQ!$NF$2:$NF$60=O$1),0),$E125-1966)</f>
        <v>27935</v>
      </c>
      <c r="P125" s="13" cm="1">
        <f t="array" ref="P125">INDEX(GMWQ!$A$2:$NF$60,MATCH(1,(GMWQ!$NE$2:$NE$60=P$3)*(GMWQ!$ND$2:$ND$60=P$4)*(GMWQ!$NF$2:$NF$60=P$1),0),$E125-1966)</f>
        <v>27935</v>
      </c>
      <c r="Q125" s="13" cm="1">
        <f t="array" ref="Q125">INDEX(GMWQ!$A$2:$NF$60,MATCH(1,(GMWQ!$NE$2:$NE$60=Q$3)*(GMWQ!$ND$2:$ND$60=Q$4)*(GMWQ!$NF$2:$NF$60=Q$1),0),$E125-1966)</f>
        <v>27935</v>
      </c>
    </row>
    <row r="126" spans="1:17" x14ac:dyDescent="0.25">
      <c r="B126" s="13">
        <f t="shared" si="11"/>
        <v>2002</v>
      </c>
      <c r="C126" s="13">
        <f t="shared" si="11"/>
        <v>2002</v>
      </c>
      <c r="E126" s="13">
        <f t="shared" si="10"/>
        <v>2092</v>
      </c>
      <c r="F126" s="13" cm="1">
        <f t="array" ref="F126">INDEX(GMWQ!$A$2:$NF$60,MATCH(1,(GMWQ!$NE$2:$NE$60=F$3)*(GMWQ!$ND$2:$ND$60=F$4)*(GMWQ!$NF$2:$NF$60=F$1),0),$E126-1966)</f>
        <v>83.353229999999996</v>
      </c>
      <c r="G126" s="13" cm="1">
        <f t="array" ref="G126">INDEX(GMWQ!$A$2:$NF$60,MATCH(1,(GMWQ!$NE$2:$NE$60=G$3)*(GMWQ!$ND$2:$ND$60=G$4)*(GMWQ!$NF$2:$NF$60=G$1),0),$E126-1966)</f>
        <v>10703</v>
      </c>
      <c r="H126" s="13" cm="1">
        <f t="array" ref="H126">INDEX(GMWQ!$A$2:$NF$60,MATCH(1,(GMWQ!$NE$2:$NE$60=H$3)*(GMWQ!$ND$2:$ND$60=H$4)*(GMWQ!$NF$2:$NF$60=H$1),0),$E126-1966)</f>
        <v>342.66669999999999</v>
      </c>
      <c r="I126" s="13" cm="1">
        <f t="array" ref="I126">INDEX(GMWQ!$A$2:$NF$60,MATCH(1,(GMWQ!$NE$2:$NE$60=I$3)*(GMWQ!$ND$2:$ND$60=I$4)*(GMWQ!$NF$2:$NF$60=I$1),0),$E126-1966)</f>
        <v>67224</v>
      </c>
      <c r="J126" s="13" cm="1">
        <f t="array" ref="J126">INDEX(GMWQ!$A$2:$NF$60,MATCH(1,(GMWQ!$NE$2:$NE$60=J$3)*(GMWQ!$ND$2:$ND$60=J$4)*(GMWQ!$NF$2:$NF$60=J$1),0),$E126-1966)</f>
        <v>304207</v>
      </c>
      <c r="K126" s="13" cm="1">
        <f t="array" ref="K126">INDEX(GMWQ!$A$2:$NF$60,MATCH(1,(GMWQ!$NE$2:$NE$60=K$3)*(GMWQ!$ND$2:$ND$60=K$4)*(GMWQ!$NF$2:$NF$60=K$1),0),$E126-1966)</f>
        <v>126386</v>
      </c>
      <c r="L126" s="13" cm="1">
        <f t="array" ref="L126">INDEX(GMWQ!$A$2:$NF$60,MATCH(1,(GMWQ!$NE$2:$NE$60=L$3)*(GMWQ!$ND$2:$ND$60=L$4)*(GMWQ!$NF$2:$NF$60=L$1),0),$E126-1966)</f>
        <v>198304</v>
      </c>
      <c r="M126" s="13" cm="1">
        <f t="array" ref="M126">INDEX(GMWQ!$A$2:$NF$60,MATCH(1,(GMWQ!$NE$2:$NE$60=M$3)*(GMWQ!$ND$2:$ND$60=M$4)*(GMWQ!$NF$2:$NF$60=M$1),0),$E126-1966)</f>
        <v>298904</v>
      </c>
      <c r="N126" s="13" cm="1">
        <f t="array" ref="N126">INDEX(GMWQ!$A$2:$NF$60,MATCH(1,(GMWQ!$NE$2:$NE$60=N$3)*(GMWQ!$ND$2:$ND$60=N$4)*(GMWQ!$NF$2:$NF$60=N$1),0),$E126-1966)</f>
        <v>66.814509999999999</v>
      </c>
      <c r="O126" s="13" cm="1">
        <f t="array" ref="O126">INDEX(GMWQ!$A$2:$NF$60,MATCH(1,(GMWQ!$NE$2:$NE$60=O$3)*(GMWQ!$ND$2:$ND$60=O$4)*(GMWQ!$NF$2:$NF$60=O$1),0),$E126-1966)</f>
        <v>28110</v>
      </c>
      <c r="P126" s="13" cm="1">
        <f t="array" ref="P126">INDEX(GMWQ!$A$2:$NF$60,MATCH(1,(GMWQ!$NE$2:$NE$60=P$3)*(GMWQ!$ND$2:$ND$60=P$4)*(GMWQ!$NF$2:$NF$60=P$1),0),$E126-1966)</f>
        <v>28110</v>
      </c>
      <c r="Q126" s="13" cm="1">
        <f t="array" ref="Q126">INDEX(GMWQ!$A$2:$NF$60,MATCH(1,(GMWQ!$NE$2:$NE$60=Q$3)*(GMWQ!$ND$2:$ND$60=Q$4)*(GMWQ!$NF$2:$NF$60=Q$1),0),$E126-1966)</f>
        <v>28110</v>
      </c>
    </row>
    <row r="127" spans="1:17" x14ac:dyDescent="0.25">
      <c r="A127" s="13">
        <v>2003</v>
      </c>
      <c r="B127" s="13">
        <f t="shared" si="11"/>
        <v>2003</v>
      </c>
      <c r="C127" s="13">
        <f t="shared" si="11"/>
        <v>2002</v>
      </c>
      <c r="D127" s="13">
        <f t="shared" si="11"/>
        <v>2002</v>
      </c>
      <c r="E127" s="13">
        <f t="shared" si="10"/>
        <v>2093</v>
      </c>
      <c r="F127" s="13" cm="1">
        <f t="array" ref="F127">INDEX(GMWQ!$A$2:$NF$60,MATCH(1,(GMWQ!$NE$2:$NE$60=F$3)*(GMWQ!$ND$2:$ND$60=F$4)*(GMWQ!$NF$2:$NF$60=F$1),0),$E127-1966)</f>
        <v>83.9208</v>
      </c>
      <c r="G127" s="13" cm="1">
        <f t="array" ref="G127">INDEX(GMWQ!$A$2:$NF$60,MATCH(1,(GMWQ!$NE$2:$NE$60=G$3)*(GMWQ!$ND$2:$ND$60=G$4)*(GMWQ!$NF$2:$NF$60=G$1),0),$E127-1966)</f>
        <v>10366</v>
      </c>
      <c r="H127" s="13" cm="1">
        <f t="array" ref="H127">INDEX(GMWQ!$A$2:$NF$60,MATCH(1,(GMWQ!$NE$2:$NE$60=H$3)*(GMWQ!$ND$2:$ND$60=H$4)*(GMWQ!$NF$2:$NF$60=H$1),0),$E127-1966)</f>
        <v>343</v>
      </c>
      <c r="I127" s="13" cm="1">
        <f t="array" ref="I127">INDEX(GMWQ!$A$2:$NF$60,MATCH(1,(GMWQ!$NE$2:$NE$60=I$3)*(GMWQ!$ND$2:$ND$60=I$4)*(GMWQ!$NF$2:$NF$60=I$1),0),$E127-1966)</f>
        <v>67091</v>
      </c>
      <c r="J127" s="13" cm="1">
        <f t="array" ref="J127">INDEX(GMWQ!$A$2:$NF$60,MATCH(1,(GMWQ!$NE$2:$NE$60=J$3)*(GMWQ!$ND$2:$ND$60=J$4)*(GMWQ!$NF$2:$NF$60=J$1),0),$E127-1966)</f>
        <v>307485</v>
      </c>
      <c r="K127" s="13" cm="1">
        <f t="array" ref="K127">INDEX(GMWQ!$A$2:$NF$60,MATCH(1,(GMWQ!$NE$2:$NE$60=K$3)*(GMWQ!$ND$2:$ND$60=K$4)*(GMWQ!$NF$2:$NF$60=K$1),0),$E127-1966)</f>
        <v>127744</v>
      </c>
      <c r="L127" s="13" cm="1">
        <f t="array" ref="L127">INDEX(GMWQ!$A$2:$NF$60,MATCH(1,(GMWQ!$NE$2:$NE$60=L$3)*(GMWQ!$ND$2:$ND$60=L$4)*(GMWQ!$NF$2:$NF$60=L$1),0),$E127-1966)</f>
        <v>200276</v>
      </c>
      <c r="M127" s="13" cm="1">
        <f t="array" ref="M127">INDEX(GMWQ!$A$2:$NF$60,MATCH(1,(GMWQ!$NE$2:$NE$60=M$3)*(GMWQ!$ND$2:$ND$60=M$4)*(GMWQ!$NF$2:$NF$60=M$1),0),$E127-1966)</f>
        <v>301081</v>
      </c>
      <c r="N127" s="13" cm="1">
        <f t="array" ref="N127">INDEX(GMWQ!$A$2:$NF$60,MATCH(1,(GMWQ!$NE$2:$NE$60=N$3)*(GMWQ!$ND$2:$ND$60=N$4)*(GMWQ!$NF$2:$NF$60=N$1),0),$E127-1966)</f>
        <v>66.957589999999996</v>
      </c>
      <c r="O127" s="13" cm="1">
        <f t="array" ref="O127">INDEX(GMWQ!$A$2:$NF$60,MATCH(1,(GMWQ!$NE$2:$NE$60=O$3)*(GMWQ!$ND$2:$ND$60=O$4)*(GMWQ!$NF$2:$NF$60=O$1),0),$E127-1966)</f>
        <v>28099</v>
      </c>
      <c r="P127" s="13" cm="1">
        <f t="array" ref="P127">INDEX(GMWQ!$A$2:$NF$60,MATCH(1,(GMWQ!$NE$2:$NE$60=P$3)*(GMWQ!$ND$2:$ND$60=P$4)*(GMWQ!$NF$2:$NF$60=P$1),0),$E127-1966)</f>
        <v>28099</v>
      </c>
      <c r="Q127" s="13" cm="1">
        <f t="array" ref="Q127">INDEX(GMWQ!$A$2:$NF$60,MATCH(1,(GMWQ!$NE$2:$NE$60=Q$3)*(GMWQ!$ND$2:$ND$60=Q$4)*(GMWQ!$NF$2:$NF$60=Q$1),0),$E127-1966)</f>
        <v>28099</v>
      </c>
    </row>
    <row r="128" spans="1:17" x14ac:dyDescent="0.25">
      <c r="B128" s="13">
        <f t="shared" si="11"/>
        <v>2003</v>
      </c>
      <c r="C128" s="13">
        <f t="shared" si="11"/>
        <v>2003</v>
      </c>
      <c r="E128" s="13">
        <f t="shared" si="10"/>
        <v>2094</v>
      </c>
      <c r="F128" s="13" cm="1">
        <f t="array" ref="F128">INDEX(GMWQ!$A$2:$NF$60,MATCH(1,(GMWQ!$NE$2:$NE$60=F$3)*(GMWQ!$ND$2:$ND$60=F$4)*(GMWQ!$NF$2:$NF$60=F$1),0),$E128-1966)</f>
        <v>83.920559999999995</v>
      </c>
      <c r="G128" s="13" cm="1">
        <f t="array" ref="G128">INDEX(GMWQ!$A$2:$NF$60,MATCH(1,(GMWQ!$NE$2:$NE$60=G$3)*(GMWQ!$ND$2:$ND$60=G$4)*(GMWQ!$NF$2:$NF$60=G$1),0),$E128-1966)</f>
        <v>11989</v>
      </c>
      <c r="H128" s="13" cm="1">
        <f t="array" ref="H128">INDEX(GMWQ!$A$2:$NF$60,MATCH(1,(GMWQ!$NE$2:$NE$60=H$3)*(GMWQ!$ND$2:$ND$60=H$4)*(GMWQ!$NF$2:$NF$60=H$1),0),$E128-1966)</f>
        <v>348</v>
      </c>
      <c r="I128" s="13" cm="1">
        <f t="array" ref="I128">INDEX(GMWQ!$A$2:$NF$60,MATCH(1,(GMWQ!$NE$2:$NE$60=I$3)*(GMWQ!$ND$2:$ND$60=I$4)*(GMWQ!$NF$2:$NF$60=I$1),0),$E128-1966)</f>
        <v>70002</v>
      </c>
      <c r="J128" s="13" cm="1">
        <f t="array" ref="J128">INDEX(GMWQ!$A$2:$NF$60,MATCH(1,(GMWQ!$NE$2:$NE$60=J$3)*(GMWQ!$ND$2:$ND$60=J$4)*(GMWQ!$NF$2:$NF$60=J$1),0),$E128-1966)</f>
        <v>312948</v>
      </c>
      <c r="K128" s="13" cm="1">
        <f t="array" ref="K128">INDEX(GMWQ!$A$2:$NF$60,MATCH(1,(GMWQ!$NE$2:$NE$60=K$3)*(GMWQ!$ND$2:$ND$60=K$4)*(GMWQ!$NF$2:$NF$60=K$1),0),$E128-1966)</f>
        <v>129189</v>
      </c>
      <c r="L128" s="13" cm="1">
        <f t="array" ref="L128">INDEX(GMWQ!$A$2:$NF$60,MATCH(1,(GMWQ!$NE$2:$NE$60=L$3)*(GMWQ!$ND$2:$ND$60=L$4)*(GMWQ!$NF$2:$NF$60=L$1),0),$E128-1966)</f>
        <v>201618</v>
      </c>
      <c r="M128" s="13" cm="1">
        <f t="array" ref="M128">INDEX(GMWQ!$A$2:$NF$60,MATCH(1,(GMWQ!$NE$2:$NE$60=M$3)*(GMWQ!$ND$2:$ND$60=M$4)*(GMWQ!$NF$2:$NF$60=M$1),0),$E128-1966)</f>
        <v>302934</v>
      </c>
      <c r="N128" s="13" cm="1">
        <f t="array" ref="N128">INDEX(GMWQ!$A$2:$NF$60,MATCH(1,(GMWQ!$NE$2:$NE$60=N$3)*(GMWQ!$ND$2:$ND$60=N$4)*(GMWQ!$NF$2:$NF$60=N$1),0),$E128-1966)</f>
        <v>66.95881</v>
      </c>
      <c r="O128" s="13" cm="1">
        <f t="array" ref="O128">INDEX(GMWQ!$A$2:$NF$60,MATCH(1,(GMWQ!$NE$2:$NE$60=O$3)*(GMWQ!$ND$2:$ND$60=O$4)*(GMWQ!$NF$2:$NF$60=O$1),0),$E128-1966)</f>
        <v>28226</v>
      </c>
      <c r="P128" s="13" cm="1">
        <f t="array" ref="P128">INDEX(GMWQ!$A$2:$NF$60,MATCH(1,(GMWQ!$NE$2:$NE$60=P$3)*(GMWQ!$ND$2:$ND$60=P$4)*(GMWQ!$NF$2:$NF$60=P$1),0),$E128-1966)</f>
        <v>28226</v>
      </c>
      <c r="Q128" s="13" cm="1">
        <f t="array" ref="Q128">INDEX(GMWQ!$A$2:$NF$60,MATCH(1,(GMWQ!$NE$2:$NE$60=Q$3)*(GMWQ!$ND$2:$ND$60=Q$4)*(GMWQ!$NF$2:$NF$60=Q$1),0),$E128-1966)</f>
        <v>28226</v>
      </c>
    </row>
    <row r="129" spans="1:17" x14ac:dyDescent="0.25">
      <c r="B129" s="13">
        <f t="shared" si="11"/>
        <v>2003</v>
      </c>
      <c r="C129" s="13">
        <f t="shared" si="11"/>
        <v>2003</v>
      </c>
      <c r="E129" s="13">
        <f t="shared" si="10"/>
        <v>2095</v>
      </c>
      <c r="F129" s="13" cm="1">
        <f t="array" ref="F129">INDEX(GMWQ!$A$2:$NF$60,MATCH(1,(GMWQ!$NE$2:$NE$60=F$3)*(GMWQ!$ND$2:$ND$60=F$4)*(GMWQ!$NF$2:$NF$60=F$1),0),$E129-1966)</f>
        <v>85.274410000000003</v>
      </c>
      <c r="G129" s="13" cm="1">
        <f t="array" ref="G129">INDEX(GMWQ!$A$2:$NF$60,MATCH(1,(GMWQ!$NE$2:$NE$60=G$3)*(GMWQ!$ND$2:$ND$60=G$4)*(GMWQ!$NF$2:$NF$60=G$1),0),$E129-1966)</f>
        <v>12409</v>
      </c>
      <c r="H129" s="13" cm="1">
        <f t="array" ref="H129">INDEX(GMWQ!$A$2:$NF$60,MATCH(1,(GMWQ!$NE$2:$NE$60=H$3)*(GMWQ!$ND$2:$ND$60=H$4)*(GMWQ!$NF$2:$NF$60=H$1),0),$E129-1966)</f>
        <v>352.66669999999999</v>
      </c>
      <c r="I129" s="13" cm="1">
        <f t="array" ref="I129">INDEX(GMWQ!$A$2:$NF$60,MATCH(1,(GMWQ!$NE$2:$NE$60=I$3)*(GMWQ!$ND$2:$ND$60=I$4)*(GMWQ!$NF$2:$NF$60=I$1),0),$E129-1966)</f>
        <v>71030</v>
      </c>
      <c r="J129" s="13" cm="1">
        <f t="array" ref="J129">INDEX(GMWQ!$A$2:$NF$60,MATCH(1,(GMWQ!$NE$2:$NE$60=J$3)*(GMWQ!$ND$2:$ND$60=J$4)*(GMWQ!$NF$2:$NF$60=J$1),0),$E129-1966)</f>
        <v>317463</v>
      </c>
      <c r="K129" s="13" cm="1">
        <f t="array" ref="K129">INDEX(GMWQ!$A$2:$NF$60,MATCH(1,(GMWQ!$NE$2:$NE$60=K$3)*(GMWQ!$ND$2:$ND$60=K$4)*(GMWQ!$NF$2:$NF$60=K$1),0),$E129-1966)</f>
        <v>131275</v>
      </c>
      <c r="L129" s="13" cm="1">
        <f t="array" ref="L129">INDEX(GMWQ!$A$2:$NF$60,MATCH(1,(GMWQ!$NE$2:$NE$60=L$3)*(GMWQ!$ND$2:$ND$60=L$4)*(GMWQ!$NF$2:$NF$60=L$1),0),$E129-1966)</f>
        <v>204034</v>
      </c>
      <c r="M129" s="13" cm="1">
        <f t="array" ref="M129">INDEX(GMWQ!$A$2:$NF$60,MATCH(1,(GMWQ!$NE$2:$NE$60=M$3)*(GMWQ!$ND$2:$ND$60=M$4)*(GMWQ!$NF$2:$NF$60=M$1),0),$E129-1966)</f>
        <v>304444</v>
      </c>
      <c r="N129" s="13" cm="1">
        <f t="array" ref="N129">INDEX(GMWQ!$A$2:$NF$60,MATCH(1,(GMWQ!$NE$2:$NE$60=N$3)*(GMWQ!$ND$2:$ND$60=N$4)*(GMWQ!$NF$2:$NF$60=N$1),0),$E129-1966)</f>
        <v>67.432900000000004</v>
      </c>
      <c r="O129" s="13" cm="1">
        <f t="array" ref="O129">INDEX(GMWQ!$A$2:$NF$60,MATCH(1,(GMWQ!$NE$2:$NE$60=O$3)*(GMWQ!$ND$2:$ND$60=O$4)*(GMWQ!$NF$2:$NF$60=O$1),0),$E129-1966)</f>
        <v>28256</v>
      </c>
      <c r="P129" s="13" cm="1">
        <f t="array" ref="P129">INDEX(GMWQ!$A$2:$NF$60,MATCH(1,(GMWQ!$NE$2:$NE$60=P$3)*(GMWQ!$ND$2:$ND$60=P$4)*(GMWQ!$NF$2:$NF$60=P$1),0),$E129-1966)</f>
        <v>28256</v>
      </c>
      <c r="Q129" s="13" cm="1">
        <f t="array" ref="Q129">INDEX(GMWQ!$A$2:$NF$60,MATCH(1,(GMWQ!$NE$2:$NE$60=Q$3)*(GMWQ!$ND$2:$ND$60=Q$4)*(GMWQ!$NF$2:$NF$60=Q$1),0),$E129-1966)</f>
        <v>28256</v>
      </c>
    </row>
    <row r="130" spans="1:17" x14ac:dyDescent="0.25">
      <c r="B130" s="13">
        <f t="shared" si="11"/>
        <v>2003</v>
      </c>
      <c r="C130" s="13">
        <f t="shared" si="11"/>
        <v>2003</v>
      </c>
      <c r="E130" s="13">
        <f t="shared" si="10"/>
        <v>2096</v>
      </c>
      <c r="F130" s="13" cm="1">
        <f t="array" ref="F130">INDEX(GMWQ!$A$2:$NF$60,MATCH(1,(GMWQ!$NE$2:$NE$60=F$3)*(GMWQ!$ND$2:$ND$60=F$4)*(GMWQ!$NF$2:$NF$60=F$1),0),$E130-1966)</f>
        <v>85.869309999999999</v>
      </c>
      <c r="G130" s="13" cm="1">
        <f t="array" ref="G130">INDEX(GMWQ!$A$2:$NF$60,MATCH(1,(GMWQ!$NE$2:$NE$60=G$3)*(GMWQ!$ND$2:$ND$60=G$4)*(GMWQ!$NF$2:$NF$60=G$1),0),$E130-1966)</f>
        <v>12408</v>
      </c>
      <c r="H130" s="13" cm="1">
        <f t="array" ref="H130">INDEX(GMWQ!$A$2:$NF$60,MATCH(1,(GMWQ!$NE$2:$NE$60=H$3)*(GMWQ!$ND$2:$ND$60=H$4)*(GMWQ!$NF$2:$NF$60=H$1),0),$E130-1966)</f>
        <v>357</v>
      </c>
      <c r="I130" s="13" cm="1">
        <f t="array" ref="I130">INDEX(GMWQ!$A$2:$NF$60,MATCH(1,(GMWQ!$NE$2:$NE$60=I$3)*(GMWQ!$ND$2:$ND$60=I$4)*(GMWQ!$NF$2:$NF$60=I$1),0),$E130-1966)</f>
        <v>69510</v>
      </c>
      <c r="J130" s="13" cm="1">
        <f t="array" ref="J130">INDEX(GMWQ!$A$2:$NF$60,MATCH(1,(GMWQ!$NE$2:$NE$60=J$3)*(GMWQ!$ND$2:$ND$60=J$4)*(GMWQ!$NF$2:$NF$60=J$1),0),$E130-1966)</f>
        <v>320438</v>
      </c>
      <c r="K130" s="13" cm="1">
        <f t="array" ref="K130">INDEX(GMWQ!$A$2:$NF$60,MATCH(1,(GMWQ!$NE$2:$NE$60=K$3)*(GMWQ!$ND$2:$ND$60=K$4)*(GMWQ!$NF$2:$NF$60=K$1),0),$E130-1966)</f>
        <v>133492</v>
      </c>
      <c r="L130" s="13" cm="1">
        <f t="array" ref="L130">INDEX(GMWQ!$A$2:$NF$60,MATCH(1,(GMWQ!$NE$2:$NE$60=L$3)*(GMWQ!$ND$2:$ND$60=L$4)*(GMWQ!$NF$2:$NF$60=L$1),0),$E130-1966)</f>
        <v>207685</v>
      </c>
      <c r="M130" s="13" cm="1">
        <f t="array" ref="M130">INDEX(GMWQ!$A$2:$NF$60,MATCH(1,(GMWQ!$NE$2:$NE$60=M$3)*(GMWQ!$ND$2:$ND$60=M$4)*(GMWQ!$NF$2:$NF$60=M$1),0),$E130-1966)</f>
        <v>308695</v>
      </c>
      <c r="N130" s="13" cm="1">
        <f t="array" ref="N130">INDEX(GMWQ!$A$2:$NF$60,MATCH(1,(GMWQ!$NE$2:$NE$60=N$3)*(GMWQ!$ND$2:$ND$60=N$4)*(GMWQ!$NF$2:$NF$60=N$1),0),$E130-1966)</f>
        <v>67.700289999999995</v>
      </c>
      <c r="O130" s="13" cm="1">
        <f t="array" ref="O130">INDEX(GMWQ!$A$2:$NF$60,MATCH(1,(GMWQ!$NE$2:$NE$60=O$3)*(GMWQ!$ND$2:$ND$60=O$4)*(GMWQ!$NF$2:$NF$60=O$1),0),$E130-1966)</f>
        <v>28304</v>
      </c>
      <c r="P130" s="13" cm="1">
        <f t="array" ref="P130">INDEX(GMWQ!$A$2:$NF$60,MATCH(1,(GMWQ!$NE$2:$NE$60=P$3)*(GMWQ!$ND$2:$ND$60=P$4)*(GMWQ!$NF$2:$NF$60=P$1),0),$E130-1966)</f>
        <v>28304</v>
      </c>
      <c r="Q130" s="13" cm="1">
        <f t="array" ref="Q130">INDEX(GMWQ!$A$2:$NF$60,MATCH(1,(GMWQ!$NE$2:$NE$60=Q$3)*(GMWQ!$ND$2:$ND$60=Q$4)*(GMWQ!$NF$2:$NF$60=Q$1),0),$E130-1966)</f>
        <v>28304</v>
      </c>
    </row>
    <row r="131" spans="1:17" x14ac:dyDescent="0.25">
      <c r="A131" s="13">
        <v>2004</v>
      </c>
      <c r="B131" s="13">
        <f t="shared" si="11"/>
        <v>2004</v>
      </c>
      <c r="C131" s="13">
        <f t="shared" si="11"/>
        <v>2003</v>
      </c>
      <c r="D131" s="13">
        <f t="shared" si="11"/>
        <v>2003</v>
      </c>
      <c r="E131" s="13">
        <f t="shared" si="10"/>
        <v>2097</v>
      </c>
      <c r="F131" s="13" cm="1">
        <f t="array" ref="F131">INDEX(GMWQ!$A$2:$NF$60,MATCH(1,(GMWQ!$NE$2:$NE$60=F$3)*(GMWQ!$ND$2:$ND$60=F$4)*(GMWQ!$NF$2:$NF$60=F$1),0),$E131-1966)</f>
        <v>87.352059999999994</v>
      </c>
      <c r="G131" s="13" cm="1">
        <f t="array" ref="G131">INDEX(GMWQ!$A$2:$NF$60,MATCH(1,(GMWQ!$NE$2:$NE$60=G$3)*(GMWQ!$ND$2:$ND$60=G$4)*(GMWQ!$NF$2:$NF$60=G$1),0),$E131-1966)</f>
        <v>12662</v>
      </c>
      <c r="H131" s="13" cm="1">
        <f t="array" ref="H131">INDEX(GMWQ!$A$2:$NF$60,MATCH(1,(GMWQ!$NE$2:$NE$60=H$3)*(GMWQ!$ND$2:$ND$60=H$4)*(GMWQ!$NF$2:$NF$60=H$1),0),$E131-1966)</f>
        <v>359</v>
      </c>
      <c r="I131" s="13" cm="1">
        <f t="array" ref="I131">INDEX(GMWQ!$A$2:$NF$60,MATCH(1,(GMWQ!$NE$2:$NE$60=I$3)*(GMWQ!$ND$2:$ND$60=I$4)*(GMWQ!$NF$2:$NF$60=I$1),0),$E131-1966)</f>
        <v>66971</v>
      </c>
      <c r="J131" s="13" cm="1">
        <f t="array" ref="J131">INDEX(GMWQ!$A$2:$NF$60,MATCH(1,(GMWQ!$NE$2:$NE$60=J$3)*(GMWQ!$ND$2:$ND$60=J$4)*(GMWQ!$NF$2:$NF$60=J$1),0),$E131-1966)</f>
        <v>322778</v>
      </c>
      <c r="K131" s="13" cm="1">
        <f t="array" ref="K131">INDEX(GMWQ!$A$2:$NF$60,MATCH(1,(GMWQ!$NE$2:$NE$60=K$3)*(GMWQ!$ND$2:$ND$60=K$4)*(GMWQ!$NF$2:$NF$60=K$1),0),$E131-1966)</f>
        <v>135940</v>
      </c>
      <c r="L131" s="13" cm="1">
        <f t="array" ref="L131">INDEX(GMWQ!$A$2:$NF$60,MATCH(1,(GMWQ!$NE$2:$NE$60=L$3)*(GMWQ!$ND$2:$ND$60=L$4)*(GMWQ!$NF$2:$NF$60=L$1),0),$E131-1966)</f>
        <v>208995</v>
      </c>
      <c r="M131" s="13" cm="1">
        <f t="array" ref="M131">INDEX(GMWQ!$A$2:$NF$60,MATCH(1,(GMWQ!$NE$2:$NE$60=M$3)*(GMWQ!$ND$2:$ND$60=M$4)*(GMWQ!$NF$2:$NF$60=M$1),0),$E131-1966)</f>
        <v>309585</v>
      </c>
      <c r="N131" s="13" cm="1">
        <f t="array" ref="N131">INDEX(GMWQ!$A$2:$NF$60,MATCH(1,(GMWQ!$NE$2:$NE$60=N$3)*(GMWQ!$ND$2:$ND$60=N$4)*(GMWQ!$NF$2:$NF$60=N$1),0),$E131-1966)</f>
        <v>67.947680000000005</v>
      </c>
      <c r="O131" s="13" cm="1">
        <f t="array" ref="O131">INDEX(GMWQ!$A$2:$NF$60,MATCH(1,(GMWQ!$NE$2:$NE$60=O$3)*(GMWQ!$ND$2:$ND$60=O$4)*(GMWQ!$NF$2:$NF$60=O$1),0),$E131-1966)</f>
        <v>28459</v>
      </c>
      <c r="P131" s="13" cm="1">
        <f t="array" ref="P131">INDEX(GMWQ!$A$2:$NF$60,MATCH(1,(GMWQ!$NE$2:$NE$60=P$3)*(GMWQ!$ND$2:$ND$60=P$4)*(GMWQ!$NF$2:$NF$60=P$1),0),$E131-1966)</f>
        <v>28459</v>
      </c>
      <c r="Q131" s="13" cm="1">
        <f t="array" ref="Q131">INDEX(GMWQ!$A$2:$NF$60,MATCH(1,(GMWQ!$NE$2:$NE$60=Q$3)*(GMWQ!$ND$2:$ND$60=Q$4)*(GMWQ!$NF$2:$NF$60=Q$1),0),$E131-1966)</f>
        <v>28459</v>
      </c>
    </row>
    <row r="132" spans="1:17" x14ac:dyDescent="0.25">
      <c r="B132" s="13">
        <f t="shared" si="11"/>
        <v>2004</v>
      </c>
      <c r="C132" s="13">
        <f t="shared" si="11"/>
        <v>2004</v>
      </c>
      <c r="E132" s="13">
        <f t="shared" si="10"/>
        <v>2098</v>
      </c>
      <c r="F132" s="13" cm="1">
        <f t="array" ref="F132">INDEX(GMWQ!$A$2:$NF$60,MATCH(1,(GMWQ!$NE$2:$NE$60=F$3)*(GMWQ!$ND$2:$ND$60=F$4)*(GMWQ!$NF$2:$NF$60=F$1),0),$E132-1966)</f>
        <v>87.178790000000006</v>
      </c>
      <c r="G132" s="13" cm="1">
        <f t="array" ref="G132">INDEX(GMWQ!$A$2:$NF$60,MATCH(1,(GMWQ!$NE$2:$NE$60=G$3)*(GMWQ!$ND$2:$ND$60=G$4)*(GMWQ!$NF$2:$NF$60=G$1),0),$E132-1966)</f>
        <v>12920</v>
      </c>
      <c r="H132" s="13" cm="1">
        <f t="array" ref="H132">INDEX(GMWQ!$A$2:$NF$60,MATCH(1,(GMWQ!$NE$2:$NE$60=H$3)*(GMWQ!$ND$2:$ND$60=H$4)*(GMWQ!$NF$2:$NF$60=H$1),0),$E132-1966)</f>
        <v>363</v>
      </c>
      <c r="I132" s="13" cm="1">
        <f t="array" ref="I132">INDEX(GMWQ!$A$2:$NF$60,MATCH(1,(GMWQ!$NE$2:$NE$60=I$3)*(GMWQ!$ND$2:$ND$60=I$4)*(GMWQ!$NF$2:$NF$60=I$1),0),$E132-1966)</f>
        <v>72939</v>
      </c>
      <c r="J132" s="13" cm="1">
        <f t="array" ref="J132">INDEX(GMWQ!$A$2:$NF$60,MATCH(1,(GMWQ!$NE$2:$NE$60=J$3)*(GMWQ!$ND$2:$ND$60=J$4)*(GMWQ!$NF$2:$NF$60=J$1),0),$E132-1966)</f>
        <v>329732</v>
      </c>
      <c r="K132" s="13" cm="1">
        <f t="array" ref="K132">INDEX(GMWQ!$A$2:$NF$60,MATCH(1,(GMWQ!$NE$2:$NE$60=K$3)*(GMWQ!$ND$2:$ND$60=K$4)*(GMWQ!$NF$2:$NF$60=K$1),0),$E132-1966)</f>
        <v>136348</v>
      </c>
      <c r="L132" s="13" cm="1">
        <f t="array" ref="L132">INDEX(GMWQ!$A$2:$NF$60,MATCH(1,(GMWQ!$NE$2:$NE$60=L$3)*(GMWQ!$ND$2:$ND$60=L$4)*(GMWQ!$NF$2:$NF$60=L$1),0),$E132-1966)</f>
        <v>212236</v>
      </c>
      <c r="M132" s="13" cm="1">
        <f t="array" ref="M132">INDEX(GMWQ!$A$2:$NF$60,MATCH(1,(GMWQ!$NE$2:$NE$60=M$3)*(GMWQ!$ND$2:$ND$60=M$4)*(GMWQ!$NF$2:$NF$60=M$1),0),$E132-1966)</f>
        <v>312396</v>
      </c>
      <c r="N132" s="13" cm="1">
        <f t="array" ref="N132">INDEX(GMWQ!$A$2:$NF$60,MATCH(1,(GMWQ!$NE$2:$NE$60=N$3)*(GMWQ!$ND$2:$ND$60=N$4)*(GMWQ!$NF$2:$NF$60=N$1),0),$E132-1966)</f>
        <v>68.298940000000002</v>
      </c>
      <c r="O132" s="13" cm="1">
        <f t="array" ref="O132">INDEX(GMWQ!$A$2:$NF$60,MATCH(1,(GMWQ!$NE$2:$NE$60=O$3)*(GMWQ!$ND$2:$ND$60=O$4)*(GMWQ!$NF$2:$NF$60=O$1),0),$E132-1966)</f>
        <v>28470</v>
      </c>
      <c r="P132" s="13" cm="1">
        <f t="array" ref="P132">INDEX(GMWQ!$A$2:$NF$60,MATCH(1,(GMWQ!$NE$2:$NE$60=P$3)*(GMWQ!$ND$2:$ND$60=P$4)*(GMWQ!$NF$2:$NF$60=P$1),0),$E132-1966)</f>
        <v>28470</v>
      </c>
      <c r="Q132" s="13" cm="1">
        <f t="array" ref="Q132">INDEX(GMWQ!$A$2:$NF$60,MATCH(1,(GMWQ!$NE$2:$NE$60=Q$3)*(GMWQ!$ND$2:$ND$60=Q$4)*(GMWQ!$NF$2:$NF$60=Q$1),0),$E132-1966)</f>
        <v>28470</v>
      </c>
    </row>
    <row r="133" spans="1:17" x14ac:dyDescent="0.25">
      <c r="B133" s="13">
        <f t="shared" si="11"/>
        <v>2004</v>
      </c>
      <c r="C133" s="13">
        <f t="shared" si="11"/>
        <v>2004</v>
      </c>
      <c r="E133" s="13">
        <f t="shared" si="10"/>
        <v>2099</v>
      </c>
      <c r="F133" s="13" cm="1">
        <f t="array" ref="F133">INDEX(GMWQ!$A$2:$NF$60,MATCH(1,(GMWQ!$NE$2:$NE$60=F$3)*(GMWQ!$ND$2:$ND$60=F$4)*(GMWQ!$NF$2:$NF$60=F$1),0),$E133-1966)</f>
        <v>88.723380000000006</v>
      </c>
      <c r="G133" s="13" cm="1">
        <f t="array" ref="G133">INDEX(GMWQ!$A$2:$NF$60,MATCH(1,(GMWQ!$NE$2:$NE$60=G$3)*(GMWQ!$ND$2:$ND$60=G$4)*(GMWQ!$NF$2:$NF$60=G$1),0),$E133-1966)</f>
        <v>13279</v>
      </c>
      <c r="H133" s="13" cm="1">
        <f t="array" ref="H133">INDEX(GMWQ!$A$2:$NF$60,MATCH(1,(GMWQ!$NE$2:$NE$60=H$3)*(GMWQ!$ND$2:$ND$60=H$4)*(GMWQ!$NF$2:$NF$60=H$1),0),$E133-1966)</f>
        <v>367</v>
      </c>
      <c r="I133" s="13" cm="1">
        <f t="array" ref="I133">INDEX(GMWQ!$A$2:$NF$60,MATCH(1,(GMWQ!$NE$2:$NE$60=I$3)*(GMWQ!$ND$2:$ND$60=I$4)*(GMWQ!$NF$2:$NF$60=I$1),0),$E133-1966)</f>
        <v>71100</v>
      </c>
      <c r="J133" s="13" cm="1">
        <f t="array" ref="J133">INDEX(GMWQ!$A$2:$NF$60,MATCH(1,(GMWQ!$NE$2:$NE$60=J$3)*(GMWQ!$ND$2:$ND$60=J$4)*(GMWQ!$NF$2:$NF$60=J$1),0),$E133-1966)</f>
        <v>331592</v>
      </c>
      <c r="K133" s="13" cm="1">
        <f t="array" ref="K133">INDEX(GMWQ!$A$2:$NF$60,MATCH(1,(GMWQ!$NE$2:$NE$60=K$3)*(GMWQ!$ND$2:$ND$60=K$4)*(GMWQ!$NF$2:$NF$60=K$1),0),$E133-1966)</f>
        <v>139004</v>
      </c>
      <c r="L133" s="13" cm="1">
        <f t="array" ref="L133">INDEX(GMWQ!$A$2:$NF$60,MATCH(1,(GMWQ!$NE$2:$NE$60=L$3)*(GMWQ!$ND$2:$ND$60=L$4)*(GMWQ!$NF$2:$NF$60=L$1),0),$E133-1966)</f>
        <v>214798</v>
      </c>
      <c r="M133" s="13" cm="1">
        <f t="array" ref="M133">INDEX(GMWQ!$A$2:$NF$60,MATCH(1,(GMWQ!$NE$2:$NE$60=M$3)*(GMWQ!$ND$2:$ND$60=M$4)*(GMWQ!$NF$2:$NF$60=M$1),0),$E133-1966)</f>
        <v>314574</v>
      </c>
      <c r="N133" s="13" cm="1">
        <f t="array" ref="N133">INDEX(GMWQ!$A$2:$NF$60,MATCH(1,(GMWQ!$NE$2:$NE$60=N$3)*(GMWQ!$ND$2:$ND$60=N$4)*(GMWQ!$NF$2:$NF$60=N$1),0),$E133-1966)</f>
        <v>68.639510000000001</v>
      </c>
      <c r="O133" s="13" cm="1">
        <f t="array" ref="O133">INDEX(GMWQ!$A$2:$NF$60,MATCH(1,(GMWQ!$NE$2:$NE$60=O$3)*(GMWQ!$ND$2:$ND$60=O$4)*(GMWQ!$NF$2:$NF$60=O$1),0),$E133-1966)</f>
        <v>28518</v>
      </c>
      <c r="P133" s="13" cm="1">
        <f t="array" ref="P133">INDEX(GMWQ!$A$2:$NF$60,MATCH(1,(GMWQ!$NE$2:$NE$60=P$3)*(GMWQ!$ND$2:$ND$60=P$4)*(GMWQ!$NF$2:$NF$60=P$1),0),$E133-1966)</f>
        <v>28518</v>
      </c>
      <c r="Q133" s="13" cm="1">
        <f t="array" ref="Q133">INDEX(GMWQ!$A$2:$NF$60,MATCH(1,(GMWQ!$NE$2:$NE$60=Q$3)*(GMWQ!$ND$2:$ND$60=Q$4)*(GMWQ!$NF$2:$NF$60=Q$1),0),$E133-1966)</f>
        <v>28518</v>
      </c>
    </row>
    <row r="134" spans="1:17" x14ac:dyDescent="0.25">
      <c r="B134" s="13">
        <f t="shared" si="11"/>
        <v>2004</v>
      </c>
      <c r="C134" s="13">
        <f t="shared" si="11"/>
        <v>2004</v>
      </c>
      <c r="E134" s="13">
        <f t="shared" si="10"/>
        <v>2100</v>
      </c>
      <c r="F134" s="13" cm="1">
        <f t="array" ref="F134">INDEX(GMWQ!$A$2:$NF$60,MATCH(1,(GMWQ!$NE$2:$NE$60=F$3)*(GMWQ!$ND$2:$ND$60=F$4)*(GMWQ!$NF$2:$NF$60=F$1),0),$E134-1966)</f>
        <v>90.059650000000005</v>
      </c>
      <c r="G134" s="13" cm="1">
        <f t="array" ref="G134">INDEX(GMWQ!$A$2:$NF$60,MATCH(1,(GMWQ!$NE$2:$NE$60=G$3)*(GMWQ!$ND$2:$ND$60=G$4)*(GMWQ!$NF$2:$NF$60=G$1),0),$E134-1966)</f>
        <v>13669</v>
      </c>
      <c r="H134" s="13" cm="1">
        <f t="array" ref="H134">INDEX(GMWQ!$A$2:$NF$60,MATCH(1,(GMWQ!$NE$2:$NE$60=H$3)*(GMWQ!$ND$2:$ND$60=H$4)*(GMWQ!$NF$2:$NF$60=H$1),0),$E134-1966)</f>
        <v>372.33330000000001</v>
      </c>
      <c r="I134" s="13" cm="1">
        <f t="array" ref="I134">INDEX(GMWQ!$A$2:$NF$60,MATCH(1,(GMWQ!$NE$2:$NE$60=I$3)*(GMWQ!$ND$2:$ND$60=I$4)*(GMWQ!$NF$2:$NF$60=I$1),0),$E134-1966)</f>
        <v>73776</v>
      </c>
      <c r="J134" s="13" cm="1">
        <f t="array" ref="J134">INDEX(GMWQ!$A$2:$NF$60,MATCH(1,(GMWQ!$NE$2:$NE$60=J$3)*(GMWQ!$ND$2:$ND$60=J$4)*(GMWQ!$NF$2:$NF$60=J$1),0),$E134-1966)</f>
        <v>338535</v>
      </c>
      <c r="K134" s="13" cm="1">
        <f t="array" ref="K134">INDEX(GMWQ!$A$2:$NF$60,MATCH(1,(GMWQ!$NE$2:$NE$60=K$3)*(GMWQ!$ND$2:$ND$60=K$4)*(GMWQ!$NF$2:$NF$60=K$1),0),$E134-1966)</f>
        <v>141394</v>
      </c>
      <c r="L134" s="13" cm="1">
        <f t="array" ref="L134">INDEX(GMWQ!$A$2:$NF$60,MATCH(1,(GMWQ!$NE$2:$NE$60=L$3)*(GMWQ!$ND$2:$ND$60=L$4)*(GMWQ!$NF$2:$NF$60=L$1),0),$E134-1966)</f>
        <v>216771</v>
      </c>
      <c r="M134" s="13" cm="1">
        <f t="array" ref="M134">INDEX(GMWQ!$A$2:$NF$60,MATCH(1,(GMWQ!$NE$2:$NE$60=M$3)*(GMWQ!$ND$2:$ND$60=M$4)*(GMWQ!$NF$2:$NF$60=M$1),0),$E134-1966)</f>
        <v>315137</v>
      </c>
      <c r="N134" s="13" cm="1">
        <f t="array" ref="N134">INDEX(GMWQ!$A$2:$NF$60,MATCH(1,(GMWQ!$NE$2:$NE$60=N$3)*(GMWQ!$ND$2:$ND$60=N$4)*(GMWQ!$NF$2:$NF$60=N$1),0),$E134-1966)</f>
        <v>69.152760000000001</v>
      </c>
      <c r="O134" s="13" cm="1">
        <f t="array" ref="O134">INDEX(GMWQ!$A$2:$NF$60,MATCH(1,(GMWQ!$NE$2:$NE$60=O$3)*(GMWQ!$ND$2:$ND$60=O$4)*(GMWQ!$NF$2:$NF$60=O$1),0),$E134-1966)</f>
        <v>28673</v>
      </c>
      <c r="P134" s="13" cm="1">
        <f t="array" ref="P134">INDEX(GMWQ!$A$2:$NF$60,MATCH(1,(GMWQ!$NE$2:$NE$60=P$3)*(GMWQ!$ND$2:$ND$60=P$4)*(GMWQ!$NF$2:$NF$60=P$1),0),$E134-1966)</f>
        <v>28673</v>
      </c>
      <c r="Q134" s="13" cm="1">
        <f t="array" ref="Q134">INDEX(GMWQ!$A$2:$NF$60,MATCH(1,(GMWQ!$NE$2:$NE$60=Q$3)*(GMWQ!$ND$2:$ND$60=Q$4)*(GMWQ!$NF$2:$NF$60=Q$1),0),$E134-1966)</f>
        <v>28673</v>
      </c>
    </row>
    <row r="135" spans="1:17" x14ac:dyDescent="0.25">
      <c r="A135" s="13">
        <v>2005</v>
      </c>
      <c r="B135" s="13">
        <f t="shared" si="11"/>
        <v>2005</v>
      </c>
      <c r="C135" s="13">
        <f t="shared" si="11"/>
        <v>2004</v>
      </c>
      <c r="D135" s="13">
        <f t="shared" si="11"/>
        <v>2004</v>
      </c>
      <c r="E135" s="13">
        <f t="shared" si="10"/>
        <v>2101</v>
      </c>
      <c r="F135" s="13" cm="1">
        <f t="array" ref="F135">INDEX(GMWQ!$A$2:$NF$60,MATCH(1,(GMWQ!$NE$2:$NE$60=F$3)*(GMWQ!$ND$2:$ND$60=F$4)*(GMWQ!$NF$2:$NF$60=F$1),0),$E135-1966)</f>
        <v>91.265820000000005</v>
      </c>
      <c r="G135" s="13" cm="1">
        <f t="array" ref="G135">INDEX(GMWQ!$A$2:$NF$60,MATCH(1,(GMWQ!$NE$2:$NE$60=G$3)*(GMWQ!$ND$2:$ND$60=G$4)*(GMWQ!$NF$2:$NF$60=G$1),0),$E135-1966)</f>
        <v>13668</v>
      </c>
      <c r="H135" s="13" cm="1">
        <f t="array" ref="H135">INDEX(GMWQ!$A$2:$NF$60,MATCH(1,(GMWQ!$NE$2:$NE$60=H$3)*(GMWQ!$ND$2:$ND$60=H$4)*(GMWQ!$NF$2:$NF$60=H$1),0),$E135-1966)</f>
        <v>375.33330000000001</v>
      </c>
      <c r="I135" s="13" cm="1">
        <f t="array" ref="I135">INDEX(GMWQ!$A$2:$NF$60,MATCH(1,(GMWQ!$NE$2:$NE$60=I$3)*(GMWQ!$ND$2:$ND$60=I$4)*(GMWQ!$NF$2:$NF$60=I$1),0),$E135-1966)</f>
        <v>72678</v>
      </c>
      <c r="J135" s="13" cm="1">
        <f t="array" ref="J135">INDEX(GMWQ!$A$2:$NF$60,MATCH(1,(GMWQ!$NE$2:$NE$60=J$3)*(GMWQ!$ND$2:$ND$60=J$4)*(GMWQ!$NF$2:$NF$60=J$1),0),$E135-1966)</f>
        <v>341254</v>
      </c>
      <c r="K135" s="13" cm="1">
        <f t="array" ref="K135">INDEX(GMWQ!$A$2:$NF$60,MATCH(1,(GMWQ!$NE$2:$NE$60=K$3)*(GMWQ!$ND$2:$ND$60=K$4)*(GMWQ!$NF$2:$NF$60=K$1),0),$E135-1966)</f>
        <v>144176</v>
      </c>
      <c r="L135" s="13" cm="1">
        <f t="array" ref="L135">INDEX(GMWQ!$A$2:$NF$60,MATCH(1,(GMWQ!$NE$2:$NE$60=L$3)*(GMWQ!$ND$2:$ND$60=L$4)*(GMWQ!$NF$2:$NF$60=L$1),0),$E135-1966)</f>
        <v>218799</v>
      </c>
      <c r="M135" s="13" cm="1">
        <f t="array" ref="M135">INDEX(GMWQ!$A$2:$NF$60,MATCH(1,(GMWQ!$NE$2:$NE$60=M$3)*(GMWQ!$ND$2:$ND$60=M$4)*(GMWQ!$NF$2:$NF$60=M$1),0),$E135-1966)</f>
        <v>317057</v>
      </c>
      <c r="N135" s="13" cm="1">
        <f t="array" ref="N135">INDEX(GMWQ!$A$2:$NF$60,MATCH(1,(GMWQ!$NE$2:$NE$60=N$3)*(GMWQ!$ND$2:$ND$60=N$4)*(GMWQ!$NF$2:$NF$60=N$1),0),$E135-1966)</f>
        <v>69.367230000000006</v>
      </c>
      <c r="O135" s="13" cm="1">
        <f t="array" ref="O135">INDEX(GMWQ!$A$2:$NF$60,MATCH(1,(GMWQ!$NE$2:$NE$60=O$3)*(GMWQ!$ND$2:$ND$60=O$4)*(GMWQ!$NF$2:$NF$60=O$1),0),$E135-1966)</f>
        <v>28789</v>
      </c>
      <c r="P135" s="13" cm="1">
        <f t="array" ref="P135">INDEX(GMWQ!$A$2:$NF$60,MATCH(1,(GMWQ!$NE$2:$NE$60=P$3)*(GMWQ!$ND$2:$ND$60=P$4)*(GMWQ!$NF$2:$NF$60=P$1),0),$E135-1966)</f>
        <v>28789</v>
      </c>
      <c r="Q135" s="13" cm="1">
        <f t="array" ref="Q135">INDEX(GMWQ!$A$2:$NF$60,MATCH(1,(GMWQ!$NE$2:$NE$60=Q$3)*(GMWQ!$ND$2:$ND$60=Q$4)*(GMWQ!$NF$2:$NF$60=Q$1),0),$E135-1966)</f>
        <v>28789</v>
      </c>
    </row>
    <row r="136" spans="1:17" x14ac:dyDescent="0.25">
      <c r="B136" s="13">
        <f t="shared" si="11"/>
        <v>2005</v>
      </c>
      <c r="C136" s="13">
        <f t="shared" si="11"/>
        <v>2005</v>
      </c>
      <c r="E136" s="13">
        <f t="shared" si="10"/>
        <v>2102</v>
      </c>
      <c r="F136" s="13" cm="1">
        <f t="array" ref="F136">INDEX(GMWQ!$A$2:$NF$60,MATCH(1,(GMWQ!$NE$2:$NE$60=F$3)*(GMWQ!$ND$2:$ND$60=F$4)*(GMWQ!$NF$2:$NF$60=F$1),0),$E136-1966)</f>
        <v>90.49091</v>
      </c>
      <c r="G136" s="13" cm="1">
        <f t="array" ref="G136">INDEX(GMWQ!$A$2:$NF$60,MATCH(1,(GMWQ!$NE$2:$NE$60=G$3)*(GMWQ!$ND$2:$ND$60=G$4)*(GMWQ!$NF$2:$NF$60=G$1),0),$E136-1966)</f>
        <v>14205</v>
      </c>
      <c r="H136" s="13" cm="1">
        <f t="array" ref="H136">INDEX(GMWQ!$A$2:$NF$60,MATCH(1,(GMWQ!$NE$2:$NE$60=H$3)*(GMWQ!$ND$2:$ND$60=H$4)*(GMWQ!$NF$2:$NF$60=H$1),0),$E136-1966)</f>
        <v>379.66669999999999</v>
      </c>
      <c r="I136" s="13" cm="1">
        <f t="array" ref="I136">INDEX(GMWQ!$A$2:$NF$60,MATCH(1,(GMWQ!$NE$2:$NE$60=I$3)*(GMWQ!$ND$2:$ND$60=I$4)*(GMWQ!$NF$2:$NF$60=I$1),0),$E136-1966)</f>
        <v>78380</v>
      </c>
      <c r="J136" s="13" cm="1">
        <f t="array" ref="J136">INDEX(GMWQ!$A$2:$NF$60,MATCH(1,(GMWQ!$NE$2:$NE$60=J$3)*(GMWQ!$ND$2:$ND$60=J$4)*(GMWQ!$NF$2:$NF$60=J$1),0),$E136-1966)</f>
        <v>348491</v>
      </c>
      <c r="K136" s="13" cm="1">
        <f t="array" ref="K136">INDEX(GMWQ!$A$2:$NF$60,MATCH(1,(GMWQ!$NE$2:$NE$60=K$3)*(GMWQ!$ND$2:$ND$60=K$4)*(GMWQ!$NF$2:$NF$60=K$1),0),$E136-1966)</f>
        <v>143428</v>
      </c>
      <c r="L136" s="13" cm="1">
        <f t="array" ref="L136">INDEX(GMWQ!$A$2:$NF$60,MATCH(1,(GMWQ!$NE$2:$NE$60=L$3)*(GMWQ!$ND$2:$ND$60=L$4)*(GMWQ!$NF$2:$NF$60=L$1),0),$E136-1966)</f>
        <v>221465</v>
      </c>
      <c r="M136" s="13" cm="1">
        <f t="array" ref="M136">INDEX(GMWQ!$A$2:$NF$60,MATCH(1,(GMWQ!$NE$2:$NE$60=M$3)*(GMWQ!$ND$2:$ND$60=M$4)*(GMWQ!$NF$2:$NF$60=M$1),0),$E136-1966)</f>
        <v>320657</v>
      </c>
      <c r="N136" s="13" cm="1">
        <f t="array" ref="N136">INDEX(GMWQ!$A$2:$NF$60,MATCH(1,(GMWQ!$NE$2:$NE$60=N$3)*(GMWQ!$ND$2:$ND$60=N$4)*(GMWQ!$NF$2:$NF$60=N$1),0),$E136-1966)</f>
        <v>69.342179999999999</v>
      </c>
      <c r="O136" s="13" cm="1">
        <f t="array" ref="O136">INDEX(GMWQ!$A$2:$NF$60,MATCH(1,(GMWQ!$NE$2:$NE$60=O$3)*(GMWQ!$ND$2:$ND$60=O$4)*(GMWQ!$NF$2:$NF$60=O$1),0),$E136-1966)</f>
        <v>28802</v>
      </c>
      <c r="P136" s="13" cm="1">
        <f t="array" ref="P136">INDEX(GMWQ!$A$2:$NF$60,MATCH(1,(GMWQ!$NE$2:$NE$60=P$3)*(GMWQ!$ND$2:$ND$60=P$4)*(GMWQ!$NF$2:$NF$60=P$1),0),$E136-1966)</f>
        <v>28802</v>
      </c>
      <c r="Q136" s="13" cm="1">
        <f t="array" ref="Q136">INDEX(GMWQ!$A$2:$NF$60,MATCH(1,(GMWQ!$NE$2:$NE$60=Q$3)*(GMWQ!$ND$2:$ND$60=Q$4)*(GMWQ!$NF$2:$NF$60=Q$1),0),$E136-1966)</f>
        <v>28802</v>
      </c>
    </row>
    <row r="137" spans="1:17" x14ac:dyDescent="0.25">
      <c r="B137" s="13">
        <f t="shared" si="11"/>
        <v>2005</v>
      </c>
      <c r="C137" s="13">
        <f t="shared" si="11"/>
        <v>2005</v>
      </c>
      <c r="E137" s="13">
        <f t="shared" si="10"/>
        <v>2103</v>
      </c>
      <c r="F137" s="13" cm="1">
        <f t="array" ref="F137">INDEX(GMWQ!$A$2:$NF$60,MATCH(1,(GMWQ!$NE$2:$NE$60=F$3)*(GMWQ!$ND$2:$ND$60=F$4)*(GMWQ!$NF$2:$NF$60=F$1),0),$E137-1966)</f>
        <v>91.347210000000004</v>
      </c>
      <c r="G137" s="13" cm="1">
        <f t="array" ref="G137">INDEX(GMWQ!$A$2:$NF$60,MATCH(1,(GMWQ!$NE$2:$NE$60=G$3)*(GMWQ!$ND$2:$ND$60=G$4)*(GMWQ!$NF$2:$NF$60=G$1),0),$E137-1966)</f>
        <v>14681</v>
      </c>
      <c r="H137" s="13" cm="1">
        <f t="array" ref="H137">INDEX(GMWQ!$A$2:$NF$60,MATCH(1,(GMWQ!$NE$2:$NE$60=H$3)*(GMWQ!$ND$2:$ND$60=H$4)*(GMWQ!$NF$2:$NF$60=H$1),0),$E137-1966)</f>
        <v>385.33330000000001</v>
      </c>
      <c r="I137" s="13" cm="1">
        <f t="array" ref="I137">INDEX(GMWQ!$A$2:$NF$60,MATCH(1,(GMWQ!$NE$2:$NE$60=I$3)*(GMWQ!$ND$2:$ND$60=I$4)*(GMWQ!$NF$2:$NF$60=I$1),0),$E137-1966)</f>
        <v>77251</v>
      </c>
      <c r="J137" s="13" cm="1">
        <f t="array" ref="J137">INDEX(GMWQ!$A$2:$NF$60,MATCH(1,(GMWQ!$NE$2:$NE$60=J$3)*(GMWQ!$ND$2:$ND$60=J$4)*(GMWQ!$NF$2:$NF$60=J$1),0),$E137-1966)</f>
        <v>352001</v>
      </c>
      <c r="K137" s="13" cm="1">
        <f t="array" ref="K137">INDEX(GMWQ!$A$2:$NF$60,MATCH(1,(GMWQ!$NE$2:$NE$60=K$3)*(GMWQ!$ND$2:$ND$60=K$4)*(GMWQ!$NF$2:$NF$60=K$1),0),$E137-1966)</f>
        <v>145595</v>
      </c>
      <c r="L137" s="13" cm="1">
        <f t="array" ref="L137">INDEX(GMWQ!$A$2:$NF$60,MATCH(1,(GMWQ!$NE$2:$NE$60=L$3)*(GMWQ!$ND$2:$ND$60=L$4)*(GMWQ!$NF$2:$NF$60=L$1),0),$E137-1966)</f>
        <v>224312</v>
      </c>
      <c r="M137" s="13" cm="1">
        <f t="array" ref="M137">INDEX(GMWQ!$A$2:$NF$60,MATCH(1,(GMWQ!$NE$2:$NE$60=M$3)*(GMWQ!$ND$2:$ND$60=M$4)*(GMWQ!$NF$2:$NF$60=M$1),0),$E137-1966)</f>
        <v>322465</v>
      </c>
      <c r="N137" s="13" cm="1">
        <f t="array" ref="N137">INDEX(GMWQ!$A$2:$NF$60,MATCH(1,(GMWQ!$NE$2:$NE$60=N$3)*(GMWQ!$ND$2:$ND$60=N$4)*(GMWQ!$NF$2:$NF$60=N$1),0),$E137-1966)</f>
        <v>69.850290000000001</v>
      </c>
      <c r="O137" s="13" cm="1">
        <f t="array" ref="O137">INDEX(GMWQ!$A$2:$NF$60,MATCH(1,(GMWQ!$NE$2:$NE$60=O$3)*(GMWQ!$ND$2:$ND$60=O$4)*(GMWQ!$NF$2:$NF$60=O$1),0),$E137-1966)</f>
        <v>28928</v>
      </c>
      <c r="P137" s="13" cm="1">
        <f t="array" ref="P137">INDEX(GMWQ!$A$2:$NF$60,MATCH(1,(GMWQ!$NE$2:$NE$60=P$3)*(GMWQ!$ND$2:$ND$60=P$4)*(GMWQ!$NF$2:$NF$60=P$1),0),$E137-1966)</f>
        <v>28928</v>
      </c>
      <c r="Q137" s="13" cm="1">
        <f t="array" ref="Q137">INDEX(GMWQ!$A$2:$NF$60,MATCH(1,(GMWQ!$NE$2:$NE$60=Q$3)*(GMWQ!$ND$2:$ND$60=Q$4)*(GMWQ!$NF$2:$NF$60=Q$1),0),$E137-1966)</f>
        <v>28928</v>
      </c>
    </row>
    <row r="138" spans="1:17" x14ac:dyDescent="0.25">
      <c r="B138" s="13">
        <f t="shared" si="11"/>
        <v>2005</v>
      </c>
      <c r="C138" s="13">
        <f t="shared" si="11"/>
        <v>2005</v>
      </c>
      <c r="E138" s="13">
        <f t="shared" si="10"/>
        <v>2104</v>
      </c>
      <c r="F138" s="13" cm="1">
        <f t="array" ref="F138">INDEX(GMWQ!$A$2:$NF$60,MATCH(1,(GMWQ!$NE$2:$NE$60=F$3)*(GMWQ!$ND$2:$ND$60=F$4)*(GMWQ!$NF$2:$NF$60=F$1),0),$E138-1966)</f>
        <v>90.819419999999994</v>
      </c>
      <c r="G138" s="13" cm="1">
        <f t="array" ref="G138">INDEX(GMWQ!$A$2:$NF$60,MATCH(1,(GMWQ!$NE$2:$NE$60=G$3)*(GMWQ!$ND$2:$ND$60=G$4)*(GMWQ!$NF$2:$NF$60=G$1),0),$E138-1966)</f>
        <v>14643</v>
      </c>
      <c r="H138" s="13" cm="1">
        <f t="array" ref="H138">INDEX(GMWQ!$A$2:$NF$60,MATCH(1,(GMWQ!$NE$2:$NE$60=H$3)*(GMWQ!$ND$2:$ND$60=H$4)*(GMWQ!$NF$2:$NF$60=H$1),0),$E138-1966)</f>
        <v>389.33330000000001</v>
      </c>
      <c r="I138" s="13" cm="1">
        <f t="array" ref="I138">INDEX(GMWQ!$A$2:$NF$60,MATCH(1,(GMWQ!$NE$2:$NE$60=I$3)*(GMWQ!$ND$2:$ND$60=I$4)*(GMWQ!$NF$2:$NF$60=I$1),0),$E138-1966)</f>
        <v>81107</v>
      </c>
      <c r="J138" s="13" cm="1">
        <f t="array" ref="J138">INDEX(GMWQ!$A$2:$NF$60,MATCH(1,(GMWQ!$NE$2:$NE$60=J$3)*(GMWQ!$ND$2:$ND$60=J$4)*(GMWQ!$NF$2:$NF$60=J$1),0),$E138-1966)</f>
        <v>357003</v>
      </c>
      <c r="K138" s="13" cm="1">
        <f t="array" ref="K138">INDEX(GMWQ!$A$2:$NF$60,MATCH(1,(GMWQ!$NE$2:$NE$60=K$3)*(GMWQ!$ND$2:$ND$60=K$4)*(GMWQ!$NF$2:$NF$60=K$1),0),$E138-1966)</f>
        <v>145226</v>
      </c>
      <c r="L138" s="13" cm="1">
        <f t="array" ref="L138">INDEX(GMWQ!$A$2:$NF$60,MATCH(1,(GMWQ!$NE$2:$NE$60=L$3)*(GMWQ!$ND$2:$ND$60=L$4)*(GMWQ!$NF$2:$NF$60=L$1),0),$E138-1966)</f>
        <v>226448</v>
      </c>
      <c r="M138" s="13" cm="1">
        <f t="array" ref="M138">INDEX(GMWQ!$A$2:$NF$60,MATCH(1,(GMWQ!$NE$2:$NE$60=M$3)*(GMWQ!$ND$2:$ND$60=M$4)*(GMWQ!$NF$2:$NF$60=M$1),0),$E138-1966)</f>
        <v>322562</v>
      </c>
      <c r="N138" s="13" cm="1">
        <f t="array" ref="N138">INDEX(GMWQ!$A$2:$NF$60,MATCH(1,(GMWQ!$NE$2:$NE$60=N$3)*(GMWQ!$ND$2:$ND$60=N$4)*(GMWQ!$NF$2:$NF$60=N$1),0),$E138-1966)</f>
        <v>70.488200000000006</v>
      </c>
      <c r="O138" s="13" cm="1">
        <f t="array" ref="O138">INDEX(GMWQ!$A$2:$NF$60,MATCH(1,(GMWQ!$NE$2:$NE$60=O$3)*(GMWQ!$ND$2:$ND$60=O$4)*(GMWQ!$NF$2:$NF$60=O$1),0),$E138-1966)</f>
        <v>28880</v>
      </c>
      <c r="P138" s="13" cm="1">
        <f t="array" ref="P138">INDEX(GMWQ!$A$2:$NF$60,MATCH(1,(GMWQ!$NE$2:$NE$60=P$3)*(GMWQ!$ND$2:$ND$60=P$4)*(GMWQ!$NF$2:$NF$60=P$1),0),$E138-1966)</f>
        <v>28880</v>
      </c>
      <c r="Q138" s="13" cm="1">
        <f t="array" ref="Q138">INDEX(GMWQ!$A$2:$NF$60,MATCH(1,(GMWQ!$NE$2:$NE$60=Q$3)*(GMWQ!$ND$2:$ND$60=Q$4)*(GMWQ!$NF$2:$NF$60=Q$1),0),$E138-1966)</f>
        <v>28880</v>
      </c>
    </row>
    <row r="139" spans="1:17" x14ac:dyDescent="0.25">
      <c r="A139" s="13">
        <v>2006</v>
      </c>
      <c r="B139" s="13">
        <f t="shared" si="11"/>
        <v>2006</v>
      </c>
      <c r="C139" s="13">
        <f t="shared" si="11"/>
        <v>2005</v>
      </c>
      <c r="D139" s="13">
        <f t="shared" si="11"/>
        <v>2005</v>
      </c>
      <c r="E139" s="13">
        <f t="shared" si="10"/>
        <v>2105</v>
      </c>
      <c r="F139" s="13" cm="1">
        <f t="array" ref="F139">INDEX(GMWQ!$A$2:$NF$60,MATCH(1,(GMWQ!$NE$2:$NE$60=F$3)*(GMWQ!$ND$2:$ND$60=F$4)*(GMWQ!$NF$2:$NF$60=F$1),0),$E139-1966)</f>
        <v>93.32159</v>
      </c>
      <c r="G139" s="13" cm="1">
        <f t="array" ref="G139">INDEX(GMWQ!$A$2:$NF$60,MATCH(1,(GMWQ!$NE$2:$NE$60=G$3)*(GMWQ!$ND$2:$ND$60=G$4)*(GMWQ!$NF$2:$NF$60=G$1),0),$E139-1966)</f>
        <v>14713</v>
      </c>
      <c r="H139" s="13" cm="1">
        <f t="array" ref="H139">INDEX(GMWQ!$A$2:$NF$60,MATCH(1,(GMWQ!$NE$2:$NE$60=H$3)*(GMWQ!$ND$2:$ND$60=H$4)*(GMWQ!$NF$2:$NF$60=H$1),0),$E139-1966)</f>
        <v>393.66669999999999</v>
      </c>
      <c r="I139" s="13" cm="1">
        <f t="array" ref="I139">INDEX(GMWQ!$A$2:$NF$60,MATCH(1,(GMWQ!$NE$2:$NE$60=I$3)*(GMWQ!$ND$2:$ND$60=I$4)*(GMWQ!$NF$2:$NF$60=I$1),0),$E139-1966)</f>
        <v>76934</v>
      </c>
      <c r="J139" s="13" cm="1">
        <f t="array" ref="J139">INDEX(GMWQ!$A$2:$NF$60,MATCH(1,(GMWQ!$NE$2:$NE$60=J$3)*(GMWQ!$ND$2:$ND$60=J$4)*(GMWQ!$NF$2:$NF$60=J$1),0),$E139-1966)</f>
        <v>361213</v>
      </c>
      <c r="K139" s="13" cm="1">
        <f t="array" ref="K139">INDEX(GMWQ!$A$2:$NF$60,MATCH(1,(GMWQ!$NE$2:$NE$60=K$3)*(GMWQ!$ND$2:$ND$60=K$4)*(GMWQ!$NF$2:$NF$60=K$1),0),$E139-1966)</f>
        <v>150695</v>
      </c>
      <c r="L139" s="13" cm="1">
        <f t="array" ref="L139">INDEX(GMWQ!$A$2:$NF$60,MATCH(1,(GMWQ!$NE$2:$NE$60=L$3)*(GMWQ!$ND$2:$ND$60=L$4)*(GMWQ!$NF$2:$NF$60=L$1),0),$E139-1966)</f>
        <v>229729</v>
      </c>
      <c r="M139" s="13" cm="1">
        <f t="array" ref="M139">INDEX(GMWQ!$A$2:$NF$60,MATCH(1,(GMWQ!$NE$2:$NE$60=M$3)*(GMWQ!$ND$2:$ND$60=M$4)*(GMWQ!$NF$2:$NF$60=M$1),0),$E139-1966)</f>
        <v>325138</v>
      </c>
      <c r="N139" s="13" cm="1">
        <f t="array" ref="N139">INDEX(GMWQ!$A$2:$NF$60,MATCH(1,(GMWQ!$NE$2:$NE$60=N$3)*(GMWQ!$ND$2:$ND$60=N$4)*(GMWQ!$NF$2:$NF$60=N$1),0),$E139-1966)</f>
        <v>70.940950000000001</v>
      </c>
      <c r="O139" s="13" cm="1">
        <f t="array" ref="O139">INDEX(GMWQ!$A$2:$NF$60,MATCH(1,(GMWQ!$NE$2:$NE$60=O$3)*(GMWQ!$ND$2:$ND$60=O$4)*(GMWQ!$NF$2:$NF$60=O$1),0),$E139-1966)</f>
        <v>29048</v>
      </c>
      <c r="P139" s="13" cm="1">
        <f t="array" ref="P139">INDEX(GMWQ!$A$2:$NF$60,MATCH(1,(GMWQ!$NE$2:$NE$60=P$3)*(GMWQ!$ND$2:$ND$60=P$4)*(GMWQ!$NF$2:$NF$60=P$1),0),$E139-1966)</f>
        <v>29048</v>
      </c>
      <c r="Q139" s="13" cm="1">
        <f t="array" ref="Q139">INDEX(GMWQ!$A$2:$NF$60,MATCH(1,(GMWQ!$NE$2:$NE$60=Q$3)*(GMWQ!$ND$2:$ND$60=Q$4)*(GMWQ!$NF$2:$NF$60=Q$1),0),$E139-1966)</f>
        <v>29048</v>
      </c>
    </row>
    <row r="140" spans="1:17" x14ac:dyDescent="0.25">
      <c r="B140" s="13">
        <f t="shared" ref="B140:D155" si="12">+B136+1</f>
        <v>2006</v>
      </c>
      <c r="C140" s="13">
        <f t="shared" si="12"/>
        <v>2006</v>
      </c>
      <c r="E140" s="13">
        <f t="shared" si="10"/>
        <v>2106</v>
      </c>
      <c r="F140" s="13" cm="1">
        <f t="array" ref="F140">INDEX(GMWQ!$A$2:$NF$60,MATCH(1,(GMWQ!$NE$2:$NE$60=F$3)*(GMWQ!$ND$2:$ND$60=F$4)*(GMWQ!$NF$2:$NF$60=F$1),0),$E140-1966)</f>
        <v>92.744410000000002</v>
      </c>
      <c r="G140" s="13" cm="1">
        <f t="array" ref="G140">INDEX(GMWQ!$A$2:$NF$60,MATCH(1,(GMWQ!$NE$2:$NE$60=G$3)*(GMWQ!$ND$2:$ND$60=G$4)*(GMWQ!$NF$2:$NF$60=G$1),0),$E140-1966)</f>
        <v>14863</v>
      </c>
      <c r="H140" s="13" cm="1">
        <f t="array" ref="H140">INDEX(GMWQ!$A$2:$NF$60,MATCH(1,(GMWQ!$NE$2:$NE$60=H$3)*(GMWQ!$ND$2:$ND$60=H$4)*(GMWQ!$NF$2:$NF$60=H$1),0),$E140-1966)</f>
        <v>397.66669999999999</v>
      </c>
      <c r="I140" s="13" cm="1">
        <f t="array" ref="I140">INDEX(GMWQ!$A$2:$NF$60,MATCH(1,(GMWQ!$NE$2:$NE$60=I$3)*(GMWQ!$ND$2:$ND$60=I$4)*(GMWQ!$NF$2:$NF$60=I$1),0),$E140-1966)</f>
        <v>83060</v>
      </c>
      <c r="J140" s="13" cm="1">
        <f t="array" ref="J140">INDEX(GMWQ!$A$2:$NF$60,MATCH(1,(GMWQ!$NE$2:$NE$60=J$3)*(GMWQ!$ND$2:$ND$60=J$4)*(GMWQ!$NF$2:$NF$60=J$1),0),$E140-1966)</f>
        <v>367042</v>
      </c>
      <c r="K140" s="13" cm="1">
        <f t="array" ref="K140">INDEX(GMWQ!$A$2:$NF$60,MATCH(1,(GMWQ!$NE$2:$NE$60=K$3)*(GMWQ!$ND$2:$ND$60=K$4)*(GMWQ!$NF$2:$NF$60=K$1),0),$E140-1966)</f>
        <v>151290</v>
      </c>
      <c r="L140" s="13" cm="1">
        <f t="array" ref="L140">INDEX(GMWQ!$A$2:$NF$60,MATCH(1,(GMWQ!$NE$2:$NE$60=L$3)*(GMWQ!$ND$2:$ND$60=L$4)*(GMWQ!$NF$2:$NF$60=L$1),0),$E140-1966)</f>
        <v>231892</v>
      </c>
      <c r="M140" s="13" cm="1">
        <f t="array" ref="M140">INDEX(GMWQ!$A$2:$NF$60,MATCH(1,(GMWQ!$NE$2:$NE$60=M$3)*(GMWQ!$ND$2:$ND$60=M$4)*(GMWQ!$NF$2:$NF$60=M$1),0),$E140-1966)</f>
        <v>323889</v>
      </c>
      <c r="N140" s="13" cm="1">
        <f t="array" ref="N140">INDEX(GMWQ!$A$2:$NF$60,MATCH(1,(GMWQ!$NE$2:$NE$60=N$3)*(GMWQ!$ND$2:$ND$60=N$4)*(GMWQ!$NF$2:$NF$60=N$1),0),$E140-1966)</f>
        <v>71.759450000000001</v>
      </c>
      <c r="O140" s="13" cm="1">
        <f t="array" ref="O140">INDEX(GMWQ!$A$2:$NF$60,MATCH(1,(GMWQ!$NE$2:$NE$60=O$3)*(GMWQ!$ND$2:$ND$60=O$4)*(GMWQ!$NF$2:$NF$60=O$1),0),$E140-1966)</f>
        <v>29106</v>
      </c>
      <c r="P140" s="13" cm="1">
        <f t="array" ref="P140">INDEX(GMWQ!$A$2:$NF$60,MATCH(1,(GMWQ!$NE$2:$NE$60=P$3)*(GMWQ!$ND$2:$ND$60=P$4)*(GMWQ!$NF$2:$NF$60=P$1),0),$E140-1966)</f>
        <v>29106</v>
      </c>
      <c r="Q140" s="13" cm="1">
        <f t="array" ref="Q140">INDEX(GMWQ!$A$2:$NF$60,MATCH(1,(GMWQ!$NE$2:$NE$60=Q$3)*(GMWQ!$ND$2:$ND$60=Q$4)*(GMWQ!$NF$2:$NF$60=Q$1),0),$E140-1966)</f>
        <v>29106</v>
      </c>
    </row>
    <row r="141" spans="1:17" x14ac:dyDescent="0.25">
      <c r="B141" s="13">
        <f t="shared" si="12"/>
        <v>2006</v>
      </c>
      <c r="C141" s="13">
        <f t="shared" si="12"/>
        <v>2006</v>
      </c>
      <c r="E141" s="13">
        <f t="shared" si="10"/>
        <v>2107</v>
      </c>
      <c r="F141" s="13" cm="1">
        <f t="array" ref="F141">INDEX(GMWQ!$A$2:$NF$60,MATCH(1,(GMWQ!$NE$2:$NE$60=F$3)*(GMWQ!$ND$2:$ND$60=F$4)*(GMWQ!$NF$2:$NF$60=F$1),0),$E141-1966)</f>
        <v>93.980130000000003</v>
      </c>
      <c r="G141" s="13" cm="1">
        <f t="array" ref="G141">INDEX(GMWQ!$A$2:$NF$60,MATCH(1,(GMWQ!$NE$2:$NE$60=G$3)*(GMWQ!$ND$2:$ND$60=G$4)*(GMWQ!$NF$2:$NF$60=G$1),0),$E141-1966)</f>
        <v>15292</v>
      </c>
      <c r="H141" s="13" cm="1">
        <f t="array" ref="H141">INDEX(GMWQ!$A$2:$NF$60,MATCH(1,(GMWQ!$NE$2:$NE$60=H$3)*(GMWQ!$ND$2:$ND$60=H$4)*(GMWQ!$NF$2:$NF$60=H$1),0),$E141-1966)</f>
        <v>401.33330000000001</v>
      </c>
      <c r="I141" s="13" cm="1">
        <f t="array" ref="I141">INDEX(GMWQ!$A$2:$NF$60,MATCH(1,(GMWQ!$NE$2:$NE$60=I$3)*(GMWQ!$ND$2:$ND$60=I$4)*(GMWQ!$NF$2:$NF$60=I$1),0),$E141-1966)</f>
        <v>82467</v>
      </c>
      <c r="J141" s="13" cm="1">
        <f t="array" ref="J141">INDEX(GMWQ!$A$2:$NF$60,MATCH(1,(GMWQ!$NE$2:$NE$60=J$3)*(GMWQ!$ND$2:$ND$60=J$4)*(GMWQ!$NF$2:$NF$60=J$1),0),$E141-1966)</f>
        <v>370883</v>
      </c>
      <c r="K141" s="13" cm="1">
        <f t="array" ref="K141">INDEX(GMWQ!$A$2:$NF$60,MATCH(1,(GMWQ!$NE$2:$NE$60=K$3)*(GMWQ!$ND$2:$ND$60=K$4)*(GMWQ!$NF$2:$NF$60=K$1),0),$E141-1966)</f>
        <v>152963</v>
      </c>
      <c r="L141" s="13" cm="1">
        <f t="array" ref="L141">INDEX(GMWQ!$A$2:$NF$60,MATCH(1,(GMWQ!$NE$2:$NE$60=L$3)*(GMWQ!$ND$2:$ND$60=L$4)*(GMWQ!$NF$2:$NF$60=L$1),0),$E141-1966)</f>
        <v>236075</v>
      </c>
      <c r="M141" s="13" cm="1">
        <f t="array" ref="M141">INDEX(GMWQ!$A$2:$NF$60,MATCH(1,(GMWQ!$NE$2:$NE$60=M$3)*(GMWQ!$ND$2:$ND$60=M$4)*(GMWQ!$NF$2:$NF$60=M$1),0),$E141-1966)</f>
        <v>327580</v>
      </c>
      <c r="N141" s="13" cm="1">
        <f t="array" ref="N141">INDEX(GMWQ!$A$2:$NF$60,MATCH(1,(GMWQ!$NE$2:$NE$60=N$3)*(GMWQ!$ND$2:$ND$60=N$4)*(GMWQ!$NF$2:$NF$60=N$1),0),$E141-1966)</f>
        <v>72.252660000000006</v>
      </c>
      <c r="O141" s="13" cm="1">
        <f t="array" ref="O141">INDEX(GMWQ!$A$2:$NF$60,MATCH(1,(GMWQ!$NE$2:$NE$60=O$3)*(GMWQ!$ND$2:$ND$60=O$4)*(GMWQ!$NF$2:$NF$60=O$1),0),$E141-1966)</f>
        <v>29183</v>
      </c>
      <c r="P141" s="13" cm="1">
        <f t="array" ref="P141">INDEX(GMWQ!$A$2:$NF$60,MATCH(1,(GMWQ!$NE$2:$NE$60=P$3)*(GMWQ!$ND$2:$ND$60=P$4)*(GMWQ!$NF$2:$NF$60=P$1),0),$E141-1966)</f>
        <v>29183</v>
      </c>
      <c r="Q141" s="13" cm="1">
        <f t="array" ref="Q141">INDEX(GMWQ!$A$2:$NF$60,MATCH(1,(GMWQ!$NE$2:$NE$60=Q$3)*(GMWQ!$ND$2:$ND$60=Q$4)*(GMWQ!$NF$2:$NF$60=Q$1),0),$E141-1966)</f>
        <v>29183</v>
      </c>
    </row>
    <row r="142" spans="1:17" x14ac:dyDescent="0.25">
      <c r="B142" s="13">
        <f t="shared" si="12"/>
        <v>2006</v>
      </c>
      <c r="C142" s="13">
        <f t="shared" si="12"/>
        <v>2006</v>
      </c>
      <c r="E142" s="13">
        <f t="shared" si="10"/>
        <v>2108</v>
      </c>
      <c r="F142" s="13" cm="1">
        <f t="array" ref="F142">INDEX(GMWQ!$A$2:$NF$60,MATCH(1,(GMWQ!$NE$2:$NE$60=F$3)*(GMWQ!$ND$2:$ND$60=F$4)*(GMWQ!$NF$2:$NF$60=F$1),0),$E142-1966)</f>
        <v>95.982370000000003</v>
      </c>
      <c r="G142" s="13" cm="1">
        <f t="array" ref="G142">INDEX(GMWQ!$A$2:$NF$60,MATCH(1,(GMWQ!$NE$2:$NE$60=G$3)*(GMWQ!$ND$2:$ND$60=G$4)*(GMWQ!$NF$2:$NF$60=G$1),0),$E142-1966)</f>
        <v>15652</v>
      </c>
      <c r="H142" s="13" cm="1">
        <f t="array" ref="H142">INDEX(GMWQ!$A$2:$NF$60,MATCH(1,(GMWQ!$NE$2:$NE$60=H$3)*(GMWQ!$ND$2:$ND$60=H$4)*(GMWQ!$NF$2:$NF$60=H$1),0),$E142-1966)</f>
        <v>408</v>
      </c>
      <c r="I142" s="13" cm="1">
        <f t="array" ref="I142">INDEX(GMWQ!$A$2:$NF$60,MATCH(1,(GMWQ!$NE$2:$NE$60=I$3)*(GMWQ!$ND$2:$ND$60=I$4)*(GMWQ!$NF$2:$NF$60=I$1),0),$E142-1966)</f>
        <v>78146</v>
      </c>
      <c r="J142" s="13" cm="1">
        <f t="array" ref="J142">INDEX(GMWQ!$A$2:$NF$60,MATCH(1,(GMWQ!$NE$2:$NE$60=J$3)*(GMWQ!$ND$2:$ND$60=J$4)*(GMWQ!$NF$2:$NF$60=J$1),0),$E142-1966)</f>
        <v>372900</v>
      </c>
      <c r="K142" s="13" cm="1">
        <f t="array" ref="K142">INDEX(GMWQ!$A$2:$NF$60,MATCH(1,(GMWQ!$NE$2:$NE$60=K$3)*(GMWQ!$ND$2:$ND$60=K$4)*(GMWQ!$NF$2:$NF$60=K$1),0),$E142-1966)</f>
        <v>155495</v>
      </c>
      <c r="L142" s="13" cm="1">
        <f t="array" ref="L142">INDEX(GMWQ!$A$2:$NF$60,MATCH(1,(GMWQ!$NE$2:$NE$60=L$3)*(GMWQ!$ND$2:$ND$60=L$4)*(GMWQ!$NF$2:$NF$60=L$1),0),$E142-1966)</f>
        <v>237463</v>
      </c>
      <c r="M142" s="13" cm="1">
        <f t="array" ref="M142">INDEX(GMWQ!$A$2:$NF$60,MATCH(1,(GMWQ!$NE$2:$NE$60=M$3)*(GMWQ!$ND$2:$ND$60=M$4)*(GMWQ!$NF$2:$NF$60=M$1),0),$E142-1966)</f>
        <v>328682</v>
      </c>
      <c r="N142" s="13" cm="1">
        <f t="array" ref="N142">INDEX(GMWQ!$A$2:$NF$60,MATCH(1,(GMWQ!$NE$2:$NE$60=N$3)*(GMWQ!$ND$2:$ND$60=N$4)*(GMWQ!$NF$2:$NF$60=N$1),0),$E142-1966)</f>
        <v>72.382469999999998</v>
      </c>
      <c r="O142" s="13" cm="1">
        <f t="array" ref="O142">INDEX(GMWQ!$A$2:$NF$60,MATCH(1,(GMWQ!$NE$2:$NE$60=O$3)*(GMWQ!$ND$2:$ND$60=O$4)*(GMWQ!$NF$2:$NF$60=O$1),0),$E142-1966)</f>
        <v>29214</v>
      </c>
      <c r="P142" s="13" cm="1">
        <f t="array" ref="P142">INDEX(GMWQ!$A$2:$NF$60,MATCH(1,(GMWQ!$NE$2:$NE$60=P$3)*(GMWQ!$ND$2:$ND$60=P$4)*(GMWQ!$NF$2:$NF$60=P$1),0),$E142-1966)</f>
        <v>29214</v>
      </c>
      <c r="Q142" s="13" cm="1">
        <f t="array" ref="Q142">INDEX(GMWQ!$A$2:$NF$60,MATCH(1,(GMWQ!$NE$2:$NE$60=Q$3)*(GMWQ!$ND$2:$ND$60=Q$4)*(GMWQ!$NF$2:$NF$60=Q$1),0),$E142-1966)</f>
        <v>29214</v>
      </c>
    </row>
    <row r="143" spans="1:17" x14ac:dyDescent="0.25">
      <c r="A143" s="13">
        <v>2007</v>
      </c>
      <c r="B143" s="13">
        <f t="shared" si="12"/>
        <v>2007</v>
      </c>
      <c r="C143" s="13">
        <f t="shared" si="12"/>
        <v>2006</v>
      </c>
      <c r="D143" s="13">
        <f t="shared" si="12"/>
        <v>2006</v>
      </c>
      <c r="E143" s="13">
        <f t="shared" si="10"/>
        <v>2109</v>
      </c>
      <c r="F143" s="13" cm="1">
        <f t="array" ref="F143">INDEX(GMWQ!$A$2:$NF$60,MATCH(1,(GMWQ!$NE$2:$NE$60=F$3)*(GMWQ!$ND$2:$ND$60=F$4)*(GMWQ!$NF$2:$NF$60=F$1),0),$E143-1966)</f>
        <v>97.296390000000002</v>
      </c>
      <c r="G143" s="13" cm="1">
        <f t="array" ref="G143">INDEX(GMWQ!$A$2:$NF$60,MATCH(1,(GMWQ!$NE$2:$NE$60=G$3)*(GMWQ!$ND$2:$ND$60=G$4)*(GMWQ!$NF$2:$NF$60=G$1),0),$E143-1966)</f>
        <v>15661</v>
      </c>
      <c r="H143" s="13" cm="1">
        <f t="array" ref="H143">INDEX(GMWQ!$A$2:$NF$60,MATCH(1,(GMWQ!$NE$2:$NE$60=H$3)*(GMWQ!$ND$2:$ND$60=H$4)*(GMWQ!$NF$2:$NF$60=H$1),0),$E143-1966)</f>
        <v>417</v>
      </c>
      <c r="I143" s="13" cm="1">
        <f t="array" ref="I143">INDEX(GMWQ!$A$2:$NF$60,MATCH(1,(GMWQ!$NE$2:$NE$60=I$3)*(GMWQ!$ND$2:$ND$60=I$4)*(GMWQ!$NF$2:$NF$60=I$1),0),$E143-1966)</f>
        <v>76454</v>
      </c>
      <c r="J143" s="13" cm="1">
        <f t="array" ref="J143">INDEX(GMWQ!$A$2:$NF$60,MATCH(1,(GMWQ!$NE$2:$NE$60=J$3)*(GMWQ!$ND$2:$ND$60=J$4)*(GMWQ!$NF$2:$NF$60=J$1),0),$E143-1966)</f>
        <v>376958</v>
      </c>
      <c r="K143" s="13" cm="1">
        <f t="array" ref="K143">INDEX(GMWQ!$A$2:$NF$60,MATCH(1,(GMWQ!$NE$2:$NE$60=K$3)*(GMWQ!$ND$2:$ND$60=K$4)*(GMWQ!$NF$2:$NF$60=K$1),0),$E143-1966)</f>
        <v>161456</v>
      </c>
      <c r="L143" s="13" cm="1">
        <f t="array" ref="L143">INDEX(GMWQ!$A$2:$NF$60,MATCH(1,(GMWQ!$NE$2:$NE$60=L$3)*(GMWQ!$ND$2:$ND$60=L$4)*(GMWQ!$NF$2:$NF$60=L$1),0),$E143-1966)</f>
        <v>243111</v>
      </c>
      <c r="M143" s="13" cm="1">
        <f t="array" ref="M143">INDEX(GMWQ!$A$2:$NF$60,MATCH(1,(GMWQ!$NE$2:$NE$60=M$3)*(GMWQ!$ND$2:$ND$60=M$4)*(GMWQ!$NF$2:$NF$60=M$1),0),$E143-1966)</f>
        <v>339067</v>
      </c>
      <c r="N143" s="13" cm="1">
        <f t="array" ref="N143">INDEX(GMWQ!$A$2:$NF$60,MATCH(1,(GMWQ!$NE$2:$NE$60=N$3)*(GMWQ!$ND$2:$ND$60=N$4)*(GMWQ!$NF$2:$NF$60=N$1),0),$E143-1966)</f>
        <v>71.805189999999996</v>
      </c>
      <c r="O143" s="13" cm="1">
        <f t="array" ref="O143">INDEX(GMWQ!$A$2:$NF$60,MATCH(1,(GMWQ!$NE$2:$NE$60=O$3)*(GMWQ!$ND$2:$ND$60=O$4)*(GMWQ!$NF$2:$NF$60=O$1),0),$E143-1966)</f>
        <v>29194</v>
      </c>
      <c r="P143" s="13" cm="1">
        <f t="array" ref="P143">INDEX(GMWQ!$A$2:$NF$60,MATCH(1,(GMWQ!$NE$2:$NE$60=P$3)*(GMWQ!$ND$2:$ND$60=P$4)*(GMWQ!$NF$2:$NF$60=P$1),0),$E143-1966)</f>
        <v>29194</v>
      </c>
      <c r="Q143" s="13" cm="1">
        <f t="array" ref="Q143">INDEX(GMWQ!$A$2:$NF$60,MATCH(1,(GMWQ!$NE$2:$NE$60=Q$3)*(GMWQ!$ND$2:$ND$60=Q$4)*(GMWQ!$NF$2:$NF$60=Q$1),0),$E143-1966)</f>
        <v>29194</v>
      </c>
    </row>
    <row r="144" spans="1:17" x14ac:dyDescent="0.25">
      <c r="B144" s="13">
        <f t="shared" si="12"/>
        <v>2007</v>
      </c>
      <c r="C144" s="13">
        <f t="shared" si="12"/>
        <v>2007</v>
      </c>
      <c r="E144" s="13">
        <f t="shared" si="10"/>
        <v>2110</v>
      </c>
      <c r="F144" s="13" cm="1">
        <f t="array" ref="F144">INDEX(GMWQ!$A$2:$NF$60,MATCH(1,(GMWQ!$NE$2:$NE$60=F$3)*(GMWQ!$ND$2:$ND$60=F$4)*(GMWQ!$NF$2:$NF$60=F$1),0),$E144-1966)</f>
        <v>97.197559999999996</v>
      </c>
      <c r="G144" s="13" cm="1">
        <f t="array" ref="G144">INDEX(GMWQ!$A$2:$NF$60,MATCH(1,(GMWQ!$NE$2:$NE$60=G$3)*(GMWQ!$ND$2:$ND$60=G$4)*(GMWQ!$NF$2:$NF$60=G$1),0),$E144-1966)</f>
        <v>16295</v>
      </c>
      <c r="H144" s="13" cm="1">
        <f t="array" ref="H144">INDEX(GMWQ!$A$2:$NF$60,MATCH(1,(GMWQ!$NE$2:$NE$60=H$3)*(GMWQ!$ND$2:$ND$60=H$4)*(GMWQ!$NF$2:$NF$60=H$1),0),$E144-1966)</f>
        <v>415.33330000000001</v>
      </c>
      <c r="I144" s="13" cm="1">
        <f t="array" ref="I144">INDEX(GMWQ!$A$2:$NF$60,MATCH(1,(GMWQ!$NE$2:$NE$60=I$3)*(GMWQ!$ND$2:$ND$60=I$4)*(GMWQ!$NF$2:$NF$60=I$1),0),$E144-1966)</f>
        <v>84643</v>
      </c>
      <c r="J144" s="13" cm="1">
        <f t="array" ref="J144">INDEX(GMWQ!$A$2:$NF$60,MATCH(1,(GMWQ!$NE$2:$NE$60=J$3)*(GMWQ!$ND$2:$ND$60=J$4)*(GMWQ!$NF$2:$NF$60=J$1),0),$E144-1966)</f>
        <v>386144</v>
      </c>
      <c r="K144" s="13" cm="1">
        <f t="array" ref="K144">INDEX(GMWQ!$A$2:$NF$60,MATCH(1,(GMWQ!$NE$2:$NE$60=K$3)*(GMWQ!$ND$2:$ND$60=K$4)*(GMWQ!$NF$2:$NF$60=K$1),0),$E144-1966)</f>
        <v>160452</v>
      </c>
      <c r="L144" s="13" cm="1">
        <f t="array" ref="L144">INDEX(GMWQ!$A$2:$NF$60,MATCH(1,(GMWQ!$NE$2:$NE$60=L$3)*(GMWQ!$ND$2:$ND$60=L$4)*(GMWQ!$NF$2:$NF$60=L$1),0),$E144-1966)</f>
        <v>244614</v>
      </c>
      <c r="M144" s="13" cm="1">
        <f t="array" ref="M144">INDEX(GMWQ!$A$2:$NF$60,MATCH(1,(GMWQ!$NE$2:$NE$60=M$3)*(GMWQ!$ND$2:$ND$60=M$4)*(GMWQ!$NF$2:$NF$60=M$1),0),$E144-1966)</f>
        <v>336009</v>
      </c>
      <c r="N144" s="13" cm="1">
        <f t="array" ref="N144">INDEX(GMWQ!$A$2:$NF$60,MATCH(1,(GMWQ!$NE$2:$NE$60=N$3)*(GMWQ!$ND$2:$ND$60=N$4)*(GMWQ!$NF$2:$NF$60=N$1),0),$E144-1966)</f>
        <v>72.88503</v>
      </c>
      <c r="O144" s="13" cm="1">
        <f t="array" ref="O144">INDEX(GMWQ!$A$2:$NF$60,MATCH(1,(GMWQ!$NE$2:$NE$60=O$3)*(GMWQ!$ND$2:$ND$60=O$4)*(GMWQ!$NF$2:$NF$60=O$1),0),$E144-1966)</f>
        <v>29322</v>
      </c>
      <c r="P144" s="13" cm="1">
        <f t="array" ref="P144">INDEX(GMWQ!$A$2:$NF$60,MATCH(1,(GMWQ!$NE$2:$NE$60=P$3)*(GMWQ!$ND$2:$ND$60=P$4)*(GMWQ!$NF$2:$NF$60=P$1),0),$E144-1966)</f>
        <v>29322</v>
      </c>
      <c r="Q144" s="13" cm="1">
        <f t="array" ref="Q144">INDEX(GMWQ!$A$2:$NF$60,MATCH(1,(GMWQ!$NE$2:$NE$60=Q$3)*(GMWQ!$ND$2:$ND$60=Q$4)*(GMWQ!$NF$2:$NF$60=Q$1),0),$E144-1966)</f>
        <v>29322</v>
      </c>
    </row>
    <row r="145" spans="1:17" x14ac:dyDescent="0.25">
      <c r="B145" s="13">
        <f t="shared" si="12"/>
        <v>2007</v>
      </c>
      <c r="C145" s="13">
        <f t="shared" si="12"/>
        <v>2007</v>
      </c>
      <c r="E145" s="13">
        <f t="shared" si="10"/>
        <v>2111</v>
      </c>
      <c r="F145" s="13" cm="1">
        <f t="array" ref="F145">INDEX(GMWQ!$A$2:$NF$60,MATCH(1,(GMWQ!$NE$2:$NE$60=F$3)*(GMWQ!$ND$2:$ND$60=F$4)*(GMWQ!$NF$2:$NF$60=F$1),0),$E145-1966)</f>
        <v>98.634910000000005</v>
      </c>
      <c r="G145" s="13" cm="1">
        <f t="array" ref="G145">INDEX(GMWQ!$A$2:$NF$60,MATCH(1,(GMWQ!$NE$2:$NE$60=G$3)*(GMWQ!$ND$2:$ND$60=G$4)*(GMWQ!$NF$2:$NF$60=G$1),0),$E145-1966)</f>
        <v>16680</v>
      </c>
      <c r="H145" s="13" cm="1">
        <f t="array" ref="H145">INDEX(GMWQ!$A$2:$NF$60,MATCH(1,(GMWQ!$NE$2:$NE$60=H$3)*(GMWQ!$ND$2:$ND$60=H$4)*(GMWQ!$NF$2:$NF$60=H$1),0),$E145-1966)</f>
        <v>422</v>
      </c>
      <c r="I145" s="13" cm="1">
        <f t="array" ref="I145">INDEX(GMWQ!$A$2:$NF$60,MATCH(1,(GMWQ!$NE$2:$NE$60=I$3)*(GMWQ!$ND$2:$ND$60=I$4)*(GMWQ!$NF$2:$NF$60=I$1),0),$E145-1966)</f>
        <v>82980</v>
      </c>
      <c r="J145" s="13" cm="1">
        <f t="array" ref="J145">INDEX(GMWQ!$A$2:$NF$60,MATCH(1,(GMWQ!$NE$2:$NE$60=J$3)*(GMWQ!$ND$2:$ND$60=J$4)*(GMWQ!$NF$2:$NF$60=J$1),0),$E145-1966)</f>
        <v>389291</v>
      </c>
      <c r="K145" s="13" cm="1">
        <f t="array" ref="K145">INDEX(GMWQ!$A$2:$NF$60,MATCH(1,(GMWQ!$NE$2:$NE$60=K$3)*(GMWQ!$ND$2:$ND$60=K$4)*(GMWQ!$NF$2:$NF$60=K$1),0),$E145-1966)</f>
        <v>164131</v>
      </c>
      <c r="L145" s="13" cm="1">
        <f t="array" ref="L145">INDEX(GMWQ!$A$2:$NF$60,MATCH(1,(GMWQ!$NE$2:$NE$60=L$3)*(GMWQ!$ND$2:$ND$60=L$4)*(GMWQ!$NF$2:$NF$60=L$1),0),$E145-1966)</f>
        <v>248998</v>
      </c>
      <c r="M145" s="13" cm="1">
        <f t="array" ref="M145">INDEX(GMWQ!$A$2:$NF$60,MATCH(1,(GMWQ!$NE$2:$NE$60=M$3)*(GMWQ!$ND$2:$ND$60=M$4)*(GMWQ!$NF$2:$NF$60=M$1),0),$E145-1966)</f>
        <v>340647</v>
      </c>
      <c r="N145" s="13" cm="1">
        <f t="array" ref="N145">INDEX(GMWQ!$A$2:$NF$60,MATCH(1,(GMWQ!$NE$2:$NE$60=N$3)*(GMWQ!$ND$2:$ND$60=N$4)*(GMWQ!$NF$2:$NF$60=N$1),0),$E145-1966)</f>
        <v>73.206900000000005</v>
      </c>
      <c r="O145" s="13" cm="1">
        <f t="array" ref="O145">INDEX(GMWQ!$A$2:$NF$60,MATCH(1,(GMWQ!$NE$2:$NE$60=O$3)*(GMWQ!$ND$2:$ND$60=O$4)*(GMWQ!$NF$2:$NF$60=O$1),0),$E145-1966)</f>
        <v>29420</v>
      </c>
      <c r="P145" s="13" cm="1">
        <f t="array" ref="P145">INDEX(GMWQ!$A$2:$NF$60,MATCH(1,(GMWQ!$NE$2:$NE$60=P$3)*(GMWQ!$ND$2:$ND$60=P$4)*(GMWQ!$NF$2:$NF$60=P$1),0),$E145-1966)</f>
        <v>29420</v>
      </c>
      <c r="Q145" s="13" cm="1">
        <f t="array" ref="Q145">INDEX(GMWQ!$A$2:$NF$60,MATCH(1,(GMWQ!$NE$2:$NE$60=Q$3)*(GMWQ!$ND$2:$ND$60=Q$4)*(GMWQ!$NF$2:$NF$60=Q$1),0),$E145-1966)</f>
        <v>29420</v>
      </c>
    </row>
    <row r="146" spans="1:17" x14ac:dyDescent="0.25">
      <c r="B146" s="13">
        <f t="shared" si="12"/>
        <v>2007</v>
      </c>
      <c r="C146" s="13">
        <f t="shared" si="12"/>
        <v>2007</v>
      </c>
      <c r="E146" s="13">
        <f t="shared" si="10"/>
        <v>2112</v>
      </c>
      <c r="F146" s="13" cm="1">
        <f t="array" ref="F146">INDEX(GMWQ!$A$2:$NF$60,MATCH(1,(GMWQ!$NE$2:$NE$60=F$3)*(GMWQ!$ND$2:$ND$60=F$4)*(GMWQ!$NF$2:$NF$60=F$1),0),$E146-1966)</f>
        <v>97.96114</v>
      </c>
      <c r="G146" s="13" cm="1">
        <f t="array" ref="G146">INDEX(GMWQ!$A$2:$NF$60,MATCH(1,(GMWQ!$NE$2:$NE$60=G$3)*(GMWQ!$ND$2:$ND$60=G$4)*(GMWQ!$NF$2:$NF$60=G$1),0),$E146-1966)</f>
        <v>17084</v>
      </c>
      <c r="H146" s="13" cm="1">
        <f t="array" ref="H146">INDEX(GMWQ!$A$2:$NF$60,MATCH(1,(GMWQ!$NE$2:$NE$60=H$3)*(GMWQ!$ND$2:$ND$60=H$4)*(GMWQ!$NF$2:$NF$60=H$1),0),$E146-1966)</f>
        <v>425</v>
      </c>
      <c r="I146" s="13" cm="1">
        <f t="array" ref="I146">INDEX(GMWQ!$A$2:$NF$60,MATCH(1,(GMWQ!$NE$2:$NE$60=I$3)*(GMWQ!$ND$2:$ND$60=I$4)*(GMWQ!$NF$2:$NF$60=I$1),0),$E146-1966)</f>
        <v>85474</v>
      </c>
      <c r="J146" s="13" cm="1">
        <f t="array" ref="J146">INDEX(GMWQ!$A$2:$NF$60,MATCH(1,(GMWQ!$NE$2:$NE$60=J$3)*(GMWQ!$ND$2:$ND$60=J$4)*(GMWQ!$NF$2:$NF$60=J$1),0),$E146-1966)</f>
        <v>392244</v>
      </c>
      <c r="K146" s="13" cm="1">
        <f t="array" ref="K146">INDEX(GMWQ!$A$2:$NF$60,MATCH(1,(GMWQ!$NE$2:$NE$60=K$3)*(GMWQ!$ND$2:$ND$60=K$4)*(GMWQ!$NF$2:$NF$60=K$1),0),$E146-1966)</f>
        <v>165275</v>
      </c>
      <c r="L146" s="13" cm="1">
        <f t="array" ref="L146">INDEX(GMWQ!$A$2:$NF$60,MATCH(1,(GMWQ!$NE$2:$NE$60=L$3)*(GMWQ!$ND$2:$ND$60=L$4)*(GMWQ!$NF$2:$NF$60=L$1),0),$E146-1966)</f>
        <v>249640</v>
      </c>
      <c r="M146" s="13" cm="1">
        <f t="array" ref="M146">INDEX(GMWQ!$A$2:$NF$60,MATCH(1,(GMWQ!$NE$2:$NE$60=M$3)*(GMWQ!$ND$2:$ND$60=M$4)*(GMWQ!$NF$2:$NF$60=M$1),0),$E146-1966)</f>
        <v>340314</v>
      </c>
      <c r="N146" s="13" cm="1">
        <f t="array" ref="N146">INDEX(GMWQ!$A$2:$NF$60,MATCH(1,(GMWQ!$NE$2:$NE$60=N$3)*(GMWQ!$ND$2:$ND$60=N$4)*(GMWQ!$NF$2:$NF$60=N$1),0),$E146-1966)</f>
        <v>73.403729999999996</v>
      </c>
      <c r="O146" s="13" cm="1">
        <f t="array" ref="O146">INDEX(GMWQ!$A$2:$NF$60,MATCH(1,(GMWQ!$NE$2:$NE$60=O$3)*(GMWQ!$ND$2:$ND$60=O$4)*(GMWQ!$NF$2:$NF$60=O$1),0),$E146-1966)</f>
        <v>29576</v>
      </c>
      <c r="P146" s="13" cm="1">
        <f t="array" ref="P146">INDEX(GMWQ!$A$2:$NF$60,MATCH(1,(GMWQ!$NE$2:$NE$60=P$3)*(GMWQ!$ND$2:$ND$60=P$4)*(GMWQ!$NF$2:$NF$60=P$1),0),$E146-1966)</f>
        <v>29576</v>
      </c>
      <c r="Q146" s="13" cm="1">
        <f t="array" ref="Q146">INDEX(GMWQ!$A$2:$NF$60,MATCH(1,(GMWQ!$NE$2:$NE$60=Q$3)*(GMWQ!$ND$2:$ND$60=Q$4)*(GMWQ!$NF$2:$NF$60=Q$1),0),$E146-1966)</f>
        <v>29576</v>
      </c>
    </row>
    <row r="147" spans="1:17" x14ac:dyDescent="0.25">
      <c r="A147" s="13">
        <v>2008</v>
      </c>
      <c r="B147" s="13">
        <f t="shared" si="12"/>
        <v>2008</v>
      </c>
      <c r="C147" s="13">
        <f t="shared" si="12"/>
        <v>2007</v>
      </c>
      <c r="D147" s="13">
        <f t="shared" si="12"/>
        <v>2007</v>
      </c>
      <c r="E147" s="13">
        <f t="shared" si="10"/>
        <v>2113</v>
      </c>
      <c r="F147" s="13" cm="1">
        <f t="array" ref="F147">INDEX(GMWQ!$A$2:$NF$60,MATCH(1,(GMWQ!$NE$2:$NE$60=F$3)*(GMWQ!$ND$2:$ND$60=F$4)*(GMWQ!$NF$2:$NF$60=F$1),0),$E147-1966)</f>
        <v>99.501630000000006</v>
      </c>
      <c r="G147" s="13" cm="1">
        <f t="array" ref="G147">INDEX(GMWQ!$A$2:$NF$60,MATCH(1,(GMWQ!$NE$2:$NE$60=G$3)*(GMWQ!$ND$2:$ND$60=G$4)*(GMWQ!$NF$2:$NF$60=G$1),0),$E147-1966)</f>
        <v>17891</v>
      </c>
      <c r="H147" s="13" cm="1">
        <f t="array" ref="H147">INDEX(GMWQ!$A$2:$NF$60,MATCH(1,(GMWQ!$NE$2:$NE$60=H$3)*(GMWQ!$ND$2:$ND$60=H$4)*(GMWQ!$NF$2:$NF$60=H$1),0),$E147-1966)</f>
        <v>433.66669999999999</v>
      </c>
      <c r="I147" s="13" cm="1">
        <f t="array" ref="I147">INDEX(GMWQ!$A$2:$NF$60,MATCH(1,(GMWQ!$NE$2:$NE$60=I$3)*(GMWQ!$ND$2:$ND$60=I$4)*(GMWQ!$NF$2:$NF$60=I$1),0),$E147-1966)</f>
        <v>84691</v>
      </c>
      <c r="J147" s="13" cm="1">
        <f t="array" ref="J147">INDEX(GMWQ!$A$2:$NF$60,MATCH(1,(GMWQ!$NE$2:$NE$60=J$3)*(GMWQ!$ND$2:$ND$60=J$4)*(GMWQ!$NF$2:$NF$60=J$1),0),$E147-1966)</f>
        <v>397800</v>
      </c>
      <c r="K147" s="13" cm="1">
        <f t="array" ref="K147">INDEX(GMWQ!$A$2:$NF$60,MATCH(1,(GMWQ!$NE$2:$NE$60=K$3)*(GMWQ!$ND$2:$ND$60=K$4)*(GMWQ!$NF$2:$NF$60=K$1),0),$E147-1966)</f>
        <v>168351</v>
      </c>
      <c r="L147" s="13" cm="1">
        <f t="array" ref="L147">INDEX(GMWQ!$A$2:$NF$60,MATCH(1,(GMWQ!$NE$2:$NE$60=L$3)*(GMWQ!$ND$2:$ND$60=L$4)*(GMWQ!$NF$2:$NF$60=L$1),0),$E147-1966)</f>
        <v>249920</v>
      </c>
      <c r="M147" s="13" cm="1">
        <f t="array" ref="M147">INDEX(GMWQ!$A$2:$NF$60,MATCH(1,(GMWQ!$NE$2:$NE$60=M$3)*(GMWQ!$ND$2:$ND$60=M$4)*(GMWQ!$NF$2:$NF$60=M$1),0),$E147-1966)</f>
        <v>335815</v>
      </c>
      <c r="N147" s="13" cm="1">
        <f t="array" ref="N147">INDEX(GMWQ!$A$2:$NF$60,MATCH(1,(GMWQ!$NE$2:$NE$60=N$3)*(GMWQ!$ND$2:$ND$60=N$4)*(GMWQ!$NF$2:$NF$60=N$1),0),$E147-1966)</f>
        <v>74.486329999999995</v>
      </c>
      <c r="O147" s="13" cm="1">
        <f t="array" ref="O147">INDEX(GMWQ!$A$2:$NF$60,MATCH(1,(GMWQ!$NE$2:$NE$60=O$3)*(GMWQ!$ND$2:$ND$60=O$4)*(GMWQ!$NF$2:$NF$60=O$1),0),$E147-1966)</f>
        <v>29684</v>
      </c>
      <c r="P147" s="13" cm="1">
        <f t="array" ref="P147">INDEX(GMWQ!$A$2:$NF$60,MATCH(1,(GMWQ!$NE$2:$NE$60=P$3)*(GMWQ!$ND$2:$ND$60=P$4)*(GMWQ!$NF$2:$NF$60=P$1),0),$E147-1966)</f>
        <v>29684</v>
      </c>
      <c r="Q147" s="13" cm="1">
        <f t="array" ref="Q147">INDEX(GMWQ!$A$2:$NF$60,MATCH(1,(GMWQ!$NE$2:$NE$60=Q$3)*(GMWQ!$ND$2:$ND$60=Q$4)*(GMWQ!$NF$2:$NF$60=Q$1),0),$E147-1966)</f>
        <v>29684</v>
      </c>
    </row>
    <row r="148" spans="1:17" x14ac:dyDescent="0.25">
      <c r="B148" s="13">
        <f t="shared" si="12"/>
        <v>2008</v>
      </c>
      <c r="C148" s="13">
        <f t="shared" si="12"/>
        <v>2008</v>
      </c>
      <c r="E148" s="13">
        <f t="shared" si="10"/>
        <v>2114</v>
      </c>
      <c r="F148" s="13" cm="1">
        <f t="array" ref="F148">INDEX(GMWQ!$A$2:$NF$60,MATCH(1,(GMWQ!$NE$2:$NE$60=F$3)*(GMWQ!$ND$2:$ND$60=F$4)*(GMWQ!$NF$2:$NF$60=F$1),0),$E148-1966)</f>
        <v>98.887450000000001</v>
      </c>
      <c r="G148" s="13" cm="1">
        <f t="array" ref="G148">INDEX(GMWQ!$A$2:$NF$60,MATCH(1,(GMWQ!$NE$2:$NE$60=G$3)*(GMWQ!$ND$2:$ND$60=G$4)*(GMWQ!$NF$2:$NF$60=G$1),0),$E148-1966)</f>
        <v>17172</v>
      </c>
      <c r="H148" s="13" cm="1">
        <f t="array" ref="H148">INDEX(GMWQ!$A$2:$NF$60,MATCH(1,(GMWQ!$NE$2:$NE$60=H$3)*(GMWQ!$ND$2:$ND$60=H$4)*(GMWQ!$NF$2:$NF$60=H$1),0),$E148-1966)</f>
        <v>433</v>
      </c>
      <c r="I148" s="13" cm="1">
        <f t="array" ref="I148">INDEX(GMWQ!$A$2:$NF$60,MATCH(1,(GMWQ!$NE$2:$NE$60=I$3)*(GMWQ!$ND$2:$ND$60=I$4)*(GMWQ!$NF$2:$NF$60=I$1),0),$E148-1966)</f>
        <v>87843</v>
      </c>
      <c r="J148" s="13" cm="1">
        <f t="array" ref="J148">INDEX(GMWQ!$A$2:$NF$60,MATCH(1,(GMWQ!$NE$2:$NE$60=J$3)*(GMWQ!$ND$2:$ND$60=J$4)*(GMWQ!$NF$2:$NF$60=J$1),0),$E148-1966)</f>
        <v>400685</v>
      </c>
      <c r="K148" s="13" cm="1">
        <f t="array" ref="K148">INDEX(GMWQ!$A$2:$NF$60,MATCH(1,(GMWQ!$NE$2:$NE$60=K$3)*(GMWQ!$ND$2:$ND$60=K$4)*(GMWQ!$NF$2:$NF$60=K$1),0),$E148-1966)</f>
        <v>166617</v>
      </c>
      <c r="L148" s="13" cm="1">
        <f t="array" ref="L148">INDEX(GMWQ!$A$2:$NF$60,MATCH(1,(GMWQ!$NE$2:$NE$60=L$3)*(GMWQ!$ND$2:$ND$60=L$4)*(GMWQ!$NF$2:$NF$60=L$1),0),$E148-1966)</f>
        <v>256466</v>
      </c>
      <c r="M148" s="13" cm="1">
        <f t="array" ref="M148">INDEX(GMWQ!$A$2:$NF$60,MATCH(1,(GMWQ!$NE$2:$NE$60=M$3)*(GMWQ!$ND$2:$ND$60=M$4)*(GMWQ!$NF$2:$NF$60=M$1),0),$E148-1966)</f>
        <v>339732</v>
      </c>
      <c r="N148" s="13" cm="1">
        <f t="array" ref="N148">INDEX(GMWQ!$A$2:$NF$60,MATCH(1,(GMWQ!$NE$2:$NE$60=N$3)*(GMWQ!$ND$2:$ND$60=N$4)*(GMWQ!$NF$2:$NF$60=N$1),0),$E148-1966)</f>
        <v>75.595219999999998</v>
      </c>
      <c r="O148" s="13" cm="1">
        <f t="array" ref="O148">INDEX(GMWQ!$A$2:$NF$60,MATCH(1,(GMWQ!$NE$2:$NE$60=O$3)*(GMWQ!$ND$2:$ND$60=O$4)*(GMWQ!$NF$2:$NF$60=O$1),0),$E148-1966)</f>
        <v>29722</v>
      </c>
      <c r="P148" s="13" cm="1">
        <f t="array" ref="P148">INDEX(GMWQ!$A$2:$NF$60,MATCH(1,(GMWQ!$NE$2:$NE$60=P$3)*(GMWQ!$ND$2:$ND$60=P$4)*(GMWQ!$NF$2:$NF$60=P$1),0),$E148-1966)</f>
        <v>29722</v>
      </c>
      <c r="Q148" s="13" cm="1">
        <f t="array" ref="Q148">INDEX(GMWQ!$A$2:$NF$60,MATCH(1,(GMWQ!$NE$2:$NE$60=Q$3)*(GMWQ!$ND$2:$ND$60=Q$4)*(GMWQ!$NF$2:$NF$60=Q$1),0),$E148-1966)</f>
        <v>29722</v>
      </c>
    </row>
    <row r="149" spans="1:17" x14ac:dyDescent="0.25">
      <c r="B149" s="13">
        <f t="shared" si="12"/>
        <v>2008</v>
      </c>
      <c r="C149" s="13">
        <f t="shared" si="12"/>
        <v>2008</v>
      </c>
      <c r="E149" s="13">
        <f t="shared" si="10"/>
        <v>2115</v>
      </c>
      <c r="F149" s="13" cm="1">
        <f t="array" ref="F149">INDEX(GMWQ!$A$2:$NF$60,MATCH(1,(GMWQ!$NE$2:$NE$60=F$3)*(GMWQ!$ND$2:$ND$60=F$4)*(GMWQ!$NF$2:$NF$60=F$1),0),$E149-1966)</f>
        <v>100.008</v>
      </c>
      <c r="G149" s="13" cm="1">
        <f t="array" ref="G149">INDEX(GMWQ!$A$2:$NF$60,MATCH(1,(GMWQ!$NE$2:$NE$60=G$3)*(GMWQ!$ND$2:$ND$60=G$4)*(GMWQ!$NF$2:$NF$60=G$1),0),$E149-1966)</f>
        <v>17328</v>
      </c>
      <c r="H149" s="13" cm="1">
        <f t="array" ref="H149">INDEX(GMWQ!$A$2:$NF$60,MATCH(1,(GMWQ!$NE$2:$NE$60=H$3)*(GMWQ!$ND$2:$ND$60=H$4)*(GMWQ!$NF$2:$NF$60=H$1),0),$E149-1966)</f>
        <v>434.66669999999999</v>
      </c>
      <c r="I149" s="13" cm="1">
        <f t="array" ref="I149">INDEX(GMWQ!$A$2:$NF$60,MATCH(1,(GMWQ!$NE$2:$NE$60=I$3)*(GMWQ!$ND$2:$ND$60=I$4)*(GMWQ!$NF$2:$NF$60=I$1),0),$E149-1966)</f>
        <v>90586</v>
      </c>
      <c r="J149" s="13" cm="1">
        <f t="array" ref="J149">INDEX(GMWQ!$A$2:$NF$60,MATCH(1,(GMWQ!$NE$2:$NE$60=J$3)*(GMWQ!$ND$2:$ND$60=J$4)*(GMWQ!$NF$2:$NF$60=J$1),0),$E149-1966)</f>
        <v>399994</v>
      </c>
      <c r="K149" s="13" cm="1">
        <f t="array" ref="K149">INDEX(GMWQ!$A$2:$NF$60,MATCH(1,(GMWQ!$NE$2:$NE$60=K$3)*(GMWQ!$ND$2:$ND$60=K$4)*(GMWQ!$NF$2:$NF$60=K$1),0),$E149-1966)</f>
        <v>166080</v>
      </c>
      <c r="L149" s="13" cm="1">
        <f t="array" ref="L149">INDEX(GMWQ!$A$2:$NF$60,MATCH(1,(GMWQ!$NE$2:$NE$60=L$3)*(GMWQ!$ND$2:$ND$60=L$4)*(GMWQ!$NF$2:$NF$60=L$1),0),$E149-1966)</f>
        <v>255800</v>
      </c>
      <c r="M149" s="13" cm="1">
        <f t="array" ref="M149">INDEX(GMWQ!$A$2:$NF$60,MATCH(1,(GMWQ!$NE$2:$NE$60=M$3)*(GMWQ!$ND$2:$ND$60=M$4)*(GMWQ!$NF$2:$NF$60=M$1),0),$E149-1966)</f>
        <v>333684</v>
      </c>
      <c r="N149" s="13" cm="1">
        <f t="array" ref="N149">INDEX(GMWQ!$A$2:$NF$60,MATCH(1,(GMWQ!$NE$2:$NE$60=N$3)*(GMWQ!$ND$2:$ND$60=N$4)*(GMWQ!$NF$2:$NF$60=N$1),0),$E149-1966)</f>
        <v>76.739900000000006</v>
      </c>
      <c r="O149" s="13" cm="1">
        <f t="array" ref="O149">INDEX(GMWQ!$A$2:$NF$60,MATCH(1,(GMWQ!$NE$2:$NE$60=O$3)*(GMWQ!$ND$2:$ND$60=O$4)*(GMWQ!$NF$2:$NF$60=O$1),0),$E149-1966)</f>
        <v>29580</v>
      </c>
      <c r="P149" s="13" cm="1">
        <f t="array" ref="P149">INDEX(GMWQ!$A$2:$NF$60,MATCH(1,(GMWQ!$NE$2:$NE$60=P$3)*(GMWQ!$ND$2:$ND$60=P$4)*(GMWQ!$NF$2:$NF$60=P$1),0),$E149-1966)</f>
        <v>29580</v>
      </c>
      <c r="Q149" s="13" cm="1">
        <f t="array" ref="Q149">INDEX(GMWQ!$A$2:$NF$60,MATCH(1,(GMWQ!$NE$2:$NE$60=Q$3)*(GMWQ!$ND$2:$ND$60=Q$4)*(GMWQ!$NF$2:$NF$60=Q$1),0),$E149-1966)</f>
        <v>29580</v>
      </c>
    </row>
    <row r="150" spans="1:17" x14ac:dyDescent="0.25">
      <c r="B150" s="13">
        <f t="shared" si="12"/>
        <v>2008</v>
      </c>
      <c r="C150" s="13">
        <f t="shared" si="12"/>
        <v>2008</v>
      </c>
      <c r="E150" s="13">
        <f t="shared" si="10"/>
        <v>2116</v>
      </c>
      <c r="F150" s="13" cm="1">
        <f t="array" ref="F150">INDEX(GMWQ!$A$2:$NF$60,MATCH(1,(GMWQ!$NE$2:$NE$60=F$3)*(GMWQ!$ND$2:$ND$60=F$4)*(GMWQ!$NF$2:$NF$60=F$1),0),$E150-1966)</f>
        <v>101.60299999999999</v>
      </c>
      <c r="G150" s="13" cm="1">
        <f t="array" ref="G150">INDEX(GMWQ!$A$2:$NF$60,MATCH(1,(GMWQ!$NE$2:$NE$60=G$3)*(GMWQ!$ND$2:$ND$60=G$4)*(GMWQ!$NF$2:$NF$60=G$1),0),$E150-1966)</f>
        <v>17305</v>
      </c>
      <c r="H150" s="13" cm="1">
        <f t="array" ref="H150">INDEX(GMWQ!$A$2:$NF$60,MATCH(1,(GMWQ!$NE$2:$NE$60=H$3)*(GMWQ!$ND$2:$ND$60=H$4)*(GMWQ!$NF$2:$NF$60=H$1),0),$E150-1966)</f>
        <v>436.33330000000001</v>
      </c>
      <c r="I150" s="13" cm="1">
        <f t="array" ref="I150">INDEX(GMWQ!$A$2:$NF$60,MATCH(1,(GMWQ!$NE$2:$NE$60=I$3)*(GMWQ!$ND$2:$ND$60=I$4)*(GMWQ!$NF$2:$NF$60=I$1),0),$E150-1966)</f>
        <v>87779</v>
      </c>
      <c r="J150" s="13" cm="1">
        <f t="array" ref="J150">INDEX(GMWQ!$A$2:$NF$60,MATCH(1,(GMWQ!$NE$2:$NE$60=J$3)*(GMWQ!$ND$2:$ND$60=J$4)*(GMWQ!$NF$2:$NF$60=J$1),0),$E150-1966)</f>
        <v>395121</v>
      </c>
      <c r="K150" s="13" cm="1">
        <f t="array" ref="K150">INDEX(GMWQ!$A$2:$NF$60,MATCH(1,(GMWQ!$NE$2:$NE$60=K$3)*(GMWQ!$ND$2:$ND$60=K$4)*(GMWQ!$NF$2:$NF$60=K$1),0),$E150-1966)</f>
        <v>164352</v>
      </c>
      <c r="L150" s="13" cm="1">
        <f t="array" ref="L150">INDEX(GMWQ!$A$2:$NF$60,MATCH(1,(GMWQ!$NE$2:$NE$60=L$3)*(GMWQ!$ND$2:$ND$60=L$4)*(GMWQ!$NF$2:$NF$60=L$1),0),$E150-1966)</f>
        <v>258834</v>
      </c>
      <c r="M150" s="13" cm="1">
        <f t="array" ref="M150">INDEX(GMWQ!$A$2:$NF$60,MATCH(1,(GMWQ!$NE$2:$NE$60=M$3)*(GMWQ!$ND$2:$ND$60=M$4)*(GMWQ!$NF$2:$NF$60=M$1),0),$E150-1966)</f>
        <v>340023</v>
      </c>
      <c r="N150" s="13" cm="1">
        <f t="array" ref="N150">INDEX(GMWQ!$A$2:$NF$60,MATCH(1,(GMWQ!$NE$2:$NE$60=N$3)*(GMWQ!$ND$2:$ND$60=N$4)*(GMWQ!$NF$2:$NF$60=N$1),0),$E150-1966)</f>
        <v>76.126390000000001</v>
      </c>
      <c r="O150" s="13" cm="1">
        <f t="array" ref="O150">INDEX(GMWQ!$A$2:$NF$60,MATCH(1,(GMWQ!$NE$2:$NE$60=O$3)*(GMWQ!$ND$2:$ND$60=O$4)*(GMWQ!$NF$2:$NF$60=O$1),0),$E150-1966)</f>
        <v>29528</v>
      </c>
      <c r="P150" s="13" cm="1">
        <f t="array" ref="P150">INDEX(GMWQ!$A$2:$NF$60,MATCH(1,(GMWQ!$NE$2:$NE$60=P$3)*(GMWQ!$ND$2:$ND$60=P$4)*(GMWQ!$NF$2:$NF$60=P$1),0),$E150-1966)</f>
        <v>29528</v>
      </c>
      <c r="Q150" s="13" cm="1">
        <f t="array" ref="Q150">INDEX(GMWQ!$A$2:$NF$60,MATCH(1,(GMWQ!$NE$2:$NE$60=Q$3)*(GMWQ!$ND$2:$ND$60=Q$4)*(GMWQ!$NF$2:$NF$60=Q$1),0),$E150-1966)</f>
        <v>29528</v>
      </c>
    </row>
    <row r="151" spans="1:17" x14ac:dyDescent="0.25">
      <c r="A151" s="13">
        <v>2009</v>
      </c>
      <c r="B151" s="13">
        <f t="shared" si="12"/>
        <v>2009</v>
      </c>
      <c r="C151" s="13">
        <f t="shared" si="12"/>
        <v>2008</v>
      </c>
      <c r="D151" s="13">
        <f t="shared" si="12"/>
        <v>2008</v>
      </c>
      <c r="E151" s="13">
        <f t="shared" si="10"/>
        <v>2117</v>
      </c>
      <c r="F151" s="13" cm="1">
        <f t="array" ref="F151">INDEX(GMWQ!$A$2:$NF$60,MATCH(1,(GMWQ!$NE$2:$NE$60=F$3)*(GMWQ!$ND$2:$ND$60=F$4)*(GMWQ!$NF$2:$NF$60=F$1),0),$E151-1966)</f>
        <v>102.3583</v>
      </c>
      <c r="G151" s="13" cm="1">
        <f t="array" ref="G151">INDEX(GMWQ!$A$2:$NF$60,MATCH(1,(GMWQ!$NE$2:$NE$60=G$3)*(GMWQ!$ND$2:$ND$60=G$4)*(GMWQ!$NF$2:$NF$60=G$1),0),$E151-1966)</f>
        <v>16825</v>
      </c>
      <c r="H151" s="13" cm="1">
        <f t="array" ref="H151">INDEX(GMWQ!$A$2:$NF$60,MATCH(1,(GMWQ!$NE$2:$NE$60=H$3)*(GMWQ!$ND$2:$ND$60=H$4)*(GMWQ!$NF$2:$NF$60=H$1),0),$E151-1966)</f>
        <v>421</v>
      </c>
      <c r="I151" s="13" cm="1">
        <f t="array" ref="I151">INDEX(GMWQ!$A$2:$NF$60,MATCH(1,(GMWQ!$NE$2:$NE$60=I$3)*(GMWQ!$ND$2:$ND$60=I$4)*(GMWQ!$NF$2:$NF$60=I$1),0),$E151-1966)</f>
        <v>87453</v>
      </c>
      <c r="J151" s="13" cm="1">
        <f t="array" ref="J151">INDEX(GMWQ!$A$2:$NF$60,MATCH(1,(GMWQ!$NE$2:$NE$60=J$3)*(GMWQ!$ND$2:$ND$60=J$4)*(GMWQ!$NF$2:$NF$60=J$1),0),$E151-1966)</f>
        <v>386874</v>
      </c>
      <c r="K151" s="13" cm="1">
        <f t="array" ref="K151">INDEX(GMWQ!$A$2:$NF$60,MATCH(1,(GMWQ!$NE$2:$NE$60=K$3)*(GMWQ!$ND$2:$ND$60=K$4)*(GMWQ!$NF$2:$NF$60=K$1),0),$E151-1966)</f>
        <v>161431</v>
      </c>
      <c r="L151" s="13" cm="1">
        <f t="array" ref="L151">INDEX(GMWQ!$A$2:$NF$60,MATCH(1,(GMWQ!$NE$2:$NE$60=L$3)*(GMWQ!$ND$2:$ND$60=L$4)*(GMWQ!$NF$2:$NF$60=L$1),0),$E151-1966)</f>
        <v>256355</v>
      </c>
      <c r="M151" s="13" cm="1">
        <f t="array" ref="M151">INDEX(GMWQ!$A$2:$NF$60,MATCH(1,(GMWQ!$NE$2:$NE$60=M$3)*(GMWQ!$ND$2:$ND$60=M$4)*(GMWQ!$NF$2:$NF$60=M$1),0),$E151-1966)</f>
        <v>335761</v>
      </c>
      <c r="N151" s="13" cm="1">
        <f t="array" ref="N151">INDEX(GMWQ!$A$2:$NF$60,MATCH(1,(GMWQ!$NE$2:$NE$60=N$3)*(GMWQ!$ND$2:$ND$60=N$4)*(GMWQ!$NF$2:$NF$60=N$1),0),$E151-1966)</f>
        <v>76.341520000000003</v>
      </c>
      <c r="O151" s="13" cm="1">
        <f t="array" ref="O151">INDEX(GMWQ!$A$2:$NF$60,MATCH(1,(GMWQ!$NE$2:$NE$60=O$3)*(GMWQ!$ND$2:$ND$60=O$4)*(GMWQ!$NF$2:$NF$60=O$1),0),$E151-1966)</f>
        <v>29366</v>
      </c>
      <c r="P151" s="13" cm="1">
        <f t="array" ref="P151">INDEX(GMWQ!$A$2:$NF$60,MATCH(1,(GMWQ!$NE$2:$NE$60=P$3)*(GMWQ!$ND$2:$ND$60=P$4)*(GMWQ!$NF$2:$NF$60=P$1),0),$E151-1966)</f>
        <v>29366</v>
      </c>
      <c r="Q151" s="13" cm="1">
        <f t="array" ref="Q151">INDEX(GMWQ!$A$2:$NF$60,MATCH(1,(GMWQ!$NE$2:$NE$60=Q$3)*(GMWQ!$ND$2:$ND$60=Q$4)*(GMWQ!$NF$2:$NF$60=Q$1),0),$E151-1966)</f>
        <v>29366</v>
      </c>
    </row>
    <row r="152" spans="1:17" x14ac:dyDescent="0.25">
      <c r="B152" s="13">
        <f t="shared" si="12"/>
        <v>2009</v>
      </c>
      <c r="C152" s="13">
        <f t="shared" si="12"/>
        <v>2009</v>
      </c>
      <c r="E152" s="13">
        <f t="shared" si="10"/>
        <v>2118</v>
      </c>
      <c r="F152" s="13" cm="1">
        <f t="array" ref="F152">INDEX(GMWQ!$A$2:$NF$60,MATCH(1,(GMWQ!$NE$2:$NE$60=F$3)*(GMWQ!$ND$2:$ND$60=F$4)*(GMWQ!$NF$2:$NF$60=F$1),0),$E152-1966)</f>
        <v>104.1228</v>
      </c>
      <c r="G152" s="13" cm="1">
        <f t="array" ref="G152">INDEX(GMWQ!$A$2:$NF$60,MATCH(1,(GMWQ!$NE$2:$NE$60=G$3)*(GMWQ!$ND$2:$ND$60=G$4)*(GMWQ!$NF$2:$NF$60=G$1),0),$E152-1966)</f>
        <v>17195</v>
      </c>
      <c r="H152" s="13" cm="1">
        <f t="array" ref="H152">INDEX(GMWQ!$A$2:$NF$60,MATCH(1,(GMWQ!$NE$2:$NE$60=H$3)*(GMWQ!$ND$2:$ND$60=H$4)*(GMWQ!$NF$2:$NF$60=H$1),0),$E152-1966)</f>
        <v>437.66669999999999</v>
      </c>
      <c r="I152" s="13" cm="1">
        <f t="array" ref="I152">INDEX(GMWQ!$A$2:$NF$60,MATCH(1,(GMWQ!$NE$2:$NE$60=I$3)*(GMWQ!$ND$2:$ND$60=I$4)*(GMWQ!$NF$2:$NF$60=I$1),0),$E152-1966)</f>
        <v>84343</v>
      </c>
      <c r="J152" s="13" cm="1">
        <f t="array" ref="J152">INDEX(GMWQ!$A$2:$NF$60,MATCH(1,(GMWQ!$NE$2:$NE$60=J$3)*(GMWQ!$ND$2:$ND$60=J$4)*(GMWQ!$NF$2:$NF$60=J$1),0),$E152-1966)</f>
        <v>386553</v>
      </c>
      <c r="K152" s="13" cm="1">
        <f t="array" ref="K152">INDEX(GMWQ!$A$2:$NF$60,MATCH(1,(GMWQ!$NE$2:$NE$60=K$3)*(GMWQ!$ND$2:$ND$60=K$4)*(GMWQ!$NF$2:$NF$60=K$1),0),$E152-1966)</f>
        <v>164197</v>
      </c>
      <c r="L152" s="13" cm="1">
        <f t="array" ref="L152">INDEX(GMWQ!$A$2:$NF$60,MATCH(1,(GMWQ!$NE$2:$NE$60=L$3)*(GMWQ!$ND$2:$ND$60=L$4)*(GMWQ!$NF$2:$NF$60=L$1),0),$E152-1966)</f>
        <v>263934</v>
      </c>
      <c r="M152" s="13" cm="1">
        <f t="array" ref="M152">INDEX(GMWQ!$A$2:$NF$60,MATCH(1,(GMWQ!$NE$2:$NE$60=M$3)*(GMWQ!$ND$2:$ND$60=M$4)*(GMWQ!$NF$2:$NF$60=M$1),0),$E152-1966)</f>
        <v>344826</v>
      </c>
      <c r="N152" s="13" cm="1">
        <f t="array" ref="N152">INDEX(GMWQ!$A$2:$NF$60,MATCH(1,(GMWQ!$NE$2:$NE$60=N$3)*(GMWQ!$ND$2:$ND$60=N$4)*(GMWQ!$NF$2:$NF$60=N$1),0),$E152-1966)</f>
        <v>76.476780000000005</v>
      </c>
      <c r="O152" s="13" cm="1">
        <f t="array" ref="O152">INDEX(GMWQ!$A$2:$NF$60,MATCH(1,(GMWQ!$NE$2:$NE$60=O$3)*(GMWQ!$ND$2:$ND$60=O$4)*(GMWQ!$NF$2:$NF$60=O$1),0),$E152-1966)</f>
        <v>29087</v>
      </c>
      <c r="P152" s="13" cm="1">
        <f t="array" ref="P152">INDEX(GMWQ!$A$2:$NF$60,MATCH(1,(GMWQ!$NE$2:$NE$60=P$3)*(GMWQ!$ND$2:$ND$60=P$4)*(GMWQ!$NF$2:$NF$60=P$1),0),$E152-1966)</f>
        <v>29087</v>
      </c>
      <c r="Q152" s="13" cm="1">
        <f t="array" ref="Q152">INDEX(GMWQ!$A$2:$NF$60,MATCH(1,(GMWQ!$NE$2:$NE$60=Q$3)*(GMWQ!$ND$2:$ND$60=Q$4)*(GMWQ!$NF$2:$NF$60=Q$1),0),$E152-1966)</f>
        <v>29087</v>
      </c>
    </row>
    <row r="153" spans="1:17" x14ac:dyDescent="0.25">
      <c r="B153" s="13">
        <f t="shared" si="12"/>
        <v>2009</v>
      </c>
      <c r="C153" s="13">
        <f t="shared" si="12"/>
        <v>2009</v>
      </c>
      <c r="E153" s="13">
        <f t="shared" si="10"/>
        <v>2119</v>
      </c>
      <c r="F153" s="13" cm="1">
        <f t="array" ref="F153">INDEX(GMWQ!$A$2:$NF$60,MATCH(1,(GMWQ!$NE$2:$NE$60=F$3)*(GMWQ!$ND$2:$ND$60=F$4)*(GMWQ!$NF$2:$NF$60=F$1),0),$E153-1966)</f>
        <v>103.6772</v>
      </c>
      <c r="G153" s="13" cm="1">
        <f t="array" ref="G153">INDEX(GMWQ!$A$2:$NF$60,MATCH(1,(GMWQ!$NE$2:$NE$60=G$3)*(GMWQ!$ND$2:$ND$60=G$4)*(GMWQ!$NF$2:$NF$60=G$1),0),$E153-1966)</f>
        <v>17157</v>
      </c>
      <c r="H153" s="13" cm="1">
        <f t="array" ref="H153">INDEX(GMWQ!$A$2:$NF$60,MATCH(1,(GMWQ!$NE$2:$NE$60=H$3)*(GMWQ!$ND$2:$ND$60=H$4)*(GMWQ!$NF$2:$NF$60=H$1),0),$E153-1966)</f>
        <v>438</v>
      </c>
      <c r="I153" s="13" cm="1">
        <f t="array" ref="I153">INDEX(GMWQ!$A$2:$NF$60,MATCH(1,(GMWQ!$NE$2:$NE$60=I$3)*(GMWQ!$ND$2:$ND$60=I$4)*(GMWQ!$NF$2:$NF$60=I$1),0),$E153-1966)</f>
        <v>86567</v>
      </c>
      <c r="J153" s="13" cm="1">
        <f t="array" ref="J153">INDEX(GMWQ!$A$2:$NF$60,MATCH(1,(GMWQ!$NE$2:$NE$60=J$3)*(GMWQ!$ND$2:$ND$60=J$4)*(GMWQ!$NF$2:$NF$60=J$1),0),$E153-1966)</f>
        <v>388596</v>
      </c>
      <c r="K153" s="13" cm="1">
        <f t="array" ref="K153">INDEX(GMWQ!$A$2:$NF$60,MATCH(1,(GMWQ!$NE$2:$NE$60=K$3)*(GMWQ!$ND$2:$ND$60=K$4)*(GMWQ!$NF$2:$NF$60=K$1),0),$E153-1966)</f>
        <v>164164</v>
      </c>
      <c r="L153" s="13" cm="1">
        <f t="array" ref="L153">INDEX(GMWQ!$A$2:$NF$60,MATCH(1,(GMWQ!$NE$2:$NE$60=L$3)*(GMWQ!$ND$2:$ND$60=L$4)*(GMWQ!$NF$2:$NF$60=L$1),0),$E153-1966)</f>
        <v>262968</v>
      </c>
      <c r="M153" s="13" cm="1">
        <f t="array" ref="M153">INDEX(GMWQ!$A$2:$NF$60,MATCH(1,(GMWQ!$NE$2:$NE$60=M$3)*(GMWQ!$ND$2:$ND$60=M$4)*(GMWQ!$NF$2:$NF$60=M$1),0),$E153-1966)</f>
        <v>343613</v>
      </c>
      <c r="N153" s="13" cm="1">
        <f t="array" ref="N153">INDEX(GMWQ!$A$2:$NF$60,MATCH(1,(GMWQ!$NE$2:$NE$60=N$3)*(GMWQ!$ND$2:$ND$60=N$4)*(GMWQ!$NF$2:$NF$60=N$1),0),$E153-1966)</f>
        <v>76.458629999999999</v>
      </c>
      <c r="O153" s="13" cm="1">
        <f t="array" ref="O153">INDEX(GMWQ!$A$2:$NF$60,MATCH(1,(GMWQ!$NE$2:$NE$60=O$3)*(GMWQ!$ND$2:$ND$60=O$4)*(GMWQ!$NF$2:$NF$60=O$1),0),$E153-1966)</f>
        <v>29069</v>
      </c>
      <c r="P153" s="13" cm="1">
        <f t="array" ref="P153">INDEX(GMWQ!$A$2:$NF$60,MATCH(1,(GMWQ!$NE$2:$NE$60=P$3)*(GMWQ!$ND$2:$ND$60=P$4)*(GMWQ!$NF$2:$NF$60=P$1),0),$E153-1966)</f>
        <v>29069</v>
      </c>
      <c r="Q153" s="13" cm="1">
        <f t="array" ref="Q153">INDEX(GMWQ!$A$2:$NF$60,MATCH(1,(GMWQ!$NE$2:$NE$60=Q$3)*(GMWQ!$ND$2:$ND$60=Q$4)*(GMWQ!$NF$2:$NF$60=Q$1),0),$E153-1966)</f>
        <v>29069</v>
      </c>
    </row>
    <row r="154" spans="1:17" x14ac:dyDescent="0.25">
      <c r="B154" s="13">
        <f t="shared" si="12"/>
        <v>2009</v>
      </c>
      <c r="C154" s="13">
        <f t="shared" si="12"/>
        <v>2009</v>
      </c>
      <c r="E154" s="13">
        <f t="shared" si="10"/>
        <v>2120</v>
      </c>
      <c r="F154" s="13" cm="1">
        <f t="array" ref="F154">INDEX(GMWQ!$A$2:$NF$60,MATCH(1,(GMWQ!$NE$2:$NE$60=F$3)*(GMWQ!$ND$2:$ND$60=F$4)*(GMWQ!$NF$2:$NF$60=F$1),0),$E154-1966)</f>
        <v>104.8081</v>
      </c>
      <c r="G154" s="13" cm="1">
        <f t="array" ref="G154">INDEX(GMWQ!$A$2:$NF$60,MATCH(1,(GMWQ!$NE$2:$NE$60=G$3)*(GMWQ!$ND$2:$ND$60=G$4)*(GMWQ!$NF$2:$NF$60=G$1),0),$E154-1966)</f>
        <v>17618</v>
      </c>
      <c r="H154" s="13" cm="1">
        <f t="array" ref="H154">INDEX(GMWQ!$A$2:$NF$60,MATCH(1,(GMWQ!$NE$2:$NE$60=H$3)*(GMWQ!$ND$2:$ND$60=H$4)*(GMWQ!$NF$2:$NF$60=H$1),0),$E154-1966)</f>
        <v>439.66669999999999</v>
      </c>
      <c r="I154" s="13" cm="1">
        <f t="array" ref="I154">INDEX(GMWQ!$A$2:$NF$60,MATCH(1,(GMWQ!$NE$2:$NE$60=I$3)*(GMWQ!$ND$2:$ND$60=I$4)*(GMWQ!$NF$2:$NF$60=I$1),0),$E154-1966)</f>
        <v>81654</v>
      </c>
      <c r="J154" s="13" cm="1">
        <f t="array" ref="J154">INDEX(GMWQ!$A$2:$NF$60,MATCH(1,(GMWQ!$NE$2:$NE$60=J$3)*(GMWQ!$ND$2:$ND$60=J$4)*(GMWQ!$NF$2:$NF$60=J$1),0),$E154-1966)</f>
        <v>386779</v>
      </c>
      <c r="K154" s="13" cm="1">
        <f t="array" ref="K154">INDEX(GMWQ!$A$2:$NF$60,MATCH(1,(GMWQ!$NE$2:$NE$60=K$3)*(GMWQ!$ND$2:$ND$60=K$4)*(GMWQ!$NF$2:$NF$60=K$1),0),$E154-1966)</f>
        <v>164349</v>
      </c>
      <c r="L154" s="13" cm="1">
        <f t="array" ref="L154">INDEX(GMWQ!$A$2:$NF$60,MATCH(1,(GMWQ!$NE$2:$NE$60=L$3)*(GMWQ!$ND$2:$ND$60=L$4)*(GMWQ!$NF$2:$NF$60=L$1),0),$E154-1966)</f>
        <v>263925</v>
      </c>
      <c r="M154" s="13" cm="1">
        <f t="array" ref="M154">INDEX(GMWQ!$A$2:$NF$60,MATCH(1,(GMWQ!$NE$2:$NE$60=M$3)*(GMWQ!$ND$2:$ND$60=M$4)*(GMWQ!$NF$2:$NF$60=M$1),0),$E154-1966)</f>
        <v>346368</v>
      </c>
      <c r="N154" s="13" cm="1">
        <f t="array" ref="N154">INDEX(GMWQ!$A$2:$NF$60,MATCH(1,(GMWQ!$NE$2:$NE$60=N$3)*(GMWQ!$ND$2:$ND$60=N$4)*(GMWQ!$NF$2:$NF$60=N$1),0),$E154-1966)</f>
        <v>76.089389999999995</v>
      </c>
      <c r="O154" s="13" cm="1">
        <f t="array" ref="O154">INDEX(GMWQ!$A$2:$NF$60,MATCH(1,(GMWQ!$NE$2:$NE$60=O$3)*(GMWQ!$ND$2:$ND$60=O$4)*(GMWQ!$NF$2:$NF$60=O$1),0),$E154-1966)</f>
        <v>29102</v>
      </c>
      <c r="P154" s="13" cm="1">
        <f t="array" ref="P154">INDEX(GMWQ!$A$2:$NF$60,MATCH(1,(GMWQ!$NE$2:$NE$60=P$3)*(GMWQ!$ND$2:$ND$60=P$4)*(GMWQ!$NF$2:$NF$60=P$1),0),$E154-1966)</f>
        <v>29102</v>
      </c>
      <c r="Q154" s="13" cm="1">
        <f t="array" ref="Q154">INDEX(GMWQ!$A$2:$NF$60,MATCH(1,(GMWQ!$NE$2:$NE$60=Q$3)*(GMWQ!$ND$2:$ND$60=Q$4)*(GMWQ!$NF$2:$NF$60=Q$1),0),$E154-1966)</f>
        <v>29102</v>
      </c>
    </row>
    <row r="155" spans="1:17" x14ac:dyDescent="0.25">
      <c r="A155" s="13">
        <v>2010</v>
      </c>
      <c r="B155" s="13">
        <f t="shared" si="12"/>
        <v>2010</v>
      </c>
      <c r="C155" s="13">
        <f t="shared" si="12"/>
        <v>2009</v>
      </c>
      <c r="D155" s="13">
        <f t="shared" si="12"/>
        <v>2009</v>
      </c>
      <c r="E155" s="13">
        <f t="shared" si="10"/>
        <v>2121</v>
      </c>
      <c r="F155" s="13" cm="1">
        <f t="array" ref="F155">INDEX(GMWQ!$A$2:$NF$60,MATCH(1,(GMWQ!$NE$2:$NE$60=F$3)*(GMWQ!$ND$2:$ND$60=F$4)*(GMWQ!$NF$2:$NF$60=F$1),0),$E155-1966)</f>
        <v>104.5424</v>
      </c>
      <c r="G155" s="13" cm="1">
        <f t="array" ref="G155">INDEX(GMWQ!$A$2:$NF$60,MATCH(1,(GMWQ!$NE$2:$NE$60=G$3)*(GMWQ!$ND$2:$ND$60=G$4)*(GMWQ!$NF$2:$NF$60=G$1),0),$E155-1966)</f>
        <v>18831</v>
      </c>
      <c r="H155" s="13" cm="1">
        <f t="array" ref="H155">INDEX(GMWQ!$A$2:$NF$60,MATCH(1,(GMWQ!$NE$2:$NE$60=H$3)*(GMWQ!$ND$2:$ND$60=H$4)*(GMWQ!$NF$2:$NF$60=H$1),0),$E155-1966)</f>
        <v>442</v>
      </c>
      <c r="I155" s="13" cm="1">
        <f t="array" ref="I155">INDEX(GMWQ!$A$2:$NF$60,MATCH(1,(GMWQ!$NE$2:$NE$60=I$3)*(GMWQ!$ND$2:$ND$60=I$4)*(GMWQ!$NF$2:$NF$60=I$1),0),$E155-1966)</f>
        <v>86382</v>
      </c>
      <c r="J155" s="13" cm="1">
        <f t="array" ref="J155">INDEX(GMWQ!$A$2:$NF$60,MATCH(1,(GMWQ!$NE$2:$NE$60=J$3)*(GMWQ!$ND$2:$ND$60=J$4)*(GMWQ!$NF$2:$NF$60=J$1),0),$E155-1966)</f>
        <v>396176</v>
      </c>
      <c r="K155" s="13" cm="1">
        <f t="array" ref="K155">INDEX(GMWQ!$A$2:$NF$60,MATCH(1,(GMWQ!$NE$2:$NE$60=K$3)*(GMWQ!$ND$2:$ND$60=K$4)*(GMWQ!$NF$2:$NF$60=K$1),0),$E155-1966)</f>
        <v>164017</v>
      </c>
      <c r="L155" s="13" cm="1">
        <f t="array" ref="L155">INDEX(GMWQ!$A$2:$NF$60,MATCH(1,(GMWQ!$NE$2:$NE$60=L$3)*(GMWQ!$ND$2:$ND$60=L$4)*(GMWQ!$NF$2:$NF$60=L$1),0),$E155-1966)</f>
        <v>264273</v>
      </c>
      <c r="M155" s="13" cm="1">
        <f t="array" ref="M155">INDEX(GMWQ!$A$2:$NF$60,MATCH(1,(GMWQ!$NE$2:$NE$60=M$3)*(GMWQ!$ND$2:$ND$60=M$4)*(GMWQ!$NF$2:$NF$60=M$1),0),$E155-1966)</f>
        <v>346769</v>
      </c>
      <c r="N155" s="13" cm="1">
        <f t="array" ref="N155">INDEX(GMWQ!$A$2:$NF$60,MATCH(1,(GMWQ!$NE$2:$NE$60=N$3)*(GMWQ!$ND$2:$ND$60=N$4)*(GMWQ!$NF$2:$NF$60=N$1),0),$E155-1966)</f>
        <v>76.08305</v>
      </c>
      <c r="O155" s="13" cm="1">
        <f t="array" ref="O155">INDEX(GMWQ!$A$2:$NF$60,MATCH(1,(GMWQ!$NE$2:$NE$60=O$3)*(GMWQ!$ND$2:$ND$60=O$4)*(GMWQ!$NF$2:$NF$60=O$1),0),$E155-1966)</f>
        <v>29013</v>
      </c>
      <c r="P155" s="13" cm="1">
        <f t="array" ref="P155">INDEX(GMWQ!$A$2:$NF$60,MATCH(1,(GMWQ!$NE$2:$NE$60=P$3)*(GMWQ!$ND$2:$ND$60=P$4)*(GMWQ!$NF$2:$NF$60=P$1),0),$E155-1966)</f>
        <v>29013</v>
      </c>
      <c r="Q155" s="13" cm="1">
        <f t="array" ref="Q155">INDEX(GMWQ!$A$2:$NF$60,MATCH(1,(GMWQ!$NE$2:$NE$60=Q$3)*(GMWQ!$ND$2:$ND$60=Q$4)*(GMWQ!$NF$2:$NF$60=Q$1),0),$E155-1966)</f>
        <v>29013</v>
      </c>
    </row>
    <row r="156" spans="1:17" x14ac:dyDescent="0.25">
      <c r="B156" s="13">
        <f t="shared" ref="B156:D171" si="13">+B152+1</f>
        <v>2010</v>
      </c>
      <c r="C156" s="13">
        <f t="shared" si="13"/>
        <v>2010</v>
      </c>
      <c r="E156" s="13">
        <f t="shared" si="10"/>
        <v>2122</v>
      </c>
      <c r="F156" s="13" cm="1">
        <f t="array" ref="F156">INDEX(GMWQ!$A$2:$NF$60,MATCH(1,(GMWQ!$NE$2:$NE$60=F$3)*(GMWQ!$ND$2:$ND$60=F$4)*(GMWQ!$NF$2:$NF$60=F$1),0),$E156-1966)</f>
        <v>103.5501</v>
      </c>
      <c r="G156" s="13" cm="1">
        <f t="array" ref="G156">INDEX(GMWQ!$A$2:$NF$60,MATCH(1,(GMWQ!$NE$2:$NE$60=G$3)*(GMWQ!$ND$2:$ND$60=G$4)*(GMWQ!$NF$2:$NF$60=G$1),0),$E156-1966)</f>
        <v>17422</v>
      </c>
      <c r="H156" s="13" cm="1">
        <f t="array" ref="H156">INDEX(GMWQ!$A$2:$NF$60,MATCH(1,(GMWQ!$NE$2:$NE$60=H$3)*(GMWQ!$ND$2:$ND$60=H$4)*(GMWQ!$NF$2:$NF$60=H$1),0),$E156-1966)</f>
        <v>442</v>
      </c>
      <c r="I156" s="13" cm="1">
        <f t="array" ref="I156">INDEX(GMWQ!$A$2:$NF$60,MATCH(1,(GMWQ!$NE$2:$NE$60=I$3)*(GMWQ!$ND$2:$ND$60=I$4)*(GMWQ!$NF$2:$NF$60=I$1),0),$E156-1966)</f>
        <v>85496</v>
      </c>
      <c r="J156" s="13" cm="1">
        <f t="array" ref="J156">INDEX(GMWQ!$A$2:$NF$60,MATCH(1,(GMWQ!$NE$2:$NE$60=J$3)*(GMWQ!$ND$2:$ND$60=J$4)*(GMWQ!$NF$2:$NF$60=J$1),0),$E156-1966)</f>
        <v>401223</v>
      </c>
      <c r="K156" s="13" cm="1">
        <f t="array" ref="K156">INDEX(GMWQ!$A$2:$NF$60,MATCH(1,(GMWQ!$NE$2:$NE$60=K$3)*(GMWQ!$ND$2:$ND$60=K$4)*(GMWQ!$NF$2:$NF$60=K$1),0),$E156-1966)</f>
        <v>163805</v>
      </c>
      <c r="L156" s="13" cm="1">
        <f t="array" ref="L156">INDEX(GMWQ!$A$2:$NF$60,MATCH(1,(GMWQ!$NE$2:$NE$60=L$3)*(GMWQ!$ND$2:$ND$60=L$4)*(GMWQ!$NF$2:$NF$60=L$1),0),$E156-1966)</f>
        <v>267166</v>
      </c>
      <c r="M156" s="13" cm="1">
        <f t="array" ref="M156">INDEX(GMWQ!$A$2:$NF$60,MATCH(1,(GMWQ!$NE$2:$NE$60=M$3)*(GMWQ!$ND$2:$ND$60=M$4)*(GMWQ!$NF$2:$NF$60=M$1),0),$E156-1966)</f>
        <v>347421</v>
      </c>
      <c r="N156" s="13" cm="1">
        <f t="array" ref="N156">INDEX(GMWQ!$A$2:$NF$60,MATCH(1,(GMWQ!$NE$2:$NE$60=N$3)*(GMWQ!$ND$2:$ND$60=N$4)*(GMWQ!$NF$2:$NF$60=N$1),0),$E156-1966)</f>
        <v>76.802760000000006</v>
      </c>
      <c r="O156" s="13" cm="1">
        <f t="array" ref="O156">INDEX(GMWQ!$A$2:$NF$60,MATCH(1,(GMWQ!$NE$2:$NE$60=O$3)*(GMWQ!$ND$2:$ND$60=O$4)*(GMWQ!$NF$2:$NF$60=O$1),0),$E156-1966)</f>
        <v>29192</v>
      </c>
      <c r="P156" s="13" cm="1">
        <f t="array" ref="P156">INDEX(GMWQ!$A$2:$NF$60,MATCH(1,(GMWQ!$NE$2:$NE$60=P$3)*(GMWQ!$ND$2:$ND$60=P$4)*(GMWQ!$NF$2:$NF$60=P$1),0),$E156-1966)</f>
        <v>29192</v>
      </c>
      <c r="Q156" s="13" cm="1">
        <f t="array" ref="Q156">INDEX(GMWQ!$A$2:$NF$60,MATCH(1,(GMWQ!$NE$2:$NE$60=Q$3)*(GMWQ!$ND$2:$ND$60=Q$4)*(GMWQ!$NF$2:$NF$60=Q$1),0),$E156-1966)</f>
        <v>29192</v>
      </c>
    </row>
    <row r="157" spans="1:17" x14ac:dyDescent="0.25">
      <c r="B157" s="13">
        <f t="shared" si="13"/>
        <v>2010</v>
      </c>
      <c r="C157" s="13">
        <f t="shared" si="13"/>
        <v>2010</v>
      </c>
      <c r="E157" s="13">
        <f t="shared" si="10"/>
        <v>2123</v>
      </c>
      <c r="F157" s="13" cm="1">
        <f t="array" ref="F157">INDEX(GMWQ!$A$2:$NF$60,MATCH(1,(GMWQ!$NE$2:$NE$60=F$3)*(GMWQ!$ND$2:$ND$60=F$4)*(GMWQ!$NF$2:$NF$60=F$1),0),$E157-1966)</f>
        <v>103.9633</v>
      </c>
      <c r="G157" s="13" cm="1">
        <f t="array" ref="G157">INDEX(GMWQ!$A$2:$NF$60,MATCH(1,(GMWQ!$NE$2:$NE$60=G$3)*(GMWQ!$ND$2:$ND$60=G$4)*(GMWQ!$NF$2:$NF$60=G$1),0),$E157-1966)</f>
        <v>17548</v>
      </c>
      <c r="H157" s="13" cm="1">
        <f t="array" ref="H157">INDEX(GMWQ!$A$2:$NF$60,MATCH(1,(GMWQ!$NE$2:$NE$60=H$3)*(GMWQ!$ND$2:$ND$60=H$4)*(GMWQ!$NF$2:$NF$60=H$1),0),$E157-1966)</f>
        <v>444.66669999999999</v>
      </c>
      <c r="I157" s="13" cm="1">
        <f t="array" ref="I157">INDEX(GMWQ!$A$2:$NF$60,MATCH(1,(GMWQ!$NE$2:$NE$60=I$3)*(GMWQ!$ND$2:$ND$60=I$4)*(GMWQ!$NF$2:$NF$60=I$1),0),$E157-1966)</f>
        <v>90085</v>
      </c>
      <c r="J157" s="13" cm="1">
        <f t="array" ref="J157">INDEX(GMWQ!$A$2:$NF$60,MATCH(1,(GMWQ!$NE$2:$NE$60=J$3)*(GMWQ!$ND$2:$ND$60=J$4)*(GMWQ!$NF$2:$NF$60=J$1),0),$E157-1966)</f>
        <v>404365</v>
      </c>
      <c r="K157" s="13" cm="1">
        <f t="array" ref="K157">INDEX(GMWQ!$A$2:$NF$60,MATCH(1,(GMWQ!$NE$2:$NE$60=K$3)*(GMWQ!$ND$2:$ND$60=K$4)*(GMWQ!$NF$2:$NF$60=K$1),0),$E157-1966)</f>
        <v>165789</v>
      </c>
      <c r="L157" s="13" cm="1">
        <f t="array" ref="L157">INDEX(GMWQ!$A$2:$NF$60,MATCH(1,(GMWQ!$NE$2:$NE$60=L$3)*(GMWQ!$ND$2:$ND$60=L$4)*(GMWQ!$NF$2:$NF$60=L$1),0),$E157-1966)</f>
        <v>267993</v>
      </c>
      <c r="M157" s="13" cm="1">
        <f t="array" ref="M157">INDEX(GMWQ!$A$2:$NF$60,MATCH(1,(GMWQ!$NE$2:$NE$60=M$3)*(GMWQ!$ND$2:$ND$60=M$4)*(GMWQ!$NF$2:$NF$60=M$1),0),$E157-1966)</f>
        <v>346091</v>
      </c>
      <c r="N157" s="13" cm="1">
        <f t="array" ref="N157">INDEX(GMWQ!$A$2:$NF$60,MATCH(1,(GMWQ!$NE$2:$NE$60=N$3)*(GMWQ!$ND$2:$ND$60=N$4)*(GMWQ!$NF$2:$NF$60=N$1),0),$E157-1966)</f>
        <v>77.31653</v>
      </c>
      <c r="O157" s="13" cm="1">
        <f t="array" ref="O157">INDEX(GMWQ!$A$2:$NF$60,MATCH(1,(GMWQ!$NE$2:$NE$60=O$3)*(GMWQ!$ND$2:$ND$60=O$4)*(GMWQ!$NF$2:$NF$60=O$1),0),$E157-1966)</f>
        <v>29385</v>
      </c>
      <c r="P157" s="13" cm="1">
        <f t="array" ref="P157">INDEX(GMWQ!$A$2:$NF$60,MATCH(1,(GMWQ!$NE$2:$NE$60=P$3)*(GMWQ!$ND$2:$ND$60=P$4)*(GMWQ!$NF$2:$NF$60=P$1),0),$E157-1966)</f>
        <v>29385</v>
      </c>
      <c r="Q157" s="13" cm="1">
        <f t="array" ref="Q157">INDEX(GMWQ!$A$2:$NF$60,MATCH(1,(GMWQ!$NE$2:$NE$60=Q$3)*(GMWQ!$ND$2:$ND$60=Q$4)*(GMWQ!$NF$2:$NF$60=Q$1),0),$E157-1966)</f>
        <v>29385</v>
      </c>
    </row>
    <row r="158" spans="1:17" x14ac:dyDescent="0.25">
      <c r="B158" s="13">
        <f t="shared" si="13"/>
        <v>2010</v>
      </c>
      <c r="C158" s="13">
        <f t="shared" si="13"/>
        <v>2010</v>
      </c>
      <c r="E158" s="13">
        <f t="shared" si="10"/>
        <v>2124</v>
      </c>
      <c r="F158" s="13" cm="1">
        <f t="array" ref="F158">INDEX(GMWQ!$A$2:$NF$60,MATCH(1,(GMWQ!$NE$2:$NE$60=F$3)*(GMWQ!$ND$2:$ND$60=F$4)*(GMWQ!$NF$2:$NF$60=F$1),0),$E158-1966)</f>
        <v>103.9308</v>
      </c>
      <c r="G158" s="13" cm="1">
        <f t="array" ref="G158">INDEX(GMWQ!$A$2:$NF$60,MATCH(1,(GMWQ!$NE$2:$NE$60=G$3)*(GMWQ!$ND$2:$ND$60=G$4)*(GMWQ!$NF$2:$NF$60=G$1),0),$E158-1966)</f>
        <v>17762</v>
      </c>
      <c r="H158" s="13" cm="1">
        <f t="array" ref="H158">INDEX(GMWQ!$A$2:$NF$60,MATCH(1,(GMWQ!$NE$2:$NE$60=H$3)*(GMWQ!$ND$2:$ND$60=H$4)*(GMWQ!$NF$2:$NF$60=H$1),0),$E158-1966)</f>
        <v>448</v>
      </c>
      <c r="I158" s="13" cm="1">
        <f t="array" ref="I158">INDEX(GMWQ!$A$2:$NF$60,MATCH(1,(GMWQ!$NE$2:$NE$60=I$3)*(GMWQ!$ND$2:$ND$60=I$4)*(GMWQ!$NF$2:$NF$60=I$1),0),$E158-1966)</f>
        <v>91218</v>
      </c>
      <c r="J158" s="13" cm="1">
        <f t="array" ref="J158">INDEX(GMWQ!$A$2:$NF$60,MATCH(1,(GMWQ!$NE$2:$NE$60=J$3)*(GMWQ!$ND$2:$ND$60=J$4)*(GMWQ!$NF$2:$NF$60=J$1),0),$E158-1966)</f>
        <v>406789</v>
      </c>
      <c r="K158" s="13" cm="1">
        <f t="array" ref="K158">INDEX(GMWQ!$A$2:$NF$60,MATCH(1,(GMWQ!$NE$2:$NE$60=K$3)*(GMWQ!$ND$2:$ND$60=K$4)*(GMWQ!$NF$2:$NF$60=K$1),0),$E158-1966)</f>
        <v>166084</v>
      </c>
      <c r="L158" s="13" cm="1">
        <f t="array" ref="L158">INDEX(GMWQ!$A$2:$NF$60,MATCH(1,(GMWQ!$NE$2:$NE$60=L$3)*(GMWQ!$ND$2:$ND$60=L$4)*(GMWQ!$NF$2:$NF$60=L$1),0),$E158-1966)</f>
        <v>268198</v>
      </c>
      <c r="M158" s="13" cm="1">
        <f t="array" ref="M158">INDEX(GMWQ!$A$2:$NF$60,MATCH(1,(GMWQ!$NE$2:$NE$60=M$3)*(GMWQ!$ND$2:$ND$60=M$4)*(GMWQ!$NF$2:$NF$60=M$1),0),$E158-1966)</f>
        <v>343460</v>
      </c>
      <c r="N158" s="13" cm="1">
        <f t="array" ref="N158">INDEX(GMWQ!$A$2:$NF$60,MATCH(1,(GMWQ!$NE$2:$NE$60=N$3)*(GMWQ!$ND$2:$ND$60=N$4)*(GMWQ!$NF$2:$NF$60=N$1),0),$E158-1966)</f>
        <v>77.98997</v>
      </c>
      <c r="O158" s="13" cm="1">
        <f t="array" ref="O158">INDEX(GMWQ!$A$2:$NF$60,MATCH(1,(GMWQ!$NE$2:$NE$60=O$3)*(GMWQ!$ND$2:$ND$60=O$4)*(GMWQ!$NF$2:$NF$60=O$1),0),$E158-1966)</f>
        <v>29324</v>
      </c>
      <c r="P158" s="13" cm="1">
        <f t="array" ref="P158">INDEX(GMWQ!$A$2:$NF$60,MATCH(1,(GMWQ!$NE$2:$NE$60=P$3)*(GMWQ!$ND$2:$ND$60=P$4)*(GMWQ!$NF$2:$NF$60=P$1),0),$E158-1966)</f>
        <v>29324</v>
      </c>
      <c r="Q158" s="13" cm="1">
        <f t="array" ref="Q158">INDEX(GMWQ!$A$2:$NF$60,MATCH(1,(GMWQ!$NE$2:$NE$60=Q$3)*(GMWQ!$ND$2:$ND$60=Q$4)*(GMWQ!$NF$2:$NF$60=Q$1),0),$E158-1966)</f>
        <v>29324</v>
      </c>
    </row>
    <row r="159" spans="1:17" x14ac:dyDescent="0.25">
      <c r="A159" s="13">
        <v>2011</v>
      </c>
      <c r="B159" s="13">
        <f t="shared" si="13"/>
        <v>2011</v>
      </c>
      <c r="C159" s="13">
        <f t="shared" si="13"/>
        <v>2010</v>
      </c>
      <c r="D159" s="13">
        <f t="shared" si="13"/>
        <v>2010</v>
      </c>
      <c r="E159" s="13">
        <f t="shared" si="10"/>
        <v>2125</v>
      </c>
      <c r="F159" s="13" cm="1">
        <f t="array" ref="F159">INDEX(GMWQ!$A$2:$NF$60,MATCH(1,(GMWQ!$NE$2:$NE$60=F$3)*(GMWQ!$ND$2:$ND$60=F$4)*(GMWQ!$NF$2:$NF$60=F$1),0),$E159-1966)</f>
        <v>106.2204</v>
      </c>
      <c r="G159" s="13" cm="1">
        <f t="array" ref="G159">INDEX(GMWQ!$A$2:$NF$60,MATCH(1,(GMWQ!$NE$2:$NE$60=G$3)*(GMWQ!$ND$2:$ND$60=G$4)*(GMWQ!$NF$2:$NF$60=G$1),0),$E159-1966)</f>
        <v>18475</v>
      </c>
      <c r="H159" s="13" cm="1">
        <f t="array" ref="H159">INDEX(GMWQ!$A$2:$NF$60,MATCH(1,(GMWQ!$NE$2:$NE$60=H$3)*(GMWQ!$ND$2:$ND$60=H$4)*(GMWQ!$NF$2:$NF$60=H$1),0),$E159-1966)</f>
        <v>454.66669999999999</v>
      </c>
      <c r="I159" s="13" cm="1">
        <f t="array" ref="I159">INDEX(GMWQ!$A$2:$NF$60,MATCH(1,(GMWQ!$NE$2:$NE$60=I$3)*(GMWQ!$ND$2:$ND$60=I$4)*(GMWQ!$NF$2:$NF$60=I$1),0),$E159-1966)</f>
        <v>89806</v>
      </c>
      <c r="J159" s="13" cm="1">
        <f t="array" ref="J159">INDEX(GMWQ!$A$2:$NF$60,MATCH(1,(GMWQ!$NE$2:$NE$60=J$3)*(GMWQ!$ND$2:$ND$60=J$4)*(GMWQ!$NF$2:$NF$60=J$1),0),$E159-1966)</f>
        <v>414806</v>
      </c>
      <c r="K159" s="13" cm="1">
        <f t="array" ref="K159">INDEX(GMWQ!$A$2:$NF$60,MATCH(1,(GMWQ!$NE$2:$NE$60=K$3)*(GMWQ!$ND$2:$ND$60=K$4)*(GMWQ!$NF$2:$NF$60=K$1),0),$E159-1966)</f>
        <v>170699</v>
      </c>
      <c r="L159" s="13" cm="1">
        <f t="array" ref="L159">INDEX(GMWQ!$A$2:$NF$60,MATCH(1,(GMWQ!$NE$2:$NE$60=L$3)*(GMWQ!$ND$2:$ND$60=L$4)*(GMWQ!$NF$2:$NF$60=L$1),0),$E159-1966)</f>
        <v>265811</v>
      </c>
      <c r="M159" s="13" cm="1">
        <f t="array" ref="M159">INDEX(GMWQ!$A$2:$NF$60,MATCH(1,(GMWQ!$NE$2:$NE$60=M$3)*(GMWQ!$ND$2:$ND$60=M$4)*(GMWQ!$NF$2:$NF$60=M$1),0),$E159-1966)</f>
        <v>334416</v>
      </c>
      <c r="N159" s="13" cm="1">
        <f t="array" ref="N159">INDEX(GMWQ!$A$2:$NF$60,MATCH(1,(GMWQ!$NE$2:$NE$60=N$3)*(GMWQ!$ND$2:$ND$60=N$4)*(GMWQ!$NF$2:$NF$60=N$1),0),$E159-1966)</f>
        <v>79.4221</v>
      </c>
      <c r="O159" s="13" cm="1">
        <f t="array" ref="O159">INDEX(GMWQ!$A$2:$NF$60,MATCH(1,(GMWQ!$NE$2:$NE$60=O$3)*(GMWQ!$ND$2:$ND$60=O$4)*(GMWQ!$NF$2:$NF$60=O$1),0),$E159-1966)</f>
        <v>29441</v>
      </c>
      <c r="P159" s="13" cm="1">
        <f t="array" ref="P159">INDEX(GMWQ!$A$2:$NF$60,MATCH(1,(GMWQ!$NE$2:$NE$60=P$3)*(GMWQ!$ND$2:$ND$60=P$4)*(GMWQ!$NF$2:$NF$60=P$1),0),$E159-1966)</f>
        <v>29441</v>
      </c>
      <c r="Q159" s="13" cm="1">
        <f t="array" ref="Q159">INDEX(GMWQ!$A$2:$NF$60,MATCH(1,(GMWQ!$NE$2:$NE$60=Q$3)*(GMWQ!$ND$2:$ND$60=Q$4)*(GMWQ!$NF$2:$NF$60=Q$1),0),$E159-1966)</f>
        <v>29441</v>
      </c>
    </row>
    <row r="160" spans="1:17" x14ac:dyDescent="0.25">
      <c r="B160" s="13">
        <f t="shared" si="13"/>
        <v>2011</v>
      </c>
      <c r="C160" s="13">
        <f t="shared" si="13"/>
        <v>2011</v>
      </c>
      <c r="E160" s="13">
        <f t="shared" si="10"/>
        <v>2126</v>
      </c>
      <c r="F160" s="13" cm="1">
        <f t="array" ref="F160">INDEX(GMWQ!$A$2:$NF$60,MATCH(1,(GMWQ!$NE$2:$NE$60=F$3)*(GMWQ!$ND$2:$ND$60=F$4)*(GMWQ!$NF$2:$NF$60=F$1),0),$E160-1966)</f>
        <v>105.1857</v>
      </c>
      <c r="G160" s="13" cm="1">
        <f t="array" ref="G160">INDEX(GMWQ!$A$2:$NF$60,MATCH(1,(GMWQ!$NE$2:$NE$60=G$3)*(GMWQ!$ND$2:$ND$60=G$4)*(GMWQ!$NF$2:$NF$60=G$1),0),$E160-1966)</f>
        <v>18242</v>
      </c>
      <c r="H160" s="13" cm="1">
        <f t="array" ref="H160">INDEX(GMWQ!$A$2:$NF$60,MATCH(1,(GMWQ!$NE$2:$NE$60=H$3)*(GMWQ!$ND$2:$ND$60=H$4)*(GMWQ!$NF$2:$NF$60=H$1),0),$E160-1966)</f>
        <v>453.33330000000001</v>
      </c>
      <c r="I160" s="13" cm="1">
        <f t="array" ref="I160">INDEX(GMWQ!$A$2:$NF$60,MATCH(1,(GMWQ!$NE$2:$NE$60=I$3)*(GMWQ!$ND$2:$ND$60=I$4)*(GMWQ!$NF$2:$NF$60=I$1),0),$E160-1966)</f>
        <v>90019</v>
      </c>
      <c r="J160" s="13" cm="1">
        <f t="array" ref="J160">INDEX(GMWQ!$A$2:$NF$60,MATCH(1,(GMWQ!$NE$2:$NE$60=J$3)*(GMWQ!$ND$2:$ND$60=J$4)*(GMWQ!$NF$2:$NF$60=J$1),0),$E160-1966)</f>
        <v>412364</v>
      </c>
      <c r="K160" s="13" cm="1">
        <f t="array" ref="K160">INDEX(GMWQ!$A$2:$NF$60,MATCH(1,(GMWQ!$NE$2:$NE$60=K$3)*(GMWQ!$ND$2:$ND$60=K$4)*(GMWQ!$NF$2:$NF$60=K$1),0),$E160-1966)</f>
        <v>168973</v>
      </c>
      <c r="L160" s="13" cm="1">
        <f t="array" ref="L160">INDEX(GMWQ!$A$2:$NF$60,MATCH(1,(GMWQ!$NE$2:$NE$60=L$3)*(GMWQ!$ND$2:$ND$60=L$4)*(GMWQ!$NF$2:$NF$60=L$1),0),$E160-1966)</f>
        <v>271167</v>
      </c>
      <c r="M160" s="13" cm="1">
        <f t="array" ref="M160">INDEX(GMWQ!$A$2:$NF$60,MATCH(1,(GMWQ!$NE$2:$NE$60=M$3)*(GMWQ!$ND$2:$ND$60=M$4)*(GMWQ!$NF$2:$NF$60=M$1),0),$E160-1966)</f>
        <v>339976</v>
      </c>
      <c r="N160" s="13" cm="1">
        <f t="array" ref="N160">INDEX(GMWQ!$A$2:$NF$60,MATCH(1,(GMWQ!$NE$2:$NE$60=N$3)*(GMWQ!$ND$2:$ND$60=N$4)*(GMWQ!$NF$2:$NF$60=N$1),0),$E160-1966)</f>
        <v>79.756460000000004</v>
      </c>
      <c r="O160" s="13" cm="1">
        <f t="array" ref="O160">INDEX(GMWQ!$A$2:$NF$60,MATCH(1,(GMWQ!$NE$2:$NE$60=O$3)*(GMWQ!$ND$2:$ND$60=O$4)*(GMWQ!$NF$2:$NF$60=O$1),0),$E160-1966)</f>
        <v>29447</v>
      </c>
      <c r="P160" s="13" cm="1">
        <f t="array" ref="P160">INDEX(GMWQ!$A$2:$NF$60,MATCH(1,(GMWQ!$NE$2:$NE$60=P$3)*(GMWQ!$ND$2:$ND$60=P$4)*(GMWQ!$NF$2:$NF$60=P$1),0),$E160-1966)</f>
        <v>29447</v>
      </c>
      <c r="Q160" s="13" cm="1">
        <f t="array" ref="Q160">INDEX(GMWQ!$A$2:$NF$60,MATCH(1,(GMWQ!$NE$2:$NE$60=Q$3)*(GMWQ!$ND$2:$ND$60=Q$4)*(GMWQ!$NF$2:$NF$60=Q$1),0),$E160-1966)</f>
        <v>29447</v>
      </c>
    </row>
    <row r="161" spans="1:17" x14ac:dyDescent="0.25">
      <c r="B161" s="13">
        <f t="shared" si="13"/>
        <v>2011</v>
      </c>
      <c r="C161" s="13">
        <f t="shared" si="13"/>
        <v>2011</v>
      </c>
      <c r="E161" s="13">
        <f t="shared" si="10"/>
        <v>2127</v>
      </c>
      <c r="F161" s="13" cm="1">
        <f t="array" ref="F161">INDEX(GMWQ!$A$2:$NF$60,MATCH(1,(GMWQ!$NE$2:$NE$60=F$3)*(GMWQ!$ND$2:$ND$60=F$4)*(GMWQ!$NF$2:$NF$60=F$1),0),$E161-1966)</f>
        <v>104.4241</v>
      </c>
      <c r="G161" s="13" cm="1">
        <f t="array" ref="G161">INDEX(GMWQ!$A$2:$NF$60,MATCH(1,(GMWQ!$NE$2:$NE$60=G$3)*(GMWQ!$ND$2:$ND$60=G$4)*(GMWQ!$NF$2:$NF$60=G$1),0),$E161-1966)</f>
        <v>18350</v>
      </c>
      <c r="H161" s="13" cm="1">
        <f t="array" ref="H161">INDEX(GMWQ!$A$2:$NF$60,MATCH(1,(GMWQ!$NE$2:$NE$60=H$3)*(GMWQ!$ND$2:$ND$60=H$4)*(GMWQ!$NF$2:$NF$60=H$1),0),$E161-1966)</f>
        <v>454.66669999999999</v>
      </c>
      <c r="I161" s="13" cm="1">
        <f t="array" ref="I161">INDEX(GMWQ!$A$2:$NF$60,MATCH(1,(GMWQ!$NE$2:$NE$60=I$3)*(GMWQ!$ND$2:$ND$60=I$4)*(GMWQ!$NF$2:$NF$60=I$1),0),$E161-1966)</f>
        <v>91757</v>
      </c>
      <c r="J161" s="13" cm="1">
        <f t="array" ref="J161">INDEX(GMWQ!$A$2:$NF$60,MATCH(1,(GMWQ!$NE$2:$NE$60=J$3)*(GMWQ!$ND$2:$ND$60=J$4)*(GMWQ!$NF$2:$NF$60=J$1),0),$E161-1966)</f>
        <v>416115</v>
      </c>
      <c r="K161" s="13" cm="1">
        <f t="array" ref="K161">INDEX(GMWQ!$A$2:$NF$60,MATCH(1,(GMWQ!$NE$2:$NE$60=K$3)*(GMWQ!$ND$2:$ND$60=K$4)*(GMWQ!$NF$2:$NF$60=K$1),0),$E161-1966)</f>
        <v>168143</v>
      </c>
      <c r="L161" s="13" cm="1">
        <f t="array" ref="L161">INDEX(GMWQ!$A$2:$NF$60,MATCH(1,(GMWQ!$NE$2:$NE$60=L$3)*(GMWQ!$ND$2:$ND$60=L$4)*(GMWQ!$NF$2:$NF$60=L$1),0),$E161-1966)</f>
        <v>273285</v>
      </c>
      <c r="M161" s="13" cm="1">
        <f t="array" ref="M161">INDEX(GMWQ!$A$2:$NF$60,MATCH(1,(GMWQ!$NE$2:$NE$60=M$3)*(GMWQ!$ND$2:$ND$60=M$4)*(GMWQ!$NF$2:$NF$60=M$1),0),$E161-1966)</f>
        <v>339972</v>
      </c>
      <c r="N161" s="13" cm="1">
        <f t="array" ref="N161">INDEX(GMWQ!$A$2:$NF$60,MATCH(1,(GMWQ!$NE$2:$NE$60=N$3)*(GMWQ!$ND$2:$ND$60=N$4)*(GMWQ!$NF$2:$NF$60=N$1),0),$E161-1966)</f>
        <v>80.362750000000005</v>
      </c>
      <c r="O161" s="13" cm="1">
        <f t="array" ref="O161">INDEX(GMWQ!$A$2:$NF$60,MATCH(1,(GMWQ!$NE$2:$NE$60=O$3)*(GMWQ!$ND$2:$ND$60=O$4)*(GMWQ!$NF$2:$NF$60=O$1),0),$E161-1966)</f>
        <v>29284</v>
      </c>
      <c r="P161" s="13" cm="1">
        <f t="array" ref="P161">INDEX(GMWQ!$A$2:$NF$60,MATCH(1,(GMWQ!$NE$2:$NE$60=P$3)*(GMWQ!$ND$2:$ND$60=P$4)*(GMWQ!$NF$2:$NF$60=P$1),0),$E161-1966)</f>
        <v>29283</v>
      </c>
      <c r="Q161" s="13" cm="1">
        <f t="array" ref="Q161">INDEX(GMWQ!$A$2:$NF$60,MATCH(1,(GMWQ!$NE$2:$NE$60=Q$3)*(GMWQ!$ND$2:$ND$60=Q$4)*(GMWQ!$NF$2:$NF$60=Q$1),0),$E161-1966)</f>
        <v>29281</v>
      </c>
    </row>
    <row r="162" spans="1:17" x14ac:dyDescent="0.25">
      <c r="B162" s="13">
        <f t="shared" si="13"/>
        <v>2011</v>
      </c>
      <c r="C162" s="13">
        <f t="shared" si="13"/>
        <v>2011</v>
      </c>
      <c r="E162" s="13">
        <f t="shared" si="10"/>
        <v>2128</v>
      </c>
      <c r="F162" s="13" cm="1">
        <f t="array" ref="F162">INDEX(GMWQ!$A$2:$NF$60,MATCH(1,(GMWQ!$NE$2:$NE$60=F$3)*(GMWQ!$ND$2:$ND$60=F$4)*(GMWQ!$NF$2:$NF$60=F$1),0),$E162-1966)</f>
        <v>104.49979999999999</v>
      </c>
      <c r="G162" s="13" cm="1">
        <f t="array" ref="G162">INDEX(GMWQ!$A$2:$NF$60,MATCH(1,(GMWQ!$NE$2:$NE$60=G$3)*(GMWQ!$ND$2:$ND$60=G$4)*(GMWQ!$NF$2:$NF$60=G$1),0),$E162-1966)</f>
        <v>18382</v>
      </c>
      <c r="H162" s="13" cm="1">
        <f t="array" ref="H162">INDEX(GMWQ!$A$2:$NF$60,MATCH(1,(GMWQ!$NE$2:$NE$60=H$3)*(GMWQ!$ND$2:$ND$60=H$4)*(GMWQ!$NF$2:$NF$60=H$1),0),$E162-1966)</f>
        <v>456.66669999999999</v>
      </c>
      <c r="I162" s="13" cm="1">
        <f t="array" ref="I162">INDEX(GMWQ!$A$2:$NF$60,MATCH(1,(GMWQ!$NE$2:$NE$60=I$3)*(GMWQ!$ND$2:$ND$60=I$4)*(GMWQ!$NF$2:$NF$60=I$1),0),$E162-1966)</f>
        <v>95118</v>
      </c>
      <c r="J162" s="13" cm="1">
        <f t="array" ref="J162">INDEX(GMWQ!$A$2:$NF$60,MATCH(1,(GMWQ!$NE$2:$NE$60=J$3)*(GMWQ!$ND$2:$ND$60=J$4)*(GMWQ!$NF$2:$NF$60=J$1),0),$E162-1966)</f>
        <v>419305</v>
      </c>
      <c r="K162" s="13" cm="1">
        <f t="array" ref="K162">INDEX(GMWQ!$A$2:$NF$60,MATCH(1,(GMWQ!$NE$2:$NE$60=K$3)*(GMWQ!$ND$2:$ND$60=K$4)*(GMWQ!$NF$2:$NF$60=K$1),0),$E162-1966)</f>
        <v>168220</v>
      </c>
      <c r="L162" s="13" cm="1">
        <f t="array" ref="L162">INDEX(GMWQ!$A$2:$NF$60,MATCH(1,(GMWQ!$NE$2:$NE$60=L$3)*(GMWQ!$ND$2:$ND$60=L$4)*(GMWQ!$NF$2:$NF$60=L$1),0),$E162-1966)</f>
        <v>273407</v>
      </c>
      <c r="M162" s="13" cm="1">
        <f t="array" ref="M162">INDEX(GMWQ!$A$2:$NF$60,MATCH(1,(GMWQ!$NE$2:$NE$60=M$3)*(GMWQ!$ND$2:$ND$60=M$4)*(GMWQ!$NF$2:$NF$60=M$1),0),$E162-1966)</f>
        <v>337625</v>
      </c>
      <c r="N162" s="13" cm="1">
        <f t="array" ref="N162">INDEX(GMWQ!$A$2:$NF$60,MATCH(1,(GMWQ!$NE$2:$NE$60=N$3)*(GMWQ!$ND$2:$ND$60=N$4)*(GMWQ!$NF$2:$NF$60=N$1),0),$E162-1966)</f>
        <v>80.965869999999995</v>
      </c>
      <c r="O162" s="13" cm="1">
        <f t="array" ref="O162">INDEX(GMWQ!$A$2:$NF$60,MATCH(1,(GMWQ!$NE$2:$NE$60=O$3)*(GMWQ!$ND$2:$ND$60=O$4)*(GMWQ!$NF$2:$NF$60=O$1),0),$E162-1966)</f>
        <v>29352</v>
      </c>
      <c r="P162" s="13" cm="1">
        <f t="array" ref="P162">INDEX(GMWQ!$A$2:$NF$60,MATCH(1,(GMWQ!$NE$2:$NE$60=P$3)*(GMWQ!$ND$2:$ND$60=P$4)*(GMWQ!$NF$2:$NF$60=P$1),0),$E162-1966)</f>
        <v>29349</v>
      </c>
      <c r="Q162" s="13" cm="1">
        <f t="array" ref="Q162">INDEX(GMWQ!$A$2:$NF$60,MATCH(1,(GMWQ!$NE$2:$NE$60=Q$3)*(GMWQ!$ND$2:$ND$60=Q$4)*(GMWQ!$NF$2:$NF$60=Q$1),0),$E162-1966)</f>
        <v>29342</v>
      </c>
    </row>
    <row r="163" spans="1:17" x14ac:dyDescent="0.25">
      <c r="A163" s="13">
        <v>2012</v>
      </c>
      <c r="B163" s="13">
        <f t="shared" si="13"/>
        <v>2012</v>
      </c>
      <c r="C163" s="13">
        <f t="shared" si="13"/>
        <v>2011</v>
      </c>
      <c r="D163" s="13">
        <f t="shared" si="13"/>
        <v>2011</v>
      </c>
      <c r="E163" s="13">
        <f t="shared" si="10"/>
        <v>2129</v>
      </c>
      <c r="F163" s="13" cm="1">
        <f t="array" ref="F163">INDEX(GMWQ!$A$2:$NF$60,MATCH(1,(GMWQ!$NE$2:$NE$60=F$3)*(GMWQ!$ND$2:$ND$60=F$4)*(GMWQ!$NF$2:$NF$60=F$1),0),$E163-1966)</f>
        <v>105.1093</v>
      </c>
      <c r="G163" s="13" cm="1">
        <f t="array" ref="G163">INDEX(GMWQ!$A$2:$NF$60,MATCH(1,(GMWQ!$NE$2:$NE$60=G$3)*(GMWQ!$ND$2:$ND$60=G$4)*(GMWQ!$NF$2:$NF$60=G$1),0),$E163-1966)</f>
        <v>18603</v>
      </c>
      <c r="H163" s="13" cm="1">
        <f t="array" ref="H163">INDEX(GMWQ!$A$2:$NF$60,MATCH(1,(GMWQ!$NE$2:$NE$60=H$3)*(GMWQ!$ND$2:$ND$60=H$4)*(GMWQ!$NF$2:$NF$60=H$1),0),$E163-1966)</f>
        <v>457</v>
      </c>
      <c r="I163" s="13" cm="1">
        <f t="array" ref="I163">INDEX(GMWQ!$A$2:$NF$60,MATCH(1,(GMWQ!$NE$2:$NE$60=I$3)*(GMWQ!$ND$2:$ND$60=I$4)*(GMWQ!$NF$2:$NF$60=I$1),0),$E163-1966)</f>
        <v>93359</v>
      </c>
      <c r="J163" s="13" cm="1">
        <f t="array" ref="J163">INDEX(GMWQ!$A$2:$NF$60,MATCH(1,(GMWQ!$NE$2:$NE$60=J$3)*(GMWQ!$ND$2:$ND$60=J$4)*(GMWQ!$NF$2:$NF$60=J$1),0),$E163-1966)</f>
        <v>424540</v>
      </c>
      <c r="K163" s="13" cm="1">
        <f t="array" ref="K163">INDEX(GMWQ!$A$2:$NF$60,MATCH(1,(GMWQ!$NE$2:$NE$60=K$3)*(GMWQ!$ND$2:$ND$60=K$4)*(GMWQ!$NF$2:$NF$60=K$1),0),$E163-1966)</f>
        <v>170232</v>
      </c>
      <c r="L163" s="13" cm="1">
        <f t="array" ref="L163">INDEX(GMWQ!$A$2:$NF$60,MATCH(1,(GMWQ!$NE$2:$NE$60=L$3)*(GMWQ!$ND$2:$ND$60=L$4)*(GMWQ!$NF$2:$NF$60=L$1),0),$E163-1966)</f>
        <v>279309</v>
      </c>
      <c r="M163" s="13" cm="1">
        <f t="array" ref="M163">INDEX(GMWQ!$A$2:$NF$60,MATCH(1,(GMWQ!$NE$2:$NE$60=M$3)*(GMWQ!$ND$2:$ND$60=M$4)*(GMWQ!$NF$2:$NF$60=M$1),0),$E163-1966)</f>
        <v>344680</v>
      </c>
      <c r="N163" s="13" cm="1">
        <f t="array" ref="N163">INDEX(GMWQ!$A$2:$NF$60,MATCH(1,(GMWQ!$NE$2:$NE$60=N$3)*(GMWQ!$ND$2:$ND$60=N$4)*(GMWQ!$NF$2:$NF$60=N$1),0),$E163-1966)</f>
        <v>81.013279999999995</v>
      </c>
      <c r="O163" s="13" cm="1">
        <f t="array" ref="O163">INDEX(GMWQ!$A$2:$NF$60,MATCH(1,(GMWQ!$NE$2:$NE$60=O$3)*(GMWQ!$ND$2:$ND$60=O$4)*(GMWQ!$NF$2:$NF$60=O$1),0),$E163-1966)</f>
        <v>29470</v>
      </c>
      <c r="P163" s="13" cm="1">
        <f t="array" ref="P163">INDEX(GMWQ!$A$2:$NF$60,MATCH(1,(GMWQ!$NE$2:$NE$60=P$3)*(GMWQ!$ND$2:$ND$60=P$4)*(GMWQ!$NF$2:$NF$60=P$1),0),$E163-1966)</f>
        <v>29464</v>
      </c>
      <c r="Q163" s="13" cm="1">
        <f t="array" ref="Q163">INDEX(GMWQ!$A$2:$NF$60,MATCH(1,(GMWQ!$NE$2:$NE$60=Q$3)*(GMWQ!$ND$2:$ND$60=Q$4)*(GMWQ!$NF$2:$NF$60=Q$1),0),$E163-1966)</f>
        <v>29454</v>
      </c>
    </row>
    <row r="164" spans="1:17" x14ac:dyDescent="0.25">
      <c r="B164" s="13">
        <f t="shared" si="13"/>
        <v>2012</v>
      </c>
      <c r="C164" s="13">
        <f t="shared" si="13"/>
        <v>2012</v>
      </c>
      <c r="E164" s="13">
        <f t="shared" si="10"/>
        <v>2130</v>
      </c>
      <c r="F164" s="13" cm="1">
        <f t="array" ref="F164">INDEX(GMWQ!$A$2:$NF$60,MATCH(1,(GMWQ!$NE$2:$NE$60=F$3)*(GMWQ!$ND$2:$ND$60=F$4)*(GMWQ!$NF$2:$NF$60=F$1),0),$E164-1966)</f>
        <v>105.9355</v>
      </c>
      <c r="G164" s="13" cm="1">
        <f t="array" ref="G164">INDEX(GMWQ!$A$2:$NF$60,MATCH(1,(GMWQ!$NE$2:$NE$60=G$3)*(GMWQ!$ND$2:$ND$60=G$4)*(GMWQ!$NF$2:$NF$60=G$1),0),$E164-1966)</f>
        <v>19029</v>
      </c>
      <c r="H164" s="13" cm="1">
        <f t="array" ref="H164">INDEX(GMWQ!$A$2:$NF$60,MATCH(1,(GMWQ!$NE$2:$NE$60=H$3)*(GMWQ!$ND$2:$ND$60=H$4)*(GMWQ!$NF$2:$NF$60=H$1),0),$E164-1966)</f>
        <v>460.66669999999999</v>
      </c>
      <c r="I164" s="13" cm="1">
        <f t="array" ref="I164">INDEX(GMWQ!$A$2:$NF$60,MATCH(1,(GMWQ!$NE$2:$NE$60=I$3)*(GMWQ!$ND$2:$ND$60=I$4)*(GMWQ!$NF$2:$NF$60=I$1),0),$E164-1966)</f>
        <v>92968</v>
      </c>
      <c r="J164" s="13" cm="1">
        <f t="array" ref="J164">INDEX(GMWQ!$A$2:$NF$60,MATCH(1,(GMWQ!$NE$2:$NE$60=J$3)*(GMWQ!$ND$2:$ND$60=J$4)*(GMWQ!$NF$2:$NF$60=J$1),0),$E164-1966)</f>
        <v>424939</v>
      </c>
      <c r="K164" s="13" cm="1">
        <f t="array" ref="K164">INDEX(GMWQ!$A$2:$NF$60,MATCH(1,(GMWQ!$NE$2:$NE$60=K$3)*(GMWQ!$ND$2:$ND$60=K$4)*(GMWQ!$NF$2:$NF$60=K$1),0),$E164-1966)</f>
        <v>171221</v>
      </c>
      <c r="L164" s="13" cm="1">
        <f t="array" ref="L164">INDEX(GMWQ!$A$2:$NF$60,MATCH(1,(GMWQ!$NE$2:$NE$60=L$3)*(GMWQ!$ND$2:$ND$60=L$4)*(GMWQ!$NF$2:$NF$60=L$1),0),$E164-1966)</f>
        <v>283629</v>
      </c>
      <c r="M164" s="13" cm="1">
        <f t="array" ref="M164">INDEX(GMWQ!$A$2:$NF$60,MATCH(1,(GMWQ!$NE$2:$NE$60=M$3)*(GMWQ!$ND$2:$ND$60=M$4)*(GMWQ!$NF$2:$NF$60=M$1),0),$E164-1966)</f>
        <v>348062</v>
      </c>
      <c r="N164" s="13" cm="1">
        <f t="array" ref="N164">INDEX(GMWQ!$A$2:$NF$60,MATCH(1,(GMWQ!$NE$2:$NE$60=N$3)*(GMWQ!$ND$2:$ND$60=N$4)*(GMWQ!$NF$2:$NF$60=N$1),0),$E164-1966)</f>
        <v>81.476389999999995</v>
      </c>
      <c r="O164" s="13" cm="1">
        <f t="array" ref="O164">INDEX(GMWQ!$A$2:$NF$60,MATCH(1,(GMWQ!$NE$2:$NE$60=O$3)*(GMWQ!$ND$2:$ND$60=O$4)*(GMWQ!$NF$2:$NF$60=O$1),0),$E164-1966)</f>
        <v>29689</v>
      </c>
      <c r="P164" s="13" cm="1">
        <f t="array" ref="P164">INDEX(GMWQ!$A$2:$NF$60,MATCH(1,(GMWQ!$NE$2:$NE$60=P$3)*(GMWQ!$ND$2:$ND$60=P$4)*(GMWQ!$NF$2:$NF$60=P$1),0),$E164-1966)</f>
        <v>29681</v>
      </c>
      <c r="Q164" s="13" cm="1">
        <f t="array" ref="Q164">INDEX(GMWQ!$A$2:$NF$60,MATCH(1,(GMWQ!$NE$2:$NE$60=Q$3)*(GMWQ!$ND$2:$ND$60=Q$4)*(GMWQ!$NF$2:$NF$60=Q$1),0),$E164-1966)</f>
        <v>29667</v>
      </c>
    </row>
    <row r="165" spans="1:17" x14ac:dyDescent="0.25">
      <c r="B165" s="13">
        <f t="shared" si="13"/>
        <v>2012</v>
      </c>
      <c r="C165" s="13">
        <f t="shared" si="13"/>
        <v>2012</v>
      </c>
      <c r="E165" s="13">
        <f t="shared" si="10"/>
        <v>2131</v>
      </c>
      <c r="F165" s="13" cm="1">
        <f t="array" ref="F165">INDEX(GMWQ!$A$2:$NF$60,MATCH(1,(GMWQ!$NE$2:$NE$60=F$3)*(GMWQ!$ND$2:$ND$60=F$4)*(GMWQ!$NF$2:$NF$60=F$1),0),$E165-1966)</f>
        <v>105.08540000000001</v>
      </c>
      <c r="G165" s="13" cm="1">
        <f t="array" ref="G165">INDEX(GMWQ!$A$2:$NF$60,MATCH(1,(GMWQ!$NE$2:$NE$60=G$3)*(GMWQ!$ND$2:$ND$60=G$4)*(GMWQ!$NF$2:$NF$60=G$1),0),$E165-1966)</f>
        <v>19095</v>
      </c>
      <c r="H165" s="13" cm="1">
        <f t="array" ref="H165">INDEX(GMWQ!$A$2:$NF$60,MATCH(1,(GMWQ!$NE$2:$NE$60=H$3)*(GMWQ!$ND$2:$ND$60=H$4)*(GMWQ!$NF$2:$NF$60=H$1),0),$E165-1966)</f>
        <v>463</v>
      </c>
      <c r="I165" s="13" cm="1">
        <f t="array" ref="I165">INDEX(GMWQ!$A$2:$NF$60,MATCH(1,(GMWQ!$NE$2:$NE$60=I$3)*(GMWQ!$ND$2:$ND$60=I$4)*(GMWQ!$NF$2:$NF$60=I$1),0),$E165-1966)</f>
        <v>98031</v>
      </c>
      <c r="J165" s="13" cm="1">
        <f t="array" ref="J165">INDEX(GMWQ!$A$2:$NF$60,MATCH(1,(GMWQ!$NE$2:$NE$60=J$3)*(GMWQ!$ND$2:$ND$60=J$4)*(GMWQ!$NF$2:$NF$60=J$1),0),$E165-1966)</f>
        <v>430964</v>
      </c>
      <c r="K165" s="13" cm="1">
        <f t="array" ref="K165">INDEX(GMWQ!$A$2:$NF$60,MATCH(1,(GMWQ!$NE$2:$NE$60=K$3)*(GMWQ!$ND$2:$ND$60=K$4)*(GMWQ!$NF$2:$NF$60=K$1),0),$E165-1966)</f>
        <v>171212</v>
      </c>
      <c r="L165" s="13" cm="1">
        <f t="array" ref="L165">INDEX(GMWQ!$A$2:$NF$60,MATCH(1,(GMWQ!$NE$2:$NE$60=L$3)*(GMWQ!$ND$2:$ND$60=L$4)*(GMWQ!$NF$2:$NF$60=L$1),0),$E165-1966)</f>
        <v>282123</v>
      </c>
      <c r="M165" s="13" cm="1">
        <f t="array" ref="M165">INDEX(GMWQ!$A$2:$NF$60,MATCH(1,(GMWQ!$NE$2:$NE$60=M$3)*(GMWQ!$ND$2:$ND$60=M$4)*(GMWQ!$NF$2:$NF$60=M$1),0),$E165-1966)</f>
        <v>346678</v>
      </c>
      <c r="N165" s="13" cm="1">
        <f t="array" ref="N165">INDEX(GMWQ!$A$2:$NF$60,MATCH(1,(GMWQ!$NE$2:$NE$60=N$3)*(GMWQ!$ND$2:$ND$60=N$4)*(GMWQ!$NF$2:$NF$60=N$1),0),$E165-1966)</f>
        <v>81.39188</v>
      </c>
      <c r="O165" s="13" cm="1">
        <f t="array" ref="O165">INDEX(GMWQ!$A$2:$NF$60,MATCH(1,(GMWQ!$NE$2:$NE$60=O$3)*(GMWQ!$ND$2:$ND$60=O$4)*(GMWQ!$NF$2:$NF$60=O$1),0),$E165-1966)</f>
        <v>29788</v>
      </c>
      <c r="P165" s="13" cm="1">
        <f t="array" ref="P165">INDEX(GMWQ!$A$2:$NF$60,MATCH(1,(GMWQ!$NE$2:$NE$60=P$3)*(GMWQ!$ND$2:$ND$60=P$4)*(GMWQ!$NF$2:$NF$60=P$1),0),$E165-1966)</f>
        <v>29778</v>
      </c>
      <c r="Q165" s="13" cm="1">
        <f t="array" ref="Q165">INDEX(GMWQ!$A$2:$NF$60,MATCH(1,(GMWQ!$NE$2:$NE$60=Q$3)*(GMWQ!$ND$2:$ND$60=Q$4)*(GMWQ!$NF$2:$NF$60=Q$1),0),$E165-1966)</f>
        <v>29759</v>
      </c>
    </row>
    <row r="166" spans="1:17" x14ac:dyDescent="0.25">
      <c r="B166" s="13">
        <f t="shared" si="13"/>
        <v>2012</v>
      </c>
      <c r="C166" s="13">
        <f t="shared" si="13"/>
        <v>2012</v>
      </c>
      <c r="E166" s="13">
        <f t="shared" si="10"/>
        <v>2132</v>
      </c>
      <c r="F166" s="13" cm="1">
        <f t="array" ref="F166">INDEX(GMWQ!$A$2:$NF$60,MATCH(1,(GMWQ!$NE$2:$NE$60=F$3)*(GMWQ!$ND$2:$ND$60=F$4)*(GMWQ!$NF$2:$NF$60=F$1),0),$E166-1966)</f>
        <v>105.78</v>
      </c>
      <c r="G166" s="13" cm="1">
        <f t="array" ref="G166">INDEX(GMWQ!$A$2:$NF$60,MATCH(1,(GMWQ!$NE$2:$NE$60=G$3)*(GMWQ!$ND$2:$ND$60=G$4)*(GMWQ!$NF$2:$NF$60=G$1),0),$E166-1966)</f>
        <v>18982</v>
      </c>
      <c r="H166" s="13" cm="1">
        <f t="array" ref="H166">INDEX(GMWQ!$A$2:$NF$60,MATCH(1,(GMWQ!$NE$2:$NE$60=H$3)*(GMWQ!$ND$2:$ND$60=H$4)*(GMWQ!$NF$2:$NF$60=H$1),0),$E166-1966)</f>
        <v>462</v>
      </c>
      <c r="I166" s="13" cm="1">
        <f t="array" ref="I166">INDEX(GMWQ!$A$2:$NF$60,MATCH(1,(GMWQ!$NE$2:$NE$60=I$3)*(GMWQ!$ND$2:$ND$60=I$4)*(GMWQ!$NF$2:$NF$60=I$1),0),$E166-1966)</f>
        <v>98174</v>
      </c>
      <c r="J166" s="13" cm="1">
        <f t="array" ref="J166">INDEX(GMWQ!$A$2:$NF$60,MATCH(1,(GMWQ!$NE$2:$NE$60=J$3)*(GMWQ!$ND$2:$ND$60=J$4)*(GMWQ!$NF$2:$NF$60=J$1),0),$E166-1966)</f>
        <v>433272</v>
      </c>
      <c r="K166" s="13" cm="1">
        <f t="array" ref="K166">INDEX(GMWQ!$A$2:$NF$60,MATCH(1,(GMWQ!$NE$2:$NE$60=K$3)*(GMWQ!$ND$2:$ND$60=K$4)*(GMWQ!$NF$2:$NF$60=K$1),0),$E166-1966)</f>
        <v>172650</v>
      </c>
      <c r="L166" s="13" cm="1">
        <f t="array" ref="L166">INDEX(GMWQ!$A$2:$NF$60,MATCH(1,(GMWQ!$NE$2:$NE$60=L$3)*(GMWQ!$ND$2:$ND$60=L$4)*(GMWQ!$NF$2:$NF$60=L$1),0),$E166-1966)</f>
        <v>283875</v>
      </c>
      <c r="M166" s="13" cm="1">
        <f t="array" ref="M166">INDEX(GMWQ!$A$2:$NF$60,MATCH(1,(GMWQ!$NE$2:$NE$60=M$3)*(GMWQ!$ND$2:$ND$60=M$4)*(GMWQ!$NF$2:$NF$60=M$1),0),$E166-1966)</f>
        <v>345765</v>
      </c>
      <c r="N166" s="13" cm="1">
        <f t="array" ref="N166">INDEX(GMWQ!$A$2:$NF$60,MATCH(1,(GMWQ!$NE$2:$NE$60=N$3)*(GMWQ!$ND$2:$ND$60=N$4)*(GMWQ!$NF$2:$NF$60=N$1),0),$E166-1966)</f>
        <v>81.973290000000006</v>
      </c>
      <c r="O166" s="13" cm="1">
        <f t="array" ref="O166">INDEX(GMWQ!$A$2:$NF$60,MATCH(1,(GMWQ!$NE$2:$NE$60=O$3)*(GMWQ!$ND$2:$ND$60=O$4)*(GMWQ!$NF$2:$NF$60=O$1),0),$E166-1966)</f>
        <v>29945</v>
      </c>
      <c r="P166" s="13" cm="1">
        <f t="array" ref="P166">INDEX(GMWQ!$A$2:$NF$60,MATCH(1,(GMWQ!$NE$2:$NE$60=P$3)*(GMWQ!$ND$2:$ND$60=P$4)*(GMWQ!$NF$2:$NF$60=P$1),0),$E166-1966)</f>
        <v>29932</v>
      </c>
      <c r="Q166" s="13" cm="1">
        <f t="array" ref="Q166">INDEX(GMWQ!$A$2:$NF$60,MATCH(1,(GMWQ!$NE$2:$NE$60=Q$3)*(GMWQ!$ND$2:$ND$60=Q$4)*(GMWQ!$NF$2:$NF$60=Q$1),0),$E166-1966)</f>
        <v>29908</v>
      </c>
    </row>
    <row r="167" spans="1:17" x14ac:dyDescent="0.25">
      <c r="A167" s="13">
        <v>2013</v>
      </c>
      <c r="B167" s="13">
        <f t="shared" si="13"/>
        <v>2013</v>
      </c>
      <c r="C167" s="13">
        <f t="shared" si="13"/>
        <v>2012</v>
      </c>
      <c r="D167" s="13">
        <f t="shared" si="13"/>
        <v>2012</v>
      </c>
      <c r="E167" s="13">
        <f t="shared" si="10"/>
        <v>2133</v>
      </c>
      <c r="F167" s="13" cm="1">
        <f t="array" ref="F167">INDEX(GMWQ!$A$2:$NF$60,MATCH(1,(GMWQ!$NE$2:$NE$60=F$3)*(GMWQ!$ND$2:$ND$60=F$4)*(GMWQ!$NF$2:$NF$60=F$1),0),$E167-1966)</f>
        <v>105.813</v>
      </c>
      <c r="G167" s="13" cm="1">
        <f t="array" ref="G167">INDEX(GMWQ!$A$2:$NF$60,MATCH(1,(GMWQ!$NE$2:$NE$60=G$3)*(GMWQ!$ND$2:$ND$60=G$4)*(GMWQ!$NF$2:$NF$60=G$1),0),$E167-1966)</f>
        <v>18597</v>
      </c>
      <c r="H167" s="13" cm="1">
        <f t="array" ref="H167">INDEX(GMWQ!$A$2:$NF$60,MATCH(1,(GMWQ!$NE$2:$NE$60=H$3)*(GMWQ!$ND$2:$ND$60=H$4)*(GMWQ!$NF$2:$NF$60=H$1),0),$E167-1966)</f>
        <v>459.33330000000001</v>
      </c>
      <c r="I167" s="13" cm="1">
        <f t="array" ref="I167">INDEX(GMWQ!$A$2:$NF$60,MATCH(1,(GMWQ!$NE$2:$NE$60=I$3)*(GMWQ!$ND$2:$ND$60=I$4)*(GMWQ!$NF$2:$NF$60=I$1),0),$E167-1966)</f>
        <v>100765</v>
      </c>
      <c r="J167" s="13" cm="1">
        <f t="array" ref="J167">INDEX(GMWQ!$A$2:$NF$60,MATCH(1,(GMWQ!$NE$2:$NE$60=J$3)*(GMWQ!$ND$2:$ND$60=J$4)*(GMWQ!$NF$2:$NF$60=J$1),0),$E167-1966)</f>
        <v>438283</v>
      </c>
      <c r="K167" s="13" cm="1">
        <f t="array" ref="K167">INDEX(GMWQ!$A$2:$NF$60,MATCH(1,(GMWQ!$NE$2:$NE$60=K$3)*(GMWQ!$ND$2:$ND$60=K$4)*(GMWQ!$NF$2:$NF$60=K$1),0),$E167-1966)</f>
        <v>173499</v>
      </c>
      <c r="L167" s="13" cm="1">
        <f t="array" ref="L167">INDEX(GMWQ!$A$2:$NF$60,MATCH(1,(GMWQ!$NE$2:$NE$60=L$3)*(GMWQ!$ND$2:$ND$60=L$4)*(GMWQ!$NF$2:$NF$60=L$1),0),$E167-1966)</f>
        <v>284075</v>
      </c>
      <c r="M167" s="13" cm="1">
        <f t="array" ref="M167">INDEX(GMWQ!$A$2:$NF$60,MATCH(1,(GMWQ!$NE$2:$NE$60=M$3)*(GMWQ!$ND$2:$ND$60=M$4)*(GMWQ!$NF$2:$NF$60=M$1),0),$E167-1966)</f>
        <v>342890</v>
      </c>
      <c r="N167" s="13" cm="1">
        <f t="array" ref="N167">INDEX(GMWQ!$A$2:$NF$60,MATCH(1,(GMWQ!$NE$2:$NE$60=N$3)*(GMWQ!$ND$2:$ND$60=N$4)*(GMWQ!$NF$2:$NF$60=N$1),0),$E167-1966)</f>
        <v>82.801770000000005</v>
      </c>
      <c r="O167" s="13" cm="1">
        <f t="array" ref="O167">INDEX(GMWQ!$A$2:$NF$60,MATCH(1,(GMWQ!$NE$2:$NE$60=O$3)*(GMWQ!$ND$2:$ND$60=O$4)*(GMWQ!$NF$2:$NF$60=O$1),0),$E167-1966)</f>
        <v>29884</v>
      </c>
      <c r="P167" s="13" cm="1">
        <f t="array" ref="P167">INDEX(GMWQ!$A$2:$NF$60,MATCH(1,(GMWQ!$NE$2:$NE$60=P$3)*(GMWQ!$ND$2:$ND$60=P$4)*(GMWQ!$NF$2:$NF$60=P$1),0),$E167-1966)</f>
        <v>29869</v>
      </c>
      <c r="Q167" s="13" cm="1">
        <f t="array" ref="Q167">INDEX(GMWQ!$A$2:$NF$60,MATCH(1,(GMWQ!$NE$2:$NE$60=Q$3)*(GMWQ!$ND$2:$ND$60=Q$4)*(GMWQ!$NF$2:$NF$60=Q$1),0),$E167-1966)</f>
        <v>29839</v>
      </c>
    </row>
    <row r="168" spans="1:17" x14ac:dyDescent="0.25">
      <c r="B168" s="13">
        <f t="shared" si="13"/>
        <v>2013</v>
      </c>
      <c r="C168" s="13">
        <f t="shared" si="13"/>
        <v>2013</v>
      </c>
      <c r="E168" s="13">
        <f t="shared" si="10"/>
        <v>2134</v>
      </c>
      <c r="F168" s="13" cm="1">
        <f t="array" ref="F168">INDEX(GMWQ!$A$2:$NF$60,MATCH(1,(GMWQ!$NE$2:$NE$60=F$3)*(GMWQ!$ND$2:$ND$60=F$4)*(GMWQ!$NF$2:$NF$60=F$1),0),$E168-1966)</f>
        <v>108.6726</v>
      </c>
      <c r="G168" s="13" cm="1">
        <f t="array" ref="G168">INDEX(GMWQ!$A$2:$NF$60,MATCH(1,(GMWQ!$NE$2:$NE$60=G$3)*(GMWQ!$ND$2:$ND$60=G$4)*(GMWQ!$NF$2:$NF$60=G$1),0),$E168-1966)</f>
        <v>19598</v>
      </c>
      <c r="H168" s="13" cm="1">
        <f t="array" ref="H168">INDEX(GMWQ!$A$2:$NF$60,MATCH(1,(GMWQ!$NE$2:$NE$60=H$3)*(GMWQ!$ND$2:$ND$60=H$4)*(GMWQ!$NF$2:$NF$60=H$1),0),$E168-1966)</f>
        <v>470.33330000000001</v>
      </c>
      <c r="I168" s="13" cm="1">
        <f t="array" ref="I168">INDEX(GMWQ!$A$2:$NF$60,MATCH(1,(GMWQ!$NE$2:$NE$60=I$3)*(GMWQ!$ND$2:$ND$60=I$4)*(GMWQ!$NF$2:$NF$60=I$1),0),$E168-1966)</f>
        <v>96733</v>
      </c>
      <c r="J168" s="13" cm="1">
        <f t="array" ref="J168">INDEX(GMWQ!$A$2:$NF$60,MATCH(1,(GMWQ!$NE$2:$NE$60=J$3)*(GMWQ!$ND$2:$ND$60=J$4)*(GMWQ!$NF$2:$NF$60=J$1),0),$E168-1966)</f>
        <v>442095</v>
      </c>
      <c r="K168" s="13" cm="1">
        <f t="array" ref="K168">INDEX(GMWQ!$A$2:$NF$60,MATCH(1,(GMWQ!$NE$2:$NE$60=K$3)*(GMWQ!$ND$2:$ND$60=K$4)*(GMWQ!$NF$2:$NF$60=K$1),0),$E168-1966)</f>
        <v>179878</v>
      </c>
      <c r="L168" s="13" cm="1">
        <f t="array" ref="L168">INDEX(GMWQ!$A$2:$NF$60,MATCH(1,(GMWQ!$NE$2:$NE$60=L$3)*(GMWQ!$ND$2:$ND$60=L$4)*(GMWQ!$NF$2:$NF$60=L$1),0),$E168-1966)</f>
        <v>292417</v>
      </c>
      <c r="M168" s="13" cm="1">
        <f t="array" ref="M168">INDEX(GMWQ!$A$2:$NF$60,MATCH(1,(GMWQ!$NE$2:$NE$60=M$3)*(GMWQ!$ND$2:$ND$60=M$4)*(GMWQ!$NF$2:$NF$60=M$1),0),$E168-1966)</f>
        <v>350923</v>
      </c>
      <c r="N168" s="13" cm="1">
        <f t="array" ref="N168">INDEX(GMWQ!$A$2:$NF$60,MATCH(1,(GMWQ!$NE$2:$NE$60=N$3)*(GMWQ!$ND$2:$ND$60=N$4)*(GMWQ!$NF$2:$NF$60=N$1),0),$E168-1966)</f>
        <v>83.297870000000003</v>
      </c>
      <c r="O168" s="13" cm="1">
        <f t="array" ref="O168">INDEX(GMWQ!$A$2:$NF$60,MATCH(1,(GMWQ!$NE$2:$NE$60=O$3)*(GMWQ!$ND$2:$ND$60=O$4)*(GMWQ!$NF$2:$NF$60=O$1),0),$E168-1966)</f>
        <v>29990</v>
      </c>
      <c r="P168" s="13" cm="1">
        <f t="array" ref="P168">INDEX(GMWQ!$A$2:$NF$60,MATCH(1,(GMWQ!$NE$2:$NE$60=P$3)*(GMWQ!$ND$2:$ND$60=P$4)*(GMWQ!$NF$2:$NF$60=P$1),0),$E168-1966)</f>
        <v>29974</v>
      </c>
      <c r="Q168" s="13" cm="1">
        <f t="array" ref="Q168">INDEX(GMWQ!$A$2:$NF$60,MATCH(1,(GMWQ!$NE$2:$NE$60=Q$3)*(GMWQ!$ND$2:$ND$60=Q$4)*(GMWQ!$NF$2:$NF$60=Q$1),0),$E168-1966)</f>
        <v>29938</v>
      </c>
    </row>
    <row r="169" spans="1:17" x14ac:dyDescent="0.25">
      <c r="B169" s="13">
        <f t="shared" si="13"/>
        <v>2013</v>
      </c>
      <c r="C169" s="13">
        <f t="shared" si="13"/>
        <v>2013</v>
      </c>
      <c r="E169" s="13">
        <f t="shared" si="10"/>
        <v>2135</v>
      </c>
      <c r="F169" s="13" cm="1">
        <f t="array" ref="F169">INDEX(GMWQ!$A$2:$NF$60,MATCH(1,(GMWQ!$NE$2:$NE$60=F$3)*(GMWQ!$ND$2:$ND$60=F$4)*(GMWQ!$NF$2:$NF$60=F$1),0),$E169-1966)</f>
        <v>108.0243</v>
      </c>
      <c r="G169" s="13" cm="1">
        <f t="array" ref="G169">INDEX(GMWQ!$A$2:$NF$60,MATCH(1,(GMWQ!$NE$2:$NE$60=G$3)*(GMWQ!$ND$2:$ND$60=G$4)*(GMWQ!$NF$2:$NF$60=G$1),0),$E169-1966)</f>
        <v>19195</v>
      </c>
      <c r="H169" s="13" cm="1">
        <f t="array" ref="H169">INDEX(GMWQ!$A$2:$NF$60,MATCH(1,(GMWQ!$NE$2:$NE$60=H$3)*(GMWQ!$ND$2:$ND$60=H$4)*(GMWQ!$NF$2:$NF$60=H$1),0),$E169-1966)</f>
        <v>466</v>
      </c>
      <c r="I169" s="13" cm="1">
        <f t="array" ref="I169">INDEX(GMWQ!$A$2:$NF$60,MATCH(1,(GMWQ!$NE$2:$NE$60=I$3)*(GMWQ!$ND$2:$ND$60=I$4)*(GMWQ!$NF$2:$NF$60=I$1),0),$E169-1966)</f>
        <v>99537</v>
      </c>
      <c r="J169" s="13" cm="1">
        <f t="array" ref="J169">INDEX(GMWQ!$A$2:$NF$60,MATCH(1,(GMWQ!$NE$2:$NE$60=J$3)*(GMWQ!$ND$2:$ND$60=J$4)*(GMWQ!$NF$2:$NF$60=J$1),0),$E169-1966)</f>
        <v>448800</v>
      </c>
      <c r="K169" s="13" cm="1">
        <f t="array" ref="K169">INDEX(GMWQ!$A$2:$NF$60,MATCH(1,(GMWQ!$NE$2:$NE$60=K$3)*(GMWQ!$ND$2:$ND$60=K$4)*(GMWQ!$NF$2:$NF$60=K$1),0),$E169-1966)</f>
        <v>180937</v>
      </c>
      <c r="L169" s="13" cm="1">
        <f t="array" ref="L169">INDEX(GMWQ!$A$2:$NF$60,MATCH(1,(GMWQ!$NE$2:$NE$60=L$3)*(GMWQ!$ND$2:$ND$60=L$4)*(GMWQ!$NF$2:$NF$60=L$1),0),$E169-1966)</f>
        <v>298338</v>
      </c>
      <c r="M169" s="13" cm="1">
        <f t="array" ref="M169">INDEX(GMWQ!$A$2:$NF$60,MATCH(1,(GMWQ!$NE$2:$NE$60=M$3)*(GMWQ!$ND$2:$ND$60=M$4)*(GMWQ!$NF$2:$NF$60=M$1),0),$E169-1966)</f>
        <v>357263</v>
      </c>
      <c r="N169" s="13" cm="1">
        <f t="array" ref="N169">INDEX(GMWQ!$A$2:$NF$60,MATCH(1,(GMWQ!$NE$2:$NE$60=N$3)*(GMWQ!$ND$2:$ND$60=N$4)*(GMWQ!$NF$2:$NF$60=N$1),0),$E169-1966)</f>
        <v>83.487459999999999</v>
      </c>
      <c r="O169" s="13" cm="1">
        <f t="array" ref="O169">INDEX(GMWQ!$A$2:$NF$60,MATCH(1,(GMWQ!$NE$2:$NE$60=O$3)*(GMWQ!$ND$2:$ND$60=O$4)*(GMWQ!$NF$2:$NF$60=O$1),0),$E169-1966)</f>
        <v>30163</v>
      </c>
      <c r="P169" s="13" cm="1">
        <f t="array" ref="P169">INDEX(GMWQ!$A$2:$NF$60,MATCH(1,(GMWQ!$NE$2:$NE$60=P$3)*(GMWQ!$ND$2:$ND$60=P$4)*(GMWQ!$NF$2:$NF$60=P$1),0),$E169-1966)</f>
        <v>30144</v>
      </c>
      <c r="Q169" s="13" cm="1">
        <f t="array" ref="Q169">INDEX(GMWQ!$A$2:$NF$60,MATCH(1,(GMWQ!$NE$2:$NE$60=Q$3)*(GMWQ!$ND$2:$ND$60=Q$4)*(GMWQ!$NF$2:$NF$60=Q$1),0),$E169-1966)</f>
        <v>30106</v>
      </c>
    </row>
    <row r="170" spans="1:17" x14ac:dyDescent="0.25">
      <c r="B170" s="13">
        <f t="shared" si="13"/>
        <v>2013</v>
      </c>
      <c r="C170" s="13">
        <f t="shared" si="13"/>
        <v>2013</v>
      </c>
      <c r="E170" s="13">
        <f t="shared" si="10"/>
        <v>2136</v>
      </c>
      <c r="F170" s="13" cm="1">
        <f t="array" ref="F170">INDEX(GMWQ!$A$2:$NF$60,MATCH(1,(GMWQ!$NE$2:$NE$60=F$3)*(GMWQ!$ND$2:$ND$60=F$4)*(GMWQ!$NF$2:$NF$60=F$1),0),$E170-1966)</f>
        <v>108.1934</v>
      </c>
      <c r="G170" s="13" cm="1">
        <f t="array" ref="G170">INDEX(GMWQ!$A$2:$NF$60,MATCH(1,(GMWQ!$NE$2:$NE$60=G$3)*(GMWQ!$ND$2:$ND$60=G$4)*(GMWQ!$NF$2:$NF$60=G$1),0),$E170-1966)</f>
        <v>19482</v>
      </c>
      <c r="H170" s="13" cm="1">
        <f t="array" ref="H170">INDEX(GMWQ!$A$2:$NF$60,MATCH(1,(GMWQ!$NE$2:$NE$60=H$3)*(GMWQ!$ND$2:$ND$60=H$4)*(GMWQ!$NF$2:$NF$60=H$1),0),$E170-1966)</f>
        <v>466.66669999999999</v>
      </c>
      <c r="I170" s="13" cm="1">
        <f t="array" ref="I170">INDEX(GMWQ!$A$2:$NF$60,MATCH(1,(GMWQ!$NE$2:$NE$60=I$3)*(GMWQ!$ND$2:$ND$60=I$4)*(GMWQ!$NF$2:$NF$60=I$1),0),$E170-1966)</f>
        <v>99553</v>
      </c>
      <c r="J170" s="13" cm="1">
        <f t="array" ref="J170">INDEX(GMWQ!$A$2:$NF$60,MATCH(1,(GMWQ!$NE$2:$NE$60=J$3)*(GMWQ!$ND$2:$ND$60=J$4)*(GMWQ!$NF$2:$NF$60=J$1),0),$E170-1966)</f>
        <v>452183</v>
      </c>
      <c r="K170" s="13" cm="1">
        <f t="array" ref="K170">INDEX(GMWQ!$A$2:$NF$60,MATCH(1,(GMWQ!$NE$2:$NE$60=K$3)*(GMWQ!$ND$2:$ND$60=K$4)*(GMWQ!$NF$2:$NF$60=K$1),0),$E170-1966)</f>
        <v>183254</v>
      </c>
      <c r="L170" s="13" cm="1">
        <f t="array" ref="L170">INDEX(GMWQ!$A$2:$NF$60,MATCH(1,(GMWQ!$NE$2:$NE$60=L$3)*(GMWQ!$ND$2:$ND$60=L$4)*(GMWQ!$NF$2:$NF$60=L$1),0),$E170-1966)</f>
        <v>300976</v>
      </c>
      <c r="M170" s="13" cm="1">
        <f t="array" ref="M170">INDEX(GMWQ!$A$2:$NF$60,MATCH(1,(GMWQ!$NE$2:$NE$60=M$3)*(GMWQ!$ND$2:$ND$60=M$4)*(GMWQ!$NF$2:$NF$60=M$1),0),$E170-1966)</f>
        <v>360126</v>
      </c>
      <c r="N170" s="13" cm="1">
        <f t="array" ref="N170">INDEX(GMWQ!$A$2:$NF$60,MATCH(1,(GMWQ!$NE$2:$NE$60=N$3)*(GMWQ!$ND$2:$ND$60=N$4)*(GMWQ!$NF$2:$NF$60=N$1),0),$E170-1966)</f>
        <v>83.510570000000001</v>
      </c>
      <c r="O170" s="13" cm="1">
        <f t="array" ref="O170">INDEX(GMWQ!$A$2:$NF$60,MATCH(1,(GMWQ!$NE$2:$NE$60=O$3)*(GMWQ!$ND$2:$ND$60=O$4)*(GMWQ!$NF$2:$NF$60=O$1),0),$E170-1966)</f>
        <v>30350</v>
      </c>
      <c r="P170" s="13" cm="1">
        <f t="array" ref="P170">INDEX(GMWQ!$A$2:$NF$60,MATCH(1,(GMWQ!$NE$2:$NE$60=P$3)*(GMWQ!$ND$2:$ND$60=P$4)*(GMWQ!$NF$2:$NF$60=P$1),0),$E170-1966)</f>
        <v>30330</v>
      </c>
      <c r="Q170" s="13" cm="1">
        <f t="array" ref="Q170">INDEX(GMWQ!$A$2:$NF$60,MATCH(1,(GMWQ!$NE$2:$NE$60=Q$3)*(GMWQ!$ND$2:$ND$60=Q$4)*(GMWQ!$NF$2:$NF$60=Q$1),0),$E170-1966)</f>
        <v>30290</v>
      </c>
    </row>
    <row r="171" spans="1:17" x14ac:dyDescent="0.25">
      <c r="A171" s="13">
        <v>2014</v>
      </c>
      <c r="B171" s="13">
        <f t="shared" si="13"/>
        <v>2014</v>
      </c>
      <c r="C171" s="13">
        <f t="shared" si="13"/>
        <v>2013</v>
      </c>
      <c r="D171" s="13">
        <f t="shared" si="13"/>
        <v>2013</v>
      </c>
      <c r="E171" s="13">
        <f t="shared" si="10"/>
        <v>2137</v>
      </c>
      <c r="F171" s="13" cm="1">
        <f t="array" ref="F171">INDEX(GMWQ!$A$2:$NF$60,MATCH(1,(GMWQ!$NE$2:$NE$60=F$3)*(GMWQ!$ND$2:$ND$60=F$4)*(GMWQ!$NF$2:$NF$60=F$1),0),$E171-1966)</f>
        <v>108.4132</v>
      </c>
      <c r="G171" s="13" cm="1">
        <f t="array" ref="G171">INDEX(GMWQ!$A$2:$NF$60,MATCH(1,(GMWQ!$NE$2:$NE$60=G$3)*(GMWQ!$ND$2:$ND$60=G$4)*(GMWQ!$NF$2:$NF$60=G$1),0),$E171-1966)</f>
        <v>19571</v>
      </c>
      <c r="H171" s="13" cm="1">
        <f t="array" ref="H171">INDEX(GMWQ!$A$2:$NF$60,MATCH(1,(GMWQ!$NE$2:$NE$60=H$3)*(GMWQ!$ND$2:$ND$60=H$4)*(GMWQ!$NF$2:$NF$60=H$1),0),$E171-1966)</f>
        <v>467.33330000000001</v>
      </c>
      <c r="I171" s="13" cm="1">
        <f t="array" ref="I171">INDEX(GMWQ!$A$2:$NF$60,MATCH(1,(GMWQ!$NE$2:$NE$60=I$3)*(GMWQ!$ND$2:$ND$60=I$4)*(GMWQ!$NF$2:$NF$60=I$1),0),$E171-1966)</f>
        <v>99297</v>
      </c>
      <c r="J171" s="13" cm="1">
        <f t="array" ref="J171">INDEX(GMWQ!$A$2:$NF$60,MATCH(1,(GMWQ!$NE$2:$NE$60=J$3)*(GMWQ!$ND$2:$ND$60=J$4)*(GMWQ!$NF$2:$NF$60=J$1),0),$E171-1966)</f>
        <v>457683</v>
      </c>
      <c r="K171" s="13" cm="1">
        <f t="array" ref="K171">INDEX(GMWQ!$A$2:$NF$60,MATCH(1,(GMWQ!$NE$2:$NE$60=K$3)*(GMWQ!$ND$2:$ND$60=K$4)*(GMWQ!$NF$2:$NF$60=K$1),0),$E171-1966)</f>
        <v>185644</v>
      </c>
      <c r="L171" s="13" cm="1">
        <f t="array" ref="L171">INDEX(GMWQ!$A$2:$NF$60,MATCH(1,(GMWQ!$NE$2:$NE$60=L$3)*(GMWQ!$ND$2:$ND$60=L$4)*(GMWQ!$NF$2:$NF$60=L$1),0),$E171-1966)</f>
        <v>301406</v>
      </c>
      <c r="M171" s="13" cm="1">
        <f t="array" ref="M171">INDEX(GMWQ!$A$2:$NF$60,MATCH(1,(GMWQ!$NE$2:$NE$60=M$3)*(GMWQ!$ND$2:$ND$60=M$4)*(GMWQ!$NF$2:$NF$60=M$1),0),$E171-1966)</f>
        <v>359009</v>
      </c>
      <c r="N171" s="13" cm="1">
        <f t="array" ref="N171">INDEX(GMWQ!$A$2:$NF$60,MATCH(1,(GMWQ!$NE$2:$NE$60=N$3)*(GMWQ!$ND$2:$ND$60=N$4)*(GMWQ!$NF$2:$NF$60=N$1),0),$E171-1966)</f>
        <v>83.915139999999994</v>
      </c>
      <c r="O171" s="13" cm="1">
        <f t="array" ref="O171">INDEX(GMWQ!$A$2:$NF$60,MATCH(1,(GMWQ!$NE$2:$NE$60=O$3)*(GMWQ!$ND$2:$ND$60=O$4)*(GMWQ!$NF$2:$NF$60=O$1),0),$E171-1966)</f>
        <v>30595</v>
      </c>
      <c r="P171" s="13" cm="1">
        <f t="array" ref="P171">INDEX(GMWQ!$A$2:$NF$60,MATCH(1,(GMWQ!$NE$2:$NE$60=P$3)*(GMWQ!$ND$2:$ND$60=P$4)*(GMWQ!$NF$2:$NF$60=P$1),0),$E171-1966)</f>
        <v>30573</v>
      </c>
      <c r="Q171" s="13" cm="1">
        <f t="array" ref="Q171">INDEX(GMWQ!$A$2:$NF$60,MATCH(1,(GMWQ!$NE$2:$NE$60=Q$3)*(GMWQ!$ND$2:$ND$60=Q$4)*(GMWQ!$NF$2:$NF$60=Q$1),0),$E171-1966)</f>
        <v>30532</v>
      </c>
    </row>
    <row r="172" spans="1:17" x14ac:dyDescent="0.25">
      <c r="B172" s="13">
        <f t="shared" ref="B172:D187" si="14">+B168+1</f>
        <v>2014</v>
      </c>
      <c r="C172" s="13">
        <f t="shared" si="14"/>
        <v>2014</v>
      </c>
      <c r="E172" s="13">
        <f t="shared" si="10"/>
        <v>2138</v>
      </c>
      <c r="F172" s="13" cm="1">
        <f t="array" ref="F172">INDEX(GMWQ!$A$2:$NF$60,MATCH(1,(GMWQ!$NE$2:$NE$60=F$3)*(GMWQ!$ND$2:$ND$60=F$4)*(GMWQ!$NF$2:$NF$60=F$1),0),$E172-1966)</f>
        <v>107.0247</v>
      </c>
      <c r="G172" s="13" cm="1">
        <f t="array" ref="G172">INDEX(GMWQ!$A$2:$NF$60,MATCH(1,(GMWQ!$NE$2:$NE$60=G$3)*(GMWQ!$ND$2:$ND$60=G$4)*(GMWQ!$NF$2:$NF$60=G$1),0),$E172-1966)</f>
        <v>19575</v>
      </c>
      <c r="H172" s="13" cm="1">
        <f t="array" ref="H172">INDEX(GMWQ!$A$2:$NF$60,MATCH(1,(GMWQ!$NE$2:$NE$60=H$3)*(GMWQ!$ND$2:$ND$60=H$4)*(GMWQ!$NF$2:$NF$60=H$1),0),$E172-1966)</f>
        <v>469.33330000000001</v>
      </c>
      <c r="I172" s="13" cm="1">
        <f t="array" ref="I172">INDEX(GMWQ!$A$2:$NF$60,MATCH(1,(GMWQ!$NE$2:$NE$60=I$3)*(GMWQ!$ND$2:$ND$60=I$4)*(GMWQ!$NF$2:$NF$60=I$1),0),$E172-1966)</f>
        <v>103492</v>
      </c>
      <c r="J172" s="13" cm="1">
        <f t="array" ref="J172">INDEX(GMWQ!$A$2:$NF$60,MATCH(1,(GMWQ!$NE$2:$NE$60=J$3)*(GMWQ!$ND$2:$ND$60=J$4)*(GMWQ!$NF$2:$NF$60=J$1),0),$E172-1966)</f>
        <v>461549</v>
      </c>
      <c r="K172" s="13" cm="1">
        <f t="array" ref="K172">INDEX(GMWQ!$A$2:$NF$60,MATCH(1,(GMWQ!$NE$2:$NE$60=K$3)*(GMWQ!$ND$2:$ND$60=K$4)*(GMWQ!$NF$2:$NF$60=K$1),0),$E172-1966)</f>
        <v>185557</v>
      </c>
      <c r="L172" s="13" cm="1">
        <f t="array" ref="L172">INDEX(GMWQ!$A$2:$NF$60,MATCH(1,(GMWQ!$NE$2:$NE$60=L$3)*(GMWQ!$ND$2:$ND$60=L$4)*(GMWQ!$NF$2:$NF$60=L$1),0),$E172-1966)</f>
        <v>304476</v>
      </c>
      <c r="M172" s="13" cm="1">
        <f t="array" ref="M172">INDEX(GMWQ!$A$2:$NF$60,MATCH(1,(GMWQ!$NE$2:$NE$60=M$3)*(GMWQ!$ND$2:$ND$60=M$4)*(GMWQ!$NF$2:$NF$60=M$1),0),$E172-1966)</f>
        <v>359599</v>
      </c>
      <c r="N172" s="13" cm="1">
        <f t="array" ref="N172">INDEX(GMWQ!$A$2:$NF$60,MATCH(1,(GMWQ!$NE$2:$NE$60=N$3)*(GMWQ!$ND$2:$ND$60=N$4)*(GMWQ!$NF$2:$NF$60=N$1),0),$E172-1966)</f>
        <v>84.584509999999995</v>
      </c>
      <c r="O172" s="13" cm="1">
        <f t="array" ref="O172">INDEX(GMWQ!$A$2:$NF$60,MATCH(1,(GMWQ!$NE$2:$NE$60=O$3)*(GMWQ!$ND$2:$ND$60=O$4)*(GMWQ!$NF$2:$NF$60=O$1),0),$E172-1966)</f>
        <v>30771</v>
      </c>
      <c r="P172" s="13" cm="1">
        <f t="array" ref="P172">INDEX(GMWQ!$A$2:$NF$60,MATCH(1,(GMWQ!$NE$2:$NE$60=P$3)*(GMWQ!$ND$2:$ND$60=P$4)*(GMWQ!$NF$2:$NF$60=P$1),0),$E172-1966)</f>
        <v>30747</v>
      </c>
      <c r="Q172" s="13" cm="1">
        <f t="array" ref="Q172">INDEX(GMWQ!$A$2:$NF$60,MATCH(1,(GMWQ!$NE$2:$NE$60=Q$3)*(GMWQ!$ND$2:$ND$60=Q$4)*(GMWQ!$NF$2:$NF$60=Q$1),0),$E172-1966)</f>
        <v>30705</v>
      </c>
    </row>
    <row r="173" spans="1:17" x14ac:dyDescent="0.25">
      <c r="B173" s="13">
        <f t="shared" si="14"/>
        <v>2014</v>
      </c>
      <c r="C173" s="13">
        <f t="shared" si="14"/>
        <v>2014</v>
      </c>
      <c r="E173" s="13">
        <f t="shared" si="10"/>
        <v>2139</v>
      </c>
      <c r="F173" s="13" cm="1">
        <f t="array" ref="F173">INDEX(GMWQ!$A$2:$NF$60,MATCH(1,(GMWQ!$NE$2:$NE$60=F$3)*(GMWQ!$ND$2:$ND$60=F$4)*(GMWQ!$NF$2:$NF$60=F$1),0),$E173-1966)</f>
        <v>105.9806</v>
      </c>
      <c r="G173" s="13" cm="1">
        <f t="array" ref="G173">INDEX(GMWQ!$A$2:$NF$60,MATCH(1,(GMWQ!$NE$2:$NE$60=G$3)*(GMWQ!$ND$2:$ND$60=G$4)*(GMWQ!$NF$2:$NF$60=G$1),0),$E173-1966)</f>
        <v>19825</v>
      </c>
      <c r="H173" s="13" cm="1">
        <f t="array" ref="H173">INDEX(GMWQ!$A$2:$NF$60,MATCH(1,(GMWQ!$NE$2:$NE$60=H$3)*(GMWQ!$ND$2:$ND$60=H$4)*(GMWQ!$NF$2:$NF$60=H$1),0),$E173-1966)</f>
        <v>470</v>
      </c>
      <c r="I173" s="13" cm="1">
        <f t="array" ref="I173">INDEX(GMWQ!$A$2:$NF$60,MATCH(1,(GMWQ!$NE$2:$NE$60=I$3)*(GMWQ!$ND$2:$ND$60=I$4)*(GMWQ!$NF$2:$NF$60=I$1),0),$E173-1966)</f>
        <v>111995</v>
      </c>
      <c r="J173" s="13" cm="1">
        <f t="array" ref="J173">INDEX(GMWQ!$A$2:$NF$60,MATCH(1,(GMWQ!$NE$2:$NE$60=J$3)*(GMWQ!$ND$2:$ND$60=J$4)*(GMWQ!$NF$2:$NF$60=J$1),0),$E173-1966)</f>
        <v>470624</v>
      </c>
      <c r="K173" s="13" cm="1">
        <f t="array" ref="K173">INDEX(GMWQ!$A$2:$NF$60,MATCH(1,(GMWQ!$NE$2:$NE$60=K$3)*(GMWQ!$ND$2:$ND$60=K$4)*(GMWQ!$NF$2:$NF$60=K$1),0),$E173-1966)</f>
        <v>185399</v>
      </c>
      <c r="L173" s="13" cm="1">
        <f t="array" ref="L173">INDEX(GMWQ!$A$2:$NF$60,MATCH(1,(GMWQ!$NE$2:$NE$60=L$3)*(GMWQ!$ND$2:$ND$60=L$4)*(GMWQ!$NF$2:$NF$60=L$1),0),$E173-1966)</f>
        <v>303765</v>
      </c>
      <c r="M173" s="13" cm="1">
        <f t="array" ref="M173">INDEX(GMWQ!$A$2:$NF$60,MATCH(1,(GMWQ!$NE$2:$NE$60=M$3)*(GMWQ!$ND$2:$ND$60=M$4)*(GMWQ!$NF$2:$NF$60=M$1),0),$E173-1966)</f>
        <v>359708</v>
      </c>
      <c r="N173" s="13" cm="1">
        <f t="array" ref="N173">INDEX(GMWQ!$A$2:$NF$60,MATCH(1,(GMWQ!$NE$2:$NE$60=N$3)*(GMWQ!$ND$2:$ND$60=N$4)*(GMWQ!$NF$2:$NF$60=N$1),0),$E173-1966)</f>
        <v>84.351870000000005</v>
      </c>
      <c r="O173" s="13" cm="1">
        <f t="array" ref="O173">INDEX(GMWQ!$A$2:$NF$60,MATCH(1,(GMWQ!$NE$2:$NE$60=O$3)*(GMWQ!$ND$2:$ND$60=O$4)*(GMWQ!$NF$2:$NF$60=O$1),0),$E173-1966)</f>
        <v>30899</v>
      </c>
      <c r="P173" s="13" cm="1">
        <f t="array" ref="P173">INDEX(GMWQ!$A$2:$NF$60,MATCH(1,(GMWQ!$NE$2:$NE$60=P$3)*(GMWQ!$ND$2:$ND$60=P$4)*(GMWQ!$NF$2:$NF$60=P$1),0),$E173-1966)</f>
        <v>30873</v>
      </c>
      <c r="Q173" s="13" cm="1">
        <f t="array" ref="Q173">INDEX(GMWQ!$A$2:$NF$60,MATCH(1,(GMWQ!$NE$2:$NE$60=Q$3)*(GMWQ!$ND$2:$ND$60=Q$4)*(GMWQ!$NF$2:$NF$60=Q$1),0),$E173-1966)</f>
        <v>30833</v>
      </c>
    </row>
    <row r="174" spans="1:17" x14ac:dyDescent="0.25">
      <c r="B174" s="13">
        <f t="shared" si="14"/>
        <v>2014</v>
      </c>
      <c r="C174" s="13">
        <f t="shared" si="14"/>
        <v>2014</v>
      </c>
      <c r="E174" s="13">
        <f t="shared" si="10"/>
        <v>2140</v>
      </c>
      <c r="F174" s="13" cm="1">
        <f t="array" ref="F174">INDEX(GMWQ!$A$2:$NF$60,MATCH(1,(GMWQ!$NE$2:$NE$60=F$3)*(GMWQ!$ND$2:$ND$60=F$4)*(GMWQ!$NF$2:$NF$60=F$1),0),$E174-1966)</f>
        <v>106.4263</v>
      </c>
      <c r="G174" s="13" cm="1">
        <f t="array" ref="G174">INDEX(GMWQ!$A$2:$NF$60,MATCH(1,(GMWQ!$NE$2:$NE$60=G$3)*(GMWQ!$ND$2:$ND$60=G$4)*(GMWQ!$NF$2:$NF$60=G$1),0),$E174-1966)</f>
        <v>19993</v>
      </c>
      <c r="H174" s="13" cm="1">
        <f t="array" ref="H174">INDEX(GMWQ!$A$2:$NF$60,MATCH(1,(GMWQ!$NE$2:$NE$60=H$3)*(GMWQ!$ND$2:$ND$60=H$4)*(GMWQ!$NF$2:$NF$60=H$1),0),$E174-1966)</f>
        <v>476</v>
      </c>
      <c r="I174" s="13" cm="1">
        <f t="array" ref="I174">INDEX(GMWQ!$A$2:$NF$60,MATCH(1,(GMWQ!$NE$2:$NE$60=I$3)*(GMWQ!$ND$2:$ND$60=I$4)*(GMWQ!$NF$2:$NF$60=I$1),0),$E174-1966)</f>
        <v>110568</v>
      </c>
      <c r="J174" s="13" cm="1">
        <f t="array" ref="J174">INDEX(GMWQ!$A$2:$NF$60,MATCH(1,(GMWQ!$NE$2:$NE$60=J$3)*(GMWQ!$ND$2:$ND$60=J$4)*(GMWQ!$NF$2:$NF$60=J$1),0),$E174-1966)</f>
        <v>472658</v>
      </c>
      <c r="K174" s="13" cm="1">
        <f t="array" ref="K174">INDEX(GMWQ!$A$2:$NF$60,MATCH(1,(GMWQ!$NE$2:$NE$60=K$3)*(GMWQ!$ND$2:$ND$60=K$4)*(GMWQ!$NF$2:$NF$60=K$1),0),$E174-1966)</f>
        <v>187477</v>
      </c>
      <c r="L174" s="13" cm="1">
        <f t="array" ref="L174">INDEX(GMWQ!$A$2:$NF$60,MATCH(1,(GMWQ!$NE$2:$NE$60=L$3)*(GMWQ!$ND$2:$ND$60=L$4)*(GMWQ!$NF$2:$NF$60=L$1),0),$E174-1966)</f>
        <v>307306</v>
      </c>
      <c r="M174" s="13" cm="1">
        <f t="array" ref="M174">INDEX(GMWQ!$A$2:$NF$60,MATCH(1,(GMWQ!$NE$2:$NE$60=M$3)*(GMWQ!$ND$2:$ND$60=M$4)*(GMWQ!$NF$2:$NF$60=M$1),0),$E174-1966)</f>
        <v>364730</v>
      </c>
      <c r="N174" s="13" cm="1">
        <f t="array" ref="N174">INDEX(GMWQ!$A$2:$NF$60,MATCH(1,(GMWQ!$NE$2:$NE$60=N$3)*(GMWQ!$ND$2:$ND$60=N$4)*(GMWQ!$NF$2:$NF$60=N$1),0),$E174-1966)</f>
        <v>84.100880000000004</v>
      </c>
      <c r="O174" s="13" cm="1">
        <f t="array" ref="O174">INDEX(GMWQ!$A$2:$NF$60,MATCH(1,(GMWQ!$NE$2:$NE$60=O$3)*(GMWQ!$ND$2:$ND$60=O$4)*(GMWQ!$NF$2:$NF$60=O$1),0),$E174-1966)</f>
        <v>31008</v>
      </c>
      <c r="P174" s="13" cm="1">
        <f t="array" ref="P174">INDEX(GMWQ!$A$2:$NF$60,MATCH(1,(GMWQ!$NE$2:$NE$60=P$3)*(GMWQ!$ND$2:$ND$60=P$4)*(GMWQ!$NF$2:$NF$60=P$1),0),$E174-1966)</f>
        <v>30981</v>
      </c>
      <c r="Q174" s="13" cm="1">
        <f t="array" ref="Q174">INDEX(GMWQ!$A$2:$NF$60,MATCH(1,(GMWQ!$NE$2:$NE$60=Q$3)*(GMWQ!$ND$2:$ND$60=Q$4)*(GMWQ!$NF$2:$NF$60=Q$1),0),$E174-1966)</f>
        <v>30944</v>
      </c>
    </row>
    <row r="175" spans="1:17" x14ac:dyDescent="0.25">
      <c r="A175" s="13">
        <v>2015</v>
      </c>
      <c r="B175" s="13">
        <f t="shared" si="14"/>
        <v>2015</v>
      </c>
      <c r="C175" s="13">
        <f t="shared" si="14"/>
        <v>2014</v>
      </c>
      <c r="D175" s="13">
        <f t="shared" si="14"/>
        <v>2014</v>
      </c>
      <c r="E175" s="13">
        <f t="shared" si="10"/>
        <v>2141</v>
      </c>
      <c r="F175" s="13" cm="1">
        <f t="array" ref="F175">INDEX(GMWQ!$A$2:$NF$60,MATCH(1,(GMWQ!$NE$2:$NE$60=F$3)*(GMWQ!$ND$2:$ND$60=F$4)*(GMWQ!$NF$2:$NF$60=F$1),0),$E175-1966)</f>
        <v>107.6554</v>
      </c>
      <c r="G175" s="13" cm="1">
        <f t="array" ref="G175">INDEX(GMWQ!$A$2:$NF$60,MATCH(1,(GMWQ!$NE$2:$NE$60=G$3)*(GMWQ!$ND$2:$ND$60=G$4)*(GMWQ!$NF$2:$NF$60=G$1),0),$E175-1966)</f>
        <v>20426</v>
      </c>
      <c r="H175" s="13" cm="1">
        <f t="array" ref="H175">INDEX(GMWQ!$A$2:$NF$60,MATCH(1,(GMWQ!$NE$2:$NE$60=H$3)*(GMWQ!$ND$2:$ND$60=H$4)*(GMWQ!$NF$2:$NF$60=H$1),0),$E175-1966)</f>
        <v>478</v>
      </c>
      <c r="I175" s="13" cm="1">
        <f t="array" ref="I175">INDEX(GMWQ!$A$2:$NF$60,MATCH(1,(GMWQ!$NE$2:$NE$60=I$3)*(GMWQ!$ND$2:$ND$60=I$4)*(GMWQ!$NF$2:$NF$60=I$1),0),$E175-1966)</f>
        <v>108361</v>
      </c>
      <c r="J175" s="13" cm="1">
        <f t="array" ref="J175">INDEX(GMWQ!$A$2:$NF$60,MATCH(1,(GMWQ!$NE$2:$NE$60=J$3)*(GMWQ!$ND$2:$ND$60=J$4)*(GMWQ!$NF$2:$NF$60=J$1),0),$E175-1966)</f>
        <v>474680</v>
      </c>
      <c r="K175" s="13" cm="1">
        <f t="array" ref="K175">INDEX(GMWQ!$A$2:$NF$60,MATCH(1,(GMWQ!$NE$2:$NE$60=K$3)*(GMWQ!$ND$2:$ND$60=K$4)*(GMWQ!$NF$2:$NF$60=K$1),0),$E175-1966)</f>
        <v>190040</v>
      </c>
      <c r="L175" s="13" cm="1">
        <f t="array" ref="L175">INDEX(GMWQ!$A$2:$NF$60,MATCH(1,(GMWQ!$NE$2:$NE$60=L$3)*(GMWQ!$ND$2:$ND$60=L$4)*(GMWQ!$NF$2:$NF$60=L$1),0),$E175-1966)</f>
        <v>311832</v>
      </c>
      <c r="M175" s="13" cm="1">
        <f t="array" ref="M175">INDEX(GMWQ!$A$2:$NF$60,MATCH(1,(GMWQ!$NE$2:$NE$60=M$3)*(GMWQ!$ND$2:$ND$60=M$4)*(GMWQ!$NF$2:$NF$60=M$1),0),$E175-1966)</f>
        <v>372232</v>
      </c>
      <c r="N175" s="13" cm="1">
        <f t="array" ref="N175">INDEX(GMWQ!$A$2:$NF$60,MATCH(1,(GMWQ!$NE$2:$NE$60=N$3)*(GMWQ!$ND$2:$ND$60=N$4)*(GMWQ!$NF$2:$NF$60=N$1),0),$E175-1966)</f>
        <v>83.648219999999995</v>
      </c>
      <c r="O175" s="13" cm="1">
        <f t="array" ref="O175">INDEX(GMWQ!$A$2:$NF$60,MATCH(1,(GMWQ!$NE$2:$NE$60=O$3)*(GMWQ!$ND$2:$ND$60=O$4)*(GMWQ!$NF$2:$NF$60=O$1),0),$E175-1966)</f>
        <v>31218</v>
      </c>
      <c r="P175" s="13" cm="1">
        <f t="array" ref="P175">INDEX(GMWQ!$A$2:$NF$60,MATCH(1,(GMWQ!$NE$2:$NE$60=P$3)*(GMWQ!$ND$2:$ND$60=P$4)*(GMWQ!$NF$2:$NF$60=P$1),0),$E175-1966)</f>
        <v>31188</v>
      </c>
      <c r="Q175" s="13" cm="1">
        <f t="array" ref="Q175">INDEX(GMWQ!$A$2:$NF$60,MATCH(1,(GMWQ!$NE$2:$NE$60=Q$3)*(GMWQ!$ND$2:$ND$60=Q$4)*(GMWQ!$NF$2:$NF$60=Q$1),0),$E175-1966)</f>
        <v>31156</v>
      </c>
    </row>
    <row r="176" spans="1:17" x14ac:dyDescent="0.25">
      <c r="B176" s="13">
        <f t="shared" si="14"/>
        <v>2015</v>
      </c>
      <c r="C176" s="13">
        <f t="shared" si="14"/>
        <v>2015</v>
      </c>
      <c r="E176" s="13">
        <f t="shared" si="10"/>
        <v>2142</v>
      </c>
      <c r="F176" s="13" cm="1">
        <f t="array" ref="F176">INDEX(GMWQ!$A$2:$NF$60,MATCH(1,(GMWQ!$NE$2:$NE$60=F$3)*(GMWQ!$ND$2:$ND$60=F$4)*(GMWQ!$NF$2:$NF$60=F$1),0),$E176-1966)</f>
        <v>107.7436</v>
      </c>
      <c r="G176" s="13" cm="1">
        <f t="array" ref="G176">INDEX(GMWQ!$A$2:$NF$60,MATCH(1,(GMWQ!$NE$2:$NE$60=G$3)*(GMWQ!$ND$2:$ND$60=G$4)*(GMWQ!$NF$2:$NF$60=G$1),0),$E176-1966)</f>
        <v>20839</v>
      </c>
      <c r="H176" s="13" cm="1">
        <f t="array" ref="H176">INDEX(GMWQ!$A$2:$NF$60,MATCH(1,(GMWQ!$NE$2:$NE$60=H$3)*(GMWQ!$ND$2:$ND$60=H$4)*(GMWQ!$NF$2:$NF$60=H$1),0),$E176-1966)</f>
        <v>481.33330000000001</v>
      </c>
      <c r="I176" s="13" cm="1">
        <f t="array" ref="I176">INDEX(GMWQ!$A$2:$NF$60,MATCH(1,(GMWQ!$NE$2:$NE$60=I$3)*(GMWQ!$ND$2:$ND$60=I$4)*(GMWQ!$NF$2:$NF$60=I$1),0),$E176-1966)</f>
        <v>106717</v>
      </c>
      <c r="J176" s="13" cm="1">
        <f t="array" ref="J176">INDEX(GMWQ!$A$2:$NF$60,MATCH(1,(GMWQ!$NE$2:$NE$60=J$3)*(GMWQ!$ND$2:$ND$60=J$4)*(GMWQ!$NF$2:$NF$60=J$1),0),$E176-1966)</f>
        <v>476591</v>
      </c>
      <c r="K176" s="13" cm="1">
        <f t="array" ref="K176">INDEX(GMWQ!$A$2:$NF$60,MATCH(1,(GMWQ!$NE$2:$NE$60=K$3)*(GMWQ!$ND$2:$ND$60=K$4)*(GMWQ!$NF$2:$NF$60=K$1),0),$E176-1966)</f>
        <v>190920</v>
      </c>
      <c r="L176" s="13" cm="1">
        <f t="array" ref="L176">INDEX(GMWQ!$A$2:$NF$60,MATCH(1,(GMWQ!$NE$2:$NE$60=L$3)*(GMWQ!$ND$2:$ND$60=L$4)*(GMWQ!$NF$2:$NF$60=L$1),0),$E176-1966)</f>
        <v>319853</v>
      </c>
      <c r="M176" s="13" cm="1">
        <f t="array" ref="M176">INDEX(GMWQ!$A$2:$NF$60,MATCH(1,(GMWQ!$NE$2:$NE$60=M$3)*(GMWQ!$ND$2:$ND$60=M$4)*(GMWQ!$NF$2:$NF$60=M$1),0),$E176-1966)</f>
        <v>381179</v>
      </c>
      <c r="N176" s="13" cm="1">
        <f t="array" ref="N176">INDEX(GMWQ!$A$2:$NF$60,MATCH(1,(GMWQ!$NE$2:$NE$60=N$3)*(GMWQ!$ND$2:$ND$60=N$4)*(GMWQ!$NF$2:$NF$60=N$1),0),$E176-1966)</f>
        <v>83.837639999999993</v>
      </c>
      <c r="O176" s="13" cm="1">
        <f t="array" ref="O176">INDEX(GMWQ!$A$2:$NF$60,MATCH(1,(GMWQ!$NE$2:$NE$60=O$3)*(GMWQ!$ND$2:$ND$60=O$4)*(GMWQ!$NF$2:$NF$60=O$1),0),$E176-1966)</f>
        <v>31170</v>
      </c>
      <c r="P176" s="13" cm="1">
        <f t="array" ref="P176">INDEX(GMWQ!$A$2:$NF$60,MATCH(1,(GMWQ!$NE$2:$NE$60=P$3)*(GMWQ!$ND$2:$ND$60=P$4)*(GMWQ!$NF$2:$NF$60=P$1),0),$E176-1966)</f>
        <v>31140</v>
      </c>
      <c r="Q176" s="13" cm="1">
        <f t="array" ref="Q176">INDEX(GMWQ!$A$2:$NF$60,MATCH(1,(GMWQ!$NE$2:$NE$60=Q$3)*(GMWQ!$ND$2:$ND$60=Q$4)*(GMWQ!$NF$2:$NF$60=Q$1),0),$E176-1966)</f>
        <v>31110</v>
      </c>
    </row>
    <row r="177" spans="1:17" x14ac:dyDescent="0.25">
      <c r="B177" s="13">
        <f t="shared" si="14"/>
        <v>2015</v>
      </c>
      <c r="C177" s="13">
        <f t="shared" si="14"/>
        <v>2015</v>
      </c>
      <c r="E177" s="13">
        <f t="shared" ref="E177:E240" si="15">+E176+1</f>
        <v>2143</v>
      </c>
      <c r="F177" s="13" cm="1">
        <f t="array" ref="F177">INDEX(GMWQ!$A$2:$NF$60,MATCH(1,(GMWQ!$NE$2:$NE$60=F$3)*(GMWQ!$ND$2:$ND$60=F$4)*(GMWQ!$NF$2:$NF$60=F$1),0),$E177-1966)</f>
        <v>108.6159</v>
      </c>
      <c r="G177" s="13" cm="1">
        <f t="array" ref="G177">INDEX(GMWQ!$A$2:$NF$60,MATCH(1,(GMWQ!$NE$2:$NE$60=G$3)*(GMWQ!$ND$2:$ND$60=G$4)*(GMWQ!$NF$2:$NF$60=G$1),0),$E177-1966)</f>
        <v>20846</v>
      </c>
      <c r="H177" s="13" cm="1">
        <f t="array" ref="H177">INDEX(GMWQ!$A$2:$NF$60,MATCH(1,(GMWQ!$NE$2:$NE$60=H$3)*(GMWQ!$ND$2:$ND$60=H$4)*(GMWQ!$NF$2:$NF$60=H$1),0),$E177-1966)</f>
        <v>483.66669999999999</v>
      </c>
      <c r="I177" s="13" cm="1">
        <f t="array" ref="I177">INDEX(GMWQ!$A$2:$NF$60,MATCH(1,(GMWQ!$NE$2:$NE$60=I$3)*(GMWQ!$ND$2:$ND$60=I$4)*(GMWQ!$NF$2:$NF$60=I$1),0),$E177-1966)</f>
        <v>103717</v>
      </c>
      <c r="J177" s="13" cm="1">
        <f t="array" ref="J177">INDEX(GMWQ!$A$2:$NF$60,MATCH(1,(GMWQ!$NE$2:$NE$60=J$3)*(GMWQ!$ND$2:$ND$60=J$4)*(GMWQ!$NF$2:$NF$60=J$1),0),$E177-1966)</f>
        <v>479924</v>
      </c>
      <c r="K177" s="13" cm="1">
        <f t="array" ref="K177">INDEX(GMWQ!$A$2:$NF$60,MATCH(1,(GMWQ!$NE$2:$NE$60=K$3)*(GMWQ!$ND$2:$ND$60=K$4)*(GMWQ!$NF$2:$NF$60=K$1),0),$E177-1966)</f>
        <v>193493</v>
      </c>
      <c r="L177" s="13" cm="1">
        <f t="array" ref="L177">INDEX(GMWQ!$A$2:$NF$60,MATCH(1,(GMWQ!$NE$2:$NE$60=L$3)*(GMWQ!$ND$2:$ND$60=L$4)*(GMWQ!$NF$2:$NF$60=L$1),0),$E177-1966)</f>
        <v>327096</v>
      </c>
      <c r="M177" s="13" cm="1">
        <f t="array" ref="M177">INDEX(GMWQ!$A$2:$NF$60,MATCH(1,(GMWQ!$NE$2:$NE$60=M$3)*(GMWQ!$ND$2:$ND$60=M$4)*(GMWQ!$NF$2:$NF$60=M$1),0),$E177-1966)</f>
        <v>388638</v>
      </c>
      <c r="N177" s="13" cm="1">
        <f t="array" ref="N177">INDEX(GMWQ!$A$2:$NF$60,MATCH(1,(GMWQ!$NE$2:$NE$60=N$3)*(GMWQ!$ND$2:$ND$60=N$4)*(GMWQ!$NF$2:$NF$60=N$1),0),$E177-1966)</f>
        <v>84.055049999999994</v>
      </c>
      <c r="O177" s="13" cm="1">
        <f t="array" ref="O177">INDEX(GMWQ!$A$2:$NF$60,MATCH(1,(GMWQ!$NE$2:$NE$60=O$3)*(GMWQ!$ND$2:$ND$60=O$4)*(GMWQ!$NF$2:$NF$60=O$1),0),$E177-1966)</f>
        <v>31393</v>
      </c>
      <c r="P177" s="13" cm="1">
        <f t="array" ref="P177">INDEX(GMWQ!$A$2:$NF$60,MATCH(1,(GMWQ!$NE$2:$NE$60=P$3)*(GMWQ!$ND$2:$ND$60=P$4)*(GMWQ!$NF$2:$NF$60=P$1),0),$E177-1966)</f>
        <v>31361</v>
      </c>
      <c r="Q177" s="13" cm="1">
        <f t="array" ref="Q177">INDEX(GMWQ!$A$2:$NF$60,MATCH(1,(GMWQ!$NE$2:$NE$60=Q$3)*(GMWQ!$ND$2:$ND$60=Q$4)*(GMWQ!$NF$2:$NF$60=Q$1),0),$E177-1966)</f>
        <v>31333</v>
      </c>
    </row>
    <row r="178" spans="1:17" x14ac:dyDescent="0.25">
      <c r="B178" s="13">
        <f t="shared" si="14"/>
        <v>2015</v>
      </c>
      <c r="C178" s="13">
        <f t="shared" si="14"/>
        <v>2015</v>
      </c>
      <c r="E178" s="13">
        <f t="shared" si="15"/>
        <v>2144</v>
      </c>
      <c r="F178" s="13" cm="1">
        <f t="array" ref="F178">INDEX(GMWQ!$A$2:$NF$60,MATCH(1,(GMWQ!$NE$2:$NE$60=F$3)*(GMWQ!$ND$2:$ND$60=F$4)*(GMWQ!$NF$2:$NF$60=F$1),0),$E178-1966)</f>
        <v>108.54730000000001</v>
      </c>
      <c r="G178" s="13" cm="1">
        <f t="array" ref="G178">INDEX(GMWQ!$A$2:$NF$60,MATCH(1,(GMWQ!$NE$2:$NE$60=G$3)*(GMWQ!$ND$2:$ND$60=G$4)*(GMWQ!$NF$2:$NF$60=G$1),0),$E178-1966)</f>
        <v>21129</v>
      </c>
      <c r="H178" s="13" cm="1">
        <f t="array" ref="H178">INDEX(GMWQ!$A$2:$NF$60,MATCH(1,(GMWQ!$NE$2:$NE$60=H$3)*(GMWQ!$ND$2:$ND$60=H$4)*(GMWQ!$NF$2:$NF$60=H$1),0),$E178-1966)</f>
        <v>485</v>
      </c>
      <c r="I178" s="13" cm="1">
        <f t="array" ref="I178">INDEX(GMWQ!$A$2:$NF$60,MATCH(1,(GMWQ!$NE$2:$NE$60=I$3)*(GMWQ!$ND$2:$ND$60=I$4)*(GMWQ!$NF$2:$NF$60=I$1),0),$E178-1966)</f>
        <v>107050</v>
      </c>
      <c r="J178" s="13" cm="1">
        <f t="array" ref="J178">INDEX(GMWQ!$A$2:$NF$60,MATCH(1,(GMWQ!$NE$2:$NE$60=J$3)*(GMWQ!$ND$2:$ND$60=J$4)*(GMWQ!$NF$2:$NF$60=J$1),0),$E178-1966)</f>
        <v>485256</v>
      </c>
      <c r="K178" s="13" cm="1">
        <f t="array" ref="K178">INDEX(GMWQ!$A$2:$NF$60,MATCH(1,(GMWQ!$NE$2:$NE$60=K$3)*(GMWQ!$ND$2:$ND$60=K$4)*(GMWQ!$NF$2:$NF$60=K$1),0),$E178-1966)</f>
        <v>194472</v>
      </c>
      <c r="L178" s="13" cm="1">
        <f t="array" ref="L178">INDEX(GMWQ!$A$2:$NF$60,MATCH(1,(GMWQ!$NE$2:$NE$60=L$3)*(GMWQ!$ND$2:$ND$60=L$4)*(GMWQ!$NF$2:$NF$60=L$1),0),$E178-1966)</f>
        <v>327429</v>
      </c>
      <c r="M178" s="13" cm="1">
        <f t="array" ref="M178">INDEX(GMWQ!$A$2:$NF$60,MATCH(1,(GMWQ!$NE$2:$NE$60=M$3)*(GMWQ!$ND$2:$ND$60=M$4)*(GMWQ!$NF$2:$NF$60=M$1),0),$E178-1966)</f>
        <v>388470</v>
      </c>
      <c r="N178" s="13" cm="1">
        <f t="array" ref="N178">INDEX(GMWQ!$A$2:$NF$60,MATCH(1,(GMWQ!$NE$2:$NE$60=N$3)*(GMWQ!$ND$2:$ND$60=N$4)*(GMWQ!$NF$2:$NF$60=N$1),0),$E178-1966)</f>
        <v>84.16037</v>
      </c>
      <c r="O178" s="13" cm="1">
        <f t="array" ref="O178">INDEX(GMWQ!$A$2:$NF$60,MATCH(1,(GMWQ!$NE$2:$NE$60=O$3)*(GMWQ!$ND$2:$ND$60=O$4)*(GMWQ!$NF$2:$NF$60=O$1),0),$E178-1966)</f>
        <v>31602</v>
      </c>
      <c r="P178" s="13" cm="1">
        <f t="array" ref="P178">INDEX(GMWQ!$A$2:$NF$60,MATCH(1,(GMWQ!$NE$2:$NE$60=P$3)*(GMWQ!$ND$2:$ND$60=P$4)*(GMWQ!$NF$2:$NF$60=P$1),0),$E178-1966)</f>
        <v>31569</v>
      </c>
      <c r="Q178" s="13" cm="1">
        <f t="array" ref="Q178">INDEX(GMWQ!$A$2:$NF$60,MATCH(1,(GMWQ!$NE$2:$NE$60=Q$3)*(GMWQ!$ND$2:$ND$60=Q$4)*(GMWQ!$NF$2:$NF$60=Q$1),0),$E178-1966)</f>
        <v>31540</v>
      </c>
    </row>
    <row r="179" spans="1:17" x14ac:dyDescent="0.25">
      <c r="A179" s="13">
        <v>2016</v>
      </c>
      <c r="B179" s="13">
        <f t="shared" si="14"/>
        <v>2016</v>
      </c>
      <c r="C179" s="13">
        <f t="shared" si="14"/>
        <v>2015</v>
      </c>
      <c r="D179" s="13">
        <f t="shared" si="14"/>
        <v>2015</v>
      </c>
      <c r="E179" s="13">
        <f t="shared" si="15"/>
        <v>2145</v>
      </c>
      <c r="F179" s="13" cm="1">
        <f t="array" ref="F179">INDEX(GMWQ!$A$2:$NF$60,MATCH(1,(GMWQ!$NE$2:$NE$60=F$3)*(GMWQ!$ND$2:$ND$60=F$4)*(GMWQ!$NF$2:$NF$60=F$1),0),$E179-1966)</f>
        <v>109.2957</v>
      </c>
      <c r="G179" s="13" cm="1">
        <f t="array" ref="G179">INDEX(GMWQ!$A$2:$NF$60,MATCH(1,(GMWQ!$NE$2:$NE$60=G$3)*(GMWQ!$ND$2:$ND$60=G$4)*(GMWQ!$NF$2:$NF$60=G$1),0),$E179-1966)</f>
        <v>20549</v>
      </c>
      <c r="H179" s="13" cm="1">
        <f t="array" ref="H179">INDEX(GMWQ!$A$2:$NF$60,MATCH(1,(GMWQ!$NE$2:$NE$60=H$3)*(GMWQ!$ND$2:$ND$60=H$4)*(GMWQ!$NF$2:$NF$60=H$1),0),$E179-1966)</f>
        <v>488.33330000000001</v>
      </c>
      <c r="I179" s="13" cm="1">
        <f t="array" ref="I179">INDEX(GMWQ!$A$2:$NF$60,MATCH(1,(GMWQ!$NE$2:$NE$60=I$3)*(GMWQ!$ND$2:$ND$60=I$4)*(GMWQ!$NF$2:$NF$60=I$1),0),$E179-1966)</f>
        <v>107542</v>
      </c>
      <c r="J179" s="13" cm="1">
        <f t="array" ref="J179">INDEX(GMWQ!$A$2:$NF$60,MATCH(1,(GMWQ!$NE$2:$NE$60=J$3)*(GMWQ!$ND$2:$ND$60=J$4)*(GMWQ!$NF$2:$NF$60=J$1),0),$E179-1966)</f>
        <v>489683</v>
      </c>
      <c r="K179" s="13" cm="1">
        <f t="array" ref="K179">INDEX(GMWQ!$A$2:$NF$60,MATCH(1,(GMWQ!$NE$2:$NE$60=K$3)*(GMWQ!$ND$2:$ND$60=K$4)*(GMWQ!$NF$2:$NF$60=K$1),0),$E179-1966)</f>
        <v>196738</v>
      </c>
      <c r="L179" s="13" cm="1">
        <f t="array" ref="L179">INDEX(GMWQ!$A$2:$NF$60,MATCH(1,(GMWQ!$NE$2:$NE$60=L$3)*(GMWQ!$ND$2:$ND$60=L$4)*(GMWQ!$NF$2:$NF$60=L$1),0),$E179-1966)</f>
        <v>326493</v>
      </c>
      <c r="M179" s="13" cm="1">
        <f t="array" ref="M179">INDEX(GMWQ!$A$2:$NF$60,MATCH(1,(GMWQ!$NE$2:$NE$60=M$3)*(GMWQ!$ND$2:$ND$60=M$4)*(GMWQ!$NF$2:$NF$60=M$1),0),$E179-1966)</f>
        <v>386874</v>
      </c>
      <c r="N179" s="13" cm="1">
        <f t="array" ref="N179">INDEX(GMWQ!$A$2:$NF$60,MATCH(1,(GMWQ!$NE$2:$NE$60=N$3)*(GMWQ!$ND$2:$ND$60=N$4)*(GMWQ!$NF$2:$NF$60=N$1),0),$E179-1966)</f>
        <v>84.271649999999994</v>
      </c>
      <c r="O179" s="13" cm="1">
        <f t="array" ref="O179">INDEX(GMWQ!$A$2:$NF$60,MATCH(1,(GMWQ!$NE$2:$NE$60=O$3)*(GMWQ!$ND$2:$ND$60=O$4)*(GMWQ!$NF$2:$NF$60=O$1),0),$E179-1966)</f>
        <v>31636</v>
      </c>
      <c r="P179" s="13" cm="1">
        <f t="array" ref="P179">INDEX(GMWQ!$A$2:$NF$60,MATCH(1,(GMWQ!$NE$2:$NE$60=P$3)*(GMWQ!$ND$2:$ND$60=P$4)*(GMWQ!$NF$2:$NF$60=P$1),0),$E179-1966)</f>
        <v>31603</v>
      </c>
      <c r="Q179" s="13" cm="1">
        <f t="array" ref="Q179">INDEX(GMWQ!$A$2:$NF$60,MATCH(1,(GMWQ!$NE$2:$NE$60=Q$3)*(GMWQ!$ND$2:$ND$60=Q$4)*(GMWQ!$NF$2:$NF$60=Q$1),0),$E179-1966)</f>
        <v>31572</v>
      </c>
    </row>
    <row r="180" spans="1:17" x14ac:dyDescent="0.25">
      <c r="B180" s="13">
        <f t="shared" si="14"/>
        <v>2016</v>
      </c>
      <c r="C180" s="13">
        <f t="shared" si="14"/>
        <v>2016</v>
      </c>
      <c r="E180" s="13">
        <f t="shared" si="15"/>
        <v>2146</v>
      </c>
      <c r="F180" s="13" cm="1">
        <f t="array" ref="F180">INDEX(GMWQ!$A$2:$NF$60,MATCH(1,(GMWQ!$NE$2:$NE$60=F$3)*(GMWQ!$ND$2:$ND$60=F$4)*(GMWQ!$NF$2:$NF$60=F$1),0),$E180-1966)</f>
        <v>110.5784</v>
      </c>
      <c r="G180" s="13" cm="1">
        <f t="array" ref="G180">INDEX(GMWQ!$A$2:$NF$60,MATCH(1,(GMWQ!$NE$2:$NE$60=G$3)*(GMWQ!$ND$2:$ND$60=G$4)*(GMWQ!$NF$2:$NF$60=G$1),0),$E180-1966)</f>
        <v>22462</v>
      </c>
      <c r="H180" s="13" cm="1">
        <f t="array" ref="H180">INDEX(GMWQ!$A$2:$NF$60,MATCH(1,(GMWQ!$NE$2:$NE$60=H$3)*(GMWQ!$ND$2:$ND$60=H$4)*(GMWQ!$NF$2:$NF$60=H$1),0),$E180-1966)</f>
        <v>493.66669999999999</v>
      </c>
      <c r="I180" s="13" cm="1">
        <f t="array" ref="I180">INDEX(GMWQ!$A$2:$NF$60,MATCH(1,(GMWQ!$NE$2:$NE$60=I$3)*(GMWQ!$ND$2:$ND$60=I$4)*(GMWQ!$NF$2:$NF$60=I$1),0),$E180-1966)</f>
        <v>106640</v>
      </c>
      <c r="J180" s="13" cm="1">
        <f t="array" ref="J180">INDEX(GMWQ!$A$2:$NF$60,MATCH(1,(GMWQ!$NE$2:$NE$60=J$3)*(GMWQ!$ND$2:$ND$60=J$4)*(GMWQ!$NF$2:$NF$60=J$1),0),$E180-1966)</f>
        <v>493710</v>
      </c>
      <c r="K180" s="13" cm="1">
        <f t="array" ref="K180">INDEX(GMWQ!$A$2:$NF$60,MATCH(1,(GMWQ!$NE$2:$NE$60=K$3)*(GMWQ!$ND$2:$ND$60=K$4)*(GMWQ!$NF$2:$NF$60=K$1),0),$E180-1966)</f>
        <v>198487</v>
      </c>
      <c r="L180" s="13" cm="1">
        <f t="array" ref="L180">INDEX(GMWQ!$A$2:$NF$60,MATCH(1,(GMWQ!$NE$2:$NE$60=L$3)*(GMWQ!$ND$2:$ND$60=L$4)*(GMWQ!$NF$2:$NF$60=L$1),0),$E180-1966)</f>
        <v>328471</v>
      </c>
      <c r="M180" s="13" cm="1">
        <f t="array" ref="M180">INDEX(GMWQ!$A$2:$NF$60,MATCH(1,(GMWQ!$NE$2:$NE$60=M$3)*(GMWQ!$ND$2:$ND$60=M$4)*(GMWQ!$NF$2:$NF$60=M$1),0),$E180-1966)</f>
        <v>387633</v>
      </c>
      <c r="N180" s="13" cm="1">
        <f t="array" ref="N180">INDEX(GMWQ!$A$2:$NF$60,MATCH(1,(GMWQ!$NE$2:$NE$60=N$3)*(GMWQ!$ND$2:$ND$60=N$4)*(GMWQ!$NF$2:$NF$60=N$1),0),$E180-1966)</f>
        <v>84.642039999999994</v>
      </c>
      <c r="O180" s="13" cm="1">
        <f t="array" ref="O180">INDEX(GMWQ!$A$2:$NF$60,MATCH(1,(GMWQ!$NE$2:$NE$60=O$3)*(GMWQ!$ND$2:$ND$60=O$4)*(GMWQ!$NF$2:$NF$60=O$1),0),$E180-1966)</f>
        <v>31813</v>
      </c>
      <c r="P180" s="13" cm="1">
        <f t="array" ref="P180">INDEX(GMWQ!$A$2:$NF$60,MATCH(1,(GMWQ!$NE$2:$NE$60=P$3)*(GMWQ!$ND$2:$ND$60=P$4)*(GMWQ!$NF$2:$NF$60=P$1),0),$E180-1966)</f>
        <v>31778</v>
      </c>
      <c r="Q180" s="13" cm="1">
        <f t="array" ref="Q180">INDEX(GMWQ!$A$2:$NF$60,MATCH(1,(GMWQ!$NE$2:$NE$60=Q$3)*(GMWQ!$ND$2:$ND$60=Q$4)*(GMWQ!$NF$2:$NF$60=Q$1),0),$E180-1966)</f>
        <v>31747</v>
      </c>
    </row>
    <row r="181" spans="1:17" x14ac:dyDescent="0.25">
      <c r="B181" s="13">
        <f t="shared" si="14"/>
        <v>2016</v>
      </c>
      <c r="C181" s="13">
        <f t="shared" si="14"/>
        <v>2016</v>
      </c>
      <c r="E181" s="13">
        <f t="shared" si="15"/>
        <v>2147</v>
      </c>
      <c r="F181" s="13" cm="1">
        <f t="array" ref="F181">INDEX(GMWQ!$A$2:$NF$60,MATCH(1,(GMWQ!$NE$2:$NE$60=F$3)*(GMWQ!$ND$2:$ND$60=F$4)*(GMWQ!$NF$2:$NF$60=F$1),0),$E181-1966)</f>
        <v>111.0078</v>
      </c>
      <c r="G181" s="13" cm="1">
        <f t="array" ref="G181">INDEX(GMWQ!$A$2:$NF$60,MATCH(1,(GMWQ!$NE$2:$NE$60=G$3)*(GMWQ!$ND$2:$ND$60=G$4)*(GMWQ!$NF$2:$NF$60=G$1),0),$E181-1966)</f>
        <v>22802</v>
      </c>
      <c r="H181" s="13" cm="1">
        <f t="array" ref="H181">INDEX(GMWQ!$A$2:$NF$60,MATCH(1,(GMWQ!$NE$2:$NE$60=H$3)*(GMWQ!$ND$2:$ND$60=H$4)*(GMWQ!$NF$2:$NF$60=H$1),0),$E181-1966)</f>
        <v>495</v>
      </c>
      <c r="I181" s="13" cm="1">
        <f t="array" ref="I181">INDEX(GMWQ!$A$2:$NF$60,MATCH(1,(GMWQ!$NE$2:$NE$60=I$3)*(GMWQ!$ND$2:$ND$60=I$4)*(GMWQ!$NF$2:$NF$60=I$1),0),$E181-1966)</f>
        <v>110732</v>
      </c>
      <c r="J181" s="13" cm="1">
        <f t="array" ref="J181">INDEX(GMWQ!$A$2:$NF$60,MATCH(1,(GMWQ!$NE$2:$NE$60=J$3)*(GMWQ!$ND$2:$ND$60=J$4)*(GMWQ!$NF$2:$NF$60=J$1),0),$E181-1966)</f>
        <v>500801</v>
      </c>
      <c r="K181" s="13" cm="1">
        <f t="array" ref="K181">INDEX(GMWQ!$A$2:$NF$60,MATCH(1,(GMWQ!$NE$2:$NE$60=K$3)*(GMWQ!$ND$2:$ND$60=K$4)*(GMWQ!$NF$2:$NF$60=K$1),0),$E181-1966)</f>
        <v>199991</v>
      </c>
      <c r="L181" s="13" cm="1">
        <f t="array" ref="L181">INDEX(GMWQ!$A$2:$NF$60,MATCH(1,(GMWQ!$NE$2:$NE$60=L$3)*(GMWQ!$ND$2:$ND$60=L$4)*(GMWQ!$NF$2:$NF$60=L$1),0),$E181-1966)</f>
        <v>328528</v>
      </c>
      <c r="M181" s="13" cm="1">
        <f t="array" ref="M181">INDEX(GMWQ!$A$2:$NF$60,MATCH(1,(GMWQ!$NE$2:$NE$60=M$3)*(GMWQ!$ND$2:$ND$60=M$4)*(GMWQ!$NF$2:$NF$60=M$1),0),$E181-1966)</f>
        <v>384657</v>
      </c>
      <c r="N181" s="13" cm="1">
        <f t="array" ref="N181">INDEX(GMWQ!$A$2:$NF$60,MATCH(1,(GMWQ!$NE$2:$NE$60=N$3)*(GMWQ!$ND$2:$ND$60=N$4)*(GMWQ!$NF$2:$NF$60=N$1),0),$E181-1966)</f>
        <v>85.312160000000006</v>
      </c>
      <c r="O181" s="13" cm="1">
        <f t="array" ref="O181">INDEX(GMWQ!$A$2:$NF$60,MATCH(1,(GMWQ!$NE$2:$NE$60=O$3)*(GMWQ!$ND$2:$ND$60=O$4)*(GMWQ!$NF$2:$NF$60=O$1),0),$E181-1966)</f>
        <v>31878</v>
      </c>
      <c r="P181" s="13" cm="1">
        <f t="array" ref="P181">INDEX(GMWQ!$A$2:$NF$60,MATCH(1,(GMWQ!$NE$2:$NE$60=P$3)*(GMWQ!$ND$2:$ND$60=P$4)*(GMWQ!$NF$2:$NF$60=P$1),0),$E181-1966)</f>
        <v>31843</v>
      </c>
      <c r="Q181" s="13" cm="1">
        <f t="array" ref="Q181">INDEX(GMWQ!$A$2:$NF$60,MATCH(1,(GMWQ!$NE$2:$NE$60=Q$3)*(GMWQ!$ND$2:$ND$60=Q$4)*(GMWQ!$NF$2:$NF$60=Q$1),0),$E181-1966)</f>
        <v>31810</v>
      </c>
    </row>
    <row r="182" spans="1:17" x14ac:dyDescent="0.25">
      <c r="B182" s="13">
        <f t="shared" si="14"/>
        <v>2016</v>
      </c>
      <c r="C182" s="13">
        <f t="shared" si="14"/>
        <v>2016</v>
      </c>
      <c r="E182" s="13">
        <f t="shared" si="15"/>
        <v>2148</v>
      </c>
      <c r="F182" s="13" cm="1">
        <f t="array" ref="F182">INDEX(GMWQ!$A$2:$NF$60,MATCH(1,(GMWQ!$NE$2:$NE$60=F$3)*(GMWQ!$ND$2:$ND$60=F$4)*(GMWQ!$NF$2:$NF$60=F$1),0),$E182-1966)</f>
        <v>110.4295</v>
      </c>
      <c r="G182" s="13" cm="1">
        <f t="array" ref="G182">INDEX(GMWQ!$A$2:$NF$60,MATCH(1,(GMWQ!$NE$2:$NE$60=G$3)*(GMWQ!$ND$2:$ND$60=G$4)*(GMWQ!$NF$2:$NF$60=G$1),0),$E182-1966)</f>
        <v>23011</v>
      </c>
      <c r="H182" s="13" cm="1">
        <f t="array" ref="H182">INDEX(GMWQ!$A$2:$NF$60,MATCH(1,(GMWQ!$NE$2:$NE$60=H$3)*(GMWQ!$ND$2:$ND$60=H$4)*(GMWQ!$NF$2:$NF$60=H$1),0),$E182-1966)</f>
        <v>497</v>
      </c>
      <c r="I182" s="13" cm="1">
        <f t="array" ref="I182">INDEX(GMWQ!$A$2:$NF$60,MATCH(1,(GMWQ!$NE$2:$NE$60=I$3)*(GMWQ!$ND$2:$ND$60=I$4)*(GMWQ!$NF$2:$NF$60=I$1),0),$E182-1966)</f>
        <v>114569</v>
      </c>
      <c r="J182" s="13" cm="1">
        <f t="array" ref="J182">INDEX(GMWQ!$A$2:$NF$60,MATCH(1,(GMWQ!$NE$2:$NE$60=J$3)*(GMWQ!$ND$2:$ND$60=J$4)*(GMWQ!$NF$2:$NF$60=J$1),0),$E182-1966)</f>
        <v>507451</v>
      </c>
      <c r="K182" s="13" cm="1">
        <f t="array" ref="K182">INDEX(GMWQ!$A$2:$NF$60,MATCH(1,(GMWQ!$NE$2:$NE$60=K$3)*(GMWQ!$ND$2:$ND$60=K$4)*(GMWQ!$NF$2:$NF$60=K$1),0),$E182-1966)</f>
        <v>200011</v>
      </c>
      <c r="L182" s="13" cm="1">
        <f t="array" ref="L182">INDEX(GMWQ!$A$2:$NF$60,MATCH(1,(GMWQ!$NE$2:$NE$60=L$3)*(GMWQ!$ND$2:$ND$60=L$4)*(GMWQ!$NF$2:$NF$60=L$1),0),$E182-1966)</f>
        <v>327875</v>
      </c>
      <c r="M182" s="13" cm="1">
        <f t="array" ref="M182">INDEX(GMWQ!$A$2:$NF$60,MATCH(1,(GMWQ!$NE$2:$NE$60=M$3)*(GMWQ!$ND$2:$ND$60=M$4)*(GMWQ!$NF$2:$NF$60=M$1),0),$E182-1966)</f>
        <v>381981</v>
      </c>
      <c r="N182" s="13" cm="1">
        <f t="array" ref="N182">INDEX(GMWQ!$A$2:$NF$60,MATCH(1,(GMWQ!$NE$2:$NE$60=N$3)*(GMWQ!$ND$2:$ND$60=N$4)*(GMWQ!$NF$2:$NF$60=N$1),0),$E182-1966)</f>
        <v>85.729079999999996</v>
      </c>
      <c r="O182" s="13" cm="1">
        <f t="array" ref="O182">INDEX(GMWQ!$A$2:$NF$60,MATCH(1,(GMWQ!$NE$2:$NE$60=O$3)*(GMWQ!$ND$2:$ND$60=O$4)*(GMWQ!$NF$2:$NF$60=O$1),0),$E182-1966)</f>
        <v>31914</v>
      </c>
      <c r="P182" s="13" cm="1">
        <f t="array" ref="P182">INDEX(GMWQ!$A$2:$NF$60,MATCH(1,(GMWQ!$NE$2:$NE$60=P$3)*(GMWQ!$ND$2:$ND$60=P$4)*(GMWQ!$NF$2:$NF$60=P$1),0),$E182-1966)</f>
        <v>31877</v>
      </c>
      <c r="Q182" s="13" cm="1">
        <f t="array" ref="Q182">INDEX(GMWQ!$A$2:$NF$60,MATCH(1,(GMWQ!$NE$2:$NE$60=Q$3)*(GMWQ!$ND$2:$ND$60=Q$4)*(GMWQ!$NF$2:$NF$60=Q$1),0),$E182-1966)</f>
        <v>31845</v>
      </c>
    </row>
    <row r="183" spans="1:17" x14ac:dyDescent="0.25">
      <c r="A183" s="13">
        <v>2017</v>
      </c>
      <c r="B183" s="13">
        <f t="shared" si="14"/>
        <v>2017</v>
      </c>
      <c r="C183" s="13">
        <f t="shared" si="14"/>
        <v>2016</v>
      </c>
      <c r="D183" s="13">
        <f t="shared" si="14"/>
        <v>2016</v>
      </c>
      <c r="E183" s="13">
        <f t="shared" si="15"/>
        <v>2149</v>
      </c>
      <c r="F183" s="13" cm="1">
        <f t="array" ref="F183">INDEX(GMWQ!$A$2:$NF$60,MATCH(1,(GMWQ!$NE$2:$NE$60=F$3)*(GMWQ!$ND$2:$ND$60=F$4)*(GMWQ!$NF$2:$NF$60=F$1),0),$E183-1966)</f>
        <v>111.2424</v>
      </c>
      <c r="G183" s="13" cm="1">
        <f t="array" ref="G183">INDEX(GMWQ!$A$2:$NF$60,MATCH(1,(GMWQ!$NE$2:$NE$60=G$3)*(GMWQ!$ND$2:$ND$60=G$4)*(GMWQ!$NF$2:$NF$60=G$1),0),$E183-1966)</f>
        <v>23425</v>
      </c>
      <c r="H183" s="13" cm="1">
        <f t="array" ref="H183">INDEX(GMWQ!$A$2:$NF$60,MATCH(1,(GMWQ!$NE$2:$NE$60=H$3)*(GMWQ!$ND$2:$ND$60=H$4)*(GMWQ!$NF$2:$NF$60=H$1),0),$E183-1966)</f>
        <v>499</v>
      </c>
      <c r="I183" s="13" cm="1">
        <f t="array" ref="I183">INDEX(GMWQ!$A$2:$NF$60,MATCH(1,(GMWQ!$NE$2:$NE$60=I$3)*(GMWQ!$ND$2:$ND$60=I$4)*(GMWQ!$NF$2:$NF$60=I$1),0),$E183-1966)</f>
        <v>115888</v>
      </c>
      <c r="J183" s="13" cm="1">
        <f t="array" ref="J183">INDEX(GMWQ!$A$2:$NF$60,MATCH(1,(GMWQ!$NE$2:$NE$60=J$3)*(GMWQ!$ND$2:$ND$60=J$4)*(GMWQ!$NF$2:$NF$60=J$1),0),$E183-1966)</f>
        <v>513814</v>
      </c>
      <c r="K183" s="13" cm="1">
        <f t="array" ref="K183">INDEX(GMWQ!$A$2:$NF$60,MATCH(1,(GMWQ!$NE$2:$NE$60=K$3)*(GMWQ!$ND$2:$ND$60=K$4)*(GMWQ!$NF$2:$NF$60=K$1),0),$E183-1966)</f>
        <v>203434</v>
      </c>
      <c r="L183" s="13" cm="1">
        <f t="array" ref="L183">INDEX(GMWQ!$A$2:$NF$60,MATCH(1,(GMWQ!$NE$2:$NE$60=L$3)*(GMWQ!$ND$2:$ND$60=L$4)*(GMWQ!$NF$2:$NF$60=L$1),0),$E183-1966)</f>
        <v>328068</v>
      </c>
      <c r="M183" s="13" cm="1">
        <f t="array" ref="M183">INDEX(GMWQ!$A$2:$NF$60,MATCH(1,(GMWQ!$NE$2:$NE$60=M$3)*(GMWQ!$ND$2:$ND$60=M$4)*(GMWQ!$NF$2:$NF$60=M$1),0),$E183-1966)</f>
        <v>382290</v>
      </c>
      <c r="N183" s="13" cm="1">
        <f t="array" ref="N183">INDEX(GMWQ!$A$2:$NF$60,MATCH(1,(GMWQ!$NE$2:$NE$60=N$3)*(GMWQ!$ND$2:$ND$60=N$4)*(GMWQ!$NF$2:$NF$60=N$1),0),$E183-1966)</f>
        <v>85.749889999999994</v>
      </c>
      <c r="O183" s="13" cm="1">
        <f t="array" ref="O183">INDEX(GMWQ!$A$2:$NF$60,MATCH(1,(GMWQ!$NE$2:$NE$60=O$3)*(GMWQ!$ND$2:$ND$60=O$4)*(GMWQ!$NF$2:$NF$60=O$1),0),$E183-1966)</f>
        <v>32017</v>
      </c>
      <c r="P183" s="13" cm="1">
        <f t="array" ref="P183">INDEX(GMWQ!$A$2:$NF$60,MATCH(1,(GMWQ!$NE$2:$NE$60=P$3)*(GMWQ!$ND$2:$ND$60=P$4)*(GMWQ!$NF$2:$NF$60=P$1),0),$E183-1966)</f>
        <v>31978</v>
      </c>
      <c r="Q183" s="13" cm="1">
        <f t="array" ref="Q183">INDEX(GMWQ!$A$2:$NF$60,MATCH(1,(GMWQ!$NE$2:$NE$60=Q$3)*(GMWQ!$ND$2:$ND$60=Q$4)*(GMWQ!$NF$2:$NF$60=Q$1),0),$E183-1966)</f>
        <v>31946</v>
      </c>
    </row>
    <row r="184" spans="1:17" x14ac:dyDescent="0.25">
      <c r="B184" s="13">
        <f t="shared" si="14"/>
        <v>2017</v>
      </c>
      <c r="C184" s="13">
        <f t="shared" si="14"/>
        <v>2017</v>
      </c>
      <c r="E184" s="13">
        <f t="shared" si="15"/>
        <v>2150</v>
      </c>
      <c r="F184" s="13" cm="1">
        <f t="array" ref="F184">INDEX(GMWQ!$A$2:$NF$60,MATCH(1,(GMWQ!$NE$2:$NE$60=F$3)*(GMWQ!$ND$2:$ND$60=F$4)*(GMWQ!$NF$2:$NF$60=F$1),0),$E184-1966)</f>
        <v>112.0501</v>
      </c>
      <c r="G184" s="13" cm="1">
        <f t="array" ref="G184">INDEX(GMWQ!$A$2:$NF$60,MATCH(1,(GMWQ!$NE$2:$NE$60=G$3)*(GMWQ!$ND$2:$ND$60=G$4)*(GMWQ!$NF$2:$NF$60=G$1),0),$E184-1966)</f>
        <v>23645</v>
      </c>
      <c r="H184" s="13" cm="1">
        <f t="array" ref="H184">INDEX(GMWQ!$A$2:$NF$60,MATCH(1,(GMWQ!$NE$2:$NE$60=H$3)*(GMWQ!$ND$2:$ND$60=H$4)*(GMWQ!$NF$2:$NF$60=H$1),0),$E184-1966)</f>
        <v>504.33330000000001</v>
      </c>
      <c r="I184" s="13" cm="1">
        <f t="array" ref="I184">INDEX(GMWQ!$A$2:$NF$60,MATCH(1,(GMWQ!$NE$2:$NE$60=I$3)*(GMWQ!$ND$2:$ND$60=I$4)*(GMWQ!$NF$2:$NF$60=I$1),0),$E184-1966)</f>
        <v>114975</v>
      </c>
      <c r="J184" s="13" cm="1">
        <f t="array" ref="J184">INDEX(GMWQ!$A$2:$NF$60,MATCH(1,(GMWQ!$NE$2:$NE$60=J$3)*(GMWQ!$ND$2:$ND$60=J$4)*(GMWQ!$NF$2:$NF$60=J$1),0),$E184-1966)</f>
        <v>517656</v>
      </c>
      <c r="K184" s="13" cm="1">
        <f t="array" ref="K184">INDEX(GMWQ!$A$2:$NF$60,MATCH(1,(GMWQ!$NE$2:$NE$60=K$3)*(GMWQ!$ND$2:$ND$60=K$4)*(GMWQ!$NF$2:$NF$60=K$1),0),$E184-1966)</f>
        <v>206362</v>
      </c>
      <c r="L184" s="13" cm="1">
        <f t="array" ref="L184">INDEX(GMWQ!$A$2:$NF$60,MATCH(1,(GMWQ!$NE$2:$NE$60=L$3)*(GMWQ!$ND$2:$ND$60=L$4)*(GMWQ!$NF$2:$NF$60=L$1),0),$E184-1966)</f>
        <v>337489</v>
      </c>
      <c r="M184" s="13" cm="1">
        <f t="array" ref="M184">INDEX(GMWQ!$A$2:$NF$60,MATCH(1,(GMWQ!$NE$2:$NE$60=M$3)*(GMWQ!$ND$2:$ND$60=M$4)*(GMWQ!$NF$2:$NF$60=M$1),0),$E184-1966)</f>
        <v>390332</v>
      </c>
      <c r="N184" s="13" cm="1">
        <f t="array" ref="N184">INDEX(GMWQ!$A$2:$NF$60,MATCH(1,(GMWQ!$NE$2:$NE$60=N$3)*(GMWQ!$ND$2:$ND$60=N$4)*(GMWQ!$NF$2:$NF$60=N$1),0),$E184-1966)</f>
        <v>86.408259999999999</v>
      </c>
      <c r="O184" s="13" cm="1">
        <f t="array" ref="O184">INDEX(GMWQ!$A$2:$NF$60,MATCH(1,(GMWQ!$NE$2:$NE$60=O$3)*(GMWQ!$ND$2:$ND$60=O$4)*(GMWQ!$NF$2:$NF$60=O$1),0),$E184-1966)</f>
        <v>32138</v>
      </c>
      <c r="P184" s="13" cm="1">
        <f t="array" ref="P184">INDEX(GMWQ!$A$2:$NF$60,MATCH(1,(GMWQ!$NE$2:$NE$60=P$3)*(GMWQ!$ND$2:$ND$60=P$4)*(GMWQ!$NF$2:$NF$60=P$1),0),$E184-1966)</f>
        <v>32098</v>
      </c>
      <c r="Q184" s="13" cm="1">
        <f t="array" ref="Q184">INDEX(GMWQ!$A$2:$NF$60,MATCH(1,(GMWQ!$NE$2:$NE$60=Q$3)*(GMWQ!$ND$2:$ND$60=Q$4)*(GMWQ!$NF$2:$NF$60=Q$1),0),$E184-1966)</f>
        <v>32065</v>
      </c>
    </row>
    <row r="185" spans="1:17" x14ac:dyDescent="0.25">
      <c r="B185" s="13">
        <f t="shared" si="14"/>
        <v>2017</v>
      </c>
      <c r="C185" s="13">
        <f t="shared" si="14"/>
        <v>2017</v>
      </c>
      <c r="E185" s="13">
        <f t="shared" si="15"/>
        <v>2151</v>
      </c>
      <c r="F185" s="13" cm="1">
        <f t="array" ref="F185">INDEX(GMWQ!$A$2:$NF$60,MATCH(1,(GMWQ!$NE$2:$NE$60=F$3)*(GMWQ!$ND$2:$ND$60=F$4)*(GMWQ!$NF$2:$NF$60=F$1),0),$E185-1966)</f>
        <v>111.80800000000001</v>
      </c>
      <c r="G185" s="13" cm="1">
        <f t="array" ref="G185">INDEX(GMWQ!$A$2:$NF$60,MATCH(1,(GMWQ!$NE$2:$NE$60=G$3)*(GMWQ!$ND$2:$ND$60=G$4)*(GMWQ!$NF$2:$NF$60=G$1),0),$E185-1966)</f>
        <v>23594</v>
      </c>
      <c r="H185" s="13" cm="1">
        <f t="array" ref="H185">INDEX(GMWQ!$A$2:$NF$60,MATCH(1,(GMWQ!$NE$2:$NE$60=H$3)*(GMWQ!$ND$2:$ND$60=H$4)*(GMWQ!$NF$2:$NF$60=H$1),0),$E185-1966)</f>
        <v>506.66669999999999</v>
      </c>
      <c r="I185" s="13" cm="1">
        <f t="array" ref="I185">INDEX(GMWQ!$A$2:$NF$60,MATCH(1,(GMWQ!$NE$2:$NE$60=I$3)*(GMWQ!$ND$2:$ND$60=I$4)*(GMWQ!$NF$2:$NF$60=I$1),0),$E185-1966)</f>
        <v>115131</v>
      </c>
      <c r="J185" s="13" cm="1">
        <f t="array" ref="J185">INDEX(GMWQ!$A$2:$NF$60,MATCH(1,(GMWQ!$NE$2:$NE$60=J$3)*(GMWQ!$ND$2:$ND$60=J$4)*(GMWQ!$NF$2:$NF$60=J$1),0),$E185-1966)</f>
        <v>521257</v>
      </c>
      <c r="K185" s="13" cm="1">
        <f t="array" ref="K185">INDEX(GMWQ!$A$2:$NF$60,MATCH(1,(GMWQ!$NE$2:$NE$60=K$3)*(GMWQ!$ND$2:$ND$60=K$4)*(GMWQ!$NF$2:$NF$60=K$1),0),$E185-1966)</f>
        <v>207984</v>
      </c>
      <c r="L185" s="13" cm="1">
        <f t="array" ref="L185">INDEX(GMWQ!$A$2:$NF$60,MATCH(1,(GMWQ!$NE$2:$NE$60=L$3)*(GMWQ!$ND$2:$ND$60=L$4)*(GMWQ!$NF$2:$NF$60=L$1),0),$E185-1966)</f>
        <v>339566</v>
      </c>
      <c r="M185" s="13" cm="1">
        <f t="array" ref="M185">INDEX(GMWQ!$A$2:$NF$60,MATCH(1,(GMWQ!$NE$2:$NE$60=M$3)*(GMWQ!$ND$2:$ND$60=M$4)*(GMWQ!$NF$2:$NF$60=M$1),0),$E185-1966)</f>
        <v>390954</v>
      </c>
      <c r="N185" s="13" cm="1">
        <f t="array" ref="N185">INDEX(GMWQ!$A$2:$NF$60,MATCH(1,(GMWQ!$NE$2:$NE$60=N$3)*(GMWQ!$ND$2:$ND$60=N$4)*(GMWQ!$NF$2:$NF$60=N$1),0),$E185-1966)</f>
        <v>86.781720000000007</v>
      </c>
      <c r="O185" s="13" cm="1">
        <f t="array" ref="O185">INDEX(GMWQ!$A$2:$NF$60,MATCH(1,(GMWQ!$NE$2:$NE$60=O$3)*(GMWQ!$ND$2:$ND$60=O$4)*(GMWQ!$NF$2:$NF$60=O$1),0),$E185-1966)</f>
        <v>32134</v>
      </c>
      <c r="P185" s="13" cm="1">
        <f t="array" ref="P185">INDEX(GMWQ!$A$2:$NF$60,MATCH(1,(GMWQ!$NE$2:$NE$60=P$3)*(GMWQ!$ND$2:$ND$60=P$4)*(GMWQ!$NF$2:$NF$60=P$1),0),$E185-1966)</f>
        <v>32093</v>
      </c>
      <c r="Q185" s="13" cm="1">
        <f t="array" ref="Q185">INDEX(GMWQ!$A$2:$NF$60,MATCH(1,(GMWQ!$NE$2:$NE$60=Q$3)*(GMWQ!$ND$2:$ND$60=Q$4)*(GMWQ!$NF$2:$NF$60=Q$1),0),$E185-1966)</f>
        <v>32063</v>
      </c>
    </row>
    <row r="186" spans="1:17" x14ac:dyDescent="0.25">
      <c r="B186" s="13">
        <f t="shared" si="14"/>
        <v>2017</v>
      </c>
      <c r="C186" s="13">
        <f t="shared" si="14"/>
        <v>2017</v>
      </c>
      <c r="E186" s="13">
        <f t="shared" si="15"/>
        <v>2152</v>
      </c>
      <c r="F186" s="13" cm="1">
        <f t="array" ref="F186">INDEX(GMWQ!$A$2:$NF$60,MATCH(1,(GMWQ!$NE$2:$NE$60=F$3)*(GMWQ!$ND$2:$ND$60=F$4)*(GMWQ!$NF$2:$NF$60=F$1),0),$E186-1966)</f>
        <v>111.70650000000001</v>
      </c>
      <c r="G186" s="13" cm="1">
        <f t="array" ref="G186">INDEX(GMWQ!$A$2:$NF$60,MATCH(1,(GMWQ!$NE$2:$NE$60=G$3)*(GMWQ!$ND$2:$ND$60=G$4)*(GMWQ!$NF$2:$NF$60=G$1),0),$E186-1966)</f>
        <v>23997</v>
      </c>
      <c r="H186" s="13" cm="1">
        <f t="array" ref="H186">INDEX(GMWQ!$A$2:$NF$60,MATCH(1,(GMWQ!$NE$2:$NE$60=H$3)*(GMWQ!$ND$2:$ND$60=H$4)*(GMWQ!$NF$2:$NF$60=H$1),0),$E186-1966)</f>
        <v>510.33330000000001</v>
      </c>
      <c r="I186" s="13" cm="1">
        <f t="array" ref="I186">INDEX(GMWQ!$A$2:$NF$60,MATCH(1,(GMWQ!$NE$2:$NE$60=I$3)*(GMWQ!$ND$2:$ND$60=I$4)*(GMWQ!$NF$2:$NF$60=I$1),0),$E186-1966)</f>
        <v>120994</v>
      </c>
      <c r="J186" s="13" cm="1">
        <f t="array" ref="J186">INDEX(GMWQ!$A$2:$NF$60,MATCH(1,(GMWQ!$NE$2:$NE$60=J$3)*(GMWQ!$ND$2:$ND$60=J$4)*(GMWQ!$NF$2:$NF$60=J$1),0),$E186-1966)</f>
        <v>529755</v>
      </c>
      <c r="K186" s="13" cm="1">
        <f t="array" ref="K186">INDEX(GMWQ!$A$2:$NF$60,MATCH(1,(GMWQ!$NE$2:$NE$60=K$3)*(GMWQ!$ND$2:$ND$60=K$4)*(GMWQ!$NF$2:$NF$60=K$1),0),$E186-1966)</f>
        <v>209502</v>
      </c>
      <c r="L186" s="13" cm="1">
        <f t="array" ref="L186">INDEX(GMWQ!$A$2:$NF$60,MATCH(1,(GMWQ!$NE$2:$NE$60=L$3)*(GMWQ!$ND$2:$ND$60=L$4)*(GMWQ!$NF$2:$NF$60=L$1),0),$E186-1966)</f>
        <v>341950</v>
      </c>
      <c r="M186" s="13" cm="1">
        <f t="array" ref="M186">INDEX(GMWQ!$A$2:$NF$60,MATCH(1,(GMWQ!$NE$2:$NE$60=M$3)*(GMWQ!$ND$2:$ND$60=M$4)*(GMWQ!$NF$2:$NF$60=M$1),0),$E186-1966)</f>
        <v>391273</v>
      </c>
      <c r="N186" s="13" cm="1">
        <f t="array" ref="N186">INDEX(GMWQ!$A$2:$NF$60,MATCH(1,(GMWQ!$NE$2:$NE$60=N$3)*(GMWQ!$ND$2:$ND$60=N$4)*(GMWQ!$NF$2:$NF$60=N$1),0),$E186-1966)</f>
        <v>87.314229999999995</v>
      </c>
      <c r="O186" s="13" cm="1">
        <f t="array" ref="O186">INDEX(GMWQ!$A$2:$NF$60,MATCH(1,(GMWQ!$NE$2:$NE$60=O$3)*(GMWQ!$ND$2:$ND$60=O$4)*(GMWQ!$NF$2:$NF$60=O$1),0),$E186-1966)</f>
        <v>32222</v>
      </c>
      <c r="P186" s="13" cm="1">
        <f t="array" ref="P186">INDEX(GMWQ!$A$2:$NF$60,MATCH(1,(GMWQ!$NE$2:$NE$60=P$3)*(GMWQ!$ND$2:$ND$60=P$4)*(GMWQ!$NF$2:$NF$60=P$1),0),$E186-1966)</f>
        <v>32179</v>
      </c>
      <c r="Q186" s="13" cm="1">
        <f t="array" ref="Q186">INDEX(GMWQ!$A$2:$NF$60,MATCH(1,(GMWQ!$NE$2:$NE$60=Q$3)*(GMWQ!$ND$2:$ND$60=Q$4)*(GMWQ!$NF$2:$NF$60=Q$1),0),$E186-1966)</f>
        <v>32154</v>
      </c>
    </row>
    <row r="187" spans="1:17" x14ac:dyDescent="0.25">
      <c r="A187" s="13">
        <v>2018</v>
      </c>
      <c r="B187" s="13">
        <f t="shared" si="14"/>
        <v>2018</v>
      </c>
      <c r="C187" s="13">
        <f t="shared" si="14"/>
        <v>2017</v>
      </c>
      <c r="D187" s="13">
        <f t="shared" si="14"/>
        <v>2017</v>
      </c>
      <c r="E187" s="13">
        <f t="shared" si="15"/>
        <v>2153</v>
      </c>
      <c r="F187" s="13" cm="1">
        <f t="array" ref="F187">INDEX(GMWQ!$A$2:$NF$60,MATCH(1,(GMWQ!$NE$2:$NE$60=F$3)*(GMWQ!$ND$2:$ND$60=F$4)*(GMWQ!$NF$2:$NF$60=F$1),0),$E187-1966)</f>
        <v>114.07389999999999</v>
      </c>
      <c r="G187" s="13" cm="1">
        <f t="array" ref="G187">INDEX(GMWQ!$A$2:$NF$60,MATCH(1,(GMWQ!$NE$2:$NE$60=G$3)*(GMWQ!$ND$2:$ND$60=G$4)*(GMWQ!$NF$2:$NF$60=G$1),0),$E187-1966)</f>
        <v>24296</v>
      </c>
      <c r="H187" s="13" cm="1">
        <f t="array" ref="H187">INDEX(GMWQ!$A$2:$NF$60,MATCH(1,(GMWQ!$NE$2:$NE$60=H$3)*(GMWQ!$ND$2:$ND$60=H$4)*(GMWQ!$NF$2:$NF$60=H$1),0),$E187-1966)</f>
        <v>512</v>
      </c>
      <c r="I187" s="13" cm="1">
        <f t="array" ref="I187">INDEX(GMWQ!$A$2:$NF$60,MATCH(1,(GMWQ!$NE$2:$NE$60=I$3)*(GMWQ!$ND$2:$ND$60=I$4)*(GMWQ!$NF$2:$NF$60=I$1),0),$E187-1966)</f>
        <v>116160</v>
      </c>
      <c r="J187" s="13" cm="1">
        <f t="array" ref="J187">INDEX(GMWQ!$A$2:$NF$60,MATCH(1,(GMWQ!$NE$2:$NE$60=J$3)*(GMWQ!$ND$2:$ND$60=J$4)*(GMWQ!$NF$2:$NF$60=J$1),0),$E187-1966)</f>
        <v>531131</v>
      </c>
      <c r="K187" s="13" cm="1">
        <f t="array" ref="K187">INDEX(GMWQ!$A$2:$NF$60,MATCH(1,(GMWQ!$NE$2:$NE$60=K$3)*(GMWQ!$ND$2:$ND$60=K$4)*(GMWQ!$NF$2:$NF$60=K$1),0),$E187-1966)</f>
        <v>213466</v>
      </c>
      <c r="L187" s="13" cm="1">
        <f t="array" ref="L187">INDEX(GMWQ!$A$2:$NF$60,MATCH(1,(GMWQ!$NE$2:$NE$60=L$3)*(GMWQ!$ND$2:$ND$60=L$4)*(GMWQ!$NF$2:$NF$60=L$1),0),$E187-1966)</f>
        <v>347760</v>
      </c>
      <c r="M187" s="13" cm="1">
        <f t="array" ref="M187">INDEX(GMWQ!$A$2:$NF$60,MATCH(1,(GMWQ!$NE$2:$NE$60=M$3)*(GMWQ!$ND$2:$ND$60=M$4)*(GMWQ!$NF$2:$NF$60=M$1),0),$E187-1966)</f>
        <v>395975</v>
      </c>
      <c r="N187" s="13" cm="1">
        <f t="array" ref="N187">INDEX(GMWQ!$A$2:$NF$60,MATCH(1,(GMWQ!$NE$2:$NE$60=N$3)*(GMWQ!$ND$2:$ND$60=N$4)*(GMWQ!$NF$2:$NF$60=N$1),0),$E187-1966)</f>
        <v>87.805499999999995</v>
      </c>
      <c r="O187" s="13" cm="1">
        <f t="array" ref="O187">INDEX(GMWQ!$A$2:$NF$60,MATCH(1,(GMWQ!$NE$2:$NE$60=O$3)*(GMWQ!$ND$2:$ND$60=O$4)*(GMWQ!$NF$2:$NF$60=O$1),0),$E187-1966)</f>
        <v>32410</v>
      </c>
      <c r="P187" s="13" cm="1">
        <f t="array" ref="P187">INDEX(GMWQ!$A$2:$NF$60,MATCH(1,(GMWQ!$NE$2:$NE$60=P$3)*(GMWQ!$ND$2:$ND$60=P$4)*(GMWQ!$NF$2:$NF$60=P$1),0),$E187-1966)</f>
        <v>32364</v>
      </c>
      <c r="Q187" s="13" cm="1">
        <f t="array" ref="Q187">INDEX(GMWQ!$A$2:$NF$60,MATCH(1,(GMWQ!$NE$2:$NE$60=Q$3)*(GMWQ!$ND$2:$ND$60=Q$4)*(GMWQ!$NF$2:$NF$60=Q$1),0),$E187-1966)</f>
        <v>32343</v>
      </c>
    </row>
    <row r="188" spans="1:17" x14ac:dyDescent="0.25">
      <c r="B188" s="13">
        <f t="shared" ref="B188:D203" si="16">+B184+1</f>
        <v>2018</v>
      </c>
      <c r="C188" s="13">
        <f t="shared" si="16"/>
        <v>2018</v>
      </c>
      <c r="E188" s="13">
        <f t="shared" si="15"/>
        <v>2154</v>
      </c>
      <c r="F188" s="13" cm="1">
        <f t="array" ref="F188">INDEX(GMWQ!$A$2:$NF$60,MATCH(1,(GMWQ!$NE$2:$NE$60=F$3)*(GMWQ!$ND$2:$ND$60=F$4)*(GMWQ!$NF$2:$NF$60=F$1),0),$E188-1966)</f>
        <v>113.6866</v>
      </c>
      <c r="G188" s="13" cm="1">
        <f t="array" ref="G188">INDEX(GMWQ!$A$2:$NF$60,MATCH(1,(GMWQ!$NE$2:$NE$60=G$3)*(GMWQ!$ND$2:$ND$60=G$4)*(GMWQ!$NF$2:$NF$60=G$1),0),$E188-1966)</f>
        <v>24403</v>
      </c>
      <c r="H188" s="13" cm="1">
        <f t="array" ref="H188">INDEX(GMWQ!$A$2:$NF$60,MATCH(1,(GMWQ!$NE$2:$NE$60=H$3)*(GMWQ!$ND$2:$ND$60=H$4)*(GMWQ!$NF$2:$NF$60=H$1),0),$E188-1966)</f>
        <v>516.66669999999999</v>
      </c>
      <c r="I188" s="13" cm="1">
        <f t="array" ref="I188">INDEX(GMWQ!$A$2:$NF$60,MATCH(1,(GMWQ!$NE$2:$NE$60=I$3)*(GMWQ!$ND$2:$ND$60=I$4)*(GMWQ!$NF$2:$NF$60=I$1),0),$E188-1966)</f>
        <v>117940</v>
      </c>
      <c r="J188" s="13" cm="1">
        <f t="array" ref="J188">INDEX(GMWQ!$A$2:$NF$60,MATCH(1,(GMWQ!$NE$2:$NE$60=J$3)*(GMWQ!$ND$2:$ND$60=J$4)*(GMWQ!$NF$2:$NF$60=J$1),0),$E188-1966)</f>
        <v>535707</v>
      </c>
      <c r="K188" s="13" cm="1">
        <f t="array" ref="K188">INDEX(GMWQ!$A$2:$NF$60,MATCH(1,(GMWQ!$NE$2:$NE$60=K$3)*(GMWQ!$ND$2:$ND$60=K$4)*(GMWQ!$NF$2:$NF$60=K$1),0),$E188-1966)</f>
        <v>212838</v>
      </c>
      <c r="L188" s="13" cm="1">
        <f t="array" ref="L188">INDEX(GMWQ!$A$2:$NF$60,MATCH(1,(GMWQ!$NE$2:$NE$60=L$3)*(GMWQ!$ND$2:$ND$60=L$4)*(GMWQ!$NF$2:$NF$60=L$1),0),$E188-1966)</f>
        <v>347383</v>
      </c>
      <c r="M188" s="13" cm="1">
        <f t="array" ref="M188">INDEX(GMWQ!$A$2:$NF$60,MATCH(1,(GMWQ!$NE$2:$NE$60=M$3)*(GMWQ!$ND$2:$ND$60=M$4)*(GMWQ!$NF$2:$NF$60=M$1),0),$E188-1966)</f>
        <v>394175</v>
      </c>
      <c r="N188" s="13" cm="1">
        <f t="array" ref="N188">INDEX(GMWQ!$A$2:$NF$60,MATCH(1,(GMWQ!$NE$2:$NE$60=N$3)*(GMWQ!$ND$2:$ND$60=N$4)*(GMWQ!$NF$2:$NF$60=N$1),0),$E188-1966)</f>
        <v>88.070499999999996</v>
      </c>
      <c r="O188" s="13" cm="1">
        <f t="array" ref="O188">INDEX(GMWQ!$A$2:$NF$60,MATCH(1,(GMWQ!$NE$2:$NE$60=O$3)*(GMWQ!$ND$2:$ND$60=O$4)*(GMWQ!$NF$2:$NF$60=O$1),0),$E188-1966)</f>
        <v>32451</v>
      </c>
      <c r="P188" s="13" cm="1">
        <f t="array" ref="P188">INDEX(GMWQ!$A$2:$NF$60,MATCH(1,(GMWQ!$NE$2:$NE$60=P$3)*(GMWQ!$ND$2:$ND$60=P$4)*(GMWQ!$NF$2:$NF$60=P$1),0),$E188-1966)</f>
        <v>32403</v>
      </c>
      <c r="Q188" s="13" cm="1">
        <f t="array" ref="Q188">INDEX(GMWQ!$A$2:$NF$60,MATCH(1,(GMWQ!$NE$2:$NE$60=Q$3)*(GMWQ!$ND$2:$ND$60=Q$4)*(GMWQ!$NF$2:$NF$60=Q$1),0),$E188-1966)</f>
        <v>32386</v>
      </c>
    </row>
    <row r="189" spans="1:17" x14ac:dyDescent="0.25">
      <c r="B189" s="13">
        <f t="shared" si="16"/>
        <v>2018</v>
      </c>
      <c r="C189" s="13">
        <f t="shared" si="16"/>
        <v>2018</v>
      </c>
      <c r="E189" s="13">
        <f t="shared" si="15"/>
        <v>2155</v>
      </c>
      <c r="F189" s="13" cm="1">
        <f t="array" ref="F189">INDEX(GMWQ!$A$2:$NF$60,MATCH(1,(GMWQ!$NE$2:$NE$60=F$3)*(GMWQ!$ND$2:$ND$60=F$4)*(GMWQ!$NF$2:$NF$60=F$1),0),$E189-1966)</f>
        <v>115.17919999999999</v>
      </c>
      <c r="G189" s="13" cm="1">
        <f t="array" ref="G189">INDEX(GMWQ!$A$2:$NF$60,MATCH(1,(GMWQ!$NE$2:$NE$60=G$3)*(GMWQ!$ND$2:$ND$60=G$4)*(GMWQ!$NF$2:$NF$60=G$1),0),$E189-1966)</f>
        <v>24535</v>
      </c>
      <c r="H189" s="13" cm="1">
        <f t="array" ref="H189">INDEX(GMWQ!$A$2:$NF$60,MATCH(1,(GMWQ!$NE$2:$NE$60=H$3)*(GMWQ!$ND$2:$ND$60=H$4)*(GMWQ!$NF$2:$NF$60=H$1),0),$E189-1966)</f>
        <v>522.33330000000001</v>
      </c>
      <c r="I189" s="13" cm="1">
        <f t="array" ref="I189">INDEX(GMWQ!$A$2:$NF$60,MATCH(1,(GMWQ!$NE$2:$NE$60=I$3)*(GMWQ!$ND$2:$ND$60=I$4)*(GMWQ!$NF$2:$NF$60=I$1),0),$E189-1966)</f>
        <v>117461</v>
      </c>
      <c r="J189" s="13" cm="1">
        <f t="array" ref="J189">INDEX(GMWQ!$A$2:$NF$60,MATCH(1,(GMWQ!$NE$2:$NE$60=J$3)*(GMWQ!$ND$2:$ND$60=J$4)*(GMWQ!$NF$2:$NF$60=J$1),0),$E189-1966)</f>
        <v>540205</v>
      </c>
      <c r="K189" s="13" cm="1">
        <f t="array" ref="K189">INDEX(GMWQ!$A$2:$NF$60,MATCH(1,(GMWQ!$NE$2:$NE$60=K$3)*(GMWQ!$ND$2:$ND$60=K$4)*(GMWQ!$NF$2:$NF$60=K$1),0),$E189-1966)</f>
        <v>216683</v>
      </c>
      <c r="L189" s="13" cm="1">
        <f t="array" ref="L189">INDEX(GMWQ!$A$2:$NF$60,MATCH(1,(GMWQ!$NE$2:$NE$60=L$3)*(GMWQ!$ND$2:$ND$60=L$4)*(GMWQ!$NF$2:$NF$60=L$1),0),$E189-1966)</f>
        <v>350601</v>
      </c>
      <c r="M189" s="13" cm="1">
        <f t="array" ref="M189">INDEX(GMWQ!$A$2:$NF$60,MATCH(1,(GMWQ!$NE$2:$NE$60=M$3)*(GMWQ!$ND$2:$ND$60=M$4)*(GMWQ!$NF$2:$NF$60=M$1),0),$E189-1966)</f>
        <v>395431</v>
      </c>
      <c r="N189" s="13" cm="1">
        <f t="array" ref="N189">INDEX(GMWQ!$A$2:$NF$60,MATCH(1,(GMWQ!$NE$2:$NE$60=N$3)*(GMWQ!$ND$2:$ND$60=N$4)*(GMWQ!$NF$2:$NF$60=N$1),0),$E189-1966)</f>
        <v>88.574029999999993</v>
      </c>
      <c r="O189" s="13" cm="1">
        <f t="array" ref="O189">INDEX(GMWQ!$A$2:$NF$60,MATCH(1,(GMWQ!$NE$2:$NE$60=O$3)*(GMWQ!$ND$2:$ND$60=O$4)*(GMWQ!$NF$2:$NF$60=O$1),0),$E189-1966)</f>
        <v>32497</v>
      </c>
      <c r="P189" s="13" cm="1">
        <f t="array" ref="P189">INDEX(GMWQ!$A$2:$NF$60,MATCH(1,(GMWQ!$NE$2:$NE$60=P$3)*(GMWQ!$ND$2:$ND$60=P$4)*(GMWQ!$NF$2:$NF$60=P$1),0),$E189-1966)</f>
        <v>32448</v>
      </c>
      <c r="Q189" s="13" cm="1">
        <f t="array" ref="Q189">INDEX(GMWQ!$A$2:$NF$60,MATCH(1,(GMWQ!$NE$2:$NE$60=Q$3)*(GMWQ!$ND$2:$ND$60=Q$4)*(GMWQ!$NF$2:$NF$60=Q$1),0),$E189-1966)</f>
        <v>32431</v>
      </c>
    </row>
    <row r="190" spans="1:17" x14ac:dyDescent="0.25">
      <c r="B190" s="13">
        <f t="shared" si="16"/>
        <v>2018</v>
      </c>
      <c r="C190" s="13">
        <f t="shared" si="16"/>
        <v>2018</v>
      </c>
      <c r="E190" s="13">
        <f t="shared" si="15"/>
        <v>2156</v>
      </c>
      <c r="F190" s="13" cm="1">
        <f t="array" ref="F190">INDEX(GMWQ!$A$2:$NF$60,MATCH(1,(GMWQ!$NE$2:$NE$60=F$3)*(GMWQ!$ND$2:$ND$60=F$4)*(GMWQ!$NF$2:$NF$60=F$1),0),$E190-1966)</f>
        <v>116.4156</v>
      </c>
      <c r="G190" s="13" cm="1">
        <f t="array" ref="G190">INDEX(GMWQ!$A$2:$NF$60,MATCH(1,(GMWQ!$NE$2:$NE$60=G$3)*(GMWQ!$ND$2:$ND$60=G$4)*(GMWQ!$NF$2:$NF$60=G$1),0),$E190-1966)</f>
        <v>24830</v>
      </c>
      <c r="H190" s="13" cm="1">
        <f t="array" ref="H190">INDEX(GMWQ!$A$2:$NF$60,MATCH(1,(GMWQ!$NE$2:$NE$60=H$3)*(GMWQ!$ND$2:$ND$60=H$4)*(GMWQ!$NF$2:$NF$60=H$1),0),$E190-1966)</f>
        <v>528</v>
      </c>
      <c r="I190" s="13" cm="1">
        <f t="array" ref="I190">INDEX(GMWQ!$A$2:$NF$60,MATCH(1,(GMWQ!$NE$2:$NE$60=I$3)*(GMWQ!$ND$2:$ND$60=I$4)*(GMWQ!$NF$2:$NF$60=I$1),0),$E190-1966)</f>
        <v>117040</v>
      </c>
      <c r="J190" s="13" cm="1">
        <f t="array" ref="J190">INDEX(GMWQ!$A$2:$NF$60,MATCH(1,(GMWQ!$NE$2:$NE$60=J$3)*(GMWQ!$ND$2:$ND$60=J$4)*(GMWQ!$NF$2:$NF$60=J$1),0),$E190-1966)</f>
        <v>545261</v>
      </c>
      <c r="K190" s="13" cm="1">
        <f t="array" ref="K190">INDEX(GMWQ!$A$2:$NF$60,MATCH(1,(GMWQ!$NE$2:$NE$60=K$3)*(GMWQ!$ND$2:$ND$60=K$4)*(GMWQ!$NF$2:$NF$60=K$1),0),$E190-1966)</f>
        <v>219523</v>
      </c>
      <c r="L190" s="13" cm="1">
        <f t="array" ref="L190">INDEX(GMWQ!$A$2:$NF$60,MATCH(1,(GMWQ!$NE$2:$NE$60=L$3)*(GMWQ!$ND$2:$ND$60=L$4)*(GMWQ!$NF$2:$NF$60=L$1),0),$E190-1966)</f>
        <v>356695</v>
      </c>
      <c r="M190" s="13" cm="1">
        <f t="array" ref="M190">INDEX(GMWQ!$A$2:$NF$60,MATCH(1,(GMWQ!$NE$2:$NE$60=M$3)*(GMWQ!$ND$2:$ND$60=M$4)*(GMWQ!$NF$2:$NF$60=M$1),0),$E190-1966)</f>
        <v>400106</v>
      </c>
      <c r="N190" s="13" cm="1">
        <f t="array" ref="N190">INDEX(GMWQ!$A$2:$NF$60,MATCH(1,(GMWQ!$NE$2:$NE$60=N$3)*(GMWQ!$ND$2:$ND$60=N$4)*(GMWQ!$NF$2:$NF$60=N$1),0),$E190-1966)</f>
        <v>89.073130000000006</v>
      </c>
      <c r="O190" s="13" cm="1">
        <f t="array" ref="O190">INDEX(GMWQ!$A$2:$NF$60,MATCH(1,(GMWQ!$NE$2:$NE$60=O$3)*(GMWQ!$ND$2:$ND$60=O$4)*(GMWQ!$NF$2:$NF$60=O$1),0),$E190-1966)</f>
        <v>32669</v>
      </c>
      <c r="P190" s="13" cm="1">
        <f t="array" ref="P190">INDEX(GMWQ!$A$2:$NF$60,MATCH(1,(GMWQ!$NE$2:$NE$60=P$3)*(GMWQ!$ND$2:$ND$60=P$4)*(GMWQ!$NF$2:$NF$60=P$1),0),$E190-1966)</f>
        <v>32618</v>
      </c>
      <c r="Q190" s="13" cm="1">
        <f t="array" ref="Q190">INDEX(GMWQ!$A$2:$NF$60,MATCH(1,(GMWQ!$NE$2:$NE$60=Q$3)*(GMWQ!$ND$2:$ND$60=Q$4)*(GMWQ!$NF$2:$NF$60=Q$1),0),$E190-1966)</f>
        <v>32597</v>
      </c>
    </row>
    <row r="191" spans="1:17" x14ac:dyDescent="0.25">
      <c r="A191" s="13">
        <v>2019</v>
      </c>
      <c r="B191" s="13">
        <f t="shared" si="16"/>
        <v>2019</v>
      </c>
      <c r="C191" s="13">
        <f t="shared" si="16"/>
        <v>2018</v>
      </c>
      <c r="D191" s="13">
        <f t="shared" si="16"/>
        <v>2018</v>
      </c>
      <c r="E191" s="13">
        <f t="shared" si="15"/>
        <v>2157</v>
      </c>
      <c r="F191" s="13" cm="1">
        <f t="array" ref="F191">INDEX(GMWQ!$A$2:$NF$60,MATCH(1,(GMWQ!$NE$2:$NE$60=F$3)*(GMWQ!$ND$2:$ND$60=F$4)*(GMWQ!$NF$2:$NF$60=F$1),0),$E191-1966)</f>
        <v>116.8866</v>
      </c>
      <c r="G191" s="13" cm="1">
        <f t="array" ref="G191">INDEX(GMWQ!$A$2:$NF$60,MATCH(1,(GMWQ!$NE$2:$NE$60=G$3)*(GMWQ!$ND$2:$ND$60=G$4)*(GMWQ!$NF$2:$NF$60=G$1),0),$E191-1966)</f>
        <v>25806</v>
      </c>
      <c r="H191" s="13" cm="1">
        <f t="array" ref="H191">INDEX(GMWQ!$A$2:$NF$60,MATCH(1,(GMWQ!$NE$2:$NE$60=H$3)*(GMWQ!$ND$2:$ND$60=H$4)*(GMWQ!$NF$2:$NF$60=H$1),0),$E191-1966)</f>
        <v>528.66669999999999</v>
      </c>
      <c r="I191" s="13" cm="1">
        <f t="array" ref="I191">INDEX(GMWQ!$A$2:$NF$60,MATCH(1,(GMWQ!$NE$2:$NE$60=I$3)*(GMWQ!$ND$2:$ND$60=I$4)*(GMWQ!$NF$2:$NF$60=I$1),0),$E191-1966)</f>
        <v>116521</v>
      </c>
      <c r="J191" s="13" cm="1">
        <f t="array" ref="J191">INDEX(GMWQ!$A$2:$NF$60,MATCH(1,(GMWQ!$NE$2:$NE$60=J$3)*(GMWQ!$ND$2:$ND$60=J$4)*(GMWQ!$NF$2:$NF$60=J$1),0),$E191-1966)</f>
        <v>549060</v>
      </c>
      <c r="K191" s="13" cm="1">
        <f t="array" ref="K191">INDEX(GMWQ!$A$2:$NF$60,MATCH(1,(GMWQ!$NE$2:$NE$60=K$3)*(GMWQ!$ND$2:$ND$60=K$4)*(GMWQ!$NF$2:$NF$60=K$1),0),$E191-1966)</f>
        <v>220691</v>
      </c>
      <c r="L191" s="13" cm="1">
        <f t="array" ref="L191">INDEX(GMWQ!$A$2:$NF$60,MATCH(1,(GMWQ!$NE$2:$NE$60=L$3)*(GMWQ!$ND$2:$ND$60=L$4)*(GMWQ!$NF$2:$NF$60=L$1),0),$E191-1966)</f>
        <v>356202</v>
      </c>
      <c r="M191" s="13" cm="1">
        <f t="array" ref="M191">INDEX(GMWQ!$A$2:$NF$60,MATCH(1,(GMWQ!$NE$2:$NE$60=M$3)*(GMWQ!$ND$2:$ND$60=M$4)*(GMWQ!$NF$2:$NF$60=M$1),0),$E191-1966)</f>
        <v>399632</v>
      </c>
      <c r="N191" s="13" cm="1">
        <f t="array" ref="N191">INDEX(GMWQ!$A$2:$NF$60,MATCH(1,(GMWQ!$NE$2:$NE$60=N$3)*(GMWQ!$ND$2:$ND$60=N$4)*(GMWQ!$NF$2:$NF$60=N$1),0),$E191-1966)</f>
        <v>89.182159999999996</v>
      </c>
      <c r="O191" s="13" cm="1">
        <f t="array" ref="O191">INDEX(GMWQ!$A$2:$NF$60,MATCH(1,(GMWQ!$NE$2:$NE$60=O$3)*(GMWQ!$ND$2:$ND$60=O$4)*(GMWQ!$NF$2:$NF$60=O$1),0),$E191-1966)</f>
        <v>32773</v>
      </c>
      <c r="P191" s="13" cm="1">
        <f t="array" ref="P191">INDEX(GMWQ!$A$2:$NF$60,MATCH(1,(GMWQ!$NE$2:$NE$60=P$3)*(GMWQ!$ND$2:$ND$60=P$4)*(GMWQ!$NF$2:$NF$60=P$1),0),$E191-1966)</f>
        <v>32721</v>
      </c>
      <c r="Q191" s="13" cm="1">
        <f t="array" ref="Q191">INDEX(GMWQ!$A$2:$NF$60,MATCH(1,(GMWQ!$NE$2:$NE$60=Q$3)*(GMWQ!$ND$2:$ND$60=Q$4)*(GMWQ!$NF$2:$NF$60=Q$1),0),$E191-1966)</f>
        <v>32697</v>
      </c>
    </row>
    <row r="192" spans="1:17" x14ac:dyDescent="0.25">
      <c r="B192" s="13">
        <f t="shared" si="16"/>
        <v>2019</v>
      </c>
      <c r="C192" s="13">
        <f t="shared" si="16"/>
        <v>2019</v>
      </c>
      <c r="E192" s="13">
        <f t="shared" si="15"/>
        <v>2158</v>
      </c>
      <c r="F192" s="13" cm="1">
        <f t="array" ref="F192">INDEX(GMWQ!$A$2:$NF$60,MATCH(1,(GMWQ!$NE$2:$NE$60=F$3)*(GMWQ!$ND$2:$ND$60=F$4)*(GMWQ!$NF$2:$NF$60=F$1),0),$E192-1966)</f>
        <v>118.69540000000001</v>
      </c>
      <c r="G192" s="13" cm="1">
        <f t="array" ref="G192">INDEX(GMWQ!$A$2:$NF$60,MATCH(1,(GMWQ!$NE$2:$NE$60=G$3)*(GMWQ!$ND$2:$ND$60=G$4)*(GMWQ!$NF$2:$NF$60=G$1),0),$E192-1966)</f>
        <v>26406</v>
      </c>
      <c r="H192" s="13" cm="1">
        <f t="array" ref="H192">INDEX(GMWQ!$A$2:$NF$60,MATCH(1,(GMWQ!$NE$2:$NE$60=H$3)*(GMWQ!$ND$2:$ND$60=H$4)*(GMWQ!$NF$2:$NF$60=H$1),0),$E192-1966)</f>
        <v>537</v>
      </c>
      <c r="I192" s="13" cm="1">
        <f t="array" ref="I192">INDEX(GMWQ!$A$2:$NF$60,MATCH(1,(GMWQ!$NE$2:$NE$60=I$3)*(GMWQ!$ND$2:$ND$60=I$4)*(GMWQ!$NF$2:$NF$60=I$1),0),$E192-1966)</f>
        <v>118367</v>
      </c>
      <c r="J192" s="13" cm="1">
        <f t="array" ref="J192">INDEX(GMWQ!$A$2:$NF$60,MATCH(1,(GMWQ!$NE$2:$NE$60=J$3)*(GMWQ!$ND$2:$ND$60=J$4)*(GMWQ!$NF$2:$NF$60=J$1),0),$E192-1966)</f>
        <v>556104</v>
      </c>
      <c r="K192" s="13" cm="1">
        <f t="array" ref="K192">INDEX(GMWQ!$A$2:$NF$60,MATCH(1,(GMWQ!$NE$2:$NE$60=K$3)*(GMWQ!$ND$2:$ND$60=K$4)*(GMWQ!$NF$2:$NF$60=K$1),0),$E192-1966)</f>
        <v>224186</v>
      </c>
      <c r="L192" s="13" cm="1">
        <f t="array" ref="L192">INDEX(GMWQ!$A$2:$NF$60,MATCH(1,(GMWQ!$NE$2:$NE$60=L$3)*(GMWQ!$ND$2:$ND$60=L$4)*(GMWQ!$NF$2:$NF$60=L$1),0),$E192-1966)</f>
        <v>363432</v>
      </c>
      <c r="M192" s="13" cm="1">
        <f t="array" ref="M192">INDEX(GMWQ!$A$2:$NF$60,MATCH(1,(GMWQ!$NE$2:$NE$60=M$3)*(GMWQ!$ND$2:$ND$60=M$4)*(GMWQ!$NF$2:$NF$60=M$1),0),$E192-1966)</f>
        <v>405211</v>
      </c>
      <c r="N192" s="13" cm="1">
        <f t="array" ref="N192">INDEX(GMWQ!$A$2:$NF$60,MATCH(1,(GMWQ!$NE$2:$NE$60=N$3)*(GMWQ!$ND$2:$ND$60=N$4)*(GMWQ!$NF$2:$NF$60=N$1),0),$E192-1966)</f>
        <v>89.604060000000004</v>
      </c>
      <c r="O192" s="13" cm="1">
        <f t="array" ref="O192">INDEX(GMWQ!$A$2:$NF$60,MATCH(1,(GMWQ!$NE$2:$NE$60=O$3)*(GMWQ!$ND$2:$ND$60=O$4)*(GMWQ!$NF$2:$NF$60=O$1),0),$E192-1966)</f>
        <v>32965</v>
      </c>
      <c r="P192" s="13" cm="1">
        <f t="array" ref="P192">INDEX(GMWQ!$A$2:$NF$60,MATCH(1,(GMWQ!$NE$2:$NE$60=P$3)*(GMWQ!$ND$2:$ND$60=P$4)*(GMWQ!$NF$2:$NF$60=P$1),0),$E192-1966)</f>
        <v>32839</v>
      </c>
      <c r="Q192" s="13" cm="1">
        <f t="array" ref="Q192">INDEX(GMWQ!$A$2:$NF$60,MATCH(1,(GMWQ!$NE$2:$NE$60=Q$3)*(GMWQ!$ND$2:$ND$60=Q$4)*(GMWQ!$NF$2:$NF$60=Q$1),0),$E192-1966)</f>
        <v>32811</v>
      </c>
    </row>
    <row r="193" spans="1:17" x14ac:dyDescent="0.25">
      <c r="B193" s="13">
        <f t="shared" si="16"/>
        <v>2019</v>
      </c>
      <c r="C193" s="13">
        <f t="shared" si="16"/>
        <v>2019</v>
      </c>
      <c r="E193" s="13">
        <f t="shared" si="15"/>
        <v>2159</v>
      </c>
      <c r="F193" s="13" cm="1">
        <f t="array" ref="F193">INDEX(GMWQ!$A$2:$NF$60,MATCH(1,(GMWQ!$NE$2:$NE$60=F$3)*(GMWQ!$ND$2:$ND$60=F$4)*(GMWQ!$NF$2:$NF$60=F$1),0),$E193-1966)</f>
        <v>118.1284</v>
      </c>
      <c r="G193" s="13" cm="1">
        <f t="array" ref="G193">INDEX(GMWQ!$A$2:$NF$60,MATCH(1,(GMWQ!$NE$2:$NE$60=G$3)*(GMWQ!$ND$2:$ND$60=G$4)*(GMWQ!$NF$2:$NF$60=G$1),0),$E193-1966)</f>
        <v>27085</v>
      </c>
      <c r="H193" s="13" cm="1">
        <f t="array" ref="H193">INDEX(GMWQ!$A$2:$NF$60,MATCH(1,(GMWQ!$NE$2:$NE$60=H$3)*(GMWQ!$ND$2:$ND$60=H$4)*(GMWQ!$NF$2:$NF$60=H$1),0),$E193-1966)</f>
        <v>542.33330000000001</v>
      </c>
      <c r="I193" s="13" cm="1">
        <f t="array" ref="I193">INDEX(GMWQ!$A$2:$NF$60,MATCH(1,(GMWQ!$NE$2:$NE$60=I$3)*(GMWQ!$ND$2:$ND$60=I$4)*(GMWQ!$NF$2:$NF$60=I$1),0),$E193-1966)</f>
        <v>124088</v>
      </c>
      <c r="J193" s="13" cm="1">
        <f t="array" ref="J193">INDEX(GMWQ!$A$2:$NF$60,MATCH(1,(GMWQ!$NE$2:$NE$60=J$3)*(GMWQ!$ND$2:$ND$60=J$4)*(GMWQ!$NF$2:$NF$60=J$1),0),$E193-1966)</f>
        <v>562999</v>
      </c>
      <c r="K193" s="13" cm="1">
        <f t="array" ref="K193">INDEX(GMWQ!$A$2:$NF$60,MATCH(1,(GMWQ!$NE$2:$NE$60=K$3)*(GMWQ!$ND$2:$ND$60=K$4)*(GMWQ!$NF$2:$NF$60=K$1),0),$E193-1966)</f>
        <v>223552</v>
      </c>
      <c r="L193" s="13" cm="1">
        <f t="array" ref="L193">INDEX(GMWQ!$A$2:$NF$60,MATCH(1,(GMWQ!$NE$2:$NE$60=L$3)*(GMWQ!$ND$2:$ND$60=L$4)*(GMWQ!$NF$2:$NF$60=L$1),0),$E193-1966)</f>
        <v>365191</v>
      </c>
      <c r="M193" s="13" cm="1">
        <f t="array" ref="M193">INDEX(GMWQ!$A$2:$NF$60,MATCH(1,(GMWQ!$NE$2:$NE$60=M$3)*(GMWQ!$ND$2:$ND$60=M$4)*(GMWQ!$NF$2:$NF$60=M$1),0),$E193-1966)</f>
        <v>405428</v>
      </c>
      <c r="N193" s="13" cm="1">
        <f t="array" ref="N193">INDEX(GMWQ!$A$2:$NF$60,MATCH(1,(GMWQ!$NE$2:$NE$60=N$3)*(GMWQ!$ND$2:$ND$60=N$4)*(GMWQ!$NF$2:$NF$60=N$1),0),$E193-1966)</f>
        <v>89.94605</v>
      </c>
      <c r="O193" s="13" cm="1">
        <f t="array" ref="O193">INDEX(GMWQ!$A$2:$NF$60,MATCH(1,(GMWQ!$NE$2:$NE$60=O$3)*(GMWQ!$ND$2:$ND$60=O$4)*(GMWQ!$NF$2:$NF$60=O$1),0),$E193-1966)</f>
        <v>32894</v>
      </c>
      <c r="P193" s="13" cm="1">
        <f t="array" ref="P193">INDEX(GMWQ!$A$2:$NF$60,MATCH(1,(GMWQ!$NE$2:$NE$60=P$3)*(GMWQ!$ND$2:$ND$60=P$4)*(GMWQ!$NF$2:$NF$60=P$1),0),$E193-1966)</f>
        <v>32779</v>
      </c>
      <c r="Q193" s="13" cm="1">
        <f t="array" ref="Q193">INDEX(GMWQ!$A$2:$NF$60,MATCH(1,(GMWQ!$NE$2:$NE$60=Q$3)*(GMWQ!$ND$2:$ND$60=Q$4)*(GMWQ!$NF$2:$NF$60=Q$1),0),$E193-1966)</f>
        <v>32753</v>
      </c>
    </row>
    <row r="194" spans="1:17" x14ac:dyDescent="0.25">
      <c r="B194" s="13">
        <f t="shared" si="16"/>
        <v>2019</v>
      </c>
      <c r="C194" s="13">
        <f t="shared" si="16"/>
        <v>2019</v>
      </c>
      <c r="E194" s="13">
        <f t="shared" si="15"/>
        <v>2160</v>
      </c>
      <c r="F194" s="13" cm="1">
        <f t="array" ref="F194">INDEX(GMWQ!$A$2:$NF$60,MATCH(1,(GMWQ!$NE$2:$NE$60=F$3)*(GMWQ!$ND$2:$ND$60=F$4)*(GMWQ!$NF$2:$NF$60=F$1),0),$E194-1966)</f>
        <v>118.05759999999999</v>
      </c>
      <c r="G194" s="13" cm="1">
        <f t="array" ref="G194">INDEX(GMWQ!$A$2:$NF$60,MATCH(1,(GMWQ!$NE$2:$NE$60=G$3)*(GMWQ!$ND$2:$ND$60=G$4)*(GMWQ!$NF$2:$NF$60=G$1),0),$E194-1966)</f>
        <v>27639</v>
      </c>
      <c r="H194" s="13" cm="1">
        <f t="array" ref="H194">INDEX(GMWQ!$A$2:$NF$60,MATCH(1,(GMWQ!$NE$2:$NE$60=H$3)*(GMWQ!$ND$2:$ND$60=H$4)*(GMWQ!$NF$2:$NF$60=H$1),0),$E194-1966)</f>
        <v>542.33330000000001</v>
      </c>
      <c r="I194" s="13" cm="1">
        <f t="array" ref="I194">INDEX(GMWQ!$A$2:$NF$60,MATCH(1,(GMWQ!$NE$2:$NE$60=I$3)*(GMWQ!$ND$2:$ND$60=I$4)*(GMWQ!$NF$2:$NF$60=I$1),0),$E194-1966)</f>
        <v>126032</v>
      </c>
      <c r="J194" s="13" cm="1">
        <f t="array" ref="J194">INDEX(GMWQ!$A$2:$NF$60,MATCH(1,(GMWQ!$NE$2:$NE$60=J$3)*(GMWQ!$ND$2:$ND$60=J$4)*(GMWQ!$NF$2:$NF$60=J$1),0),$E194-1966)</f>
        <v>565758</v>
      </c>
      <c r="K194" s="13" cm="1">
        <f t="array" ref="K194">INDEX(GMWQ!$A$2:$NF$60,MATCH(1,(GMWQ!$NE$2:$NE$60=K$3)*(GMWQ!$ND$2:$ND$60=K$4)*(GMWQ!$NF$2:$NF$60=K$1),0),$E194-1966)</f>
        <v>223933</v>
      </c>
      <c r="L194" s="13" cm="1">
        <f t="array" ref="L194">INDEX(GMWQ!$A$2:$NF$60,MATCH(1,(GMWQ!$NE$2:$NE$60=L$3)*(GMWQ!$ND$2:$ND$60=L$4)*(GMWQ!$NF$2:$NF$60=L$1),0),$E194-1966)</f>
        <v>368137</v>
      </c>
      <c r="M194" s="13" cm="1">
        <f t="array" ref="M194">INDEX(GMWQ!$A$2:$NF$60,MATCH(1,(GMWQ!$NE$2:$NE$60=M$3)*(GMWQ!$ND$2:$ND$60=M$4)*(GMWQ!$NF$2:$NF$60=M$1),0),$E194-1966)</f>
        <v>407970</v>
      </c>
      <c r="N194" s="13" cm="1">
        <f t="array" ref="N194">INDEX(GMWQ!$A$2:$NF$60,MATCH(1,(GMWQ!$NE$2:$NE$60=N$3)*(GMWQ!$ND$2:$ND$60=N$4)*(GMWQ!$NF$2:$NF$60=N$1),0),$E194-1966)</f>
        <v>90.039550000000006</v>
      </c>
      <c r="O194" s="13" cm="1">
        <f t="array" ref="O194">INDEX(GMWQ!$A$2:$NF$60,MATCH(1,(GMWQ!$NE$2:$NE$60=O$3)*(GMWQ!$ND$2:$ND$60=O$4)*(GMWQ!$NF$2:$NF$60=O$1),0),$E194-1966)</f>
        <v>33055</v>
      </c>
      <c r="P194" s="13" cm="1">
        <f t="array" ref="P194">INDEX(GMWQ!$A$2:$NF$60,MATCH(1,(GMWQ!$NE$2:$NE$60=P$3)*(GMWQ!$ND$2:$ND$60=P$4)*(GMWQ!$NF$2:$NF$60=P$1),0),$E194-1966)</f>
        <v>32954</v>
      </c>
      <c r="Q194" s="13" cm="1">
        <f t="array" ref="Q194">INDEX(GMWQ!$A$2:$NF$60,MATCH(1,(GMWQ!$NE$2:$NE$60=Q$3)*(GMWQ!$ND$2:$ND$60=Q$4)*(GMWQ!$NF$2:$NF$60=Q$1),0),$E194-1966)</f>
        <v>32934</v>
      </c>
    </row>
    <row r="195" spans="1:17" x14ac:dyDescent="0.25">
      <c r="A195" s="13">
        <v>2020</v>
      </c>
      <c r="B195" s="13">
        <f t="shared" si="16"/>
        <v>2020</v>
      </c>
      <c r="C195" s="13">
        <f t="shared" si="16"/>
        <v>2019</v>
      </c>
      <c r="D195" s="13">
        <f t="shared" si="16"/>
        <v>2019</v>
      </c>
      <c r="E195" s="13">
        <f t="shared" si="15"/>
        <v>2161</v>
      </c>
      <c r="F195" s="13" cm="1">
        <f t="array" ref="F195">INDEX(GMWQ!$A$2:$NF$60,MATCH(1,(GMWQ!$NE$2:$NE$60=F$3)*(GMWQ!$ND$2:$ND$60=F$4)*(GMWQ!$NF$2:$NF$60=F$1),0),$E195-1966)</f>
        <v>121.4135</v>
      </c>
      <c r="G195" s="13" cm="1">
        <f t="array" ref="G195">INDEX(GMWQ!$A$2:$NF$60,MATCH(1,(GMWQ!$NE$2:$NE$60=G$3)*(GMWQ!$ND$2:$ND$60=G$4)*(GMWQ!$NF$2:$NF$60=G$1),0),$E195-1966)</f>
        <v>27453</v>
      </c>
      <c r="H195" s="13" cm="1">
        <f t="array" ref="H195">INDEX(GMWQ!$A$2:$NF$60,MATCH(1,(GMWQ!$NE$2:$NE$60=H$3)*(GMWQ!$ND$2:$ND$60=H$4)*(GMWQ!$NF$2:$NF$60=H$1),0),$E195-1966)</f>
        <v>540.33330000000001</v>
      </c>
      <c r="I195" s="13" cm="1">
        <f t="array" ref="I195">INDEX(GMWQ!$A$2:$NF$60,MATCH(1,(GMWQ!$NE$2:$NE$60=I$3)*(GMWQ!$ND$2:$ND$60=I$4)*(GMWQ!$NF$2:$NF$60=I$1),0),$E195-1966)</f>
        <v>120061</v>
      </c>
      <c r="J195" s="13" cm="1">
        <f t="array" ref="J195">INDEX(GMWQ!$A$2:$NF$60,MATCH(1,(GMWQ!$NE$2:$NE$60=J$3)*(GMWQ!$ND$2:$ND$60=J$4)*(GMWQ!$NF$2:$NF$60=J$1),0),$E195-1966)</f>
        <v>555891</v>
      </c>
      <c r="K195" s="13" cm="1">
        <f t="array" ref="K195">INDEX(GMWQ!$A$2:$NF$60,MATCH(1,(GMWQ!$NE$2:$NE$60=K$3)*(GMWQ!$ND$2:$ND$60=K$4)*(GMWQ!$NF$2:$NF$60=K$1),0),$E195-1966)</f>
        <v>224277</v>
      </c>
      <c r="L195" s="13" cm="1">
        <f t="array" ref="L195">INDEX(GMWQ!$A$2:$NF$60,MATCH(1,(GMWQ!$NE$2:$NE$60=L$3)*(GMWQ!$ND$2:$ND$60=L$4)*(GMWQ!$NF$2:$NF$60=L$1),0),$E195-1966)</f>
        <v>361420</v>
      </c>
      <c r="M195" s="13" cm="1">
        <f t="array" ref="M195">INDEX(GMWQ!$A$2:$NF$60,MATCH(1,(GMWQ!$NE$2:$NE$60=M$3)*(GMWQ!$ND$2:$ND$60=M$4)*(GMWQ!$NF$2:$NF$60=M$1),0),$E195-1966)</f>
        <v>402584</v>
      </c>
      <c r="N195" s="13" cm="1">
        <f t="array" ref="N195">INDEX(GMWQ!$A$2:$NF$60,MATCH(1,(GMWQ!$NE$2:$NE$60=N$3)*(GMWQ!$ND$2:$ND$60=N$4)*(GMWQ!$NF$2:$NF$60=N$1),0),$E195-1966)</f>
        <v>89.551130000000001</v>
      </c>
      <c r="O195" s="13" cm="1">
        <f t="array" ref="O195">INDEX(GMWQ!$A$2:$NF$60,MATCH(1,(GMWQ!$NE$2:$NE$60=O$3)*(GMWQ!$ND$2:$ND$60=O$4)*(GMWQ!$NF$2:$NF$60=O$1),0),$E195-1966)</f>
        <v>32972</v>
      </c>
      <c r="P195" s="13" cm="1">
        <f t="array" ref="P195">INDEX(GMWQ!$A$2:$NF$60,MATCH(1,(GMWQ!$NE$2:$NE$60=P$3)*(GMWQ!$ND$2:$ND$60=P$4)*(GMWQ!$NF$2:$NF$60=P$1),0),$E195-1966)</f>
        <v>33000</v>
      </c>
      <c r="Q195" s="13" cm="1">
        <f t="array" ref="Q195">INDEX(GMWQ!$A$2:$NF$60,MATCH(1,(GMWQ!$NE$2:$NE$60=Q$3)*(GMWQ!$ND$2:$ND$60=Q$4)*(GMWQ!$NF$2:$NF$60=Q$1),0),$E195-1966)</f>
        <v>32984</v>
      </c>
    </row>
    <row r="196" spans="1:17" x14ac:dyDescent="0.25">
      <c r="B196" s="13">
        <f t="shared" si="16"/>
        <v>2020</v>
      </c>
      <c r="C196" s="13">
        <f t="shared" si="16"/>
        <v>2020</v>
      </c>
      <c r="E196" s="13">
        <f t="shared" si="15"/>
        <v>2162</v>
      </c>
      <c r="F196" s="13" cm="1">
        <f t="array" ref="F196">INDEX(GMWQ!$A$2:$NF$60,MATCH(1,(GMWQ!$NE$2:$NE$60=F$3)*(GMWQ!$ND$2:$ND$60=F$4)*(GMWQ!$NF$2:$NF$60=F$1),0),$E196-1966)</f>
        <v>148.0633</v>
      </c>
      <c r="G196" s="13" cm="1">
        <f t="array" ref="G196">INDEX(GMWQ!$A$2:$NF$60,MATCH(1,(GMWQ!$NE$2:$NE$60=G$3)*(GMWQ!$ND$2:$ND$60=G$4)*(GMWQ!$NF$2:$NF$60=G$1),0),$E196-1966)</f>
        <v>27064</v>
      </c>
      <c r="H196" s="13" cm="1">
        <f t="array" ref="H196">INDEX(GMWQ!$A$2:$NF$60,MATCH(1,(GMWQ!$NE$2:$NE$60=H$3)*(GMWQ!$ND$2:$ND$60=H$4)*(GMWQ!$NF$2:$NF$60=H$1),0),$E196-1966)</f>
        <v>531</v>
      </c>
      <c r="I196" s="13" cm="1">
        <f t="array" ref="I196">INDEX(GMWQ!$A$2:$NF$60,MATCH(1,(GMWQ!$NE$2:$NE$60=I$3)*(GMWQ!$ND$2:$ND$60=I$4)*(GMWQ!$NF$2:$NF$60=I$1),0),$E196-1966)</f>
        <v>115664</v>
      </c>
      <c r="J196" s="13" cm="1">
        <f t="array" ref="J196">INDEX(GMWQ!$A$2:$NF$60,MATCH(1,(GMWQ!$NE$2:$NE$60=J$3)*(GMWQ!$ND$2:$ND$60=J$4)*(GMWQ!$NF$2:$NF$60=J$1),0),$E196-1966)</f>
        <v>476160</v>
      </c>
      <c r="K196" s="13" cm="1">
        <f t="array" ref="K196">INDEX(GMWQ!$A$2:$NF$60,MATCH(1,(GMWQ!$NE$2:$NE$60=K$3)*(GMWQ!$ND$2:$ND$60=K$4)*(GMWQ!$NF$2:$NF$60=K$1),0),$E196-1966)</f>
        <v>217448</v>
      </c>
      <c r="L196" s="13" cm="1">
        <f t="array" ref="L196">INDEX(GMWQ!$A$2:$NF$60,MATCH(1,(GMWQ!$NE$2:$NE$60=L$3)*(GMWQ!$ND$2:$ND$60=L$4)*(GMWQ!$NF$2:$NF$60=L$1),0),$E196-1966)</f>
        <v>356361</v>
      </c>
      <c r="M196" s="13" cm="1">
        <f t="array" ref="M196">INDEX(GMWQ!$A$2:$NF$60,MATCH(1,(GMWQ!$NE$2:$NE$60=M$3)*(GMWQ!$ND$2:$ND$60=M$4)*(GMWQ!$NF$2:$NF$60=M$1),0),$E196-1966)</f>
        <v>394596</v>
      </c>
      <c r="N196" s="13" cm="1">
        <f t="array" ref="N196">INDEX(GMWQ!$A$2:$NF$60,MATCH(1,(GMWQ!$NE$2:$NE$60=N$3)*(GMWQ!$ND$2:$ND$60=N$4)*(GMWQ!$NF$2:$NF$60=N$1),0),$E196-1966)</f>
        <v>89.435910000000007</v>
      </c>
      <c r="O196" s="13" cm="1">
        <f t="array" ref="O196">INDEX(GMWQ!$A$2:$NF$60,MATCH(1,(GMWQ!$NE$2:$NE$60=O$3)*(GMWQ!$ND$2:$ND$60=O$4)*(GMWQ!$NF$2:$NF$60=O$1),0),$E196-1966)</f>
        <v>32636</v>
      </c>
      <c r="P196" s="13" cm="1">
        <f t="array" ref="P196">INDEX(GMWQ!$A$2:$NF$60,MATCH(1,(GMWQ!$NE$2:$NE$60=P$3)*(GMWQ!$ND$2:$ND$60=P$4)*(GMWQ!$NF$2:$NF$60=P$1),0),$E196-1966)</f>
        <v>32571</v>
      </c>
      <c r="Q196" s="13" cm="1">
        <f t="array" ref="Q196">INDEX(GMWQ!$A$2:$NF$60,MATCH(1,(GMWQ!$NE$2:$NE$60=Q$3)*(GMWQ!$ND$2:$ND$60=Q$4)*(GMWQ!$NF$2:$NF$60=Q$1),0),$E196-1966)</f>
        <v>32560</v>
      </c>
    </row>
    <row r="197" spans="1:17" x14ac:dyDescent="0.25">
      <c r="B197" s="13">
        <f t="shared" si="16"/>
        <v>2020</v>
      </c>
      <c r="C197" s="13">
        <f t="shared" si="16"/>
        <v>2020</v>
      </c>
      <c r="E197" s="13">
        <f t="shared" si="15"/>
        <v>2163</v>
      </c>
      <c r="F197" s="13" cm="1">
        <f t="array" ref="F197">INDEX(GMWQ!$A$2:$NF$60,MATCH(1,(GMWQ!$NE$2:$NE$60=F$3)*(GMWQ!$ND$2:$ND$60=F$4)*(GMWQ!$NF$2:$NF$60=F$1),0),$E197-1966)</f>
        <v>130.36799999999999</v>
      </c>
      <c r="G197" s="13" cm="1">
        <f t="array" ref="G197">INDEX(GMWQ!$A$2:$NF$60,MATCH(1,(GMWQ!$NE$2:$NE$60=G$3)*(GMWQ!$ND$2:$ND$60=G$4)*(GMWQ!$NF$2:$NF$60=G$1),0),$E197-1966)</f>
        <v>27978</v>
      </c>
      <c r="H197" s="13" cm="1">
        <f t="array" ref="H197">INDEX(GMWQ!$A$2:$NF$60,MATCH(1,(GMWQ!$NE$2:$NE$60=H$3)*(GMWQ!$ND$2:$ND$60=H$4)*(GMWQ!$NF$2:$NF$60=H$1),0),$E197-1966)</f>
        <v>550.33330000000001</v>
      </c>
      <c r="I197" s="13" cm="1">
        <f t="array" ref="I197">INDEX(GMWQ!$A$2:$NF$60,MATCH(1,(GMWQ!$NE$2:$NE$60=I$3)*(GMWQ!$ND$2:$ND$60=I$4)*(GMWQ!$NF$2:$NF$60=I$1),0),$E197-1966)</f>
        <v>125991</v>
      </c>
      <c r="J197" s="13" cm="1">
        <f t="array" ref="J197">INDEX(GMWQ!$A$2:$NF$60,MATCH(1,(GMWQ!$NE$2:$NE$60=J$3)*(GMWQ!$ND$2:$ND$60=J$4)*(GMWQ!$NF$2:$NF$60=J$1),0),$E197-1966)</f>
        <v>533806</v>
      </c>
      <c r="K197" s="13" cm="1">
        <f t="array" ref="K197">INDEX(GMWQ!$A$2:$NF$60,MATCH(1,(GMWQ!$NE$2:$NE$60=K$3)*(GMWQ!$ND$2:$ND$60=K$4)*(GMWQ!$NF$2:$NF$60=K$1),0),$E197-1966)</f>
        <v>222275</v>
      </c>
      <c r="L197" s="13" cm="1">
        <f t="array" ref="L197">INDEX(GMWQ!$A$2:$NF$60,MATCH(1,(GMWQ!$NE$2:$NE$60=L$3)*(GMWQ!$ND$2:$ND$60=L$4)*(GMWQ!$NF$2:$NF$60=L$1),0),$E197-1966)</f>
        <v>367470</v>
      </c>
      <c r="M197" s="13" cm="1">
        <f t="array" ref="M197">INDEX(GMWQ!$A$2:$NF$60,MATCH(1,(GMWQ!$NE$2:$NE$60=M$3)*(GMWQ!$ND$2:$ND$60=M$4)*(GMWQ!$NF$2:$NF$60=M$1),0),$E197-1966)</f>
        <v>406593</v>
      </c>
      <c r="N197" s="13" cm="1">
        <f t="array" ref="N197">INDEX(GMWQ!$A$2:$NF$60,MATCH(1,(GMWQ!$NE$2:$NE$60=N$3)*(GMWQ!$ND$2:$ND$60=N$4)*(GMWQ!$NF$2:$NF$60=N$1),0),$E197-1966)</f>
        <v>89.978999999999999</v>
      </c>
      <c r="O197" s="13" cm="1">
        <f t="array" ref="O197">INDEX(GMWQ!$A$2:$NF$60,MATCH(1,(GMWQ!$NE$2:$NE$60=O$3)*(GMWQ!$ND$2:$ND$60=O$4)*(GMWQ!$NF$2:$NF$60=O$1),0),$E197-1966)</f>
        <v>32352</v>
      </c>
      <c r="P197" s="13" cm="1">
        <f t="array" ref="P197">INDEX(GMWQ!$A$2:$NF$60,MATCH(1,(GMWQ!$NE$2:$NE$60=P$3)*(GMWQ!$ND$2:$ND$60=P$4)*(GMWQ!$NF$2:$NF$60=P$1),0),$E197-1966)</f>
        <v>32354</v>
      </c>
      <c r="Q197" s="13" cm="1">
        <f t="array" ref="Q197">INDEX(GMWQ!$A$2:$NF$60,MATCH(1,(GMWQ!$NE$2:$NE$60=Q$3)*(GMWQ!$ND$2:$ND$60=Q$4)*(GMWQ!$NF$2:$NF$60=Q$1),0),$E197-1966)</f>
        <v>32333</v>
      </c>
    </row>
    <row r="198" spans="1:17" x14ac:dyDescent="0.25">
      <c r="B198" s="13">
        <f t="shared" si="16"/>
        <v>2020</v>
      </c>
      <c r="C198" s="13">
        <f t="shared" si="16"/>
        <v>2020</v>
      </c>
      <c r="E198" s="13">
        <f t="shared" si="15"/>
        <v>2164</v>
      </c>
      <c r="F198" s="13" cm="1">
        <f t="array" ref="F198">INDEX(GMWQ!$A$2:$NF$60,MATCH(1,(GMWQ!$NE$2:$NE$60=F$3)*(GMWQ!$ND$2:$ND$60=F$4)*(GMWQ!$NF$2:$NF$60=F$1),0),$E198-1966)</f>
        <v>131.90299999999999</v>
      </c>
      <c r="G198" s="13" cm="1">
        <f t="array" ref="G198">INDEX(GMWQ!$A$2:$NF$60,MATCH(1,(GMWQ!$NE$2:$NE$60=G$3)*(GMWQ!$ND$2:$ND$60=G$4)*(GMWQ!$NF$2:$NF$60=G$1),0),$E198-1966)</f>
        <v>28812</v>
      </c>
      <c r="H198" s="13" cm="1">
        <f t="array" ref="H198">INDEX(GMWQ!$A$2:$NF$60,MATCH(1,(GMWQ!$NE$2:$NE$60=H$3)*(GMWQ!$ND$2:$ND$60=H$4)*(GMWQ!$NF$2:$NF$60=H$1),0),$E198-1966)</f>
        <v>567</v>
      </c>
      <c r="I198" s="13" cm="1">
        <f t="array" ref="I198">INDEX(GMWQ!$A$2:$NF$60,MATCH(1,(GMWQ!$NE$2:$NE$60=I$3)*(GMWQ!$ND$2:$ND$60=I$4)*(GMWQ!$NF$2:$NF$60=I$1),0),$E198-1966)</f>
        <v>117012</v>
      </c>
      <c r="J198" s="13" cm="1">
        <f t="array" ref="J198">INDEX(GMWQ!$A$2:$NF$60,MATCH(1,(GMWQ!$NE$2:$NE$60=J$3)*(GMWQ!$ND$2:$ND$60=J$4)*(GMWQ!$NF$2:$NF$60=J$1),0),$E198-1966)</f>
        <v>537629</v>
      </c>
      <c r="K198" s="13" cm="1">
        <f t="array" ref="K198">INDEX(GMWQ!$A$2:$NF$60,MATCH(1,(GMWQ!$NE$2:$NE$60=K$3)*(GMWQ!$ND$2:$ND$60=K$4)*(GMWQ!$NF$2:$NF$60=K$1),0),$E198-1966)</f>
        <v>228380</v>
      </c>
      <c r="L198" s="13" cm="1">
        <f t="array" ref="L198">INDEX(GMWQ!$A$2:$NF$60,MATCH(1,(GMWQ!$NE$2:$NE$60=L$3)*(GMWQ!$ND$2:$ND$60=L$4)*(GMWQ!$NF$2:$NF$60=L$1),0),$E198-1966)</f>
        <v>369157</v>
      </c>
      <c r="M198" s="13" cm="1">
        <f t="array" ref="M198">INDEX(GMWQ!$A$2:$NF$60,MATCH(1,(GMWQ!$NE$2:$NE$60=M$3)*(GMWQ!$ND$2:$ND$60=M$4)*(GMWQ!$NF$2:$NF$60=M$1),0),$E198-1966)</f>
        <v>408367</v>
      </c>
      <c r="N198" s="13" cm="1">
        <f t="array" ref="N198">INDEX(GMWQ!$A$2:$NF$60,MATCH(1,(GMWQ!$NE$2:$NE$60=N$3)*(GMWQ!$ND$2:$ND$60=N$4)*(GMWQ!$NF$2:$NF$60=N$1),0),$E198-1966)</f>
        <v>90.053640000000001</v>
      </c>
      <c r="O198" s="13" cm="1">
        <f t="array" ref="O198">INDEX(GMWQ!$A$2:$NF$60,MATCH(1,(GMWQ!$NE$2:$NE$60=O$3)*(GMWQ!$ND$2:$ND$60=O$4)*(GMWQ!$NF$2:$NF$60=O$1),0),$E198-1966)</f>
        <v>32266</v>
      </c>
      <c r="P198" s="13" cm="1">
        <f t="array" ref="P198">INDEX(GMWQ!$A$2:$NF$60,MATCH(1,(GMWQ!$NE$2:$NE$60=P$3)*(GMWQ!$ND$2:$ND$60=P$4)*(GMWQ!$NF$2:$NF$60=P$1),0),$E198-1966)</f>
        <v>32198</v>
      </c>
      <c r="Q198" s="13" cm="1">
        <f t="array" ref="Q198">INDEX(GMWQ!$A$2:$NF$60,MATCH(1,(GMWQ!$NE$2:$NE$60=Q$3)*(GMWQ!$ND$2:$ND$60=Q$4)*(GMWQ!$NF$2:$NF$60=Q$1),0),$E198-1966)</f>
        <v>32159</v>
      </c>
    </row>
    <row r="199" spans="1:17" x14ac:dyDescent="0.25">
      <c r="A199" s="13">
        <v>2021</v>
      </c>
      <c r="B199" s="13">
        <f t="shared" si="16"/>
        <v>2021</v>
      </c>
      <c r="C199" s="13">
        <f t="shared" si="16"/>
        <v>2020</v>
      </c>
      <c r="D199" s="13">
        <f t="shared" si="16"/>
        <v>2020</v>
      </c>
      <c r="E199" s="13">
        <f t="shared" si="15"/>
        <v>2165</v>
      </c>
      <c r="F199" s="13" cm="1">
        <f t="array" ref="F199">INDEX(GMWQ!$A$2:$NF$60,MATCH(1,(GMWQ!$NE$2:$NE$60=F$3)*(GMWQ!$ND$2:$ND$60=F$4)*(GMWQ!$NF$2:$NF$60=F$1),0),$E199-1966)</f>
        <v>133.5222</v>
      </c>
      <c r="G199" s="13" cm="1">
        <f t="array" ref="G199">INDEX(GMWQ!$A$2:$NF$60,MATCH(1,(GMWQ!$NE$2:$NE$60=G$3)*(GMWQ!$ND$2:$ND$60=G$4)*(GMWQ!$NF$2:$NF$60=G$1),0),$E199-1966)</f>
        <v>28828</v>
      </c>
      <c r="H199" s="13" cm="1">
        <f t="array" ref="H199">INDEX(GMWQ!$A$2:$NF$60,MATCH(1,(GMWQ!$NE$2:$NE$60=H$3)*(GMWQ!$ND$2:$ND$60=H$4)*(GMWQ!$NF$2:$NF$60=H$1),0),$E199-1966)</f>
        <v>563</v>
      </c>
      <c r="I199" s="13" cm="1">
        <f t="array" ref="I199">INDEX(GMWQ!$A$2:$NF$60,MATCH(1,(GMWQ!$NE$2:$NE$60=I$3)*(GMWQ!$ND$2:$ND$60=I$4)*(GMWQ!$NF$2:$NF$60=I$1),0),$E199-1966)</f>
        <v>118117</v>
      </c>
      <c r="J199" s="13" cm="1">
        <f t="array" ref="J199">INDEX(GMWQ!$A$2:$NF$60,MATCH(1,(GMWQ!$NE$2:$NE$60=J$3)*(GMWQ!$ND$2:$ND$60=J$4)*(GMWQ!$NF$2:$NF$60=J$1),0),$E199-1966)</f>
        <v>537992</v>
      </c>
      <c r="K199" s="13" cm="1">
        <f t="array" ref="K199">INDEX(GMWQ!$A$2:$NF$60,MATCH(1,(GMWQ!$NE$2:$NE$60=K$3)*(GMWQ!$ND$2:$ND$60=K$4)*(GMWQ!$NF$2:$NF$60=K$1),0),$E199-1966)</f>
        <v>229592</v>
      </c>
      <c r="L199" s="13" cm="1">
        <f t="array" ref="L199">INDEX(GMWQ!$A$2:$NF$60,MATCH(1,(GMWQ!$NE$2:$NE$60=L$3)*(GMWQ!$ND$2:$ND$60=L$4)*(GMWQ!$NF$2:$NF$60=L$1),0),$E199-1966)</f>
        <v>374602</v>
      </c>
      <c r="M199" s="13" cm="1">
        <f t="array" ref="M199">INDEX(GMWQ!$A$2:$NF$60,MATCH(1,(GMWQ!$NE$2:$NE$60=M$3)*(GMWQ!$ND$2:$ND$60=M$4)*(GMWQ!$NF$2:$NF$60=M$1),0),$E199-1966)</f>
        <v>411074</v>
      </c>
      <c r="N199" s="13" cm="1">
        <f t="array" ref="N199">INDEX(GMWQ!$A$2:$NF$60,MATCH(1,(GMWQ!$NE$2:$NE$60=N$3)*(GMWQ!$ND$2:$ND$60=N$4)*(GMWQ!$NF$2:$NF$60=N$1),0),$E199-1966)</f>
        <v>90.55059</v>
      </c>
      <c r="O199" s="13" cm="1">
        <f t="array" ref="O199">INDEX(GMWQ!$A$2:$NF$60,MATCH(1,(GMWQ!$NE$2:$NE$60=O$3)*(GMWQ!$ND$2:$ND$60=O$4)*(GMWQ!$NF$2:$NF$60=O$1),0),$E199-1966)</f>
        <v>32308</v>
      </c>
      <c r="P199" s="13" cm="1">
        <f t="array" ref="P199">INDEX(GMWQ!$A$2:$NF$60,MATCH(1,(GMWQ!$NE$2:$NE$60=P$3)*(GMWQ!$ND$2:$ND$60=P$4)*(GMWQ!$NF$2:$NF$60=P$1),0),$E199-1966)</f>
        <v>32221</v>
      </c>
      <c r="Q199" s="13" cm="1">
        <f t="array" ref="Q199">INDEX(GMWQ!$A$2:$NF$60,MATCH(1,(GMWQ!$NE$2:$NE$60=Q$3)*(GMWQ!$ND$2:$ND$60=Q$4)*(GMWQ!$NF$2:$NF$60=Q$1),0),$E199-1966)</f>
        <v>32165</v>
      </c>
    </row>
    <row r="200" spans="1:17" x14ac:dyDescent="0.25">
      <c r="B200" s="13">
        <f t="shared" si="16"/>
        <v>2021</v>
      </c>
      <c r="C200" s="13">
        <f t="shared" si="16"/>
        <v>2021</v>
      </c>
      <c r="E200" s="13">
        <f t="shared" si="15"/>
        <v>2166</v>
      </c>
      <c r="F200" s="13" cm="1">
        <f t="array" ref="F200">INDEX(GMWQ!$A$2:$NF$60,MATCH(1,(GMWQ!$NE$2:$NE$60=F$3)*(GMWQ!$ND$2:$ND$60=F$4)*(GMWQ!$NF$2:$NF$60=F$1),0),$E200-1966)</f>
        <v>127.8947</v>
      </c>
      <c r="G200" s="13" cm="1">
        <f t="array" ref="G200">INDEX(GMWQ!$A$2:$NF$60,MATCH(1,(GMWQ!$NE$2:$NE$60=G$3)*(GMWQ!$ND$2:$ND$60=G$4)*(GMWQ!$NF$2:$NF$60=G$1),0),$E200-1966)</f>
        <v>29940</v>
      </c>
      <c r="H200" s="13" cm="1">
        <f t="array" ref="H200">INDEX(GMWQ!$A$2:$NF$60,MATCH(1,(GMWQ!$NE$2:$NE$60=H$3)*(GMWQ!$ND$2:$ND$60=H$4)*(GMWQ!$NF$2:$NF$60=H$1),0),$E200-1966)</f>
        <v>578</v>
      </c>
      <c r="I200" s="13" cm="1">
        <f t="array" ref="I200">INDEX(GMWQ!$A$2:$NF$60,MATCH(1,(GMWQ!$NE$2:$NE$60=I$3)*(GMWQ!$ND$2:$ND$60=I$4)*(GMWQ!$NF$2:$NF$60=I$1),0),$E200-1966)</f>
        <v>128410</v>
      </c>
      <c r="J200" s="13" cm="1">
        <f t="array" ref="J200">INDEX(GMWQ!$A$2:$NF$60,MATCH(1,(GMWQ!$NE$2:$NE$60=J$3)*(GMWQ!$ND$2:$ND$60=J$4)*(GMWQ!$NF$2:$NF$60=J$1),0),$E200-1966)</f>
        <v>568521</v>
      </c>
      <c r="K200" s="13" cm="1">
        <f t="array" ref="K200">INDEX(GMWQ!$A$2:$NF$60,MATCH(1,(GMWQ!$NE$2:$NE$60=K$3)*(GMWQ!$ND$2:$ND$60=K$4)*(GMWQ!$NF$2:$NF$60=K$1),0),$E200-1966)</f>
        <v>237180</v>
      </c>
      <c r="L200" s="13" cm="1">
        <f t="array" ref="L200">INDEX(GMWQ!$A$2:$NF$60,MATCH(1,(GMWQ!$NE$2:$NE$60=L$3)*(GMWQ!$ND$2:$ND$60=L$4)*(GMWQ!$NF$2:$NF$60=L$1),0),$E200-1966)</f>
        <v>378013</v>
      </c>
      <c r="M200" s="13" cm="1">
        <f t="array" ref="M200">INDEX(GMWQ!$A$2:$NF$60,MATCH(1,(GMWQ!$NE$2:$NE$60=M$3)*(GMWQ!$ND$2:$ND$60=M$4)*(GMWQ!$NF$2:$NF$60=M$1),0),$E200-1966)</f>
        <v>413832</v>
      </c>
      <c r="N200" s="13" cm="1">
        <f t="array" ref="N200">INDEX(GMWQ!$A$2:$NF$60,MATCH(1,(GMWQ!$NE$2:$NE$60=N$3)*(GMWQ!$ND$2:$ND$60=N$4)*(GMWQ!$NF$2:$NF$60=N$1),0),$E200-1966)</f>
        <v>91.062539999999998</v>
      </c>
      <c r="O200" s="13" cm="1">
        <f t="array" ref="O200">INDEX(GMWQ!$A$2:$NF$60,MATCH(1,(GMWQ!$NE$2:$NE$60=O$3)*(GMWQ!$ND$2:$ND$60=O$4)*(GMWQ!$NF$2:$NF$60=O$1),0),$E200-1966)</f>
        <v>32454</v>
      </c>
      <c r="P200" s="13" cm="1">
        <f t="array" ref="P200">INDEX(GMWQ!$A$2:$NF$60,MATCH(1,(GMWQ!$NE$2:$NE$60=P$3)*(GMWQ!$ND$2:$ND$60=P$4)*(GMWQ!$NF$2:$NF$60=P$1),0),$E200-1966)</f>
        <v>32377</v>
      </c>
      <c r="Q200" s="13" cm="1">
        <f t="array" ref="Q200">INDEX(GMWQ!$A$2:$NF$60,MATCH(1,(GMWQ!$NE$2:$NE$60=Q$3)*(GMWQ!$ND$2:$ND$60=Q$4)*(GMWQ!$NF$2:$NF$60=Q$1),0),$E200-1966)</f>
        <v>32303</v>
      </c>
    </row>
    <row r="201" spans="1:17" x14ac:dyDescent="0.25">
      <c r="B201" s="13">
        <f t="shared" si="16"/>
        <v>2021</v>
      </c>
      <c r="C201" s="13">
        <f t="shared" si="16"/>
        <v>2021</v>
      </c>
      <c r="E201" s="13">
        <f t="shared" si="15"/>
        <v>2167</v>
      </c>
      <c r="F201" s="13" cm="1">
        <f t="array" ref="F201">INDEX(GMWQ!$A$2:$NF$60,MATCH(1,(GMWQ!$NE$2:$NE$60=F$3)*(GMWQ!$ND$2:$ND$60=F$4)*(GMWQ!$NF$2:$NF$60=F$1),0),$E201-1966)</f>
        <v>127.1511</v>
      </c>
      <c r="G201" s="13" cm="1">
        <f t="array" ref="G201">INDEX(GMWQ!$A$2:$NF$60,MATCH(1,(GMWQ!$NE$2:$NE$60=G$3)*(GMWQ!$ND$2:$ND$60=G$4)*(GMWQ!$NF$2:$NF$60=G$1),0),$E201-1966)</f>
        <v>30764</v>
      </c>
      <c r="H201" s="13" cm="1">
        <f t="array" ref="H201">INDEX(GMWQ!$A$2:$NF$60,MATCH(1,(GMWQ!$NE$2:$NE$60=H$3)*(GMWQ!$ND$2:$ND$60=H$4)*(GMWQ!$NF$2:$NF$60=H$1),0),$E201-1966)</f>
        <v>583.66669999999999</v>
      </c>
      <c r="I201" s="13" cm="1">
        <f t="array" ref="I201">INDEX(GMWQ!$A$2:$NF$60,MATCH(1,(GMWQ!$NE$2:$NE$60=I$3)*(GMWQ!$ND$2:$ND$60=I$4)*(GMWQ!$NF$2:$NF$60=I$1),0),$E201-1966)</f>
        <v>126311</v>
      </c>
      <c r="J201" s="13" cm="1">
        <f t="array" ref="J201">INDEX(GMWQ!$A$2:$NF$60,MATCH(1,(GMWQ!$NE$2:$NE$60=J$3)*(GMWQ!$ND$2:$ND$60=J$4)*(GMWQ!$NF$2:$NF$60=J$1),0),$E201-1966)</f>
        <v>581805</v>
      </c>
      <c r="K201" s="13" cm="1">
        <f t="array" ref="K201">INDEX(GMWQ!$A$2:$NF$60,MATCH(1,(GMWQ!$NE$2:$NE$60=K$3)*(GMWQ!$ND$2:$ND$60=K$4)*(GMWQ!$NF$2:$NF$60=K$1),0),$E201-1966)</f>
        <v>239455</v>
      </c>
      <c r="L201" s="13" cm="1">
        <f t="array" ref="L201">INDEX(GMWQ!$A$2:$NF$60,MATCH(1,(GMWQ!$NE$2:$NE$60=L$3)*(GMWQ!$ND$2:$ND$60=L$4)*(GMWQ!$NF$2:$NF$60=L$1),0),$E201-1966)</f>
        <v>380321</v>
      </c>
      <c r="M201" s="13" cm="1">
        <f t="array" ref="M201">INDEX(GMWQ!$A$2:$NF$60,MATCH(1,(GMWQ!$NE$2:$NE$60=M$3)*(GMWQ!$ND$2:$ND$60=M$4)*(GMWQ!$NF$2:$NF$60=M$1),0),$E201-1966)</f>
        <v>410138</v>
      </c>
      <c r="N201" s="13" cm="1">
        <f t="array" ref="N201">INDEX(GMWQ!$A$2:$NF$60,MATCH(1,(GMWQ!$NE$2:$NE$60=N$3)*(GMWQ!$ND$2:$ND$60=N$4)*(GMWQ!$NF$2:$NF$60=N$1),0),$E201-1966)</f>
        <v>92.470209999999994</v>
      </c>
      <c r="O201" s="13" cm="1">
        <f t="array" ref="O201">INDEX(GMWQ!$A$2:$NF$60,MATCH(1,(GMWQ!$NE$2:$NE$60=O$3)*(GMWQ!$ND$2:$ND$60=O$4)*(GMWQ!$NF$2:$NF$60=O$1),0),$E201-1966)</f>
        <v>32712</v>
      </c>
      <c r="P201" s="13" cm="1">
        <f t="array" ref="P201">INDEX(GMWQ!$A$2:$NF$60,MATCH(1,(GMWQ!$NE$2:$NE$60=P$3)*(GMWQ!$ND$2:$ND$60=P$4)*(GMWQ!$NF$2:$NF$60=P$1),0),$E201-1966)</f>
        <v>32687</v>
      </c>
      <c r="Q201" s="13" cm="1">
        <f t="array" ref="Q201">INDEX(GMWQ!$A$2:$NF$60,MATCH(1,(GMWQ!$NE$2:$NE$60=Q$3)*(GMWQ!$ND$2:$ND$60=Q$4)*(GMWQ!$NF$2:$NF$60=Q$1),0),$E201-1966)</f>
        <v>32592</v>
      </c>
    </row>
    <row r="202" spans="1:17" x14ac:dyDescent="0.25">
      <c r="B202" s="13">
        <f t="shared" si="16"/>
        <v>2021</v>
      </c>
      <c r="C202" s="13">
        <f t="shared" si="16"/>
        <v>2021</v>
      </c>
      <c r="E202" s="13">
        <f t="shared" si="15"/>
        <v>2168</v>
      </c>
      <c r="F202" s="13" cm="1">
        <f t="array" ref="F202">INDEX(GMWQ!$A$2:$NF$60,MATCH(1,(GMWQ!$NE$2:$NE$60=F$3)*(GMWQ!$ND$2:$ND$60=F$4)*(GMWQ!$NF$2:$NF$60=F$1),0),$E202-1966)</f>
        <v>126.23139999999999</v>
      </c>
      <c r="G202" s="13" cm="1">
        <f t="array" ref="G202">INDEX(GMWQ!$A$2:$NF$60,MATCH(1,(GMWQ!$NE$2:$NE$60=G$3)*(GMWQ!$ND$2:$ND$60=G$4)*(GMWQ!$NF$2:$NF$60=G$1),0),$E202-1966)</f>
        <v>31560</v>
      </c>
      <c r="H202" s="13" cm="1">
        <f t="array" ref="H202">INDEX(GMWQ!$A$2:$NF$60,MATCH(1,(GMWQ!$NE$2:$NE$60=H$3)*(GMWQ!$ND$2:$ND$60=H$4)*(GMWQ!$NF$2:$NF$60=H$1),0),$E202-1966)</f>
        <v>592.66669999999999</v>
      </c>
      <c r="I202" s="13" cm="1">
        <f t="array" ref="I202">INDEX(GMWQ!$A$2:$NF$60,MATCH(1,(GMWQ!$NE$2:$NE$60=I$3)*(GMWQ!$ND$2:$ND$60=I$4)*(GMWQ!$NF$2:$NF$60=I$1),0),$E202-1966)</f>
        <v>128877</v>
      </c>
      <c r="J202" s="13" cm="1">
        <f t="array" ref="J202">INDEX(GMWQ!$A$2:$NF$60,MATCH(1,(GMWQ!$NE$2:$NE$60=J$3)*(GMWQ!$ND$2:$ND$60=J$4)*(GMWQ!$NF$2:$NF$60=J$1),0),$E202-1966)</f>
        <v>597082</v>
      </c>
      <c r="K202" s="13" cm="1">
        <f t="array" ref="K202">INDEX(GMWQ!$A$2:$NF$60,MATCH(1,(GMWQ!$NE$2:$NE$60=K$3)*(GMWQ!$ND$2:$ND$60=K$4)*(GMWQ!$NF$2:$NF$60=K$1),0),$E202-1966)</f>
        <v>242072</v>
      </c>
      <c r="L202" s="13" cm="1">
        <f t="array" ref="L202">INDEX(GMWQ!$A$2:$NF$60,MATCH(1,(GMWQ!$NE$2:$NE$60=L$3)*(GMWQ!$ND$2:$ND$60=L$4)*(GMWQ!$NF$2:$NF$60=L$1),0),$E202-1966)</f>
        <v>381732</v>
      </c>
      <c r="M202" s="13" cm="1">
        <f t="array" ref="M202">INDEX(GMWQ!$A$2:$NF$60,MATCH(1,(GMWQ!$NE$2:$NE$60=M$3)*(GMWQ!$ND$2:$ND$60=M$4)*(GMWQ!$NF$2:$NF$60=M$1),0),$E202-1966)</f>
        <v>402842</v>
      </c>
      <c r="N202" s="13" cm="1">
        <f t="array" ref="N202">INDEX(GMWQ!$A$2:$NF$60,MATCH(1,(GMWQ!$NE$2:$NE$60=N$3)*(GMWQ!$ND$2:$ND$60=N$4)*(GMWQ!$NF$2:$NF$60=N$1),0),$E202-1966)</f>
        <v>94.510490000000004</v>
      </c>
      <c r="O202" s="13" cm="1">
        <f t="array" ref="O202">INDEX(GMWQ!$A$2:$NF$60,MATCH(1,(GMWQ!$NE$2:$NE$60=O$3)*(GMWQ!$ND$2:$ND$60=O$4)*(GMWQ!$NF$2:$NF$60=O$1),0),$E202-1966)</f>
        <v>32729</v>
      </c>
      <c r="P202" s="13" cm="1">
        <f t="array" ref="P202">INDEX(GMWQ!$A$2:$NF$60,MATCH(1,(GMWQ!$NE$2:$NE$60=P$3)*(GMWQ!$ND$2:$ND$60=P$4)*(GMWQ!$NF$2:$NF$60=P$1),0),$E202-1966)</f>
        <v>32686</v>
      </c>
      <c r="Q202" s="13" cm="1">
        <f t="array" ref="Q202">INDEX(GMWQ!$A$2:$NF$60,MATCH(1,(GMWQ!$NE$2:$NE$60=Q$3)*(GMWQ!$ND$2:$ND$60=Q$4)*(GMWQ!$NF$2:$NF$60=Q$1),0),$E202-1966)</f>
        <v>32567</v>
      </c>
    </row>
    <row r="203" spans="1:17" x14ac:dyDescent="0.25">
      <c r="A203" s="13">
        <v>2022</v>
      </c>
      <c r="B203" s="13">
        <f t="shared" si="16"/>
        <v>2022</v>
      </c>
      <c r="C203" s="13">
        <f t="shared" si="16"/>
        <v>2021</v>
      </c>
      <c r="D203" s="13">
        <f t="shared" si="16"/>
        <v>2021</v>
      </c>
      <c r="E203" s="13">
        <f t="shared" si="15"/>
        <v>2169</v>
      </c>
      <c r="F203" s="13" cm="1">
        <f t="array" ref="F203">INDEX(GMWQ!$A$2:$NF$60,MATCH(1,(GMWQ!$NE$2:$NE$60=F$3)*(GMWQ!$ND$2:$ND$60=F$4)*(GMWQ!$NF$2:$NF$60=F$1),0),$E203-1966)</f>
        <v>128.774</v>
      </c>
      <c r="G203" s="13" cm="1">
        <f t="array" ref="G203">INDEX(GMWQ!$A$2:$NF$60,MATCH(1,(GMWQ!$NE$2:$NE$60=G$3)*(GMWQ!$ND$2:$ND$60=G$4)*(GMWQ!$NF$2:$NF$60=G$1),0),$E203-1966)</f>
        <v>32437</v>
      </c>
      <c r="H203" s="13" cm="1">
        <f t="array" ref="H203">INDEX(GMWQ!$A$2:$NF$60,MATCH(1,(GMWQ!$NE$2:$NE$60=H$3)*(GMWQ!$ND$2:$ND$60=H$4)*(GMWQ!$NF$2:$NF$60=H$1),0),$E203-1966)</f>
        <v>602.33330000000001</v>
      </c>
      <c r="I203" s="13" cm="1">
        <f t="array" ref="I203">INDEX(GMWQ!$A$2:$NF$60,MATCH(1,(GMWQ!$NE$2:$NE$60=I$3)*(GMWQ!$ND$2:$ND$60=I$4)*(GMWQ!$NF$2:$NF$60=I$1),0),$E203-1966)</f>
        <v>128748</v>
      </c>
      <c r="J203" s="13" cm="1">
        <f t="array" ref="J203">INDEX(GMWQ!$A$2:$NF$60,MATCH(1,(GMWQ!$NE$2:$NE$60=J$3)*(GMWQ!$ND$2:$ND$60=J$4)*(GMWQ!$NF$2:$NF$60=J$1),0),$E203-1966)</f>
        <v>610346</v>
      </c>
      <c r="K203" s="13" cm="1">
        <f t="array" ref="K203">INDEX(GMWQ!$A$2:$NF$60,MATCH(1,(GMWQ!$NE$2:$NE$60=K$3)*(GMWQ!$ND$2:$ND$60=K$4)*(GMWQ!$NF$2:$NF$60=K$1),0),$E203-1966)</f>
        <v>247496</v>
      </c>
      <c r="L203" s="13" cm="1">
        <f t="array" ref="L203">INDEX(GMWQ!$A$2:$NF$60,MATCH(1,(GMWQ!$NE$2:$NE$60=L$3)*(GMWQ!$ND$2:$ND$60=L$4)*(GMWQ!$NF$2:$NF$60=L$1),0),$E203-1966)</f>
        <v>386958</v>
      </c>
      <c r="M203" s="13" cm="1">
        <f t="array" ref="M203">INDEX(GMWQ!$A$2:$NF$60,MATCH(1,(GMWQ!$NE$2:$NE$60=M$3)*(GMWQ!$ND$2:$ND$60=M$4)*(GMWQ!$NF$2:$NF$60=M$1),0),$E203-1966)</f>
        <v>401738</v>
      </c>
      <c r="N203" s="13" cm="1">
        <f t="array" ref="N203">INDEX(GMWQ!$A$2:$NF$60,MATCH(1,(GMWQ!$NE$2:$NE$60=N$3)*(GMWQ!$ND$2:$ND$60=N$4)*(GMWQ!$NF$2:$NF$60=N$1),0),$E203-1966)</f>
        <v>96.103399999999993</v>
      </c>
      <c r="O203" s="13" cm="1">
        <f t="array" ref="O203">INDEX(GMWQ!$A$2:$NF$60,MATCH(1,(GMWQ!$NE$2:$NE$60=O$3)*(GMWQ!$ND$2:$ND$60=O$4)*(GMWQ!$NF$2:$NF$60=O$1),0),$E203-1966)</f>
        <v>32784</v>
      </c>
      <c r="P203" s="13" cm="1">
        <f t="array" ref="P203">INDEX(GMWQ!$A$2:$NF$60,MATCH(1,(GMWQ!$NE$2:$NE$60=P$3)*(GMWQ!$ND$2:$ND$60=P$4)*(GMWQ!$NF$2:$NF$60=P$1),0),$E203-1966)</f>
        <v>32775</v>
      </c>
      <c r="Q203" s="13" cm="1">
        <f t="array" ref="Q203">INDEX(GMWQ!$A$2:$NF$60,MATCH(1,(GMWQ!$NE$2:$NE$60=Q$3)*(GMWQ!$ND$2:$ND$60=Q$4)*(GMWQ!$NF$2:$NF$60=Q$1),0),$E203-1966)</f>
        <v>32632</v>
      </c>
    </row>
    <row r="204" spans="1:17" x14ac:dyDescent="0.25">
      <c r="B204" s="13">
        <f t="shared" ref="B204:D219" si="17">+B200+1</f>
        <v>2022</v>
      </c>
      <c r="C204" s="13">
        <f t="shared" si="17"/>
        <v>2022</v>
      </c>
      <c r="E204" s="13">
        <f t="shared" si="15"/>
        <v>2170</v>
      </c>
      <c r="F204" s="13" cm="1">
        <f t="array" ref="F204">INDEX(GMWQ!$A$2:$NF$60,MATCH(1,(GMWQ!$NE$2:$NE$60=F$3)*(GMWQ!$ND$2:$ND$60=F$4)*(GMWQ!$NF$2:$NF$60=F$1),0),$E204-1966)</f>
        <v>130.8664</v>
      </c>
      <c r="G204" s="13" cm="1">
        <f t="array" ref="G204">INDEX(GMWQ!$A$2:$NF$60,MATCH(1,(GMWQ!$NE$2:$NE$60=G$3)*(GMWQ!$ND$2:$ND$60=G$4)*(GMWQ!$NF$2:$NF$60=G$1),0),$E204-1966)</f>
        <v>35271</v>
      </c>
      <c r="H204" s="13" cm="1">
        <f t="array" ref="H204">INDEX(GMWQ!$A$2:$NF$60,MATCH(1,(GMWQ!$NE$2:$NE$60=H$3)*(GMWQ!$ND$2:$ND$60=H$4)*(GMWQ!$NF$2:$NF$60=H$1),0),$E204-1966)</f>
        <v>607.66669999999999</v>
      </c>
      <c r="I204" s="13" cm="1">
        <f t="array" ref="I204">INDEX(GMWQ!$A$2:$NF$60,MATCH(1,(GMWQ!$NE$2:$NE$60=I$3)*(GMWQ!$ND$2:$ND$60=I$4)*(GMWQ!$NF$2:$NF$60=I$1),0),$E204-1966)</f>
        <v>133727</v>
      </c>
      <c r="J204" s="13" cm="1">
        <f t="array" ref="J204">INDEX(GMWQ!$A$2:$NF$60,MATCH(1,(GMWQ!$NE$2:$NE$60=J$3)*(GMWQ!$ND$2:$ND$60=J$4)*(GMWQ!$NF$2:$NF$60=J$1),0),$E204-1966)</f>
        <v>625467</v>
      </c>
      <c r="K204" s="13" cm="1">
        <f t="array" ref="K204">INDEX(GMWQ!$A$2:$NF$60,MATCH(1,(GMWQ!$NE$2:$NE$60=K$3)*(GMWQ!$ND$2:$ND$60=K$4)*(GMWQ!$NF$2:$NF$60=K$1),0),$E204-1966)</f>
        <v>251376</v>
      </c>
      <c r="L204" s="13" cm="1">
        <f t="array" ref="L204">INDEX(GMWQ!$A$2:$NF$60,MATCH(1,(GMWQ!$NE$2:$NE$60=L$3)*(GMWQ!$ND$2:$ND$60=L$4)*(GMWQ!$NF$2:$NF$60=L$1),0),$E204-1966)</f>
        <v>395902</v>
      </c>
      <c r="M204" s="13" cm="1">
        <f t="array" ref="M204">INDEX(GMWQ!$A$2:$NF$60,MATCH(1,(GMWQ!$NE$2:$NE$60=M$3)*(GMWQ!$ND$2:$ND$60=M$4)*(GMWQ!$NF$2:$NF$60=M$1),0),$E204-1966)</f>
        <v>398386</v>
      </c>
      <c r="N204" s="13" cm="1">
        <f t="array" ref="N204">INDEX(GMWQ!$A$2:$NF$60,MATCH(1,(GMWQ!$NE$2:$NE$60=N$3)*(GMWQ!$ND$2:$ND$60=N$4)*(GMWQ!$NF$2:$NF$60=N$1),0),$E204-1966)</f>
        <v>99.406379999999999</v>
      </c>
      <c r="O204" s="13" cm="1">
        <f t="array" ref="O204">INDEX(GMWQ!$A$2:$NF$60,MATCH(1,(GMWQ!$NE$2:$NE$60=O$3)*(GMWQ!$ND$2:$ND$60=O$4)*(GMWQ!$NF$2:$NF$60=O$1),0),$E204-1966)</f>
        <v>33007</v>
      </c>
      <c r="P204" s="13" cm="1">
        <f t="array" ref="P204">INDEX(GMWQ!$A$2:$NF$60,MATCH(1,(GMWQ!$NE$2:$NE$60=P$3)*(GMWQ!$ND$2:$ND$60=P$4)*(GMWQ!$NF$2:$NF$60=P$1),0),$E204-1966)</f>
        <v>32958</v>
      </c>
      <c r="Q204" s="13" cm="1">
        <f t="array" ref="Q204">INDEX(GMWQ!$A$2:$NF$60,MATCH(1,(GMWQ!$NE$2:$NE$60=Q$3)*(GMWQ!$ND$2:$ND$60=Q$4)*(GMWQ!$NF$2:$NF$60=Q$1),0),$E204-1966)</f>
        <v>32792</v>
      </c>
    </row>
    <row r="205" spans="1:17" x14ac:dyDescent="0.25">
      <c r="B205" s="13">
        <f t="shared" si="17"/>
        <v>2022</v>
      </c>
      <c r="C205" s="13">
        <f t="shared" si="17"/>
        <v>2022</v>
      </c>
      <c r="E205" s="13">
        <f t="shared" si="15"/>
        <v>2171</v>
      </c>
      <c r="F205" s="13" cm="1">
        <f t="array" ref="F205">INDEX(GMWQ!$A$2:$NF$60,MATCH(1,(GMWQ!$NE$2:$NE$60=F$3)*(GMWQ!$ND$2:$ND$60=F$4)*(GMWQ!$NF$2:$NF$60=F$1),0),$E205-1966)</f>
        <v>133.08009999999999</v>
      </c>
      <c r="G205" s="13" cm="1">
        <f t="array" ref="G205">INDEX(GMWQ!$A$2:$NF$60,MATCH(1,(GMWQ!$NE$2:$NE$60=G$3)*(GMWQ!$ND$2:$ND$60=G$4)*(GMWQ!$NF$2:$NF$60=G$1),0),$E205-1966)</f>
        <v>35446</v>
      </c>
      <c r="H205" s="13" cm="1">
        <f t="array" ref="H205">INDEX(GMWQ!$A$2:$NF$60,MATCH(1,(GMWQ!$NE$2:$NE$60=H$3)*(GMWQ!$ND$2:$ND$60=H$4)*(GMWQ!$NF$2:$NF$60=H$1),0),$E205-1966)</f>
        <v>618</v>
      </c>
      <c r="I205" s="13" cm="1">
        <f t="array" ref="I205">INDEX(GMWQ!$A$2:$NF$60,MATCH(1,(GMWQ!$NE$2:$NE$60=I$3)*(GMWQ!$ND$2:$ND$60=I$4)*(GMWQ!$NF$2:$NF$60=I$1),0),$E205-1966)</f>
        <v>134606</v>
      </c>
      <c r="J205" s="13" cm="1">
        <f t="array" ref="J205">INDEX(GMWQ!$A$2:$NF$60,MATCH(1,(GMWQ!$NE$2:$NE$60=J$3)*(GMWQ!$ND$2:$ND$60=J$4)*(GMWQ!$NF$2:$NF$60=J$1),0),$E205-1966)</f>
        <v>636553</v>
      </c>
      <c r="K205" s="13" cm="1">
        <f t="array" ref="K205">INDEX(GMWQ!$A$2:$NF$60,MATCH(1,(GMWQ!$NE$2:$NE$60=K$3)*(GMWQ!$ND$2:$ND$60=K$4)*(GMWQ!$NF$2:$NF$60=K$1),0),$E205-1966)</f>
        <v>256000</v>
      </c>
      <c r="L205" s="13" cm="1">
        <f t="array" ref="L205">INDEX(GMWQ!$A$2:$NF$60,MATCH(1,(GMWQ!$NE$2:$NE$60=L$3)*(GMWQ!$ND$2:$ND$60=L$4)*(GMWQ!$NF$2:$NF$60=L$1),0),$E205-1966)</f>
        <v>403706</v>
      </c>
      <c r="M205" s="13" cm="1">
        <f t="array" ref="M205">INDEX(GMWQ!$A$2:$NF$60,MATCH(1,(GMWQ!$NE$2:$NE$60=M$3)*(GMWQ!$ND$2:$ND$60=M$4)*(GMWQ!$NF$2:$NF$60=M$1),0),$E205-1966)</f>
        <v>400405</v>
      </c>
      <c r="N205" s="13" cm="1">
        <f t="array" ref="N205">INDEX(GMWQ!$A$2:$NF$60,MATCH(1,(GMWQ!$NE$2:$NE$60=N$3)*(GMWQ!$ND$2:$ND$60=N$4)*(GMWQ!$NF$2:$NF$60=N$1),0),$E205-1966)</f>
        <v>100.8755</v>
      </c>
      <c r="O205" s="13" cm="1">
        <f t="array" ref="O205">INDEX(GMWQ!$A$2:$NF$60,MATCH(1,(GMWQ!$NE$2:$NE$60=O$3)*(GMWQ!$ND$2:$ND$60=O$4)*(GMWQ!$NF$2:$NF$60=O$1),0),$E205-1966)</f>
        <v>32904</v>
      </c>
      <c r="P205" s="13" cm="1">
        <f t="array" ref="P205">INDEX(GMWQ!$A$2:$NF$60,MATCH(1,(GMWQ!$NE$2:$NE$60=P$3)*(GMWQ!$ND$2:$ND$60=P$4)*(GMWQ!$NF$2:$NF$60=P$1),0),$E205-1966)</f>
        <v>32916</v>
      </c>
      <c r="Q205" s="13" cm="1">
        <f t="array" ref="Q205">INDEX(GMWQ!$A$2:$NF$60,MATCH(1,(GMWQ!$NE$2:$NE$60=Q$3)*(GMWQ!$ND$2:$ND$60=Q$4)*(GMWQ!$NF$2:$NF$60=Q$1),0),$E205-1966)</f>
        <v>32739</v>
      </c>
    </row>
    <row r="206" spans="1:17" x14ac:dyDescent="0.25">
      <c r="B206" s="13">
        <f t="shared" si="17"/>
        <v>2022</v>
      </c>
      <c r="C206" s="13">
        <f t="shared" si="17"/>
        <v>2022</v>
      </c>
      <c r="E206" s="13">
        <f t="shared" si="15"/>
        <v>2172</v>
      </c>
      <c r="F206" s="13" cm="1">
        <f t="array" ref="F206">INDEX(GMWQ!$A$2:$NF$60,MATCH(1,(GMWQ!$NE$2:$NE$60=F$3)*(GMWQ!$ND$2:$ND$60=F$4)*(GMWQ!$NF$2:$NF$60=F$1),0),$E206-1966)</f>
        <v>135.47059999999999</v>
      </c>
      <c r="G206" s="13" cm="1">
        <f t="array" ref="G206">INDEX(GMWQ!$A$2:$NF$60,MATCH(1,(GMWQ!$NE$2:$NE$60=G$3)*(GMWQ!$ND$2:$ND$60=G$4)*(GMWQ!$NF$2:$NF$60=G$1),0),$E206-1966)</f>
        <v>34778</v>
      </c>
      <c r="H206" s="13" cm="1">
        <f t="array" ref="H206">INDEX(GMWQ!$A$2:$NF$60,MATCH(1,(GMWQ!$NE$2:$NE$60=H$3)*(GMWQ!$ND$2:$ND$60=H$4)*(GMWQ!$NF$2:$NF$60=H$1),0),$E206-1966)</f>
        <v>630.33330000000001</v>
      </c>
      <c r="I206" s="13" cm="1">
        <f t="array" ref="I206">INDEX(GMWQ!$A$2:$NF$60,MATCH(1,(GMWQ!$NE$2:$NE$60=I$3)*(GMWQ!$ND$2:$ND$60=I$4)*(GMWQ!$NF$2:$NF$60=I$1),0),$E206-1966)</f>
        <v>148171</v>
      </c>
      <c r="J206" s="13" cm="1">
        <f t="array" ref="J206">INDEX(GMWQ!$A$2:$NF$60,MATCH(1,(GMWQ!$NE$2:$NE$60=J$3)*(GMWQ!$ND$2:$ND$60=J$4)*(GMWQ!$NF$2:$NF$60=J$1),0),$E206-1966)</f>
        <v>654062</v>
      </c>
      <c r="K206" s="13" cm="1">
        <f t="array" ref="K206">INDEX(GMWQ!$A$2:$NF$60,MATCH(1,(GMWQ!$NE$2:$NE$60=K$3)*(GMWQ!$ND$2:$ND$60=K$4)*(GMWQ!$NF$2:$NF$60=K$1),0),$E206-1966)</f>
        <v>263054</v>
      </c>
      <c r="L206" s="13" cm="1">
        <f t="array" ref="L206">INDEX(GMWQ!$A$2:$NF$60,MATCH(1,(GMWQ!$NE$2:$NE$60=L$3)*(GMWQ!$ND$2:$ND$60=L$4)*(GMWQ!$NF$2:$NF$60=L$1),0),$E206-1966)</f>
        <v>422652</v>
      </c>
      <c r="M206" s="13" cm="1">
        <f t="array" ref="M206">INDEX(GMWQ!$A$2:$NF$60,MATCH(1,(GMWQ!$NE$2:$NE$60=M$3)*(GMWQ!$ND$2:$ND$60=M$4)*(GMWQ!$NF$2:$NF$60=M$1),0),$E206-1966)</f>
        <v>408689</v>
      </c>
      <c r="N206" s="13" cm="1">
        <f t="array" ref="N206">INDEX(GMWQ!$A$2:$NF$60,MATCH(1,(GMWQ!$NE$2:$NE$60=N$3)*(GMWQ!$ND$2:$ND$60=N$4)*(GMWQ!$NF$2:$NF$60=N$1),0),$E206-1966)</f>
        <v>103.52200000000001</v>
      </c>
      <c r="O206" s="13" cm="1">
        <f t="array" ref="O206">INDEX(GMWQ!$A$2:$NF$60,MATCH(1,(GMWQ!$NE$2:$NE$60=O$3)*(GMWQ!$ND$2:$ND$60=O$4)*(GMWQ!$NF$2:$NF$60=O$1),0),$E206-1966)</f>
        <v>33114</v>
      </c>
      <c r="P206" s="13" cm="1">
        <f t="array" ref="P206">INDEX(GMWQ!$A$2:$NF$60,MATCH(1,(GMWQ!$NE$2:$NE$60=P$3)*(GMWQ!$ND$2:$ND$60=P$4)*(GMWQ!$NF$2:$NF$60=P$1),0),$E206-1966)</f>
        <v>33067</v>
      </c>
      <c r="Q206" s="13" cm="1">
        <f t="array" ref="Q206">INDEX(GMWQ!$A$2:$NF$60,MATCH(1,(GMWQ!$NE$2:$NE$60=Q$3)*(GMWQ!$ND$2:$ND$60=Q$4)*(GMWQ!$NF$2:$NF$60=Q$1),0),$E206-1966)</f>
        <v>32813</v>
      </c>
    </row>
    <row r="207" spans="1:17" x14ac:dyDescent="0.25">
      <c r="A207" s="13">
        <v>2023</v>
      </c>
      <c r="B207" s="13">
        <f t="shared" si="17"/>
        <v>2023</v>
      </c>
      <c r="C207" s="13">
        <f t="shared" si="17"/>
        <v>2022</v>
      </c>
      <c r="D207" s="13">
        <f t="shared" si="17"/>
        <v>2022</v>
      </c>
      <c r="E207" s="13">
        <f t="shared" si="15"/>
        <v>2173</v>
      </c>
      <c r="F207" s="13" cm="1">
        <f t="array" ref="F207">INDEX(GMWQ!$A$2:$NF$60,MATCH(1,(GMWQ!$NE$2:$NE$60=F$3)*(GMWQ!$ND$2:$ND$60=F$4)*(GMWQ!$NF$2:$NF$60=F$1),0),$E207-1966)</f>
        <v>138.5436</v>
      </c>
      <c r="G207" s="13" cm="1">
        <f t="array" ref="G207">INDEX(GMWQ!$A$2:$NF$60,MATCH(1,(GMWQ!$NE$2:$NE$60=G$3)*(GMWQ!$ND$2:$ND$60=G$4)*(GMWQ!$NF$2:$NF$60=G$1),0),$E207-1966)</f>
        <v>34843</v>
      </c>
      <c r="H207" s="13" cm="1">
        <f t="array" ref="H207">INDEX(GMWQ!$A$2:$NF$60,MATCH(1,(GMWQ!$NE$2:$NE$60=H$3)*(GMWQ!$ND$2:$ND$60=H$4)*(GMWQ!$NF$2:$NF$60=H$1),0),$E207-1966)</f>
        <v>640.33330000000001</v>
      </c>
      <c r="I207" s="13" cm="1">
        <f t="array" ref="I207">INDEX(GMWQ!$A$2:$NF$60,MATCH(1,(GMWQ!$NE$2:$NE$60=I$3)*(GMWQ!$ND$2:$ND$60=I$4)*(GMWQ!$NF$2:$NF$60=I$1),0),$E207-1966)</f>
        <v>156930</v>
      </c>
      <c r="J207" s="13" cm="1">
        <f t="array" ref="J207">INDEX(GMWQ!$A$2:$NF$60,MATCH(1,(GMWQ!$NE$2:$NE$60=J$3)*(GMWQ!$ND$2:$ND$60=J$4)*(GMWQ!$NF$2:$NF$60=J$1),0),$E207-1966)</f>
        <v>667103</v>
      </c>
      <c r="K207" s="13" cm="1">
        <f t="array" ref="K207">INDEX(GMWQ!$A$2:$NF$60,MATCH(1,(GMWQ!$NE$2:$NE$60=K$3)*(GMWQ!$ND$2:$ND$60=K$4)*(GMWQ!$NF$2:$NF$60=K$1),0),$E207-1966)</f>
        <v>270338</v>
      </c>
      <c r="L207" s="13" cm="1">
        <f t="array" ref="L207">INDEX(GMWQ!$A$2:$NF$60,MATCH(1,(GMWQ!$NE$2:$NE$60=L$3)*(GMWQ!$ND$2:$ND$60=L$4)*(GMWQ!$NF$2:$NF$60=L$1),0),$E207-1966)</f>
        <v>428670</v>
      </c>
      <c r="M207" s="13" cm="1">
        <f t="array" ref="M207">INDEX(GMWQ!$A$2:$NF$60,MATCH(1,(GMWQ!$NE$2:$NE$60=M$3)*(GMWQ!$ND$2:$ND$60=M$4)*(GMWQ!$NF$2:$NF$60=M$1),0),$E207-1966)</f>
        <v>405797</v>
      </c>
      <c r="N207" s="13" cm="1">
        <f t="array" ref="N207">INDEX(GMWQ!$A$2:$NF$60,MATCH(1,(GMWQ!$NE$2:$NE$60=N$3)*(GMWQ!$ND$2:$ND$60=N$4)*(GMWQ!$NF$2:$NF$60=N$1),0),$E207-1966)</f>
        <v>105.8083</v>
      </c>
      <c r="O207" s="13" cm="1">
        <f t="array" ref="O207">INDEX(GMWQ!$A$2:$NF$60,MATCH(1,(GMWQ!$NE$2:$NE$60=O$3)*(GMWQ!$ND$2:$ND$60=O$4)*(GMWQ!$NF$2:$NF$60=O$1),0),$E207-1966)</f>
        <v>33320</v>
      </c>
      <c r="P207" s="13" cm="1">
        <f t="array" ref="P207">INDEX(GMWQ!$A$2:$NF$60,MATCH(1,(GMWQ!$NE$2:$NE$60=P$3)*(GMWQ!$ND$2:$ND$60=P$4)*(GMWQ!$NF$2:$NF$60=P$1),0),$E207-1966)</f>
        <v>33201</v>
      </c>
      <c r="Q207" s="13" cm="1">
        <f t="array" ref="Q207">INDEX(GMWQ!$A$2:$NF$60,MATCH(1,(GMWQ!$NE$2:$NE$60=Q$3)*(GMWQ!$ND$2:$ND$60=Q$4)*(GMWQ!$NF$2:$NF$60=Q$1),0),$E207-1966)</f>
        <v>32995</v>
      </c>
    </row>
    <row r="208" spans="1:17" x14ac:dyDescent="0.25">
      <c r="B208" s="13">
        <f t="shared" si="17"/>
        <v>2023</v>
      </c>
      <c r="C208" s="13">
        <f t="shared" si="17"/>
        <v>2023</v>
      </c>
      <c r="E208" s="13">
        <f t="shared" si="15"/>
        <v>2174</v>
      </c>
      <c r="F208" s="13" cm="1">
        <f t="array" ref="F208">INDEX(GMWQ!$A$2:$NF$60,MATCH(1,(GMWQ!$NE$2:$NE$60=F$3)*(GMWQ!$ND$2:$ND$60=F$4)*(GMWQ!$NF$2:$NF$60=F$1),0),$E208-1966)</f>
        <v>141.43100000000001</v>
      </c>
      <c r="G208" s="13" cm="1">
        <f t="array" ref="G208">INDEX(GMWQ!$A$2:$NF$60,MATCH(1,(GMWQ!$NE$2:$NE$60=G$3)*(GMWQ!$ND$2:$ND$60=G$4)*(GMWQ!$NF$2:$NF$60=G$1),0),$E208-1966)</f>
        <v>35199</v>
      </c>
      <c r="H208" s="13" cm="1">
        <f t="array" ref="H208">INDEX(GMWQ!$A$2:$NF$60,MATCH(1,(GMWQ!$NE$2:$NE$60=H$3)*(GMWQ!$ND$2:$ND$60=H$4)*(GMWQ!$NF$2:$NF$60=H$1),0),$E208-1966)</f>
        <v>657.33330000000001</v>
      </c>
      <c r="I208" s="13" cm="1">
        <f t="array" ref="I208">INDEX(GMWQ!$A$2:$NF$60,MATCH(1,(GMWQ!$NE$2:$NE$60=I$3)*(GMWQ!$ND$2:$ND$60=I$4)*(GMWQ!$NF$2:$NF$60=I$1),0),$E208-1966)</f>
        <v>146974</v>
      </c>
      <c r="J208" s="13" cm="1">
        <f t="array" ref="J208">INDEX(GMWQ!$A$2:$NF$60,MATCH(1,(GMWQ!$NE$2:$NE$60=J$3)*(GMWQ!$ND$2:$ND$60=J$4)*(GMWQ!$NF$2:$NF$60=J$1),0),$E208-1966)</f>
        <v>679433</v>
      </c>
      <c r="K208" s="13" cm="1">
        <f t="array" ref="K208">INDEX(GMWQ!$A$2:$NF$60,MATCH(1,(GMWQ!$NE$2:$NE$60=K$3)*(GMWQ!$ND$2:$ND$60=K$4)*(GMWQ!$NF$2:$NF$60=K$1),0),$E208-1966)</f>
        <v>276258</v>
      </c>
      <c r="L208" s="13" cm="1">
        <f t="array" ref="L208">INDEX(GMWQ!$A$2:$NF$60,MATCH(1,(GMWQ!$NE$2:$NE$60=L$3)*(GMWQ!$ND$2:$ND$60=L$4)*(GMWQ!$NF$2:$NF$60=L$1),0),$E208-1966)</f>
        <v>439405</v>
      </c>
      <c r="M208" s="13" cm="1">
        <f t="array" ref="M208">INDEX(GMWQ!$A$2:$NF$60,MATCH(1,(GMWQ!$NE$2:$NE$60=M$3)*(GMWQ!$ND$2:$ND$60=M$4)*(GMWQ!$NF$2:$NF$60=M$1),0),$E208-1966)</f>
        <v>411416</v>
      </c>
      <c r="N208" s="13" cm="1">
        <f t="array" ref="N208">INDEX(GMWQ!$A$2:$NF$60,MATCH(1,(GMWQ!$NE$2:$NE$60=N$3)*(GMWQ!$ND$2:$ND$60=N$4)*(GMWQ!$NF$2:$NF$60=N$1),0),$E208-1966)</f>
        <v>106.80110000000001</v>
      </c>
      <c r="O208" s="13" cm="1">
        <f t="array" ref="O208">INDEX(GMWQ!$A$2:$NF$60,MATCH(1,(GMWQ!$NE$2:$NE$60=O$3)*(GMWQ!$ND$2:$ND$60=O$4)*(GMWQ!$NF$2:$NF$60=O$1),0),$E208-1966)</f>
        <v>33356</v>
      </c>
      <c r="P208" s="13" cm="1">
        <f t="array" ref="P208">INDEX(GMWQ!$A$2:$NF$60,MATCH(1,(GMWQ!$NE$2:$NE$60=P$3)*(GMWQ!$ND$2:$ND$60=P$4)*(GMWQ!$NF$2:$NF$60=P$1),0),$E208-1966)</f>
        <v>33163</v>
      </c>
      <c r="Q208" s="13" cm="1">
        <f t="array" ref="Q208">INDEX(GMWQ!$A$2:$NF$60,MATCH(1,(GMWQ!$NE$2:$NE$60=Q$3)*(GMWQ!$ND$2:$ND$60=Q$4)*(GMWQ!$NF$2:$NF$60=Q$1),0),$E208-1966)</f>
        <v>32929</v>
      </c>
    </row>
    <row r="209" spans="1:17" x14ac:dyDescent="0.25">
      <c r="B209" s="13">
        <f t="shared" si="17"/>
        <v>2023</v>
      </c>
      <c r="C209" s="13">
        <f t="shared" si="17"/>
        <v>2023</v>
      </c>
      <c r="E209" s="13">
        <f t="shared" si="15"/>
        <v>2175</v>
      </c>
      <c r="F209" s="13" cm="1">
        <f t="array" ref="F209">INDEX(GMWQ!$A$2:$NF$60,MATCH(1,(GMWQ!$NE$2:$NE$60=F$3)*(GMWQ!$ND$2:$ND$60=F$4)*(GMWQ!$NF$2:$NF$60=F$1),0),$E209-1966)</f>
        <v>142.7002</v>
      </c>
      <c r="G209" s="13" cm="1">
        <f t="array" ref="G209">INDEX(GMWQ!$A$2:$NF$60,MATCH(1,(GMWQ!$NE$2:$NE$60=G$3)*(GMWQ!$ND$2:$ND$60=G$4)*(GMWQ!$NF$2:$NF$60=G$1),0),$E209-1966)</f>
        <v>35743</v>
      </c>
      <c r="H209" s="13" cm="1">
        <f t="array" ref="H209">INDEX(GMWQ!$A$2:$NF$60,MATCH(1,(GMWQ!$NE$2:$NE$60=H$3)*(GMWQ!$ND$2:$ND$60=H$4)*(GMWQ!$NF$2:$NF$60=H$1),0),$E209-1966)</f>
        <v>665.66669999999999</v>
      </c>
      <c r="I209" s="13" cm="1">
        <f t="array" ref="I209">INDEX(GMWQ!$A$2:$NF$60,MATCH(1,(GMWQ!$NE$2:$NE$60=I$3)*(GMWQ!$ND$2:$ND$60=I$4)*(GMWQ!$NF$2:$NF$60=I$1),0),$E209-1966)</f>
        <v>143930</v>
      </c>
      <c r="J209" s="13" cm="1">
        <f t="array" ref="J209">INDEX(GMWQ!$A$2:$NF$60,MATCH(1,(GMWQ!$NE$2:$NE$60=J$3)*(GMWQ!$ND$2:$ND$60=J$4)*(GMWQ!$NF$2:$NF$60=J$1),0),$E209-1966)</f>
        <v>685035</v>
      </c>
      <c r="K209" s="13" cm="1">
        <f t="array" ref="K209">INDEX(GMWQ!$A$2:$NF$60,MATCH(1,(GMWQ!$NE$2:$NE$60=K$3)*(GMWQ!$ND$2:$ND$60=K$4)*(GMWQ!$NF$2:$NF$60=K$1),0),$E209-1966)</f>
        <v>278666</v>
      </c>
      <c r="L209" s="13" cm="1">
        <f t="array" ref="L209">INDEX(GMWQ!$A$2:$NF$60,MATCH(1,(GMWQ!$NE$2:$NE$60=L$3)*(GMWQ!$ND$2:$ND$60=L$4)*(GMWQ!$NF$2:$NF$60=L$1),0),$E209-1966)</f>
        <v>440937</v>
      </c>
      <c r="M209" s="13" cm="1">
        <f t="array" ref="M209">INDEX(GMWQ!$A$2:$NF$60,MATCH(1,(GMWQ!$NE$2:$NE$60=M$3)*(GMWQ!$ND$2:$ND$60=M$4)*(GMWQ!$NF$2:$NF$60=M$1),0),$E209-1966)</f>
        <v>411131</v>
      </c>
      <c r="N209" s="13" cm="1">
        <f t="array" ref="N209">INDEX(GMWQ!$A$2:$NF$60,MATCH(1,(GMWQ!$NE$2:$NE$60=N$3)*(GMWQ!$ND$2:$ND$60=N$4)*(GMWQ!$NF$2:$NF$60=N$1),0),$E209-1966)</f>
        <v>107.2646</v>
      </c>
      <c r="O209" s="13" cm="1">
        <f t="array" ref="O209">INDEX(GMWQ!$A$2:$NF$60,MATCH(1,(GMWQ!$NE$2:$NE$60=O$3)*(GMWQ!$ND$2:$ND$60=O$4)*(GMWQ!$NF$2:$NF$60=O$1),0),$E209-1966)</f>
        <v>33326</v>
      </c>
      <c r="P209" s="13" cm="1">
        <f t="array" ref="P209">INDEX(GMWQ!$A$2:$NF$60,MATCH(1,(GMWQ!$NE$2:$NE$60=P$3)*(GMWQ!$ND$2:$ND$60=P$4)*(GMWQ!$NF$2:$NF$60=P$1),0),$E209-1966)</f>
        <v>33102</v>
      </c>
      <c r="Q209" s="13" cm="1">
        <f t="array" ref="Q209">INDEX(GMWQ!$A$2:$NF$60,MATCH(1,(GMWQ!$NE$2:$NE$60=Q$3)*(GMWQ!$ND$2:$ND$60=Q$4)*(GMWQ!$NF$2:$NF$60=Q$1),0),$E209-1966)</f>
        <v>32881.589999999997</v>
      </c>
    </row>
    <row r="210" spans="1:17" x14ac:dyDescent="0.25">
      <c r="B210" s="13">
        <f t="shared" si="17"/>
        <v>2023</v>
      </c>
      <c r="C210" s="13">
        <f t="shared" si="17"/>
        <v>2023</v>
      </c>
      <c r="E210" s="13">
        <f t="shared" si="15"/>
        <v>2176</v>
      </c>
      <c r="F210" s="13" cm="1">
        <f t="array" ref="F210">INDEX(GMWQ!$A$2:$NF$60,MATCH(1,(GMWQ!$NE$2:$NE$60=F$3)*(GMWQ!$ND$2:$ND$60=F$4)*(GMWQ!$NF$2:$NF$60=F$1),0),$E210-1966)</f>
        <v>144.6448</v>
      </c>
      <c r="G210" s="13" cm="1">
        <f t="array" ref="G210">INDEX(GMWQ!$A$2:$NF$60,MATCH(1,(GMWQ!$NE$2:$NE$60=G$3)*(GMWQ!$ND$2:$ND$60=G$4)*(GMWQ!$NF$2:$NF$60=G$1),0),$E210-1966)</f>
        <v>37307</v>
      </c>
      <c r="H210" s="13" cm="1">
        <f t="array" ref="H210">INDEX(GMWQ!$A$2:$NF$60,MATCH(1,(GMWQ!$NE$2:$NE$60=H$3)*(GMWQ!$ND$2:$ND$60=H$4)*(GMWQ!$NF$2:$NF$60=H$1),0),$E210-1966)</f>
        <v>666.66669999999999</v>
      </c>
      <c r="I210" s="13" cm="1">
        <f t="array" ref="I210">INDEX(GMWQ!$A$2:$NF$60,MATCH(1,(GMWQ!$NE$2:$NE$60=I$3)*(GMWQ!$ND$2:$ND$60=I$4)*(GMWQ!$NF$2:$NF$60=I$1),0),$E210-1966)</f>
        <v>140900</v>
      </c>
      <c r="J210" s="13" cm="1">
        <f t="array" ref="J210">INDEX(GMWQ!$A$2:$NF$60,MATCH(1,(GMWQ!$NE$2:$NE$60=J$3)*(GMWQ!$ND$2:$ND$60=J$4)*(GMWQ!$NF$2:$NF$60=J$1),0),$E210-1966)</f>
        <v>685749</v>
      </c>
      <c r="K210" s="13" cm="1">
        <f t="array" ref="K210">INDEX(GMWQ!$A$2:$NF$60,MATCH(1,(GMWQ!$NE$2:$NE$60=K$3)*(GMWQ!$ND$2:$ND$60=K$4)*(GMWQ!$NF$2:$NF$60=K$1),0),$E210-1966)</f>
        <v>280114</v>
      </c>
      <c r="L210" s="13" cm="1">
        <f t="array" ref="L210">INDEX(GMWQ!$A$2:$NF$60,MATCH(1,(GMWQ!$NE$2:$NE$60=L$3)*(GMWQ!$ND$2:$ND$60=L$4)*(GMWQ!$NF$2:$NF$60=L$1),0),$E210-1966)</f>
        <v>446922</v>
      </c>
      <c r="M210" s="13" cm="1">
        <f t="array" ref="M210">INDEX(GMWQ!$A$2:$NF$60,MATCH(1,(GMWQ!$NE$2:$NE$60=M$3)*(GMWQ!$ND$2:$ND$60=M$4)*(GMWQ!$NF$2:$NF$60=M$1),0),$E210-1966)</f>
        <v>415199</v>
      </c>
      <c r="N210" s="13" cm="1">
        <f t="array" ref="N210">INDEX(GMWQ!$A$2:$NF$60,MATCH(1,(GMWQ!$NE$2:$NE$60=N$3)*(GMWQ!$ND$2:$ND$60=N$4)*(GMWQ!$NF$2:$NF$60=N$1),0),$E210-1966)</f>
        <v>107.5997</v>
      </c>
      <c r="O210" s="13" cm="1">
        <f t="array" ref="O210">INDEX(GMWQ!$A$2:$NF$60,MATCH(1,(GMWQ!$NE$2:$NE$60=O$3)*(GMWQ!$ND$2:$ND$60=O$4)*(GMWQ!$NF$2:$NF$60=O$1),0),$E210-1966)</f>
        <v>33377</v>
      </c>
      <c r="P210" s="13" cm="1">
        <f t="array" ref="P210">INDEX(GMWQ!$A$2:$NF$60,MATCH(1,(GMWQ!$NE$2:$NE$60=P$3)*(GMWQ!$ND$2:$ND$60=P$4)*(GMWQ!$NF$2:$NF$60=P$1),0),$E210-1966)</f>
        <v>33174</v>
      </c>
      <c r="Q210" s="13" cm="1">
        <f t="array" ref="Q210">INDEX(GMWQ!$A$2:$NF$60,MATCH(1,(GMWQ!$NE$2:$NE$60=Q$3)*(GMWQ!$ND$2:$ND$60=Q$4)*(GMWQ!$NF$2:$NF$60=Q$1),0),$E210-1966)</f>
        <v>32842.79</v>
      </c>
    </row>
    <row r="211" spans="1:17" x14ac:dyDescent="0.25">
      <c r="A211" s="13">
        <v>2024</v>
      </c>
      <c r="B211" s="13">
        <f t="shared" si="17"/>
        <v>2024</v>
      </c>
      <c r="C211" s="13">
        <f t="shared" si="17"/>
        <v>2023</v>
      </c>
      <c r="D211" s="13">
        <f t="shared" si="17"/>
        <v>2023</v>
      </c>
      <c r="E211" s="13">
        <f t="shared" si="15"/>
        <v>2177</v>
      </c>
      <c r="F211" s="13" cm="1">
        <f t="array" ref="F211">INDEX(GMWQ!$A$2:$NF$60,MATCH(1,(GMWQ!$NE$2:$NE$60=F$3)*(GMWQ!$ND$2:$ND$60=F$4)*(GMWQ!$NF$2:$NF$60=F$1),0),$E211-1966)</f>
        <v>146.21080000000001</v>
      </c>
      <c r="G211" s="13" cm="1">
        <f t="array" ref="G211">INDEX(GMWQ!$A$2:$NF$60,MATCH(1,(GMWQ!$NE$2:$NE$60=G$3)*(GMWQ!$ND$2:$ND$60=G$4)*(GMWQ!$NF$2:$NF$60=G$1),0),$E211-1966)</f>
        <v>39008</v>
      </c>
      <c r="H211" s="13" cm="1">
        <f t="array" ref="H211">INDEX(GMWQ!$A$2:$NF$60,MATCH(1,(GMWQ!$NE$2:$NE$60=H$3)*(GMWQ!$ND$2:$ND$60=H$4)*(GMWQ!$NF$2:$NF$60=H$1),0),$E211-1966)</f>
        <v>678.33330000000001</v>
      </c>
      <c r="I211" s="13" cm="1">
        <f t="array" ref="I211">INDEX(GMWQ!$A$2:$NF$60,MATCH(1,(GMWQ!$NE$2:$NE$60=I$3)*(GMWQ!$ND$2:$ND$60=I$4)*(GMWQ!$NF$2:$NF$60=I$1),0),$E211-1966)</f>
        <v>143050</v>
      </c>
      <c r="J211" s="13" cm="1">
        <f t="array" ref="J211">INDEX(GMWQ!$A$2:$NF$60,MATCH(1,(GMWQ!$NE$2:$NE$60=J$3)*(GMWQ!$ND$2:$ND$60=J$4)*(GMWQ!$NF$2:$NF$60=J$1),0),$E211-1966)</f>
        <v>697617</v>
      </c>
      <c r="K211" s="13" cm="1">
        <f t="array" ref="K211">INDEX(GMWQ!$A$2:$NF$60,MATCH(1,(GMWQ!$NE$2:$NE$60=K$3)*(GMWQ!$ND$2:$ND$60=K$4)*(GMWQ!$NF$2:$NF$60=K$1),0),$E211-1966)</f>
        <v>284929</v>
      </c>
      <c r="L211" s="13" cm="1">
        <f t="array" ref="L211">INDEX(GMWQ!$A$2:$NF$60,MATCH(1,(GMWQ!$NE$2:$NE$60=L$3)*(GMWQ!$ND$2:$ND$60=L$4)*(GMWQ!$NF$2:$NF$60=L$1),0),$E211-1966)</f>
        <v>457594</v>
      </c>
      <c r="M211" s="13" cm="1">
        <f t="array" ref="M211">INDEX(GMWQ!$A$2:$NF$60,MATCH(1,(GMWQ!$NE$2:$NE$60=M$3)*(GMWQ!$ND$2:$ND$60=M$4)*(GMWQ!$NF$2:$NF$60=M$1),0),$E211-1966)</f>
        <v>420949</v>
      </c>
      <c r="N211" s="13" cm="1">
        <f t="array" ref="N211">INDEX(GMWQ!$A$2:$NF$60,MATCH(1,(GMWQ!$NE$2:$NE$60=N$3)*(GMWQ!$ND$2:$ND$60=N$4)*(GMWQ!$NF$2:$NF$60=N$1),0),$E211-1966)</f>
        <v>108.70010000000001</v>
      </c>
      <c r="O211" s="13" cm="1">
        <f t="array" ref="O211">INDEX(GMWQ!$A$2:$NF$60,MATCH(1,(GMWQ!$NE$2:$NE$60=O$3)*(GMWQ!$ND$2:$ND$60=O$4)*(GMWQ!$NF$2:$NF$60=O$1),0),$E211-1966)</f>
        <v>33331</v>
      </c>
      <c r="P211" s="13" cm="1">
        <f t="array" ref="P211">INDEX(GMWQ!$A$2:$NF$60,MATCH(1,(GMWQ!$NE$2:$NE$60=P$3)*(GMWQ!$ND$2:$ND$60=P$4)*(GMWQ!$NF$2:$NF$60=P$1),0),$E211-1966)</f>
        <v>33087.050000000003</v>
      </c>
      <c r="Q211" s="13" cm="1">
        <f t="array" ref="Q211">INDEX(GMWQ!$A$2:$NF$60,MATCH(1,(GMWQ!$NE$2:$NE$60=Q$3)*(GMWQ!$ND$2:$ND$60=Q$4)*(GMWQ!$NF$2:$NF$60=Q$1),0),$E211-1966)</f>
        <v>32813.21</v>
      </c>
    </row>
    <row r="212" spans="1:17" x14ac:dyDescent="0.25">
      <c r="B212" s="13">
        <f t="shared" si="17"/>
        <v>2024</v>
      </c>
      <c r="C212" s="13">
        <f t="shared" si="17"/>
        <v>2024</v>
      </c>
      <c r="E212" s="13">
        <f t="shared" si="15"/>
        <v>2178</v>
      </c>
      <c r="F212" s="13" cm="1">
        <f t="array" ref="F212">INDEX(GMWQ!$A$2:$NF$60,MATCH(1,(GMWQ!$NE$2:$NE$60=F$3)*(GMWQ!$ND$2:$ND$60=F$4)*(GMWQ!$NF$2:$NF$60=F$1),0),$E212-1966)</f>
        <v>148.0625</v>
      </c>
      <c r="G212" s="13" cm="1">
        <f t="array" ref="G212">INDEX(GMWQ!$A$2:$NF$60,MATCH(1,(GMWQ!$NE$2:$NE$60=G$3)*(GMWQ!$ND$2:$ND$60=G$4)*(GMWQ!$NF$2:$NF$60=G$1),0),$E212-1966)</f>
        <v>38725</v>
      </c>
      <c r="H212" s="13" cm="1">
        <f t="array" ref="H212">INDEX(GMWQ!$A$2:$NF$60,MATCH(1,(GMWQ!$NE$2:$NE$60=H$3)*(GMWQ!$ND$2:$ND$60=H$4)*(GMWQ!$NF$2:$NF$60=H$1),0),$E212-1966)</f>
        <v>687.33330000000001</v>
      </c>
      <c r="I212" s="13" cm="1">
        <f t="array" ref="I212">INDEX(GMWQ!$A$2:$NF$60,MATCH(1,(GMWQ!$NE$2:$NE$60=I$3)*(GMWQ!$ND$2:$ND$60=I$4)*(GMWQ!$NF$2:$NF$60=I$1),0),$E212-1966)</f>
        <v>142660</v>
      </c>
      <c r="J212" s="13" cm="1">
        <f t="array" ref="J212">INDEX(GMWQ!$A$2:$NF$60,MATCH(1,(GMWQ!$NE$2:$NE$60=J$3)*(GMWQ!$ND$2:$ND$60=J$4)*(GMWQ!$NF$2:$NF$60=J$1),0),$E212-1966)</f>
        <v>704470</v>
      </c>
      <c r="K212" s="13" cm="1">
        <f t="array" ref="K212">INDEX(GMWQ!$A$2:$NF$60,MATCH(1,(GMWQ!$NE$2:$NE$60=K$3)*(GMWQ!$ND$2:$ND$60=K$4)*(GMWQ!$NF$2:$NF$60=K$1),0),$E212-1966)</f>
        <v>290306</v>
      </c>
      <c r="L212" s="13" cm="1">
        <f t="array" ref="L212">INDEX(GMWQ!$A$2:$NF$60,MATCH(1,(GMWQ!$NE$2:$NE$60=L$3)*(GMWQ!$ND$2:$ND$60=L$4)*(GMWQ!$NF$2:$NF$60=L$1),0),$E212-1966)</f>
        <v>468096</v>
      </c>
      <c r="M212" s="13" cm="1">
        <f t="array" ref="M212">INDEX(GMWQ!$A$2:$NF$60,MATCH(1,(GMWQ!$NE$2:$NE$60=M$3)*(GMWQ!$ND$2:$ND$60=M$4)*(GMWQ!$NF$2:$NF$60=M$1),0),$E212-1966)</f>
        <v>427972</v>
      </c>
      <c r="N212" s="13" cm="1">
        <f t="array" ref="N212">INDEX(GMWQ!$A$2:$NF$60,MATCH(1,(GMWQ!$NE$2:$NE$60=N$3)*(GMWQ!$ND$2:$ND$60=N$4)*(GMWQ!$NF$2:$NF$60=N$1),0),$E212-1966)</f>
        <v>109.34010000000001</v>
      </c>
      <c r="O212" s="13" cm="1">
        <f t="array" ref="O212">INDEX(GMWQ!$A$2:$NF$60,MATCH(1,(GMWQ!$NE$2:$NE$60=O$3)*(GMWQ!$ND$2:$ND$60=O$4)*(GMWQ!$NF$2:$NF$60=O$1),0),$E212-1966)</f>
        <v>33496</v>
      </c>
      <c r="P212" s="13" cm="1">
        <f t="array" ref="P212">INDEX(GMWQ!$A$2:$NF$60,MATCH(1,(GMWQ!$NE$2:$NE$60=P$3)*(GMWQ!$ND$2:$ND$60=P$4)*(GMWQ!$NF$2:$NF$60=P$1),0),$E212-1966)</f>
        <v>33149.56</v>
      </c>
      <c r="Q212" s="13" cm="1">
        <f t="array" ref="Q212">INDEX(GMWQ!$A$2:$NF$60,MATCH(1,(GMWQ!$NE$2:$NE$60=Q$3)*(GMWQ!$ND$2:$ND$60=Q$4)*(GMWQ!$NF$2:$NF$60=Q$1),0),$E212-1966)</f>
        <v>32787</v>
      </c>
    </row>
    <row r="213" spans="1:17" x14ac:dyDescent="0.25">
      <c r="B213" s="13">
        <f t="shared" si="17"/>
        <v>2024</v>
      </c>
      <c r="C213" s="13">
        <f t="shared" si="17"/>
        <v>2024</v>
      </c>
      <c r="E213" s="13">
        <f t="shared" si="15"/>
        <v>2179</v>
      </c>
      <c r="F213" s="13" cm="1">
        <f t="array" ref="F213">INDEX(GMWQ!$A$2:$NF$60,MATCH(1,(GMWQ!$NE$2:$NE$60=F$3)*(GMWQ!$ND$2:$ND$60=F$4)*(GMWQ!$NF$2:$NF$60=F$1),0),$E213-1966)</f>
        <v>149.06039999999999</v>
      </c>
      <c r="G213" s="13" cm="1">
        <f t="array" ref="G213">INDEX(GMWQ!$A$2:$NF$60,MATCH(1,(GMWQ!$NE$2:$NE$60=G$3)*(GMWQ!$ND$2:$ND$60=G$4)*(GMWQ!$NF$2:$NF$60=G$1),0),$E213-1966)</f>
        <v>39142</v>
      </c>
      <c r="H213" s="13" cm="1">
        <f t="array" ref="H213">INDEX(GMWQ!$A$2:$NF$60,MATCH(1,(GMWQ!$NE$2:$NE$60=H$3)*(GMWQ!$ND$2:$ND$60=H$4)*(GMWQ!$NF$2:$NF$60=H$1),0),$E213-1966)</f>
        <v>694.66669999999999</v>
      </c>
      <c r="I213" s="13" cm="1">
        <f t="array" ref="I213">INDEX(GMWQ!$A$2:$NF$60,MATCH(1,(GMWQ!$NE$2:$NE$60=I$3)*(GMWQ!$ND$2:$ND$60=I$4)*(GMWQ!$NF$2:$NF$60=I$1),0),$E213-1966)</f>
        <v>143506</v>
      </c>
      <c r="J213" s="13" cm="1">
        <f t="array" ref="J213">INDEX(GMWQ!$A$2:$NF$60,MATCH(1,(GMWQ!$NE$2:$NE$60=J$3)*(GMWQ!$ND$2:$ND$60=J$4)*(GMWQ!$NF$2:$NF$60=J$1),0),$E213-1966)</f>
        <v>712652</v>
      </c>
      <c r="K213" s="13" cm="1">
        <f t="array" ref="K213">INDEX(GMWQ!$A$2:$NF$60,MATCH(1,(GMWQ!$NE$2:$NE$60=K$3)*(GMWQ!$ND$2:$ND$60=K$4)*(GMWQ!$NF$2:$NF$60=K$1),0),$E213-1966)</f>
        <v>291953</v>
      </c>
      <c r="L213" s="13" cm="1">
        <f t="array" ref="L213">INDEX(GMWQ!$A$2:$NF$60,MATCH(1,(GMWQ!$NE$2:$NE$60=L$3)*(GMWQ!$ND$2:$ND$60=L$4)*(GMWQ!$NF$2:$NF$60=L$1),0),$E213-1966)</f>
        <v>470726</v>
      </c>
      <c r="M213" s="13" cm="1">
        <f t="array" ref="M213">INDEX(GMWQ!$A$2:$NF$60,MATCH(1,(GMWQ!$NE$2:$NE$60=M$3)*(GMWQ!$ND$2:$ND$60=M$4)*(GMWQ!$NF$2:$NF$60=M$1),0),$E213-1966)</f>
        <v>428682</v>
      </c>
      <c r="N213" s="13" cm="1">
        <f t="array" ref="N213">INDEX(GMWQ!$A$2:$NF$60,MATCH(1,(GMWQ!$NE$2:$NE$60=N$3)*(GMWQ!$ND$2:$ND$60=N$4)*(GMWQ!$NF$2:$NF$60=N$1),0),$E213-1966)</f>
        <v>109.72150000000001</v>
      </c>
      <c r="O213" s="13" cm="1">
        <f t="array" ref="O213">INDEX(GMWQ!$A$2:$NF$60,MATCH(1,(GMWQ!$NE$2:$NE$60=O$3)*(GMWQ!$ND$2:$ND$60=O$4)*(GMWQ!$NF$2:$NF$60=O$1),0),$E213-1966)</f>
        <v>33749</v>
      </c>
      <c r="P213" s="13" cm="1">
        <f t="array" ref="P213">INDEX(GMWQ!$A$2:$NF$60,MATCH(1,(GMWQ!$NE$2:$NE$60=P$3)*(GMWQ!$ND$2:$ND$60=P$4)*(GMWQ!$NF$2:$NF$60=P$1),0),$E213-1966)</f>
        <v>33213.15</v>
      </c>
      <c r="Q213" s="13" cm="1">
        <f t="array" ref="Q213">INDEX(GMWQ!$A$2:$NF$60,MATCH(1,(GMWQ!$NE$2:$NE$60=Q$3)*(GMWQ!$ND$2:$ND$60=Q$4)*(GMWQ!$NF$2:$NF$60=Q$1),0),$E213-1966)</f>
        <v>32783.730000000003</v>
      </c>
    </row>
    <row r="214" spans="1:17" x14ac:dyDescent="0.25">
      <c r="B214" s="13">
        <f t="shared" si="17"/>
        <v>2024</v>
      </c>
      <c r="C214" s="13">
        <f t="shared" si="17"/>
        <v>2024</v>
      </c>
      <c r="E214" s="13">
        <f t="shared" si="15"/>
        <v>2180</v>
      </c>
      <c r="F214" s="13" cm="1">
        <f t="array" ref="F214">INDEX(GMWQ!$A$2:$NF$60,MATCH(1,(GMWQ!$NE$2:$NE$60=F$3)*(GMWQ!$ND$2:$ND$60=F$4)*(GMWQ!$NF$2:$NF$60=F$1),0),$E214-1966)</f>
        <v>151.52619999999999</v>
      </c>
      <c r="G214" s="13" cm="1">
        <f t="array" ref="G214">INDEX(GMWQ!$A$2:$NF$60,MATCH(1,(GMWQ!$NE$2:$NE$60=G$3)*(GMWQ!$ND$2:$ND$60=G$4)*(GMWQ!$NF$2:$NF$60=G$1),0),$E214-1966)</f>
        <v>39903.57</v>
      </c>
      <c r="H214" s="13" cm="1">
        <f t="array" ref="H214">INDEX(GMWQ!$A$2:$NF$60,MATCH(1,(GMWQ!$NE$2:$NE$60=H$3)*(GMWQ!$ND$2:$ND$60=H$4)*(GMWQ!$NF$2:$NF$60=H$1),0),$E214-1966)</f>
        <v>707.74180000000001</v>
      </c>
      <c r="I214" s="13" cm="1">
        <f t="array" ref="I214">INDEX(GMWQ!$A$2:$NF$60,MATCH(1,(GMWQ!$NE$2:$NE$60=I$3)*(GMWQ!$ND$2:$ND$60=I$4)*(GMWQ!$NF$2:$NF$60=I$1),0),$E214-1966)</f>
        <v>145121.4</v>
      </c>
      <c r="J214" s="13" cm="1">
        <f t="array" ref="J214">INDEX(GMWQ!$A$2:$NF$60,MATCH(1,(GMWQ!$NE$2:$NE$60=J$3)*(GMWQ!$ND$2:$ND$60=J$4)*(GMWQ!$NF$2:$NF$60=J$1),0),$E214-1966)</f>
        <v>719720.4</v>
      </c>
      <c r="K214" s="13" cm="1">
        <f t="array" ref="K214">INDEX(GMWQ!$A$2:$NF$60,MATCH(1,(GMWQ!$NE$2:$NE$60=K$3)*(GMWQ!$ND$2:$ND$60=K$4)*(GMWQ!$NF$2:$NF$60=K$1),0),$E214-1966)</f>
        <v>297079.5</v>
      </c>
      <c r="L214" s="13" cm="1">
        <f t="array" ref="L214">INDEX(GMWQ!$A$2:$NF$60,MATCH(1,(GMWQ!$NE$2:$NE$60=L$3)*(GMWQ!$ND$2:$ND$60=L$4)*(GMWQ!$NF$2:$NF$60=L$1),0),$E214-1966)</f>
        <v>474739.7</v>
      </c>
      <c r="M214" s="13" cm="1">
        <f t="array" ref="M214">INDEX(GMWQ!$A$2:$NF$60,MATCH(1,(GMWQ!$NE$2:$NE$60=M$3)*(GMWQ!$ND$2:$ND$60=M$4)*(GMWQ!$NF$2:$NF$60=M$1),0),$E214-1966)</f>
        <v>429072.6</v>
      </c>
      <c r="N214" s="13" cm="1">
        <f t="array" ref="N214">INDEX(GMWQ!$A$2:$NF$60,MATCH(1,(GMWQ!$NE$2:$NE$60=N$3)*(GMWQ!$ND$2:$ND$60=N$4)*(GMWQ!$NF$2:$NF$60=N$1),0),$E214-1966)</f>
        <v>110.5993</v>
      </c>
      <c r="O214" s="13" cm="1">
        <f t="array" ref="O214">INDEX(GMWQ!$A$2:$NF$60,MATCH(1,(GMWQ!$NE$2:$NE$60=O$3)*(GMWQ!$ND$2:$ND$60=O$4)*(GMWQ!$NF$2:$NF$60=O$1),0),$E214-1966)</f>
        <v>33689.699999999997</v>
      </c>
      <c r="P214" s="13" cm="1">
        <f t="array" ref="P214">INDEX(GMWQ!$A$2:$NF$60,MATCH(1,(GMWQ!$NE$2:$NE$60=P$3)*(GMWQ!$ND$2:$ND$60=P$4)*(GMWQ!$NF$2:$NF$60=P$1),0),$E214-1966)</f>
        <v>33314.65</v>
      </c>
      <c r="Q214" s="13" cm="1">
        <f t="array" ref="Q214">INDEX(GMWQ!$A$2:$NF$60,MATCH(1,(GMWQ!$NE$2:$NE$60=Q$3)*(GMWQ!$ND$2:$ND$60=Q$4)*(GMWQ!$NF$2:$NF$60=Q$1),0),$E214-1966)</f>
        <v>32800.11</v>
      </c>
    </row>
    <row r="215" spans="1:17" x14ac:dyDescent="0.25">
      <c r="A215" s="13">
        <v>2025</v>
      </c>
      <c r="B215" s="13">
        <f t="shared" si="17"/>
        <v>2025</v>
      </c>
      <c r="C215" s="13">
        <f t="shared" si="17"/>
        <v>2024</v>
      </c>
      <c r="D215" s="13">
        <f t="shared" si="17"/>
        <v>2024</v>
      </c>
      <c r="E215" s="13">
        <f t="shared" si="15"/>
        <v>2181</v>
      </c>
      <c r="F215" s="13" cm="1">
        <f t="array" ref="F215">INDEX(GMWQ!$A$2:$NF$60,MATCH(1,(GMWQ!$NE$2:$NE$60=F$3)*(GMWQ!$ND$2:$ND$60=F$4)*(GMWQ!$NF$2:$NF$60=F$1),0),$E215-1966)</f>
        <v>152.41929999999999</v>
      </c>
      <c r="G215" s="13" cm="1">
        <f t="array" ref="G215">INDEX(GMWQ!$A$2:$NF$60,MATCH(1,(GMWQ!$NE$2:$NE$60=G$3)*(GMWQ!$ND$2:$ND$60=G$4)*(GMWQ!$NF$2:$NF$60=G$1),0),$E215-1966)</f>
        <v>40354.629999999997</v>
      </c>
      <c r="H215" s="13" cm="1">
        <f t="array" ref="H215">INDEX(GMWQ!$A$2:$NF$60,MATCH(1,(GMWQ!$NE$2:$NE$60=H$3)*(GMWQ!$ND$2:$ND$60=H$4)*(GMWQ!$NF$2:$NF$60=H$1),0),$E215-1966)</f>
        <v>713.572</v>
      </c>
      <c r="I215" s="13" cm="1">
        <f t="array" ref="I215">INDEX(GMWQ!$A$2:$NF$60,MATCH(1,(GMWQ!$NE$2:$NE$60=I$3)*(GMWQ!$ND$2:$ND$60=I$4)*(GMWQ!$NF$2:$NF$60=I$1),0),$E215-1966)</f>
        <v>148374.5</v>
      </c>
      <c r="J215" s="13" cm="1">
        <f t="array" ref="J215">INDEX(GMWQ!$A$2:$NF$60,MATCH(1,(GMWQ!$NE$2:$NE$60=J$3)*(GMWQ!$ND$2:$ND$60=J$4)*(GMWQ!$NF$2:$NF$60=J$1),0),$E215-1966)</f>
        <v>729288.2</v>
      </c>
      <c r="K215" s="13" cm="1">
        <f t="array" ref="K215">INDEX(GMWQ!$A$2:$NF$60,MATCH(1,(GMWQ!$NE$2:$NE$60=K$3)*(GMWQ!$ND$2:$ND$60=K$4)*(GMWQ!$NF$2:$NF$60=K$1),0),$E215-1966)</f>
        <v>299879.5</v>
      </c>
      <c r="L215" s="13" cm="1">
        <f t="array" ref="L215">INDEX(GMWQ!$A$2:$NF$60,MATCH(1,(GMWQ!$NE$2:$NE$60=L$3)*(GMWQ!$ND$2:$ND$60=L$4)*(GMWQ!$NF$2:$NF$60=L$1),0),$E215-1966)</f>
        <v>479434.8</v>
      </c>
      <c r="M215" s="13" cm="1">
        <f t="array" ref="M215">INDEX(GMWQ!$A$2:$NF$60,MATCH(1,(GMWQ!$NE$2:$NE$60=M$3)*(GMWQ!$ND$2:$ND$60=M$4)*(GMWQ!$NF$2:$NF$60=M$1),0),$E215-1966)</f>
        <v>430093.1</v>
      </c>
      <c r="N215" s="13" cm="1">
        <f t="array" ref="N215">INDEX(GMWQ!$A$2:$NF$60,MATCH(1,(GMWQ!$NE$2:$NE$60=N$3)*(GMWQ!$ND$2:$ND$60=N$4)*(GMWQ!$NF$2:$NF$60=N$1),0),$E215-1966)</f>
        <v>111.4288</v>
      </c>
      <c r="O215" s="13" cm="1">
        <f t="array" ref="O215">INDEX(GMWQ!$A$2:$NF$60,MATCH(1,(GMWQ!$NE$2:$NE$60=O$3)*(GMWQ!$ND$2:$ND$60=O$4)*(GMWQ!$NF$2:$NF$60=O$1),0),$E215-1966)</f>
        <v>33755.65</v>
      </c>
      <c r="P215" s="13" cm="1">
        <f t="array" ref="P215">INDEX(GMWQ!$A$2:$NF$60,MATCH(1,(GMWQ!$NE$2:$NE$60=P$3)*(GMWQ!$ND$2:$ND$60=P$4)*(GMWQ!$NF$2:$NF$60=P$1),0),$E215-1966)</f>
        <v>33443.550000000003</v>
      </c>
      <c r="Q215" s="13" cm="1">
        <f t="array" ref="Q215">INDEX(GMWQ!$A$2:$NF$60,MATCH(1,(GMWQ!$NE$2:$NE$60=Q$3)*(GMWQ!$ND$2:$ND$60=Q$4)*(GMWQ!$NF$2:$NF$60=Q$1),0),$E215-1966)</f>
        <v>32876.199999999997</v>
      </c>
    </row>
    <row r="216" spans="1:17" x14ac:dyDescent="0.25">
      <c r="B216" s="13">
        <f t="shared" si="17"/>
        <v>2025</v>
      </c>
      <c r="C216" s="13">
        <f t="shared" si="17"/>
        <v>2025</v>
      </c>
      <c r="E216" s="13">
        <f t="shared" si="15"/>
        <v>2182</v>
      </c>
      <c r="F216" s="13" cm="1">
        <f t="array" ref="F216">INDEX(GMWQ!$A$2:$NF$60,MATCH(1,(GMWQ!$NE$2:$NE$60=F$3)*(GMWQ!$ND$2:$ND$60=F$4)*(GMWQ!$NF$2:$NF$60=F$1),0),$E216-1966)</f>
        <v>156.24039999999999</v>
      </c>
      <c r="G216" s="13" cm="1">
        <f t="array" ref="G216">INDEX(GMWQ!$A$2:$NF$60,MATCH(1,(GMWQ!$NE$2:$NE$60=G$3)*(GMWQ!$ND$2:$ND$60=G$4)*(GMWQ!$NF$2:$NF$60=G$1),0),$E216-1966)</f>
        <v>47578.68</v>
      </c>
      <c r="H216" s="13" cm="1">
        <f t="array" ref="H216">INDEX(GMWQ!$A$2:$NF$60,MATCH(1,(GMWQ!$NE$2:$NE$60=H$3)*(GMWQ!$ND$2:$ND$60=H$4)*(GMWQ!$NF$2:$NF$60=H$1),0),$E216-1966)</f>
        <v>719.99419999999998</v>
      </c>
      <c r="I216" s="13" cm="1">
        <f t="array" ref="I216">INDEX(GMWQ!$A$2:$NF$60,MATCH(1,(GMWQ!$NE$2:$NE$60=I$3)*(GMWQ!$ND$2:$ND$60=I$4)*(GMWQ!$NF$2:$NF$60=I$1),0),$E216-1966)</f>
        <v>146467.1</v>
      </c>
      <c r="J216" s="13" cm="1">
        <f t="array" ref="J216">INDEX(GMWQ!$A$2:$NF$60,MATCH(1,(GMWQ!$NE$2:$NE$60=J$3)*(GMWQ!$ND$2:$ND$60=J$4)*(GMWQ!$NF$2:$NF$60=J$1),0),$E216-1966)</f>
        <v>737176.1</v>
      </c>
      <c r="K216" s="13" cm="1">
        <f t="array" ref="K216">INDEX(GMWQ!$A$2:$NF$60,MATCH(1,(GMWQ!$NE$2:$NE$60=K$3)*(GMWQ!$ND$2:$ND$60=K$4)*(GMWQ!$NF$2:$NF$60=K$1),0),$E216-1966)</f>
        <v>302914.8</v>
      </c>
      <c r="L216" s="13" cm="1">
        <f t="array" ref="L216">INDEX(GMWQ!$A$2:$NF$60,MATCH(1,(GMWQ!$NE$2:$NE$60=L$3)*(GMWQ!$ND$2:$ND$60=L$4)*(GMWQ!$NF$2:$NF$60=L$1),0),$E216-1966)</f>
        <v>483546.9</v>
      </c>
      <c r="M216" s="13" cm="1">
        <f t="array" ref="M216">INDEX(GMWQ!$A$2:$NF$60,MATCH(1,(GMWQ!$NE$2:$NE$60=M$3)*(GMWQ!$ND$2:$ND$60=M$4)*(GMWQ!$NF$2:$NF$60=M$1),0),$E216-1966)</f>
        <v>430520.5</v>
      </c>
      <c r="N216" s="13" cm="1">
        <f t="array" ref="N216">INDEX(GMWQ!$A$2:$NF$60,MATCH(1,(GMWQ!$NE$2:$NE$60=N$3)*(GMWQ!$ND$2:$ND$60=N$4)*(GMWQ!$NF$2:$NF$60=N$1),0),$E216-1966)</f>
        <v>112.2645</v>
      </c>
      <c r="O216" s="13" cm="1">
        <f t="array" ref="O216">INDEX(GMWQ!$A$2:$NF$60,MATCH(1,(GMWQ!$NE$2:$NE$60=O$3)*(GMWQ!$ND$2:$ND$60=O$4)*(GMWQ!$NF$2:$NF$60=O$1),0),$E216-1966)</f>
        <v>33816.06</v>
      </c>
      <c r="P216" s="13" cm="1">
        <f t="array" ref="P216">INDEX(GMWQ!$A$2:$NF$60,MATCH(1,(GMWQ!$NE$2:$NE$60=P$3)*(GMWQ!$ND$2:$ND$60=P$4)*(GMWQ!$NF$2:$NF$60=P$1),0),$E216-1966)</f>
        <v>33605.79</v>
      </c>
      <c r="Q216" s="13" cm="1">
        <f t="array" ref="Q216">INDEX(GMWQ!$A$2:$NF$60,MATCH(1,(GMWQ!$NE$2:$NE$60=Q$3)*(GMWQ!$ND$2:$ND$60=Q$4)*(GMWQ!$NF$2:$NF$60=Q$1),0),$E216-1966)</f>
        <v>32984.71</v>
      </c>
    </row>
    <row r="217" spans="1:17" x14ac:dyDescent="0.25">
      <c r="B217" s="13">
        <f t="shared" si="17"/>
        <v>2025</v>
      </c>
      <c r="C217" s="13">
        <f t="shared" si="17"/>
        <v>2025</v>
      </c>
      <c r="E217" s="13">
        <f t="shared" si="15"/>
        <v>2183</v>
      </c>
      <c r="F217" s="13" cm="1">
        <f t="array" ref="F217">INDEX(GMWQ!$A$2:$NF$60,MATCH(1,(GMWQ!$NE$2:$NE$60=F$3)*(GMWQ!$ND$2:$ND$60=F$4)*(GMWQ!$NF$2:$NF$60=F$1),0),$E217-1966)</f>
        <v>157.3201</v>
      </c>
      <c r="G217" s="13" cm="1">
        <f t="array" ref="G217">INDEX(GMWQ!$A$2:$NF$60,MATCH(1,(GMWQ!$NE$2:$NE$60=G$3)*(GMWQ!$ND$2:$ND$60=G$4)*(GMWQ!$NF$2:$NF$60=G$1),0),$E217-1966)</f>
        <v>48100.63</v>
      </c>
      <c r="H217" s="13" cm="1">
        <f t="array" ref="H217">INDEX(GMWQ!$A$2:$NF$60,MATCH(1,(GMWQ!$NE$2:$NE$60=H$3)*(GMWQ!$ND$2:$ND$60=H$4)*(GMWQ!$NF$2:$NF$60=H$1),0),$E217-1966)</f>
        <v>726.47490000000005</v>
      </c>
      <c r="I217" s="13" cm="1">
        <f t="array" ref="I217">INDEX(GMWQ!$A$2:$NF$60,MATCH(1,(GMWQ!$NE$2:$NE$60=I$3)*(GMWQ!$ND$2:$ND$60=I$4)*(GMWQ!$NF$2:$NF$60=I$1),0),$E217-1966)</f>
        <v>150111.6</v>
      </c>
      <c r="J217" s="13" cm="1">
        <f t="array" ref="J217">INDEX(GMWQ!$A$2:$NF$60,MATCH(1,(GMWQ!$NE$2:$NE$60=J$3)*(GMWQ!$ND$2:$ND$60=J$4)*(GMWQ!$NF$2:$NF$60=J$1),0),$E217-1966)</f>
        <v>744686.1</v>
      </c>
      <c r="K217" s="13" cm="1">
        <f t="array" ref="K217">INDEX(GMWQ!$A$2:$NF$60,MATCH(1,(GMWQ!$NE$2:$NE$60=K$3)*(GMWQ!$ND$2:$ND$60=K$4)*(GMWQ!$NF$2:$NF$60=K$1),0),$E217-1966)</f>
        <v>306091.7</v>
      </c>
      <c r="L217" s="13" cm="1">
        <f t="array" ref="L217">INDEX(GMWQ!$A$2:$NF$60,MATCH(1,(GMWQ!$NE$2:$NE$60=L$3)*(GMWQ!$ND$2:$ND$60=L$4)*(GMWQ!$NF$2:$NF$60=L$1),0),$E217-1966)</f>
        <v>488581.4</v>
      </c>
      <c r="M217" s="13" cm="1">
        <f t="array" ref="M217">INDEX(GMWQ!$A$2:$NF$60,MATCH(1,(GMWQ!$NE$2:$NE$60=M$3)*(GMWQ!$ND$2:$ND$60=M$4)*(GMWQ!$NF$2:$NF$60=M$1),0),$E217-1966)</f>
        <v>431965.8</v>
      </c>
      <c r="N217" s="13" cm="1">
        <f t="array" ref="N217">INDEX(GMWQ!$A$2:$NF$60,MATCH(1,(GMWQ!$NE$2:$NE$60=N$3)*(GMWQ!$ND$2:$ND$60=N$4)*(GMWQ!$NF$2:$NF$60=N$1),0),$E217-1966)</f>
        <v>113.05029999999999</v>
      </c>
      <c r="O217" s="13" cm="1">
        <f t="array" ref="O217">INDEX(GMWQ!$A$2:$NF$60,MATCH(1,(GMWQ!$NE$2:$NE$60=O$3)*(GMWQ!$ND$2:$ND$60=O$4)*(GMWQ!$NF$2:$NF$60=O$1),0),$E217-1966)</f>
        <v>33889.22</v>
      </c>
      <c r="P217" s="13" cm="1">
        <f t="array" ref="P217">INDEX(GMWQ!$A$2:$NF$60,MATCH(1,(GMWQ!$NE$2:$NE$60=P$3)*(GMWQ!$ND$2:$ND$60=P$4)*(GMWQ!$NF$2:$NF$60=P$1),0),$E217-1966)</f>
        <v>33762.06</v>
      </c>
      <c r="Q217" s="13" cm="1">
        <f t="array" ref="Q217">INDEX(GMWQ!$A$2:$NF$60,MATCH(1,(GMWQ!$NE$2:$NE$60=Q$3)*(GMWQ!$ND$2:$ND$60=Q$4)*(GMWQ!$NF$2:$NF$60=Q$1),0),$E217-1966)</f>
        <v>33126.550000000003</v>
      </c>
    </row>
    <row r="218" spans="1:17" x14ac:dyDescent="0.25">
      <c r="B218" s="13">
        <f t="shared" si="17"/>
        <v>2025</v>
      </c>
      <c r="C218" s="13">
        <f t="shared" si="17"/>
        <v>2025</v>
      </c>
      <c r="E218" s="13">
        <f t="shared" si="15"/>
        <v>2184</v>
      </c>
      <c r="F218" s="13" cm="1">
        <f t="array" ref="F218">INDEX(GMWQ!$A$2:$NF$60,MATCH(1,(GMWQ!$NE$2:$NE$60=F$3)*(GMWQ!$ND$2:$ND$60=F$4)*(GMWQ!$NF$2:$NF$60=F$1),0),$E218-1966)</f>
        <v>158.30940000000001</v>
      </c>
      <c r="G218" s="13" cm="1">
        <f t="array" ref="G218">INDEX(GMWQ!$A$2:$NF$60,MATCH(1,(GMWQ!$NE$2:$NE$60=G$3)*(GMWQ!$ND$2:$ND$60=G$4)*(GMWQ!$NF$2:$NF$60=G$1),0),$E218-1966)</f>
        <v>48610.87</v>
      </c>
      <c r="H218" s="13" cm="1">
        <f t="array" ref="H218">INDEX(GMWQ!$A$2:$NF$60,MATCH(1,(GMWQ!$NE$2:$NE$60=H$3)*(GMWQ!$ND$2:$ND$60=H$4)*(GMWQ!$NF$2:$NF$60=H$1),0),$E218-1966)</f>
        <v>732.28579999999999</v>
      </c>
      <c r="I218" s="13" cm="1">
        <f t="array" ref="I218">INDEX(GMWQ!$A$2:$NF$60,MATCH(1,(GMWQ!$NE$2:$NE$60=I$3)*(GMWQ!$ND$2:$ND$60=I$4)*(GMWQ!$NF$2:$NF$60=I$1),0),$E218-1966)</f>
        <v>152220.1</v>
      </c>
      <c r="J218" s="13" cm="1">
        <f t="array" ref="J218">INDEX(GMWQ!$A$2:$NF$60,MATCH(1,(GMWQ!$NE$2:$NE$60=J$3)*(GMWQ!$ND$2:$ND$60=J$4)*(GMWQ!$NF$2:$NF$60=J$1),0),$E218-1966)</f>
        <v>752089.5</v>
      </c>
      <c r="K218" s="13" cm="1">
        <f t="array" ref="K218">INDEX(GMWQ!$A$2:$NF$60,MATCH(1,(GMWQ!$NE$2:$NE$60=K$3)*(GMWQ!$ND$2:$ND$60=K$4)*(GMWQ!$NF$2:$NF$60=K$1),0),$E218-1966)</f>
        <v>309191.09999999998</v>
      </c>
      <c r="L218" s="13" cm="1">
        <f t="array" ref="L218">INDEX(GMWQ!$A$2:$NF$60,MATCH(1,(GMWQ!$NE$2:$NE$60=L$3)*(GMWQ!$ND$2:$ND$60=L$4)*(GMWQ!$NF$2:$NF$60=L$1),0),$E218-1966)</f>
        <v>493155</v>
      </c>
      <c r="M218" s="13" cm="1">
        <f t="array" ref="M218">INDEX(GMWQ!$A$2:$NF$60,MATCH(1,(GMWQ!$NE$2:$NE$60=M$3)*(GMWQ!$ND$2:$ND$60=M$4)*(GMWQ!$NF$2:$NF$60=M$1),0),$E218-1966)</f>
        <v>433331.5</v>
      </c>
      <c r="N218" s="13" cm="1">
        <f t="array" ref="N218">INDEX(GMWQ!$A$2:$NF$60,MATCH(1,(GMWQ!$NE$2:$NE$60=N$3)*(GMWQ!$ND$2:$ND$60=N$4)*(GMWQ!$NF$2:$NF$60=N$1),0),$E218-1966)</f>
        <v>113.7569</v>
      </c>
      <c r="O218" s="13" cm="1">
        <f t="array" ref="O218">INDEX(GMWQ!$A$2:$NF$60,MATCH(1,(GMWQ!$NE$2:$NE$60=O$3)*(GMWQ!$ND$2:$ND$60=O$4)*(GMWQ!$NF$2:$NF$60=O$1),0),$E218-1966)</f>
        <v>33984.720000000001</v>
      </c>
      <c r="P218" s="13" cm="1">
        <f t="array" ref="P218">INDEX(GMWQ!$A$2:$NF$60,MATCH(1,(GMWQ!$NE$2:$NE$60=P$3)*(GMWQ!$ND$2:$ND$60=P$4)*(GMWQ!$NF$2:$NF$60=P$1),0),$E218-1966)</f>
        <v>33915.67</v>
      </c>
      <c r="Q218" s="13" cm="1">
        <f t="array" ref="Q218">INDEX(GMWQ!$A$2:$NF$60,MATCH(1,(GMWQ!$NE$2:$NE$60=Q$3)*(GMWQ!$ND$2:$ND$60=Q$4)*(GMWQ!$NF$2:$NF$60=Q$1),0),$E218-1966)</f>
        <v>33269</v>
      </c>
    </row>
    <row r="219" spans="1:17" x14ac:dyDescent="0.25">
      <c r="A219" s="13">
        <v>2026</v>
      </c>
      <c r="B219" s="13">
        <f t="shared" si="17"/>
        <v>2026</v>
      </c>
      <c r="C219" s="13">
        <f t="shared" si="17"/>
        <v>2025</v>
      </c>
      <c r="D219" s="13">
        <f t="shared" si="17"/>
        <v>2025</v>
      </c>
      <c r="E219" s="13">
        <f t="shared" si="15"/>
        <v>2185</v>
      </c>
      <c r="F219" s="13" cm="1">
        <f t="array" ref="F219">INDEX(GMWQ!$A$2:$NF$60,MATCH(1,(GMWQ!$NE$2:$NE$60=F$3)*(GMWQ!$ND$2:$ND$60=F$4)*(GMWQ!$NF$2:$NF$60=F$1),0),$E219-1966)</f>
        <v>159.12799999999999</v>
      </c>
      <c r="G219" s="13" cm="1">
        <f t="array" ref="G219">INDEX(GMWQ!$A$2:$NF$60,MATCH(1,(GMWQ!$NE$2:$NE$60=G$3)*(GMWQ!$ND$2:$ND$60=G$4)*(GMWQ!$NF$2:$NF$60=G$1),0),$E219-1966)</f>
        <v>49088.800000000003</v>
      </c>
      <c r="H219" s="13" cm="1">
        <f t="array" ref="H219">INDEX(GMWQ!$A$2:$NF$60,MATCH(1,(GMWQ!$NE$2:$NE$60=H$3)*(GMWQ!$ND$2:$ND$60=H$4)*(GMWQ!$NF$2:$NF$60=H$1),0),$E219-1966)</f>
        <v>737.41219999999998</v>
      </c>
      <c r="I219" s="13" cm="1">
        <f t="array" ref="I219">INDEX(GMWQ!$A$2:$NF$60,MATCH(1,(GMWQ!$NE$2:$NE$60=I$3)*(GMWQ!$ND$2:$ND$60=I$4)*(GMWQ!$NF$2:$NF$60=I$1),0),$E219-1966)</f>
        <v>154424</v>
      </c>
      <c r="J219" s="13" cm="1">
        <f t="array" ref="J219">INDEX(GMWQ!$A$2:$NF$60,MATCH(1,(GMWQ!$NE$2:$NE$60=J$3)*(GMWQ!$ND$2:$ND$60=J$4)*(GMWQ!$NF$2:$NF$60=J$1),0),$E219-1966)</f>
        <v>759365.1</v>
      </c>
      <c r="K219" s="13" cm="1">
        <f t="array" ref="K219">INDEX(GMWQ!$A$2:$NF$60,MATCH(1,(GMWQ!$NE$2:$NE$60=K$3)*(GMWQ!$ND$2:$ND$60=K$4)*(GMWQ!$NF$2:$NF$60=K$1),0),$E219-1966)</f>
        <v>312082.09999999998</v>
      </c>
      <c r="L219" s="13" cm="1">
        <f t="array" ref="L219">INDEX(GMWQ!$A$2:$NF$60,MATCH(1,(GMWQ!$NE$2:$NE$60=L$3)*(GMWQ!$ND$2:$ND$60=L$4)*(GMWQ!$NF$2:$NF$60=L$1),0),$E219-1966)</f>
        <v>497319.4</v>
      </c>
      <c r="M219" s="13" cm="1">
        <f t="array" ref="M219">INDEX(GMWQ!$A$2:$NF$60,MATCH(1,(GMWQ!$NE$2:$NE$60=M$3)*(GMWQ!$ND$2:$ND$60=M$4)*(GMWQ!$NF$2:$NF$60=M$1),0),$E219-1966)</f>
        <v>434597.1</v>
      </c>
      <c r="N219" s="13" cm="1">
        <f t="array" ref="N219">INDEX(GMWQ!$A$2:$NF$60,MATCH(1,(GMWQ!$NE$2:$NE$60=N$3)*(GMWQ!$ND$2:$ND$60=N$4)*(GMWQ!$NF$2:$NF$60=N$1),0),$E219-1966)</f>
        <v>114.3826</v>
      </c>
      <c r="O219" s="13" cm="1">
        <f t="array" ref="O219">INDEX(GMWQ!$A$2:$NF$60,MATCH(1,(GMWQ!$NE$2:$NE$60=O$3)*(GMWQ!$ND$2:$ND$60=O$4)*(GMWQ!$NF$2:$NF$60=O$1),0),$E219-1966)</f>
        <v>34088.379999999997</v>
      </c>
      <c r="P219" s="13" cm="1">
        <f t="array" ref="P219">INDEX(GMWQ!$A$2:$NF$60,MATCH(1,(GMWQ!$NE$2:$NE$60=P$3)*(GMWQ!$ND$2:$ND$60=P$4)*(GMWQ!$NF$2:$NF$60=P$1),0),$E219-1966)</f>
        <v>34039.800000000003</v>
      </c>
      <c r="Q219" s="13" cm="1">
        <f t="array" ref="Q219">INDEX(GMWQ!$A$2:$NF$60,MATCH(1,(GMWQ!$NE$2:$NE$60=Q$3)*(GMWQ!$ND$2:$ND$60=Q$4)*(GMWQ!$NF$2:$NF$60=Q$1),0),$E219-1966)</f>
        <v>33408.720000000001</v>
      </c>
    </row>
    <row r="220" spans="1:17" x14ac:dyDescent="0.25">
      <c r="B220" s="13">
        <f t="shared" ref="B220:D235" si="18">+B216+1</f>
        <v>2026</v>
      </c>
      <c r="C220" s="13">
        <f t="shared" si="18"/>
        <v>2026</v>
      </c>
      <c r="E220" s="13">
        <f t="shared" si="15"/>
        <v>2186</v>
      </c>
      <c r="F220" s="13" cm="1">
        <f t="array" ref="F220">INDEX(GMWQ!$A$2:$NF$60,MATCH(1,(GMWQ!$NE$2:$NE$60=F$3)*(GMWQ!$ND$2:$ND$60=F$4)*(GMWQ!$NF$2:$NF$60=F$1),0),$E220-1966)</f>
        <v>159.905</v>
      </c>
      <c r="G220" s="13" cm="1">
        <f t="array" ref="G220">INDEX(GMWQ!$A$2:$NF$60,MATCH(1,(GMWQ!$NE$2:$NE$60=G$3)*(GMWQ!$ND$2:$ND$60=G$4)*(GMWQ!$NF$2:$NF$60=G$1),0),$E220-1966)</f>
        <v>49542.93</v>
      </c>
      <c r="H220" s="13" cm="1">
        <f t="array" ref="H220">INDEX(GMWQ!$A$2:$NF$60,MATCH(1,(GMWQ!$NE$2:$NE$60=H$3)*(GMWQ!$ND$2:$ND$60=H$4)*(GMWQ!$NF$2:$NF$60=H$1),0),$E220-1966)</f>
        <v>742.42650000000003</v>
      </c>
      <c r="I220" s="13" cm="1">
        <f t="array" ref="I220">INDEX(GMWQ!$A$2:$NF$60,MATCH(1,(GMWQ!$NE$2:$NE$60=I$3)*(GMWQ!$ND$2:$ND$60=I$4)*(GMWQ!$NF$2:$NF$60=I$1),0),$E220-1966)</f>
        <v>156013.29999999999</v>
      </c>
      <c r="J220" s="13" cm="1">
        <f t="array" ref="J220">INDEX(GMWQ!$A$2:$NF$60,MATCH(1,(GMWQ!$NE$2:$NE$60=J$3)*(GMWQ!$ND$2:$ND$60=J$4)*(GMWQ!$NF$2:$NF$60=J$1),0),$E220-1966)</f>
        <v>766253.6</v>
      </c>
      <c r="K220" s="13" cm="1">
        <f t="array" ref="K220">INDEX(GMWQ!$A$2:$NF$60,MATCH(1,(GMWQ!$NE$2:$NE$60=K$3)*(GMWQ!$ND$2:$ND$60=K$4)*(GMWQ!$NF$2:$NF$60=K$1),0),$E220-1966)</f>
        <v>314819.09999999998</v>
      </c>
      <c r="L220" s="13" cm="1">
        <f t="array" ref="L220">INDEX(GMWQ!$A$2:$NF$60,MATCH(1,(GMWQ!$NE$2:$NE$60=L$3)*(GMWQ!$ND$2:$ND$60=L$4)*(GMWQ!$NF$2:$NF$60=L$1),0),$E220-1966)</f>
        <v>500945.1</v>
      </c>
      <c r="M220" s="13" cm="1">
        <f t="array" ref="M220">INDEX(GMWQ!$A$2:$NF$60,MATCH(1,(GMWQ!$NE$2:$NE$60=M$3)*(GMWQ!$ND$2:$ND$60=M$4)*(GMWQ!$NF$2:$NF$60=M$1),0),$E220-1966)</f>
        <v>435366.2</v>
      </c>
      <c r="N220" s="13" cm="1">
        <f t="array" ref="N220">INDEX(GMWQ!$A$2:$NF$60,MATCH(1,(GMWQ!$NE$2:$NE$60=N$3)*(GMWQ!$ND$2:$ND$60=N$4)*(GMWQ!$NF$2:$NF$60=N$1),0),$E220-1966)</f>
        <v>115.0117</v>
      </c>
      <c r="O220" s="13" cm="1">
        <f t="array" ref="O220">INDEX(GMWQ!$A$2:$NF$60,MATCH(1,(GMWQ!$NE$2:$NE$60=O$3)*(GMWQ!$ND$2:$ND$60=O$4)*(GMWQ!$NF$2:$NF$60=O$1),0),$E220-1966)</f>
        <v>34178.769999999997</v>
      </c>
      <c r="P220" s="13" cm="1">
        <f t="array" ref="P220">INDEX(GMWQ!$A$2:$NF$60,MATCH(1,(GMWQ!$NE$2:$NE$60=P$3)*(GMWQ!$ND$2:$ND$60=P$4)*(GMWQ!$NF$2:$NF$60=P$1),0),$E220-1966)</f>
        <v>34136.86</v>
      </c>
      <c r="Q220" s="13" cm="1">
        <f t="array" ref="Q220">INDEX(GMWQ!$A$2:$NF$60,MATCH(1,(GMWQ!$NE$2:$NE$60=Q$3)*(GMWQ!$ND$2:$ND$60=Q$4)*(GMWQ!$NF$2:$NF$60=Q$1),0),$E220-1966)</f>
        <v>33485.58</v>
      </c>
    </row>
    <row r="221" spans="1:17" x14ac:dyDescent="0.25">
      <c r="B221" s="13">
        <f t="shared" si="18"/>
        <v>2026</v>
      </c>
      <c r="C221" s="13">
        <f t="shared" si="18"/>
        <v>2026</v>
      </c>
      <c r="E221" s="13">
        <f t="shared" si="15"/>
        <v>2187</v>
      </c>
      <c r="F221" s="13" cm="1">
        <f t="array" ref="F221">INDEX(GMWQ!$A$2:$NF$60,MATCH(1,(GMWQ!$NE$2:$NE$60=F$3)*(GMWQ!$ND$2:$ND$60=F$4)*(GMWQ!$NF$2:$NF$60=F$1),0),$E221-1966)</f>
        <v>160.6525</v>
      </c>
      <c r="G221" s="13" cm="1">
        <f t="array" ref="G221">INDEX(GMWQ!$A$2:$NF$60,MATCH(1,(GMWQ!$NE$2:$NE$60=G$3)*(GMWQ!$ND$2:$ND$60=G$4)*(GMWQ!$NF$2:$NF$60=G$1),0),$E221-1966)</f>
        <v>50003.32</v>
      </c>
      <c r="H221" s="13" cm="1">
        <f t="array" ref="H221">INDEX(GMWQ!$A$2:$NF$60,MATCH(1,(GMWQ!$NE$2:$NE$60=H$3)*(GMWQ!$ND$2:$ND$60=H$4)*(GMWQ!$NF$2:$NF$60=H$1),0),$E221-1966)</f>
        <v>747.32659999999998</v>
      </c>
      <c r="I221" s="13" cm="1">
        <f t="array" ref="I221">INDEX(GMWQ!$A$2:$NF$60,MATCH(1,(GMWQ!$NE$2:$NE$60=I$3)*(GMWQ!$ND$2:$ND$60=I$4)*(GMWQ!$NF$2:$NF$60=I$1),0),$E221-1966)</f>
        <v>157985.1</v>
      </c>
      <c r="J221" s="13" cm="1">
        <f t="array" ref="J221">INDEX(GMWQ!$A$2:$NF$60,MATCH(1,(GMWQ!$NE$2:$NE$60=J$3)*(GMWQ!$ND$2:$ND$60=J$4)*(GMWQ!$NF$2:$NF$60=J$1),0),$E221-1966)</f>
        <v>773550.1</v>
      </c>
      <c r="K221" s="13" cm="1">
        <f t="array" ref="K221">INDEX(GMWQ!$A$2:$NF$60,MATCH(1,(GMWQ!$NE$2:$NE$60=K$3)*(GMWQ!$ND$2:$ND$60=K$4)*(GMWQ!$NF$2:$NF$60=K$1),0),$E221-1966)</f>
        <v>317593.3</v>
      </c>
      <c r="L221" s="13" cm="1">
        <f t="array" ref="L221">INDEX(GMWQ!$A$2:$NF$60,MATCH(1,(GMWQ!$NE$2:$NE$60=L$3)*(GMWQ!$ND$2:$ND$60=L$4)*(GMWQ!$NF$2:$NF$60=L$1),0),$E221-1966)</f>
        <v>504721.4</v>
      </c>
      <c r="M221" s="13" cm="1">
        <f t="array" ref="M221">INDEX(GMWQ!$A$2:$NF$60,MATCH(1,(GMWQ!$NE$2:$NE$60=M$3)*(GMWQ!$ND$2:$ND$60=M$4)*(GMWQ!$NF$2:$NF$60=M$1),0),$E221-1966)</f>
        <v>436359.4</v>
      </c>
      <c r="N221" s="13" cm="1">
        <f t="array" ref="N221">INDEX(GMWQ!$A$2:$NF$60,MATCH(1,(GMWQ!$NE$2:$NE$60=N$3)*(GMWQ!$ND$2:$ND$60=N$4)*(GMWQ!$NF$2:$NF$60=N$1),0),$E221-1966)</f>
        <v>115.6155</v>
      </c>
      <c r="O221" s="13" cm="1">
        <f t="array" ref="O221">INDEX(GMWQ!$A$2:$NF$60,MATCH(1,(GMWQ!$NE$2:$NE$60=O$3)*(GMWQ!$ND$2:$ND$60=O$4)*(GMWQ!$NF$2:$NF$60=O$1),0),$E221-1966)</f>
        <v>34277.89</v>
      </c>
      <c r="P221" s="13" cm="1">
        <f t="array" ref="P221">INDEX(GMWQ!$A$2:$NF$60,MATCH(1,(GMWQ!$NE$2:$NE$60=P$3)*(GMWQ!$ND$2:$ND$60=P$4)*(GMWQ!$NF$2:$NF$60=P$1),0),$E221-1966)</f>
        <v>34230.730000000003</v>
      </c>
      <c r="Q221" s="13" cm="1">
        <f t="array" ref="Q221">INDEX(GMWQ!$A$2:$NF$60,MATCH(1,(GMWQ!$NE$2:$NE$60=Q$3)*(GMWQ!$ND$2:$ND$60=Q$4)*(GMWQ!$NF$2:$NF$60=Q$1),0),$E221-1966)</f>
        <v>33537.480000000003</v>
      </c>
    </row>
    <row r="222" spans="1:17" x14ac:dyDescent="0.25">
      <c r="B222" s="13">
        <f t="shared" si="18"/>
        <v>2026</v>
      </c>
      <c r="C222" s="13">
        <f t="shared" si="18"/>
        <v>2026</v>
      </c>
      <c r="E222" s="13">
        <f t="shared" si="15"/>
        <v>2188</v>
      </c>
      <c r="F222" s="13" cm="1">
        <f t="array" ref="F222">INDEX(GMWQ!$A$2:$NF$60,MATCH(1,(GMWQ!$NE$2:$NE$60=F$3)*(GMWQ!$ND$2:$ND$60=F$4)*(GMWQ!$NF$2:$NF$60=F$1),0),$E222-1966)</f>
        <v>161.40700000000001</v>
      </c>
      <c r="G222" s="13" cm="1">
        <f t="array" ref="G222">INDEX(GMWQ!$A$2:$NF$60,MATCH(1,(GMWQ!$NE$2:$NE$60=G$3)*(GMWQ!$ND$2:$ND$60=G$4)*(GMWQ!$NF$2:$NF$60=G$1),0),$E222-1966)</f>
        <v>50471.55</v>
      </c>
      <c r="H222" s="13" cm="1">
        <f t="array" ref="H222">INDEX(GMWQ!$A$2:$NF$60,MATCH(1,(GMWQ!$NE$2:$NE$60=H$3)*(GMWQ!$ND$2:$ND$60=H$4)*(GMWQ!$NF$2:$NF$60=H$1),0),$E222-1966)</f>
        <v>752.27700000000004</v>
      </c>
      <c r="I222" s="13" cm="1">
        <f t="array" ref="I222">INDEX(GMWQ!$A$2:$NF$60,MATCH(1,(GMWQ!$NE$2:$NE$60=I$3)*(GMWQ!$ND$2:$ND$60=I$4)*(GMWQ!$NF$2:$NF$60=I$1),0),$E222-1966)</f>
        <v>160106.5</v>
      </c>
      <c r="J222" s="13" cm="1">
        <f t="array" ref="J222">INDEX(GMWQ!$A$2:$NF$60,MATCH(1,(GMWQ!$NE$2:$NE$60=J$3)*(GMWQ!$ND$2:$ND$60=J$4)*(GMWQ!$NF$2:$NF$60=J$1),0),$E222-1966)</f>
        <v>780877.1</v>
      </c>
      <c r="K222" s="13" cm="1">
        <f t="array" ref="K222">INDEX(GMWQ!$A$2:$NF$60,MATCH(1,(GMWQ!$NE$2:$NE$60=K$3)*(GMWQ!$ND$2:$ND$60=K$4)*(GMWQ!$NF$2:$NF$60=K$1),0),$E222-1966)</f>
        <v>320414.59999999998</v>
      </c>
      <c r="L222" s="13" cm="1">
        <f t="array" ref="L222">INDEX(GMWQ!$A$2:$NF$60,MATCH(1,(GMWQ!$NE$2:$NE$60=L$3)*(GMWQ!$ND$2:$ND$60=L$4)*(GMWQ!$NF$2:$NF$60=L$1),0),$E222-1966)</f>
        <v>508547.4</v>
      </c>
      <c r="M222" s="13" cm="1">
        <f t="array" ref="M222">INDEX(GMWQ!$A$2:$NF$60,MATCH(1,(GMWQ!$NE$2:$NE$60=M$3)*(GMWQ!$ND$2:$ND$60=M$4)*(GMWQ!$NF$2:$NF$60=M$1),0),$E222-1966)</f>
        <v>437485.5</v>
      </c>
      <c r="N222" s="13" cm="1">
        <f t="array" ref="N222">INDEX(GMWQ!$A$2:$NF$60,MATCH(1,(GMWQ!$NE$2:$NE$60=N$3)*(GMWQ!$ND$2:$ND$60=N$4)*(GMWQ!$NF$2:$NF$60=N$1),0),$E222-1966)</f>
        <v>116.1936</v>
      </c>
      <c r="O222" s="13" cm="1">
        <f t="array" ref="O222">INDEX(GMWQ!$A$2:$NF$60,MATCH(1,(GMWQ!$NE$2:$NE$60=O$3)*(GMWQ!$ND$2:$ND$60=O$4)*(GMWQ!$NF$2:$NF$60=O$1),0),$E222-1966)</f>
        <v>34378.99</v>
      </c>
      <c r="P222" s="13" cm="1">
        <f t="array" ref="P222">INDEX(GMWQ!$A$2:$NF$60,MATCH(1,(GMWQ!$NE$2:$NE$60=P$3)*(GMWQ!$ND$2:$ND$60=P$4)*(GMWQ!$NF$2:$NF$60=P$1),0),$E222-1966)</f>
        <v>34323.15</v>
      </c>
      <c r="Q222" s="13" cm="1">
        <f t="array" ref="Q222">INDEX(GMWQ!$A$2:$NF$60,MATCH(1,(GMWQ!$NE$2:$NE$60=Q$3)*(GMWQ!$ND$2:$ND$60=Q$4)*(GMWQ!$NF$2:$NF$60=Q$1),0),$E222-1966)</f>
        <v>33596.15</v>
      </c>
    </row>
    <row r="223" spans="1:17" x14ac:dyDescent="0.25">
      <c r="A223" s="13">
        <v>2027</v>
      </c>
      <c r="B223" s="13">
        <f t="shared" si="18"/>
        <v>2027</v>
      </c>
      <c r="C223" s="13">
        <f t="shared" si="18"/>
        <v>2026</v>
      </c>
      <c r="D223" s="13">
        <f t="shared" si="18"/>
        <v>2026</v>
      </c>
      <c r="E223" s="13">
        <f t="shared" si="15"/>
        <v>2189</v>
      </c>
      <c r="F223" s="13" cm="1">
        <f t="array" ref="F223">INDEX(GMWQ!$A$2:$NF$60,MATCH(1,(GMWQ!$NE$2:$NE$60=F$3)*(GMWQ!$ND$2:$ND$60=F$4)*(GMWQ!$NF$2:$NF$60=F$1),0),$E223-1966)</f>
        <v>162.15979999999999</v>
      </c>
      <c r="G223" s="13" cm="1">
        <f t="array" ref="G223">INDEX(GMWQ!$A$2:$NF$60,MATCH(1,(GMWQ!$NE$2:$NE$60=G$3)*(GMWQ!$ND$2:$ND$60=G$4)*(GMWQ!$NF$2:$NF$60=G$1),0),$E223-1966)</f>
        <v>50945.72</v>
      </c>
      <c r="H223" s="13" cm="1">
        <f t="array" ref="H223">INDEX(GMWQ!$A$2:$NF$60,MATCH(1,(GMWQ!$NE$2:$NE$60=H$3)*(GMWQ!$ND$2:$ND$60=H$4)*(GMWQ!$NF$2:$NF$60=H$1),0),$E223-1966)</f>
        <v>757.24649999999997</v>
      </c>
      <c r="I223" s="13" cm="1">
        <f t="array" ref="I223">INDEX(GMWQ!$A$2:$NF$60,MATCH(1,(GMWQ!$NE$2:$NE$60=I$3)*(GMWQ!$ND$2:$ND$60=I$4)*(GMWQ!$NF$2:$NF$60=I$1),0),$E223-1966)</f>
        <v>163575.29999999999</v>
      </c>
      <c r="J223" s="13" cm="1">
        <f t="array" ref="J223">INDEX(GMWQ!$A$2:$NF$60,MATCH(1,(GMWQ!$NE$2:$NE$60=J$3)*(GMWQ!$ND$2:$ND$60=J$4)*(GMWQ!$NF$2:$NF$60=J$1),0),$E223-1966)</f>
        <v>788391.3</v>
      </c>
      <c r="K223" s="13" cm="1">
        <f t="array" ref="K223">INDEX(GMWQ!$A$2:$NF$60,MATCH(1,(GMWQ!$NE$2:$NE$60=K$3)*(GMWQ!$ND$2:$ND$60=K$4)*(GMWQ!$NF$2:$NF$60=K$1),0),$E223-1966)</f>
        <v>323270.90000000002</v>
      </c>
      <c r="L223" s="13" cm="1">
        <f t="array" ref="L223">INDEX(GMWQ!$A$2:$NF$60,MATCH(1,(GMWQ!$NE$2:$NE$60=L$3)*(GMWQ!$ND$2:$ND$60=L$4)*(GMWQ!$NF$2:$NF$60=L$1),0),$E223-1966)</f>
        <v>512855.5</v>
      </c>
      <c r="M223" s="13" cm="1">
        <f t="array" ref="M223">INDEX(GMWQ!$A$2:$NF$60,MATCH(1,(GMWQ!$NE$2:$NE$60=M$3)*(GMWQ!$ND$2:$ND$60=M$4)*(GMWQ!$NF$2:$NF$60=M$1),0),$E223-1966)</f>
        <v>438996.9</v>
      </c>
      <c r="N223" s="13" cm="1">
        <f t="array" ref="N223">INDEX(GMWQ!$A$2:$NF$60,MATCH(1,(GMWQ!$NE$2:$NE$60=N$3)*(GMWQ!$ND$2:$ND$60=N$4)*(GMWQ!$NF$2:$NF$60=N$1),0),$E223-1966)</f>
        <v>116.7745</v>
      </c>
      <c r="O223" s="13" cm="1">
        <f t="array" ref="O223">INDEX(GMWQ!$A$2:$NF$60,MATCH(1,(GMWQ!$NE$2:$NE$60=O$3)*(GMWQ!$ND$2:$ND$60=O$4)*(GMWQ!$NF$2:$NF$60=O$1),0),$E223-1966)</f>
        <v>34482.129999999997</v>
      </c>
      <c r="P223" s="13" cm="1">
        <f t="array" ref="P223">INDEX(GMWQ!$A$2:$NF$60,MATCH(1,(GMWQ!$NE$2:$NE$60=P$3)*(GMWQ!$ND$2:$ND$60=P$4)*(GMWQ!$NF$2:$NF$60=P$1),0),$E223-1966)</f>
        <v>34415.83</v>
      </c>
      <c r="Q223" s="13" cm="1">
        <f t="array" ref="Q223">INDEX(GMWQ!$A$2:$NF$60,MATCH(1,(GMWQ!$NE$2:$NE$60=Q$3)*(GMWQ!$ND$2:$ND$60=Q$4)*(GMWQ!$NF$2:$NF$60=Q$1),0),$E223-1966)</f>
        <v>33660.82</v>
      </c>
    </row>
    <row r="224" spans="1:17" x14ac:dyDescent="0.25">
      <c r="B224" s="13">
        <f t="shared" si="18"/>
        <v>2027</v>
      </c>
      <c r="C224" s="13">
        <f t="shared" si="18"/>
        <v>2027</v>
      </c>
      <c r="E224" s="13">
        <f t="shared" si="15"/>
        <v>2190</v>
      </c>
      <c r="F224" s="13" cm="1">
        <f t="array" ref="F224">INDEX(GMWQ!$A$2:$NF$60,MATCH(1,(GMWQ!$NE$2:$NE$60=F$3)*(GMWQ!$ND$2:$ND$60=F$4)*(GMWQ!$NF$2:$NF$60=F$1),0),$E224-1966)</f>
        <v>162.8638</v>
      </c>
      <c r="G224" s="13" cm="1">
        <f t="array" ref="G224">INDEX(GMWQ!$A$2:$NF$60,MATCH(1,(GMWQ!$NE$2:$NE$60=G$3)*(GMWQ!$ND$2:$ND$60=G$4)*(GMWQ!$NF$2:$NF$60=G$1),0),$E224-1966)</f>
        <v>51413.8</v>
      </c>
      <c r="H224" s="13" cm="1">
        <f t="array" ref="H224">INDEX(GMWQ!$A$2:$NF$60,MATCH(1,(GMWQ!$NE$2:$NE$60=H$3)*(GMWQ!$ND$2:$ND$60=H$4)*(GMWQ!$NF$2:$NF$60=H$1),0),$E224-1966)</f>
        <v>762.17819999999995</v>
      </c>
      <c r="I224" s="13" cm="1">
        <f t="array" ref="I224">INDEX(GMWQ!$A$2:$NF$60,MATCH(1,(GMWQ!$NE$2:$NE$60=I$3)*(GMWQ!$ND$2:$ND$60=I$4)*(GMWQ!$NF$2:$NF$60=I$1),0),$E224-1966)</f>
        <v>164811.20000000001</v>
      </c>
      <c r="J224" s="13" cm="1">
        <f t="array" ref="J224">INDEX(GMWQ!$A$2:$NF$60,MATCH(1,(GMWQ!$NE$2:$NE$60=J$3)*(GMWQ!$ND$2:$ND$60=J$4)*(GMWQ!$NF$2:$NF$60=J$1),0),$E224-1966)</f>
        <v>796057.8</v>
      </c>
      <c r="K224" s="13" cm="1">
        <f t="array" ref="K224">INDEX(GMWQ!$A$2:$NF$60,MATCH(1,(GMWQ!$NE$2:$NE$60=K$3)*(GMWQ!$ND$2:$ND$60=K$4)*(GMWQ!$NF$2:$NF$60=K$1),0),$E224-1966)</f>
        <v>326085.90000000002</v>
      </c>
      <c r="L224" s="13" cm="1">
        <f t="array" ref="L224">INDEX(GMWQ!$A$2:$NF$60,MATCH(1,(GMWQ!$NE$2:$NE$60=L$3)*(GMWQ!$ND$2:$ND$60=L$4)*(GMWQ!$NF$2:$NF$60=L$1),0),$E224-1966)</f>
        <v>517526.3</v>
      </c>
      <c r="M224" s="13" cm="1">
        <f t="array" ref="M224">INDEX(GMWQ!$A$2:$NF$60,MATCH(1,(GMWQ!$NE$2:$NE$60=M$3)*(GMWQ!$ND$2:$ND$60=M$4)*(GMWQ!$NF$2:$NF$60=M$1),0),$E224-1966)</f>
        <v>440704</v>
      </c>
      <c r="N224" s="13" cm="1">
        <f t="array" ref="N224">INDEX(GMWQ!$A$2:$NF$60,MATCH(1,(GMWQ!$NE$2:$NE$60=N$3)*(GMWQ!$ND$2:$ND$60=N$4)*(GMWQ!$NF$2:$NF$60=N$1),0),$E224-1966)</f>
        <v>117.3818</v>
      </c>
      <c r="O224" s="13" cm="1">
        <f t="array" ref="O224">INDEX(GMWQ!$A$2:$NF$60,MATCH(1,(GMWQ!$NE$2:$NE$60=O$3)*(GMWQ!$ND$2:$ND$60=O$4)*(GMWQ!$NF$2:$NF$60=O$1),0),$E224-1966)</f>
        <v>34590.07</v>
      </c>
      <c r="P224" s="13" cm="1">
        <f t="array" ref="P224">INDEX(GMWQ!$A$2:$NF$60,MATCH(1,(GMWQ!$NE$2:$NE$60=P$3)*(GMWQ!$ND$2:$ND$60=P$4)*(GMWQ!$NF$2:$NF$60=P$1),0),$E224-1966)</f>
        <v>34508.75</v>
      </c>
      <c r="Q224" s="13" cm="1">
        <f t="array" ref="Q224">INDEX(GMWQ!$A$2:$NF$60,MATCH(1,(GMWQ!$NE$2:$NE$60=Q$3)*(GMWQ!$ND$2:$ND$60=Q$4)*(GMWQ!$NF$2:$NF$60=Q$1),0),$E224-1966)</f>
        <v>33738.239999999998</v>
      </c>
    </row>
    <row r="225" spans="1:17" x14ac:dyDescent="0.25">
      <c r="B225" s="13">
        <f t="shared" si="18"/>
        <v>2027</v>
      </c>
      <c r="C225" s="13">
        <f t="shared" si="18"/>
        <v>2027</v>
      </c>
      <c r="E225" s="13">
        <f t="shared" si="15"/>
        <v>2191</v>
      </c>
      <c r="F225" s="13" cm="1">
        <f t="array" ref="F225">INDEX(GMWQ!$A$2:$NF$60,MATCH(1,(GMWQ!$NE$2:$NE$60=F$3)*(GMWQ!$ND$2:$ND$60=F$4)*(GMWQ!$NF$2:$NF$60=F$1),0),$E225-1966)</f>
        <v>163.56870000000001</v>
      </c>
      <c r="G225" s="13" cm="1">
        <f t="array" ref="G225">INDEX(GMWQ!$A$2:$NF$60,MATCH(1,(GMWQ!$NE$2:$NE$60=G$3)*(GMWQ!$ND$2:$ND$60=G$4)*(GMWQ!$NF$2:$NF$60=G$1),0),$E225-1966)</f>
        <v>51884.18</v>
      </c>
      <c r="H225" s="13" cm="1">
        <f t="array" ref="H225">INDEX(GMWQ!$A$2:$NF$60,MATCH(1,(GMWQ!$NE$2:$NE$60=H$3)*(GMWQ!$ND$2:$ND$60=H$4)*(GMWQ!$NF$2:$NF$60=H$1),0),$E225-1966)</f>
        <v>767.15089999999998</v>
      </c>
      <c r="I225" s="13" cm="1">
        <f t="array" ref="I225">INDEX(GMWQ!$A$2:$NF$60,MATCH(1,(GMWQ!$NE$2:$NE$60=I$3)*(GMWQ!$ND$2:$ND$60=I$4)*(GMWQ!$NF$2:$NF$60=I$1),0),$E225-1966)</f>
        <v>167820.1</v>
      </c>
      <c r="J225" s="13" cm="1">
        <f t="array" ref="J225">INDEX(GMWQ!$A$2:$NF$60,MATCH(1,(GMWQ!$NE$2:$NE$60=J$3)*(GMWQ!$ND$2:$ND$60=J$4)*(GMWQ!$NF$2:$NF$60=J$1),0),$E225-1966)</f>
        <v>803837.6</v>
      </c>
      <c r="K225" s="13" cm="1">
        <f t="array" ref="K225">INDEX(GMWQ!$A$2:$NF$60,MATCH(1,(GMWQ!$NE$2:$NE$60=K$3)*(GMWQ!$ND$2:$ND$60=K$4)*(GMWQ!$NF$2:$NF$60=K$1),0),$E225-1966)</f>
        <v>328912.8</v>
      </c>
      <c r="L225" s="13" cm="1">
        <f t="array" ref="L225">INDEX(GMWQ!$A$2:$NF$60,MATCH(1,(GMWQ!$NE$2:$NE$60=L$3)*(GMWQ!$ND$2:$ND$60=L$4)*(GMWQ!$NF$2:$NF$60=L$1),0),$E225-1966)</f>
        <v>522495.8</v>
      </c>
      <c r="M225" s="13" cm="1">
        <f t="array" ref="M225">INDEX(GMWQ!$A$2:$NF$60,MATCH(1,(GMWQ!$NE$2:$NE$60=M$3)*(GMWQ!$ND$2:$ND$60=M$4)*(GMWQ!$NF$2:$NF$60=M$1),0),$E225-1966)</f>
        <v>442548.5</v>
      </c>
      <c r="N225" s="13" cm="1">
        <f t="array" ref="N225">INDEX(GMWQ!$A$2:$NF$60,MATCH(1,(GMWQ!$NE$2:$NE$60=N$3)*(GMWQ!$ND$2:$ND$60=N$4)*(GMWQ!$NF$2:$NF$60=N$1),0),$E225-1966)</f>
        <v>118.01560000000001</v>
      </c>
      <c r="O225" s="13" cm="1">
        <f t="array" ref="O225">INDEX(GMWQ!$A$2:$NF$60,MATCH(1,(GMWQ!$NE$2:$NE$60=O$3)*(GMWQ!$ND$2:$ND$60=O$4)*(GMWQ!$NF$2:$NF$60=O$1),0),$E225-1966)</f>
        <v>34696.61</v>
      </c>
      <c r="P225" s="13" cm="1">
        <f t="array" ref="P225">INDEX(GMWQ!$A$2:$NF$60,MATCH(1,(GMWQ!$NE$2:$NE$60=P$3)*(GMWQ!$ND$2:$ND$60=P$4)*(GMWQ!$NF$2:$NF$60=P$1),0),$E225-1966)</f>
        <v>34601.93</v>
      </c>
      <c r="Q225" s="13" cm="1">
        <f t="array" ref="Q225">INDEX(GMWQ!$A$2:$NF$60,MATCH(1,(GMWQ!$NE$2:$NE$60=Q$3)*(GMWQ!$ND$2:$ND$60=Q$4)*(GMWQ!$NF$2:$NF$60=Q$1),0),$E225-1966)</f>
        <v>33805.72</v>
      </c>
    </row>
    <row r="226" spans="1:17" x14ac:dyDescent="0.25">
      <c r="B226" s="13">
        <f t="shared" si="18"/>
        <v>2027</v>
      </c>
      <c r="C226" s="13">
        <f t="shared" si="18"/>
        <v>2027</v>
      </c>
      <c r="E226" s="13">
        <f t="shared" si="15"/>
        <v>2192</v>
      </c>
      <c r="F226" s="13" cm="1">
        <f t="array" ref="F226">INDEX(GMWQ!$A$2:$NF$60,MATCH(1,(GMWQ!$NE$2:$NE$60=F$3)*(GMWQ!$ND$2:$ND$60=F$4)*(GMWQ!$NF$2:$NF$60=F$1),0),$E226-1966)</f>
        <v>164.2876</v>
      </c>
      <c r="G226" s="13" cm="1">
        <f t="array" ref="G226">INDEX(GMWQ!$A$2:$NF$60,MATCH(1,(GMWQ!$NE$2:$NE$60=G$3)*(GMWQ!$ND$2:$ND$60=G$4)*(GMWQ!$NF$2:$NF$60=G$1),0),$E226-1966)</f>
        <v>52354.61</v>
      </c>
      <c r="H226" s="13" cm="1">
        <f t="array" ref="H226">INDEX(GMWQ!$A$2:$NF$60,MATCH(1,(GMWQ!$NE$2:$NE$60=H$3)*(GMWQ!$ND$2:$ND$60=H$4)*(GMWQ!$NF$2:$NF$60=H$1),0),$E226-1966)</f>
        <v>772.13319999999999</v>
      </c>
      <c r="I226" s="13" cm="1">
        <f t="array" ref="I226">INDEX(GMWQ!$A$2:$NF$60,MATCH(1,(GMWQ!$NE$2:$NE$60=I$3)*(GMWQ!$ND$2:$ND$60=I$4)*(GMWQ!$NF$2:$NF$60=I$1),0),$E226-1966)</f>
        <v>169857.1</v>
      </c>
      <c r="J226" s="13" cm="1">
        <f t="array" ref="J226">INDEX(GMWQ!$A$2:$NF$60,MATCH(1,(GMWQ!$NE$2:$NE$60=J$3)*(GMWQ!$ND$2:$ND$60=J$4)*(GMWQ!$NF$2:$NF$60=J$1),0),$E226-1966)</f>
        <v>811572.8</v>
      </c>
      <c r="K226" s="13" cm="1">
        <f t="array" ref="K226">INDEX(GMWQ!$A$2:$NF$60,MATCH(1,(GMWQ!$NE$2:$NE$60=K$3)*(GMWQ!$ND$2:$ND$60=K$4)*(GMWQ!$NF$2:$NF$60=K$1),0),$E226-1966)</f>
        <v>331737.3</v>
      </c>
      <c r="L226" s="13" cm="1">
        <f t="array" ref="L226">INDEX(GMWQ!$A$2:$NF$60,MATCH(1,(GMWQ!$NE$2:$NE$60=L$3)*(GMWQ!$ND$2:$ND$60=L$4)*(GMWQ!$NF$2:$NF$60=L$1),0),$E226-1966)</f>
        <v>527515.30000000005</v>
      </c>
      <c r="M226" s="13" cm="1">
        <f t="array" ref="M226">INDEX(GMWQ!$A$2:$NF$60,MATCH(1,(GMWQ!$NE$2:$NE$60=M$3)*(GMWQ!$ND$2:$ND$60=M$4)*(GMWQ!$NF$2:$NF$60=M$1),0),$E226-1966)</f>
        <v>444402.5</v>
      </c>
      <c r="N226" s="13" cm="1">
        <f t="array" ref="N226">INDEX(GMWQ!$A$2:$NF$60,MATCH(1,(GMWQ!$NE$2:$NE$60=N$3)*(GMWQ!$ND$2:$ND$60=N$4)*(GMWQ!$NF$2:$NF$60=N$1),0),$E226-1966)</f>
        <v>118.6529</v>
      </c>
      <c r="O226" s="13" cm="1">
        <f t="array" ref="O226">INDEX(GMWQ!$A$2:$NF$60,MATCH(1,(GMWQ!$NE$2:$NE$60=O$3)*(GMWQ!$ND$2:$ND$60=O$4)*(GMWQ!$NF$2:$NF$60=O$1),0),$E226-1966)</f>
        <v>34798.26</v>
      </c>
      <c r="P226" s="13" cm="1">
        <f t="array" ref="P226">INDEX(GMWQ!$A$2:$NF$60,MATCH(1,(GMWQ!$NE$2:$NE$60=P$3)*(GMWQ!$ND$2:$ND$60=P$4)*(GMWQ!$NF$2:$NF$60=P$1),0),$E226-1966)</f>
        <v>34695.360000000001</v>
      </c>
      <c r="Q226" s="13" cm="1">
        <f t="array" ref="Q226">INDEX(GMWQ!$A$2:$NF$60,MATCH(1,(GMWQ!$NE$2:$NE$60=Q$3)*(GMWQ!$ND$2:$ND$60=Q$4)*(GMWQ!$NF$2:$NF$60=Q$1),0),$E226-1966)</f>
        <v>33878.400000000001</v>
      </c>
    </row>
    <row r="227" spans="1:17" x14ac:dyDescent="0.25">
      <c r="A227" s="13">
        <v>2028</v>
      </c>
      <c r="B227" s="13">
        <f t="shared" si="18"/>
        <v>2028</v>
      </c>
      <c r="C227" s="13">
        <f t="shared" si="18"/>
        <v>2027</v>
      </c>
      <c r="D227" s="13">
        <f t="shared" si="18"/>
        <v>2027</v>
      </c>
      <c r="E227" s="13">
        <f t="shared" si="15"/>
        <v>2193</v>
      </c>
      <c r="F227" s="13" cm="1">
        <f t="array" ref="F227">INDEX(GMWQ!$A$2:$NF$60,MATCH(1,(GMWQ!$NE$2:$NE$60=F$3)*(GMWQ!$ND$2:$ND$60=F$4)*(GMWQ!$NF$2:$NF$60=F$1),0),$E227-1966)</f>
        <v>165.03870000000001</v>
      </c>
      <c r="G227" s="13" cm="1">
        <f t="array" ref="G227">INDEX(GMWQ!$A$2:$NF$60,MATCH(1,(GMWQ!$NE$2:$NE$60=G$3)*(GMWQ!$ND$2:$ND$60=G$4)*(GMWQ!$NF$2:$NF$60=G$1),0),$E227-1966)</f>
        <v>52834.55</v>
      </c>
      <c r="H227" s="13" cm="1">
        <f t="array" ref="H227">INDEX(GMWQ!$A$2:$NF$60,MATCH(1,(GMWQ!$NE$2:$NE$60=H$3)*(GMWQ!$ND$2:$ND$60=H$4)*(GMWQ!$NF$2:$NF$60=H$1),0),$E227-1966)</f>
        <v>777.24940000000004</v>
      </c>
      <c r="I227" s="13" cm="1">
        <f t="array" ref="I227">INDEX(GMWQ!$A$2:$NF$60,MATCH(1,(GMWQ!$NE$2:$NE$60=I$3)*(GMWQ!$ND$2:$ND$60=I$4)*(GMWQ!$NF$2:$NF$60=I$1),0),$E227-1966)</f>
        <v>171178.6</v>
      </c>
      <c r="J227" s="13" cm="1">
        <f t="array" ref="J227">INDEX(GMWQ!$A$2:$NF$60,MATCH(1,(GMWQ!$NE$2:$NE$60=J$3)*(GMWQ!$ND$2:$ND$60=J$4)*(GMWQ!$NF$2:$NF$60=J$1),0),$E227-1966)</f>
        <v>819300.7</v>
      </c>
      <c r="K227" s="13" cm="1">
        <f t="array" ref="K227">INDEX(GMWQ!$A$2:$NF$60,MATCH(1,(GMWQ!$NE$2:$NE$60=K$3)*(GMWQ!$ND$2:$ND$60=K$4)*(GMWQ!$NF$2:$NF$60=K$1),0),$E227-1966)</f>
        <v>334619.3</v>
      </c>
      <c r="L227" s="13" cm="1">
        <f t="array" ref="L227">INDEX(GMWQ!$A$2:$NF$60,MATCH(1,(GMWQ!$NE$2:$NE$60=L$3)*(GMWQ!$ND$2:$ND$60=L$4)*(GMWQ!$NF$2:$NF$60=L$1),0),$E227-1966)</f>
        <v>532462.30000000005</v>
      </c>
      <c r="M227" s="13" cm="1">
        <f t="array" ref="M227">INDEX(GMWQ!$A$2:$NF$60,MATCH(1,(GMWQ!$NE$2:$NE$60=M$3)*(GMWQ!$ND$2:$ND$60=M$4)*(GMWQ!$NF$2:$NF$60=M$1),0),$E227-1966)</f>
        <v>446162.2</v>
      </c>
      <c r="N227" s="13" cm="1">
        <f t="array" ref="N227">INDEX(GMWQ!$A$2:$NF$60,MATCH(1,(GMWQ!$NE$2:$NE$60=N$3)*(GMWQ!$ND$2:$ND$60=N$4)*(GMWQ!$NF$2:$NF$60=N$1),0),$E227-1966)</f>
        <v>119.2936</v>
      </c>
      <c r="O227" s="13" cm="1">
        <f t="array" ref="O227">INDEX(GMWQ!$A$2:$NF$60,MATCH(1,(GMWQ!$NE$2:$NE$60=O$3)*(GMWQ!$ND$2:$ND$60=O$4)*(GMWQ!$NF$2:$NF$60=O$1),0),$E227-1966)</f>
        <v>34895.699999999997</v>
      </c>
      <c r="P227" s="13" cm="1">
        <f t="array" ref="P227">INDEX(GMWQ!$A$2:$NF$60,MATCH(1,(GMWQ!$NE$2:$NE$60=P$3)*(GMWQ!$ND$2:$ND$60=P$4)*(GMWQ!$NF$2:$NF$60=P$1),0),$E227-1966)</f>
        <v>34775.15</v>
      </c>
      <c r="Q227" s="13" cm="1">
        <f t="array" ref="Q227">INDEX(GMWQ!$A$2:$NF$60,MATCH(1,(GMWQ!$NE$2:$NE$60=Q$3)*(GMWQ!$ND$2:$ND$60=Q$4)*(GMWQ!$NF$2:$NF$60=Q$1),0),$E227-1966)</f>
        <v>33942.769999999997</v>
      </c>
    </row>
    <row r="228" spans="1:17" x14ac:dyDescent="0.25">
      <c r="B228" s="13">
        <f t="shared" si="18"/>
        <v>2028</v>
      </c>
      <c r="C228" s="13">
        <f t="shared" si="18"/>
        <v>2028</v>
      </c>
      <c r="E228" s="13">
        <f t="shared" si="15"/>
        <v>2194</v>
      </c>
      <c r="F228" s="13" cm="1">
        <f t="array" ref="F228">INDEX(GMWQ!$A$2:$NF$60,MATCH(1,(GMWQ!$NE$2:$NE$60=F$3)*(GMWQ!$ND$2:$ND$60=F$4)*(GMWQ!$NF$2:$NF$60=F$1),0),$E228-1966)</f>
        <v>165.869</v>
      </c>
      <c r="G228" s="13" cm="1">
        <f t="array" ref="G228">INDEX(GMWQ!$A$2:$NF$60,MATCH(1,(GMWQ!$NE$2:$NE$60=G$3)*(GMWQ!$ND$2:$ND$60=G$4)*(GMWQ!$NF$2:$NF$60=G$1),0),$E228-1966)</f>
        <v>53354.16</v>
      </c>
      <c r="H228" s="13" cm="1">
        <f t="array" ref="H228">INDEX(GMWQ!$A$2:$NF$60,MATCH(1,(GMWQ!$NE$2:$NE$60=H$3)*(GMWQ!$ND$2:$ND$60=H$4)*(GMWQ!$NF$2:$NF$60=H$1),0),$E228-1966)</f>
        <v>782.47860000000003</v>
      </c>
      <c r="I228" s="13" cm="1">
        <f t="array" ref="I228">INDEX(GMWQ!$A$2:$NF$60,MATCH(1,(GMWQ!$NE$2:$NE$60=I$3)*(GMWQ!$ND$2:$ND$60=I$4)*(GMWQ!$NF$2:$NF$60=I$1),0),$E228-1966)</f>
        <v>172792.8</v>
      </c>
      <c r="J228" s="13" cm="1">
        <f t="array" ref="J228">INDEX(GMWQ!$A$2:$NF$60,MATCH(1,(GMWQ!$NE$2:$NE$60=J$3)*(GMWQ!$ND$2:$ND$60=J$4)*(GMWQ!$NF$2:$NF$60=J$1),0),$E228-1966)</f>
        <v>827143.4</v>
      </c>
      <c r="K228" s="13" cm="1">
        <f t="array" ref="K228">INDEX(GMWQ!$A$2:$NF$60,MATCH(1,(GMWQ!$NE$2:$NE$60=K$3)*(GMWQ!$ND$2:$ND$60=K$4)*(GMWQ!$NF$2:$NF$60=K$1),0),$E228-1966)</f>
        <v>337696.3</v>
      </c>
      <c r="L228" s="13" cm="1">
        <f t="array" ref="L228">INDEX(GMWQ!$A$2:$NF$60,MATCH(1,(GMWQ!$NE$2:$NE$60=L$3)*(GMWQ!$ND$2:$ND$60=L$4)*(GMWQ!$NF$2:$NF$60=L$1),0),$E228-1966)</f>
        <v>538071.4</v>
      </c>
      <c r="M228" s="13" cm="1">
        <f t="array" ref="M228">INDEX(GMWQ!$A$2:$NF$60,MATCH(1,(GMWQ!$NE$2:$NE$60=M$3)*(GMWQ!$ND$2:$ND$60=M$4)*(GMWQ!$NF$2:$NF$60=M$1),0),$E228-1966)</f>
        <v>448442.3</v>
      </c>
      <c r="N228" s="13" cm="1">
        <f t="array" ref="N228">INDEX(GMWQ!$A$2:$NF$60,MATCH(1,(GMWQ!$NE$2:$NE$60=N$3)*(GMWQ!$ND$2:$ND$60=N$4)*(GMWQ!$NF$2:$NF$60=N$1),0),$E228-1966)</f>
        <v>119.9378</v>
      </c>
      <c r="O228" s="13" cm="1">
        <f t="array" ref="O228">INDEX(GMWQ!$A$2:$NF$60,MATCH(1,(GMWQ!$NE$2:$NE$60=O$3)*(GMWQ!$ND$2:$ND$60=O$4)*(GMWQ!$NF$2:$NF$60=O$1),0),$E228-1966)</f>
        <v>34995.15</v>
      </c>
      <c r="P228" s="13" cm="1">
        <f t="array" ref="P228">INDEX(GMWQ!$A$2:$NF$60,MATCH(1,(GMWQ!$NE$2:$NE$60=P$3)*(GMWQ!$ND$2:$ND$60=P$4)*(GMWQ!$NF$2:$NF$60=P$1),0),$E228-1966)</f>
        <v>34855.14</v>
      </c>
      <c r="Q228" s="13" cm="1">
        <f t="array" ref="Q228">INDEX(GMWQ!$A$2:$NF$60,MATCH(1,(GMWQ!$NE$2:$NE$60=Q$3)*(GMWQ!$ND$2:$ND$60=Q$4)*(GMWQ!$NF$2:$NF$60=Q$1),0),$E228-1966)</f>
        <v>34010.660000000003</v>
      </c>
    </row>
    <row r="229" spans="1:17" x14ac:dyDescent="0.25">
      <c r="B229" s="13">
        <f t="shared" si="18"/>
        <v>2028</v>
      </c>
      <c r="C229" s="13">
        <f t="shared" si="18"/>
        <v>2028</v>
      </c>
      <c r="E229" s="13">
        <f t="shared" si="15"/>
        <v>2195</v>
      </c>
      <c r="F229" s="13" cm="1">
        <f t="array" ref="F229">INDEX(GMWQ!$A$2:$NF$60,MATCH(1,(GMWQ!$NE$2:$NE$60=F$3)*(GMWQ!$ND$2:$ND$60=F$4)*(GMWQ!$NF$2:$NF$60=F$1),0),$E229-1966)</f>
        <v>166.72110000000001</v>
      </c>
      <c r="G229" s="13" cm="1">
        <f t="array" ref="G229">INDEX(GMWQ!$A$2:$NF$60,MATCH(1,(GMWQ!$NE$2:$NE$60=G$3)*(GMWQ!$ND$2:$ND$60=G$4)*(GMWQ!$NF$2:$NF$60=G$1),0),$E229-1966)</f>
        <v>53880.37</v>
      </c>
      <c r="H229" s="13" cm="1">
        <f t="array" ref="H229">INDEX(GMWQ!$A$2:$NF$60,MATCH(1,(GMWQ!$NE$2:$NE$60=H$3)*(GMWQ!$ND$2:$ND$60=H$4)*(GMWQ!$NF$2:$NF$60=H$1),0),$E229-1966)</f>
        <v>787.84059999999999</v>
      </c>
      <c r="I229" s="13" cm="1">
        <f t="array" ref="I229">INDEX(GMWQ!$A$2:$NF$60,MATCH(1,(GMWQ!$NE$2:$NE$60=I$3)*(GMWQ!$ND$2:$ND$60=I$4)*(GMWQ!$NF$2:$NF$60=I$1),0),$E229-1966)</f>
        <v>175279.7</v>
      </c>
      <c r="J229" s="13" cm="1">
        <f t="array" ref="J229">INDEX(GMWQ!$A$2:$NF$60,MATCH(1,(GMWQ!$NE$2:$NE$60=J$3)*(GMWQ!$ND$2:$ND$60=J$4)*(GMWQ!$NF$2:$NF$60=J$1),0),$E229-1966)</f>
        <v>834895.3</v>
      </c>
      <c r="K229" s="13" cm="1">
        <f t="array" ref="K229">INDEX(GMWQ!$A$2:$NF$60,MATCH(1,(GMWQ!$NE$2:$NE$60=K$3)*(GMWQ!$ND$2:$ND$60=K$4)*(GMWQ!$NF$2:$NF$60=K$1),0),$E229-1966)</f>
        <v>340811.2</v>
      </c>
      <c r="L229" s="13" cm="1">
        <f t="array" ref="L229">INDEX(GMWQ!$A$2:$NF$60,MATCH(1,(GMWQ!$NE$2:$NE$60=L$3)*(GMWQ!$ND$2:$ND$60=L$4)*(GMWQ!$NF$2:$NF$60=L$1),0),$E229-1966)</f>
        <v>543471.80000000005</v>
      </c>
      <c r="M229" s="13" cm="1">
        <f t="array" ref="M229">INDEX(GMWQ!$A$2:$NF$60,MATCH(1,(GMWQ!$NE$2:$NE$60=M$3)*(GMWQ!$ND$2:$ND$60=M$4)*(GMWQ!$NF$2:$NF$60=M$1),0),$E229-1966)</f>
        <v>450556.8</v>
      </c>
      <c r="N229" s="13" cm="1">
        <f t="array" ref="N229">INDEX(GMWQ!$A$2:$NF$60,MATCH(1,(GMWQ!$NE$2:$NE$60=N$3)*(GMWQ!$ND$2:$ND$60=N$4)*(GMWQ!$NF$2:$NF$60=N$1),0),$E229-1966)</f>
        <v>120.5735</v>
      </c>
      <c r="O229" s="13" cm="1">
        <f t="array" ref="O229">INDEX(GMWQ!$A$2:$NF$60,MATCH(1,(GMWQ!$NE$2:$NE$60=O$3)*(GMWQ!$ND$2:$ND$60=O$4)*(GMWQ!$NF$2:$NF$60=O$1),0),$E229-1966)</f>
        <v>35091.39</v>
      </c>
      <c r="P229" s="13" cm="1">
        <f t="array" ref="P229">INDEX(GMWQ!$A$2:$NF$60,MATCH(1,(GMWQ!$NE$2:$NE$60=P$3)*(GMWQ!$ND$2:$ND$60=P$4)*(GMWQ!$NF$2:$NF$60=P$1),0),$E229-1966)</f>
        <v>34935.300000000003</v>
      </c>
      <c r="Q229" s="13" cm="1">
        <f t="array" ref="Q229">INDEX(GMWQ!$A$2:$NF$60,MATCH(1,(GMWQ!$NE$2:$NE$60=Q$3)*(GMWQ!$ND$2:$ND$60=Q$4)*(GMWQ!$NF$2:$NF$60=Q$1),0),$E229-1966)</f>
        <v>34075.279999999999</v>
      </c>
    </row>
    <row r="230" spans="1:17" x14ac:dyDescent="0.25">
      <c r="B230" s="13">
        <f t="shared" si="18"/>
        <v>2028</v>
      </c>
      <c r="C230" s="13">
        <f t="shared" si="18"/>
        <v>2028</v>
      </c>
      <c r="E230" s="13">
        <f t="shared" si="15"/>
        <v>2196</v>
      </c>
      <c r="F230" s="13" cm="1">
        <f t="array" ref="F230">INDEX(GMWQ!$A$2:$NF$60,MATCH(1,(GMWQ!$NE$2:$NE$60=F$3)*(GMWQ!$ND$2:$ND$60=F$4)*(GMWQ!$NF$2:$NF$60=F$1),0),$E230-1966)</f>
        <v>167.63419999999999</v>
      </c>
      <c r="G230" s="13" cm="1">
        <f t="array" ref="G230">INDEX(GMWQ!$A$2:$NF$60,MATCH(1,(GMWQ!$NE$2:$NE$60=G$3)*(GMWQ!$ND$2:$ND$60=G$4)*(GMWQ!$NF$2:$NF$60=G$1),0),$E230-1966)</f>
        <v>54429.9</v>
      </c>
      <c r="H230" s="13" cm="1">
        <f t="array" ref="H230">INDEX(GMWQ!$A$2:$NF$60,MATCH(1,(GMWQ!$NE$2:$NE$60=H$3)*(GMWQ!$ND$2:$ND$60=H$4)*(GMWQ!$NF$2:$NF$60=H$1),0),$E230-1966)</f>
        <v>793.31730000000005</v>
      </c>
      <c r="I230" s="13" cm="1">
        <f t="array" ref="I230">INDEX(GMWQ!$A$2:$NF$60,MATCH(1,(GMWQ!$NE$2:$NE$60=I$3)*(GMWQ!$ND$2:$ND$60=I$4)*(GMWQ!$NF$2:$NF$60=I$1),0),$E230-1966)</f>
        <v>176999.6</v>
      </c>
      <c r="J230" s="13" cm="1">
        <f t="array" ref="J230">INDEX(GMWQ!$A$2:$NF$60,MATCH(1,(GMWQ!$NE$2:$NE$60=J$3)*(GMWQ!$ND$2:$ND$60=J$4)*(GMWQ!$NF$2:$NF$60=J$1),0),$E230-1966)</f>
        <v>842677.6</v>
      </c>
      <c r="K230" s="13" cm="1">
        <f t="array" ref="K230">INDEX(GMWQ!$A$2:$NF$60,MATCH(1,(GMWQ!$NE$2:$NE$60=K$3)*(GMWQ!$ND$2:$ND$60=K$4)*(GMWQ!$NF$2:$NF$60=K$1),0),$E230-1966)</f>
        <v>344069.5</v>
      </c>
      <c r="L230" s="13" cm="1">
        <f t="array" ref="L230">INDEX(GMWQ!$A$2:$NF$60,MATCH(1,(GMWQ!$NE$2:$NE$60=L$3)*(GMWQ!$ND$2:$ND$60=L$4)*(GMWQ!$NF$2:$NF$60=L$1),0),$E230-1966)</f>
        <v>548621.4</v>
      </c>
      <c r="M230" s="13" cm="1">
        <f t="array" ref="M230">INDEX(GMWQ!$A$2:$NF$60,MATCH(1,(GMWQ!$NE$2:$NE$60=M$3)*(GMWQ!$ND$2:$ND$60=M$4)*(GMWQ!$NF$2:$NF$60=M$1),0),$E230-1966)</f>
        <v>452474.9</v>
      </c>
      <c r="N230" s="13" cm="1">
        <f t="array" ref="N230">INDEX(GMWQ!$A$2:$NF$60,MATCH(1,(GMWQ!$NE$2:$NE$60=N$3)*(GMWQ!$ND$2:$ND$60=N$4)*(GMWQ!$NF$2:$NF$60=N$1),0),$E230-1966)</f>
        <v>121.20050000000001</v>
      </c>
      <c r="O230" s="13" cm="1">
        <f t="array" ref="O230">INDEX(GMWQ!$A$2:$NF$60,MATCH(1,(GMWQ!$NE$2:$NE$60=O$3)*(GMWQ!$ND$2:$ND$60=O$4)*(GMWQ!$NF$2:$NF$60=O$1),0),$E230-1966)</f>
        <v>35186.129999999997</v>
      </c>
      <c r="P230" s="13" cm="1">
        <f t="array" ref="P230">INDEX(GMWQ!$A$2:$NF$60,MATCH(1,(GMWQ!$NE$2:$NE$60=P$3)*(GMWQ!$ND$2:$ND$60=P$4)*(GMWQ!$NF$2:$NF$60=P$1),0),$E230-1966)</f>
        <v>35015.660000000003</v>
      </c>
      <c r="Q230" s="13" cm="1">
        <f t="array" ref="Q230">INDEX(GMWQ!$A$2:$NF$60,MATCH(1,(GMWQ!$NE$2:$NE$60=Q$3)*(GMWQ!$ND$2:$ND$60=Q$4)*(GMWQ!$NF$2:$NF$60=Q$1),0),$E230-1966)</f>
        <v>34136.61</v>
      </c>
    </row>
    <row r="231" spans="1:17" x14ac:dyDescent="0.25">
      <c r="A231" s="13">
        <v>2029</v>
      </c>
      <c r="B231" s="13">
        <f t="shared" si="18"/>
        <v>2029</v>
      </c>
      <c r="C231" s="13">
        <f t="shared" si="18"/>
        <v>2028</v>
      </c>
      <c r="D231" s="13">
        <f t="shared" si="18"/>
        <v>2028</v>
      </c>
      <c r="E231" s="13">
        <f t="shared" si="15"/>
        <v>2197</v>
      </c>
      <c r="F231" s="13" cm="1">
        <f t="array" ref="F231">INDEX(GMWQ!$A$2:$NF$60,MATCH(1,(GMWQ!$NE$2:$NE$60=F$3)*(GMWQ!$ND$2:$ND$60=F$4)*(GMWQ!$NF$2:$NF$60=F$1),0),$E231-1966)</f>
        <v>168.55520000000001</v>
      </c>
      <c r="G231" s="13" cm="1">
        <f t="array" ref="G231">INDEX(GMWQ!$A$2:$NF$60,MATCH(1,(GMWQ!$NE$2:$NE$60=G$3)*(GMWQ!$ND$2:$ND$60=G$4)*(GMWQ!$NF$2:$NF$60=G$1),0),$E231-1966)</f>
        <v>54980.49</v>
      </c>
      <c r="H231" s="13" cm="1">
        <f t="array" ref="H231">INDEX(GMWQ!$A$2:$NF$60,MATCH(1,(GMWQ!$NE$2:$NE$60=H$3)*(GMWQ!$ND$2:$ND$60=H$4)*(GMWQ!$NF$2:$NF$60=H$1),0),$E231-1966)</f>
        <v>798.79470000000003</v>
      </c>
      <c r="I231" s="13" cm="1">
        <f t="array" ref="I231">INDEX(GMWQ!$A$2:$NF$60,MATCH(1,(GMWQ!$NE$2:$NE$60=I$3)*(GMWQ!$ND$2:$ND$60=I$4)*(GMWQ!$NF$2:$NF$60=I$1),0),$E231-1966)</f>
        <v>178940.5</v>
      </c>
      <c r="J231" s="13" cm="1">
        <f t="array" ref="J231">INDEX(GMWQ!$A$2:$NF$60,MATCH(1,(GMWQ!$NE$2:$NE$60=J$3)*(GMWQ!$ND$2:$ND$60=J$4)*(GMWQ!$NF$2:$NF$60=J$1),0),$E231-1966)</f>
        <v>850447.9</v>
      </c>
      <c r="K231" s="13" cm="1">
        <f t="array" ref="K231">INDEX(GMWQ!$A$2:$NF$60,MATCH(1,(GMWQ!$NE$2:$NE$60=K$3)*(GMWQ!$ND$2:$ND$60=K$4)*(GMWQ!$NF$2:$NF$60=K$1),0),$E231-1966)</f>
        <v>347330.4</v>
      </c>
      <c r="L231" s="13" cm="1">
        <f t="array" ref="L231">INDEX(GMWQ!$A$2:$NF$60,MATCH(1,(GMWQ!$NE$2:$NE$60=L$3)*(GMWQ!$ND$2:$ND$60=L$4)*(GMWQ!$NF$2:$NF$60=L$1),0),$E231-1966)</f>
        <v>553617.80000000005</v>
      </c>
      <c r="M231" s="13" cm="1">
        <f t="array" ref="M231">INDEX(GMWQ!$A$2:$NF$60,MATCH(1,(GMWQ!$NE$2:$NE$60=M$3)*(GMWQ!$ND$2:$ND$60=M$4)*(GMWQ!$NF$2:$NF$60=M$1),0),$E231-1966)</f>
        <v>454235.4</v>
      </c>
      <c r="N231" s="13" cm="1">
        <f t="array" ref="N231">INDEX(GMWQ!$A$2:$NF$60,MATCH(1,(GMWQ!$NE$2:$NE$60=N$3)*(GMWQ!$ND$2:$ND$60=N$4)*(GMWQ!$NF$2:$NF$60=N$1),0),$E231-1966)</f>
        <v>121.83069999999999</v>
      </c>
      <c r="O231" s="13" cm="1">
        <f t="array" ref="O231">INDEX(GMWQ!$A$2:$NF$60,MATCH(1,(GMWQ!$NE$2:$NE$60=O$3)*(GMWQ!$ND$2:$ND$60=O$4)*(GMWQ!$NF$2:$NF$60=O$1),0),$E231-1966)</f>
        <v>35274.31</v>
      </c>
      <c r="P231" s="13" cm="1">
        <f t="array" ref="P231">INDEX(GMWQ!$A$2:$NF$60,MATCH(1,(GMWQ!$NE$2:$NE$60=P$3)*(GMWQ!$ND$2:$ND$60=P$4)*(GMWQ!$NF$2:$NF$60=P$1),0),$E231-1966)</f>
        <v>35089.19</v>
      </c>
      <c r="Q231" s="13" cm="1">
        <f t="array" ref="Q231">INDEX(GMWQ!$A$2:$NF$60,MATCH(1,(GMWQ!$NE$2:$NE$60=Q$3)*(GMWQ!$ND$2:$ND$60=Q$4)*(GMWQ!$NF$2:$NF$60=Q$1),0),$E231-1966)</f>
        <v>34196.35</v>
      </c>
    </row>
    <row r="232" spans="1:17" x14ac:dyDescent="0.25">
      <c r="B232" s="13">
        <f t="shared" si="18"/>
        <v>2029</v>
      </c>
      <c r="C232" s="13">
        <f t="shared" si="18"/>
        <v>2029</v>
      </c>
      <c r="E232" s="13">
        <f t="shared" si="15"/>
        <v>2198</v>
      </c>
      <c r="F232" s="13" cm="1">
        <f t="array" ref="F232">INDEX(GMWQ!$A$2:$NF$60,MATCH(1,(GMWQ!$NE$2:$NE$60=F$3)*(GMWQ!$ND$2:$ND$60=F$4)*(GMWQ!$NF$2:$NF$60=F$1),0),$E232-1966)</f>
        <v>169.44110000000001</v>
      </c>
      <c r="G232" s="13" cm="1">
        <f t="array" ref="G232">INDEX(GMWQ!$A$2:$NF$60,MATCH(1,(GMWQ!$NE$2:$NE$60=G$3)*(GMWQ!$ND$2:$ND$60=G$4)*(GMWQ!$NF$2:$NF$60=G$1),0),$E232-1966)</f>
        <v>55487.44</v>
      </c>
      <c r="H232" s="13" cm="1">
        <f t="array" ref="H232">INDEX(GMWQ!$A$2:$NF$60,MATCH(1,(GMWQ!$NE$2:$NE$60=H$3)*(GMWQ!$ND$2:$ND$60=H$4)*(GMWQ!$NF$2:$NF$60=H$1),0),$E232-1966)</f>
        <v>804.31700000000001</v>
      </c>
      <c r="I232" s="13" cm="1">
        <f t="array" ref="I232">INDEX(GMWQ!$A$2:$NF$60,MATCH(1,(GMWQ!$NE$2:$NE$60=I$3)*(GMWQ!$ND$2:$ND$60=I$4)*(GMWQ!$NF$2:$NF$60=I$1),0),$E232-1966)</f>
        <v>180484.2</v>
      </c>
      <c r="J232" s="13" cm="1">
        <f t="array" ref="J232">INDEX(GMWQ!$A$2:$NF$60,MATCH(1,(GMWQ!$NE$2:$NE$60=J$3)*(GMWQ!$ND$2:$ND$60=J$4)*(GMWQ!$NF$2:$NF$60=J$1),0),$E232-1966)</f>
        <v>858161.3</v>
      </c>
      <c r="K232" s="13" cm="1">
        <f t="array" ref="K232">INDEX(GMWQ!$A$2:$NF$60,MATCH(1,(GMWQ!$NE$2:$NE$60=K$3)*(GMWQ!$ND$2:$ND$60=K$4)*(GMWQ!$NF$2:$NF$60=K$1),0),$E232-1966)</f>
        <v>350532.9</v>
      </c>
      <c r="L232" s="13" cm="1">
        <f t="array" ref="L232">INDEX(GMWQ!$A$2:$NF$60,MATCH(1,(GMWQ!$NE$2:$NE$60=L$3)*(GMWQ!$ND$2:$ND$60=L$4)*(GMWQ!$NF$2:$NF$60=L$1),0),$E232-1966)</f>
        <v>558642.4</v>
      </c>
      <c r="M232" s="13" cm="1">
        <f t="array" ref="M232">INDEX(GMWQ!$A$2:$NF$60,MATCH(1,(GMWQ!$NE$2:$NE$60=M$3)*(GMWQ!$ND$2:$ND$60=M$4)*(GMWQ!$NF$2:$NF$60=M$1),0),$E232-1966)</f>
        <v>456033.9</v>
      </c>
      <c r="N232" s="13" cm="1">
        <f t="array" ref="N232">INDEX(GMWQ!$A$2:$NF$60,MATCH(1,(GMWQ!$NE$2:$NE$60=N$3)*(GMWQ!$ND$2:$ND$60=N$4)*(GMWQ!$NF$2:$NF$60=N$1),0),$E232-1966)</f>
        <v>122.452</v>
      </c>
      <c r="O232" s="13" cm="1">
        <f t="array" ref="O232">INDEX(GMWQ!$A$2:$NF$60,MATCH(1,(GMWQ!$NE$2:$NE$60=O$3)*(GMWQ!$ND$2:$ND$60=O$4)*(GMWQ!$NF$2:$NF$60=O$1),0),$E232-1966)</f>
        <v>35353.68</v>
      </c>
      <c r="P232" s="13" cm="1">
        <f t="array" ref="P232">INDEX(GMWQ!$A$2:$NF$60,MATCH(1,(GMWQ!$NE$2:$NE$60=P$3)*(GMWQ!$ND$2:$ND$60=P$4)*(GMWQ!$NF$2:$NF$60=P$1),0),$E232-1966)</f>
        <v>35159.370000000003</v>
      </c>
      <c r="Q232" s="13" cm="1">
        <f t="array" ref="Q232">INDEX(GMWQ!$A$2:$NF$60,MATCH(1,(GMWQ!$NE$2:$NE$60=Q$3)*(GMWQ!$ND$2:$ND$60=Q$4)*(GMWQ!$NF$2:$NF$60=Q$1),0),$E232-1966)</f>
        <v>34247.99</v>
      </c>
    </row>
    <row r="233" spans="1:17" x14ac:dyDescent="0.25">
      <c r="B233" s="13">
        <f t="shared" si="18"/>
        <v>2029</v>
      </c>
      <c r="C233" s="13">
        <f t="shared" si="18"/>
        <v>2029</v>
      </c>
      <c r="E233" s="13">
        <f t="shared" si="15"/>
        <v>2199</v>
      </c>
      <c r="F233" s="13" cm="1">
        <f t="array" ref="F233">INDEX(GMWQ!$A$2:$NF$60,MATCH(1,(GMWQ!$NE$2:$NE$60=F$3)*(GMWQ!$ND$2:$ND$60=F$4)*(GMWQ!$NF$2:$NF$60=F$1),0),$E233-1966)</f>
        <v>170.3372</v>
      </c>
      <c r="G233" s="13" cm="1">
        <f t="array" ref="G233">INDEX(GMWQ!$A$2:$NF$60,MATCH(1,(GMWQ!$NE$2:$NE$60=G$3)*(GMWQ!$ND$2:$ND$60=G$4)*(GMWQ!$NF$2:$NF$60=G$1),0),$E233-1966)</f>
        <v>55998.07</v>
      </c>
      <c r="H233" s="13" cm="1">
        <f t="array" ref="H233">INDEX(GMWQ!$A$2:$NF$60,MATCH(1,(GMWQ!$NE$2:$NE$60=H$3)*(GMWQ!$ND$2:$ND$60=H$4)*(GMWQ!$NF$2:$NF$60=H$1),0),$E233-1966)</f>
        <v>809.90279999999996</v>
      </c>
      <c r="I233" s="13" cm="1">
        <f t="array" ref="I233">INDEX(GMWQ!$A$2:$NF$60,MATCH(1,(GMWQ!$NE$2:$NE$60=I$3)*(GMWQ!$ND$2:$ND$60=I$4)*(GMWQ!$NF$2:$NF$60=I$1),0),$E233-1966)</f>
        <v>182188.2</v>
      </c>
      <c r="J233" s="13" cm="1">
        <f t="array" ref="J233">INDEX(GMWQ!$A$2:$NF$60,MATCH(1,(GMWQ!$NE$2:$NE$60=J$3)*(GMWQ!$ND$2:$ND$60=J$4)*(GMWQ!$NF$2:$NF$60=J$1),0),$E233-1966)</f>
        <v>865815.8</v>
      </c>
      <c r="K233" s="13" cm="1">
        <f t="array" ref="K233">INDEX(GMWQ!$A$2:$NF$60,MATCH(1,(GMWQ!$NE$2:$NE$60=K$3)*(GMWQ!$ND$2:$ND$60=K$4)*(GMWQ!$NF$2:$NF$60=K$1),0),$E233-1966)</f>
        <v>353758.8</v>
      </c>
      <c r="L233" s="13" cm="1">
        <f t="array" ref="L233">INDEX(GMWQ!$A$2:$NF$60,MATCH(1,(GMWQ!$NE$2:$NE$60=L$3)*(GMWQ!$ND$2:$ND$60=L$4)*(GMWQ!$NF$2:$NF$60=L$1),0),$E233-1966)</f>
        <v>563293.4</v>
      </c>
      <c r="M233" s="13" cm="1">
        <f t="array" ref="M233">INDEX(GMWQ!$A$2:$NF$60,MATCH(1,(GMWQ!$NE$2:$NE$60=M$3)*(GMWQ!$ND$2:$ND$60=M$4)*(GMWQ!$NF$2:$NF$60=M$1),0),$E233-1966)</f>
        <v>457544.3</v>
      </c>
      <c r="N233" s="13" cm="1">
        <f t="array" ref="N233">INDEX(GMWQ!$A$2:$NF$60,MATCH(1,(GMWQ!$NE$2:$NE$60=N$3)*(GMWQ!$ND$2:$ND$60=N$4)*(GMWQ!$NF$2:$NF$60=N$1),0),$E233-1966)</f>
        <v>123.0643</v>
      </c>
      <c r="O233" s="13" cm="1">
        <f t="array" ref="O233">INDEX(GMWQ!$A$2:$NF$60,MATCH(1,(GMWQ!$NE$2:$NE$60=O$3)*(GMWQ!$ND$2:$ND$60=O$4)*(GMWQ!$NF$2:$NF$60=O$1),0),$E233-1966)</f>
        <v>35431.46</v>
      </c>
      <c r="P233" s="13" cm="1">
        <f t="array" ref="P233">INDEX(GMWQ!$A$2:$NF$60,MATCH(1,(GMWQ!$NE$2:$NE$60=P$3)*(GMWQ!$ND$2:$ND$60=P$4)*(GMWQ!$NF$2:$NF$60=P$1),0),$E233-1966)</f>
        <v>35229.68</v>
      </c>
      <c r="Q233" s="13" cm="1">
        <f t="array" ref="Q233">INDEX(GMWQ!$A$2:$NF$60,MATCH(1,(GMWQ!$NE$2:$NE$60=Q$3)*(GMWQ!$ND$2:$ND$60=Q$4)*(GMWQ!$NF$2:$NF$60=Q$1),0),$E233-1966)</f>
        <v>34282.230000000003</v>
      </c>
    </row>
    <row r="234" spans="1:17" x14ac:dyDescent="0.25">
      <c r="B234" s="13">
        <f t="shared" si="18"/>
        <v>2029</v>
      </c>
      <c r="C234" s="13">
        <f t="shared" si="18"/>
        <v>2029</v>
      </c>
      <c r="E234" s="13">
        <f t="shared" si="15"/>
        <v>2200</v>
      </c>
      <c r="F234" s="13" cm="1">
        <f t="array" ref="F234">INDEX(GMWQ!$A$2:$NF$60,MATCH(1,(GMWQ!$NE$2:$NE$60=F$3)*(GMWQ!$ND$2:$ND$60=F$4)*(GMWQ!$NF$2:$NF$60=F$1),0),$E234-1966)</f>
        <v>171.23570000000001</v>
      </c>
      <c r="G234" s="13" cm="1">
        <f t="array" ref="G234">INDEX(GMWQ!$A$2:$NF$60,MATCH(1,(GMWQ!$NE$2:$NE$60=G$3)*(GMWQ!$ND$2:$ND$60=G$4)*(GMWQ!$NF$2:$NF$60=G$1),0),$E234-1966)</f>
        <v>56518.15</v>
      </c>
      <c r="H234" s="13" cm="1">
        <f t="array" ref="H234">INDEX(GMWQ!$A$2:$NF$60,MATCH(1,(GMWQ!$NE$2:$NE$60=H$3)*(GMWQ!$ND$2:$ND$60=H$4)*(GMWQ!$NF$2:$NF$60=H$1),0),$E234-1966)</f>
        <v>815.51729999999998</v>
      </c>
      <c r="I234" s="13" cm="1">
        <f t="array" ref="I234">INDEX(GMWQ!$A$2:$NF$60,MATCH(1,(GMWQ!$NE$2:$NE$60=I$3)*(GMWQ!$ND$2:$ND$60=I$4)*(GMWQ!$NF$2:$NF$60=I$1),0),$E234-1966)</f>
        <v>184331.8</v>
      </c>
      <c r="J234" s="13" cm="1">
        <f t="array" ref="J234">INDEX(GMWQ!$A$2:$NF$60,MATCH(1,(GMWQ!$NE$2:$NE$60=J$3)*(GMWQ!$ND$2:$ND$60=J$4)*(GMWQ!$NF$2:$NF$60=J$1),0),$E234-1966)</f>
        <v>873538.4</v>
      </c>
      <c r="K234" s="13" cm="1">
        <f t="array" ref="K234">INDEX(GMWQ!$A$2:$NF$60,MATCH(1,(GMWQ!$NE$2:$NE$60=K$3)*(GMWQ!$ND$2:$ND$60=K$4)*(GMWQ!$NF$2:$NF$60=K$1),0),$E234-1966)</f>
        <v>357044.3</v>
      </c>
      <c r="L234" s="13" cm="1">
        <f t="array" ref="L234">INDEX(GMWQ!$A$2:$NF$60,MATCH(1,(GMWQ!$NE$2:$NE$60=L$3)*(GMWQ!$ND$2:$ND$60=L$4)*(GMWQ!$NF$2:$NF$60=L$1),0),$E234-1966)</f>
        <v>567953</v>
      </c>
      <c r="M234" s="13" cm="1">
        <f t="array" ref="M234">INDEX(GMWQ!$A$2:$NF$60,MATCH(1,(GMWQ!$NE$2:$NE$60=M$3)*(GMWQ!$ND$2:$ND$60=M$4)*(GMWQ!$NF$2:$NF$60=M$1),0),$E234-1966)</f>
        <v>459035.7</v>
      </c>
      <c r="N234" s="13" cm="1">
        <f t="array" ref="N234">INDEX(GMWQ!$A$2:$NF$60,MATCH(1,(GMWQ!$NE$2:$NE$60=N$3)*(GMWQ!$ND$2:$ND$60=N$4)*(GMWQ!$NF$2:$NF$60=N$1),0),$E234-1966)</f>
        <v>123.67959999999999</v>
      </c>
      <c r="O234" s="13" cm="1">
        <f t="array" ref="O234">INDEX(GMWQ!$A$2:$NF$60,MATCH(1,(GMWQ!$NE$2:$NE$60=O$3)*(GMWQ!$ND$2:$ND$60=O$4)*(GMWQ!$NF$2:$NF$60=O$1),0),$E234-1966)</f>
        <v>35512.949999999997</v>
      </c>
      <c r="P234" s="13" cm="1">
        <f t="array" ref="P234">INDEX(GMWQ!$A$2:$NF$60,MATCH(1,(GMWQ!$NE$2:$NE$60=P$3)*(GMWQ!$ND$2:$ND$60=P$4)*(GMWQ!$NF$2:$NF$60=P$1),0),$E234-1966)</f>
        <v>35300.14</v>
      </c>
      <c r="Q234" s="13" cm="1">
        <f t="array" ref="Q234">INDEX(GMWQ!$A$2:$NF$60,MATCH(1,(GMWQ!$NE$2:$NE$60=Q$3)*(GMWQ!$ND$2:$ND$60=Q$4)*(GMWQ!$NF$2:$NF$60=Q$1),0),$E234-1966)</f>
        <v>34314.800000000003</v>
      </c>
    </row>
    <row r="235" spans="1:17" x14ac:dyDescent="0.25">
      <c r="A235" s="13">
        <v>2030</v>
      </c>
      <c r="B235" s="13">
        <f t="shared" si="18"/>
        <v>2030</v>
      </c>
      <c r="C235" s="13">
        <f t="shared" si="18"/>
        <v>2029</v>
      </c>
      <c r="D235" s="13">
        <f t="shared" si="18"/>
        <v>2029</v>
      </c>
      <c r="E235" s="13">
        <f t="shared" si="15"/>
        <v>2201</v>
      </c>
      <c r="F235" s="13" cm="1">
        <f t="array" ref="F235">INDEX(GMWQ!$A$2:$NF$60,MATCH(1,(GMWQ!$NE$2:$NE$60=F$3)*(GMWQ!$ND$2:$ND$60=F$4)*(GMWQ!$NF$2:$NF$60=F$1),0),$E235-1966)</f>
        <v>172.13740000000001</v>
      </c>
      <c r="G235" s="13" cm="1">
        <f t="array" ref="G235">INDEX(GMWQ!$A$2:$NF$60,MATCH(1,(GMWQ!$NE$2:$NE$60=G$3)*(GMWQ!$ND$2:$ND$60=G$4)*(GMWQ!$NF$2:$NF$60=G$1),0),$E235-1966)</f>
        <v>57042.49</v>
      </c>
      <c r="H235" s="13" cm="1">
        <f t="array" ref="H235">INDEX(GMWQ!$A$2:$NF$60,MATCH(1,(GMWQ!$NE$2:$NE$60=H$3)*(GMWQ!$ND$2:$ND$60=H$4)*(GMWQ!$NF$2:$NF$60=H$1),0),$E235-1966)</f>
        <v>821.16290000000004</v>
      </c>
      <c r="I235" s="13" cm="1">
        <f t="array" ref="I235">INDEX(GMWQ!$A$2:$NF$60,MATCH(1,(GMWQ!$NE$2:$NE$60=I$3)*(GMWQ!$ND$2:$ND$60=I$4)*(GMWQ!$NF$2:$NF$60=I$1),0),$E235-1966)</f>
        <v>186213.6</v>
      </c>
      <c r="J235" s="13" cm="1">
        <f t="array" ref="J235">INDEX(GMWQ!$A$2:$NF$60,MATCH(1,(GMWQ!$NE$2:$NE$60=J$3)*(GMWQ!$ND$2:$ND$60=J$4)*(GMWQ!$NF$2:$NF$60=J$1),0),$E235-1966)</f>
        <v>881417.8</v>
      </c>
      <c r="K235" s="13" cm="1">
        <f t="array" ref="K235">INDEX(GMWQ!$A$2:$NF$60,MATCH(1,(GMWQ!$NE$2:$NE$60=K$3)*(GMWQ!$ND$2:$ND$60=K$4)*(GMWQ!$NF$2:$NF$60=K$1),0),$E235-1966)</f>
        <v>360356.8</v>
      </c>
      <c r="L235" s="13" cm="1">
        <f t="array" ref="L235">INDEX(GMWQ!$A$2:$NF$60,MATCH(1,(GMWQ!$NE$2:$NE$60=L$3)*(GMWQ!$ND$2:$ND$60=L$4)*(GMWQ!$NF$2:$NF$60=L$1),0),$E235-1966)</f>
        <v>572782.1</v>
      </c>
      <c r="M235" s="13" cm="1">
        <f t="array" ref="M235">INDEX(GMWQ!$A$2:$NF$60,MATCH(1,(GMWQ!$NE$2:$NE$60=M$3)*(GMWQ!$ND$2:$ND$60=M$4)*(GMWQ!$NF$2:$NF$60=M$1),0),$E235-1966)</f>
        <v>460654.4</v>
      </c>
      <c r="N235" s="13" cm="1">
        <f t="array" ref="N235">INDEX(GMWQ!$A$2:$NF$60,MATCH(1,(GMWQ!$NE$2:$NE$60=N$3)*(GMWQ!$ND$2:$ND$60=N$4)*(GMWQ!$NF$2:$NF$60=N$1),0),$E235-1966)</f>
        <v>124.2933</v>
      </c>
      <c r="O235" s="13" cm="1">
        <f t="array" ref="O235">INDEX(GMWQ!$A$2:$NF$60,MATCH(1,(GMWQ!$NE$2:$NE$60=O$3)*(GMWQ!$ND$2:$ND$60=O$4)*(GMWQ!$NF$2:$NF$60=O$1),0),$E235-1966)</f>
        <v>35594.629999999997</v>
      </c>
      <c r="P235" s="13" cm="1">
        <f t="array" ref="P235">INDEX(GMWQ!$A$2:$NF$60,MATCH(1,(GMWQ!$NE$2:$NE$60=P$3)*(GMWQ!$ND$2:$ND$60=P$4)*(GMWQ!$NF$2:$NF$60=P$1),0),$E235-1966)</f>
        <v>35367.21</v>
      </c>
      <c r="Q235" s="13" cm="1">
        <f t="array" ref="Q235">INDEX(GMWQ!$A$2:$NF$60,MATCH(1,(GMWQ!$NE$2:$NE$60=Q$3)*(GMWQ!$ND$2:$ND$60=Q$4)*(GMWQ!$NF$2:$NF$60=Q$1),0),$E235-1966)</f>
        <v>34343.97</v>
      </c>
    </row>
    <row r="236" spans="1:17" x14ac:dyDescent="0.25">
      <c r="B236" s="13">
        <f t="shared" ref="B236:D251" si="19">+B232+1</f>
        <v>2030</v>
      </c>
      <c r="C236" s="13">
        <f t="shared" si="19"/>
        <v>2030</v>
      </c>
      <c r="E236" s="13">
        <f t="shared" si="15"/>
        <v>2202</v>
      </c>
      <c r="F236" s="13" cm="1">
        <f t="array" ref="F236">INDEX(GMWQ!$A$2:$NF$60,MATCH(1,(GMWQ!$NE$2:$NE$60=F$3)*(GMWQ!$ND$2:$ND$60=F$4)*(GMWQ!$NF$2:$NF$60=F$1),0),$E236-1966)</f>
        <v>173.0316</v>
      </c>
      <c r="G236" s="13" cm="1">
        <f t="array" ref="G236">INDEX(GMWQ!$A$2:$NF$60,MATCH(1,(GMWQ!$NE$2:$NE$60=G$3)*(GMWQ!$ND$2:$ND$60=G$4)*(GMWQ!$NF$2:$NF$60=G$1),0),$E236-1966)</f>
        <v>57567.59</v>
      </c>
      <c r="H236" s="13" cm="1">
        <f t="array" ref="H236">INDEX(GMWQ!$A$2:$NF$60,MATCH(1,(GMWQ!$NE$2:$NE$60=H$3)*(GMWQ!$ND$2:$ND$60=H$4)*(GMWQ!$NF$2:$NF$60=H$1),0),$E236-1966)</f>
        <v>826.81449999999995</v>
      </c>
      <c r="I236" s="13" cm="1">
        <f t="array" ref="I236">INDEX(GMWQ!$A$2:$NF$60,MATCH(1,(GMWQ!$NE$2:$NE$60=I$3)*(GMWQ!$ND$2:$ND$60=I$4)*(GMWQ!$NF$2:$NF$60=I$1),0),$E236-1966)</f>
        <v>188604.2</v>
      </c>
      <c r="J236" s="13" cm="1">
        <f t="array" ref="J236">INDEX(GMWQ!$A$2:$NF$60,MATCH(1,(GMWQ!$NE$2:$NE$60=J$3)*(GMWQ!$ND$2:$ND$60=J$4)*(GMWQ!$NF$2:$NF$60=J$1),0),$E236-1966)</f>
        <v>889457</v>
      </c>
      <c r="K236" s="13" cm="1">
        <f t="array" ref="K236">INDEX(GMWQ!$A$2:$NF$60,MATCH(1,(GMWQ!$NE$2:$NE$60=K$3)*(GMWQ!$ND$2:$ND$60=K$4)*(GMWQ!$NF$2:$NF$60=K$1),0),$E236-1966)</f>
        <v>363674</v>
      </c>
      <c r="L236" s="13" cm="1">
        <f t="array" ref="L236">INDEX(GMWQ!$A$2:$NF$60,MATCH(1,(GMWQ!$NE$2:$NE$60=L$3)*(GMWQ!$ND$2:$ND$60=L$4)*(GMWQ!$NF$2:$NF$60=L$1),0),$E236-1966)</f>
        <v>578041.80000000005</v>
      </c>
      <c r="M236" s="13" cm="1">
        <f t="array" ref="M236">INDEX(GMWQ!$A$2:$NF$60,MATCH(1,(GMWQ!$NE$2:$NE$60=M$3)*(GMWQ!$ND$2:$ND$60=M$4)*(GMWQ!$NF$2:$NF$60=M$1),0),$E236-1966)</f>
        <v>462590.5</v>
      </c>
      <c r="N236" s="13" cm="1">
        <f t="array" ref="N236">INDEX(GMWQ!$A$2:$NF$60,MATCH(1,(GMWQ!$NE$2:$NE$60=N$3)*(GMWQ!$ND$2:$ND$60=N$4)*(GMWQ!$NF$2:$NF$60=N$1),0),$E236-1966)</f>
        <v>124.9101</v>
      </c>
      <c r="O236" s="13" cm="1">
        <f t="array" ref="O236">INDEX(GMWQ!$A$2:$NF$60,MATCH(1,(GMWQ!$NE$2:$NE$60=O$3)*(GMWQ!$ND$2:$ND$60=O$4)*(GMWQ!$NF$2:$NF$60=O$1),0),$E236-1966)</f>
        <v>35676.5</v>
      </c>
      <c r="P236" s="13" cm="1">
        <f t="array" ref="P236">INDEX(GMWQ!$A$2:$NF$60,MATCH(1,(GMWQ!$NE$2:$NE$60=P$3)*(GMWQ!$ND$2:$ND$60=P$4)*(GMWQ!$NF$2:$NF$60=P$1),0),$E236-1966)</f>
        <v>35434.410000000003</v>
      </c>
      <c r="Q236" s="13" cm="1">
        <f t="array" ref="Q236">INDEX(GMWQ!$A$2:$NF$60,MATCH(1,(GMWQ!$NE$2:$NE$60=Q$3)*(GMWQ!$ND$2:$ND$60=Q$4)*(GMWQ!$NF$2:$NF$60=Q$1),0),$E236-1966)</f>
        <v>34371.449999999997</v>
      </c>
    </row>
    <row r="237" spans="1:17" x14ac:dyDescent="0.25">
      <c r="B237" s="13">
        <f t="shared" si="19"/>
        <v>2030</v>
      </c>
      <c r="C237" s="13">
        <f t="shared" si="19"/>
        <v>2030</v>
      </c>
      <c r="E237" s="13">
        <f t="shared" si="15"/>
        <v>2203</v>
      </c>
      <c r="F237" s="13" cm="1">
        <f t="array" ref="F237">INDEX(GMWQ!$A$2:$NF$60,MATCH(1,(GMWQ!$NE$2:$NE$60=F$3)*(GMWQ!$ND$2:$ND$60=F$4)*(GMWQ!$NF$2:$NF$60=F$1),0),$E237-1966)</f>
        <v>173.9144</v>
      </c>
      <c r="G237" s="13" cm="1">
        <f t="array" ref="G237">INDEX(GMWQ!$A$2:$NF$60,MATCH(1,(GMWQ!$NE$2:$NE$60=G$3)*(GMWQ!$ND$2:$ND$60=G$4)*(GMWQ!$NF$2:$NF$60=G$1),0),$E237-1966)</f>
        <v>58092.24</v>
      </c>
      <c r="H237" s="13" cm="1">
        <f t="array" ref="H237">INDEX(GMWQ!$A$2:$NF$60,MATCH(1,(GMWQ!$NE$2:$NE$60=H$3)*(GMWQ!$ND$2:$ND$60=H$4)*(GMWQ!$NF$2:$NF$60=H$1),0),$E237-1966)</f>
        <v>832.51289999999995</v>
      </c>
      <c r="I237" s="13" cm="1">
        <f t="array" ref="I237">INDEX(GMWQ!$A$2:$NF$60,MATCH(1,(GMWQ!$NE$2:$NE$60=I$3)*(GMWQ!$ND$2:$ND$60=I$4)*(GMWQ!$NF$2:$NF$60=I$1),0),$E237-1966)</f>
        <v>190545.3</v>
      </c>
      <c r="J237" s="13" cm="1">
        <f t="array" ref="J237">INDEX(GMWQ!$A$2:$NF$60,MATCH(1,(GMWQ!$NE$2:$NE$60=J$3)*(GMWQ!$ND$2:$ND$60=J$4)*(GMWQ!$NF$2:$NF$60=J$1),0),$E237-1966)</f>
        <v>897703</v>
      </c>
      <c r="K237" s="13" cm="1">
        <f t="array" ref="K237">INDEX(GMWQ!$A$2:$NF$60,MATCH(1,(GMWQ!$NE$2:$NE$60=K$3)*(GMWQ!$ND$2:$ND$60=K$4)*(GMWQ!$NF$2:$NF$60=K$1),0),$E237-1966)</f>
        <v>366988.4</v>
      </c>
      <c r="L237" s="13" cm="1">
        <f t="array" ref="L237">INDEX(GMWQ!$A$2:$NF$60,MATCH(1,(GMWQ!$NE$2:$NE$60=L$3)*(GMWQ!$ND$2:$ND$60=L$4)*(GMWQ!$NF$2:$NF$60=L$1),0),$E237-1966)</f>
        <v>582945.6</v>
      </c>
      <c r="M237" s="13" cm="1">
        <f t="array" ref="M237">INDEX(GMWQ!$A$2:$NF$60,MATCH(1,(GMWQ!$NE$2:$NE$60=M$3)*(GMWQ!$ND$2:$ND$60=M$4)*(GMWQ!$NF$2:$NF$60=M$1),0),$E237-1966)</f>
        <v>464213.1</v>
      </c>
      <c r="N237" s="13" cm="1">
        <f t="array" ref="N237">INDEX(GMWQ!$A$2:$NF$60,MATCH(1,(GMWQ!$NE$2:$NE$60=N$3)*(GMWQ!$ND$2:$ND$60=N$4)*(GMWQ!$NF$2:$NF$60=N$1),0),$E237-1966)</f>
        <v>125.5299</v>
      </c>
      <c r="O237" s="13" cm="1">
        <f t="array" ref="O237">INDEX(GMWQ!$A$2:$NF$60,MATCH(1,(GMWQ!$NE$2:$NE$60=O$3)*(GMWQ!$ND$2:$ND$60=O$4)*(GMWQ!$NF$2:$NF$60=O$1),0),$E237-1966)</f>
        <v>35754.980000000003</v>
      </c>
      <c r="P237" s="13" cm="1">
        <f t="array" ref="P237">INDEX(GMWQ!$A$2:$NF$60,MATCH(1,(GMWQ!$NE$2:$NE$60=P$3)*(GMWQ!$ND$2:$ND$60=P$4)*(GMWQ!$NF$2:$NF$60=P$1),0),$E237-1966)</f>
        <v>35501.74</v>
      </c>
      <c r="Q237" s="13" cm="1">
        <f t="array" ref="Q237">INDEX(GMWQ!$A$2:$NF$60,MATCH(1,(GMWQ!$NE$2:$NE$60=Q$3)*(GMWQ!$ND$2:$ND$60=Q$4)*(GMWQ!$NF$2:$NF$60=Q$1),0),$E237-1966)</f>
        <v>34397.230000000003</v>
      </c>
    </row>
    <row r="238" spans="1:17" x14ac:dyDescent="0.25">
      <c r="B238" s="13">
        <f t="shared" si="19"/>
        <v>2030</v>
      </c>
      <c r="C238" s="13">
        <f t="shared" si="19"/>
        <v>2030</v>
      </c>
      <c r="E238" s="13">
        <f t="shared" si="15"/>
        <v>2204</v>
      </c>
      <c r="F238" s="13" cm="1">
        <f t="array" ref="F238">INDEX(GMWQ!$A$2:$NF$60,MATCH(1,(GMWQ!$NE$2:$NE$60=F$3)*(GMWQ!$ND$2:$ND$60=F$4)*(GMWQ!$NF$2:$NF$60=F$1),0),$E238-1966)</f>
        <v>174.7988</v>
      </c>
      <c r="G238" s="13" cm="1">
        <f t="array" ref="G238">INDEX(GMWQ!$A$2:$NF$60,MATCH(1,(GMWQ!$NE$2:$NE$60=G$3)*(GMWQ!$ND$2:$ND$60=G$4)*(GMWQ!$NF$2:$NF$60=G$1),0),$E238-1966)</f>
        <v>58620.61</v>
      </c>
      <c r="H238" s="13" cm="1">
        <f t="array" ref="H238">INDEX(GMWQ!$A$2:$NF$60,MATCH(1,(GMWQ!$NE$2:$NE$60=H$3)*(GMWQ!$ND$2:$ND$60=H$4)*(GMWQ!$NF$2:$NF$60=H$1),0),$E238-1966)</f>
        <v>838.23540000000003</v>
      </c>
      <c r="I238" s="13" cm="1">
        <f t="array" ref="I238">INDEX(GMWQ!$A$2:$NF$60,MATCH(1,(GMWQ!$NE$2:$NE$60=I$3)*(GMWQ!$ND$2:$ND$60=I$4)*(GMWQ!$NF$2:$NF$60=I$1),0),$E238-1966)</f>
        <v>192292.8</v>
      </c>
      <c r="J238" s="13" cm="1">
        <f t="array" ref="J238">INDEX(GMWQ!$A$2:$NF$60,MATCH(1,(GMWQ!$NE$2:$NE$60=J$3)*(GMWQ!$ND$2:$ND$60=J$4)*(GMWQ!$NF$2:$NF$60=J$1),0),$E238-1966)</f>
        <v>906092.9</v>
      </c>
      <c r="K238" s="13" cm="1">
        <f t="array" ref="K238">INDEX(GMWQ!$A$2:$NF$60,MATCH(1,(GMWQ!$NE$2:$NE$60=K$3)*(GMWQ!$ND$2:$ND$60=K$4)*(GMWQ!$NF$2:$NF$60=K$1),0),$E238-1966)</f>
        <v>370326.3</v>
      </c>
      <c r="L238" s="13" cm="1">
        <f t="array" ref="L238">INDEX(GMWQ!$A$2:$NF$60,MATCH(1,(GMWQ!$NE$2:$NE$60=L$3)*(GMWQ!$ND$2:$ND$60=L$4)*(GMWQ!$NF$2:$NF$60=L$1),0),$E238-1966)</f>
        <v>587813.9</v>
      </c>
      <c r="M238" s="13" cm="1">
        <f t="array" ref="M238">INDEX(GMWQ!$A$2:$NF$60,MATCH(1,(GMWQ!$NE$2:$NE$60=M$3)*(GMWQ!$ND$2:$ND$60=M$4)*(GMWQ!$NF$2:$NF$60=M$1),0),$E238-1966)</f>
        <v>465780.5</v>
      </c>
      <c r="N238" s="13" cm="1">
        <f t="array" ref="N238">INDEX(GMWQ!$A$2:$NF$60,MATCH(1,(GMWQ!$NE$2:$NE$60=N$3)*(GMWQ!$ND$2:$ND$60=N$4)*(GMWQ!$NF$2:$NF$60=N$1),0),$E238-1966)</f>
        <v>126.1527</v>
      </c>
      <c r="O238" s="13" cm="1">
        <f t="array" ref="O238">INDEX(GMWQ!$A$2:$NF$60,MATCH(1,(GMWQ!$NE$2:$NE$60=O$3)*(GMWQ!$ND$2:$ND$60=O$4)*(GMWQ!$NF$2:$NF$60=O$1),0),$E238-1966)</f>
        <v>35833.64</v>
      </c>
      <c r="P238" s="13" cm="1">
        <f t="array" ref="P238">INDEX(GMWQ!$A$2:$NF$60,MATCH(1,(GMWQ!$NE$2:$NE$60=P$3)*(GMWQ!$ND$2:$ND$60=P$4)*(GMWQ!$NF$2:$NF$60=P$1),0),$E238-1966)</f>
        <v>35569.19</v>
      </c>
      <c r="Q238" s="13" cm="1">
        <f t="array" ref="Q238">INDEX(GMWQ!$A$2:$NF$60,MATCH(1,(GMWQ!$NE$2:$NE$60=Q$3)*(GMWQ!$ND$2:$ND$60=Q$4)*(GMWQ!$NF$2:$NF$60=Q$1),0),$E238-1966)</f>
        <v>34418.230000000003</v>
      </c>
    </row>
    <row r="239" spans="1:17" x14ac:dyDescent="0.25">
      <c r="A239" s="13">
        <v>2031</v>
      </c>
      <c r="B239" s="13">
        <f t="shared" si="19"/>
        <v>2031</v>
      </c>
      <c r="C239" s="13">
        <f t="shared" si="19"/>
        <v>2030</v>
      </c>
      <c r="D239" s="13">
        <f t="shared" si="19"/>
        <v>2030</v>
      </c>
      <c r="E239" s="13">
        <f t="shared" si="15"/>
        <v>2205</v>
      </c>
      <c r="F239" s="13" cm="1">
        <f t="array" ref="F239">INDEX(GMWQ!$A$2:$NF$60,MATCH(1,(GMWQ!$NE$2:$NE$60=F$3)*(GMWQ!$ND$2:$ND$60=F$4)*(GMWQ!$NF$2:$NF$60=F$1),0),$E239-1966)</f>
        <v>175.69110000000001</v>
      </c>
      <c r="G239" s="13" cm="1">
        <f t="array" ref="G239">INDEX(GMWQ!$A$2:$NF$60,MATCH(1,(GMWQ!$NE$2:$NE$60=G$3)*(GMWQ!$ND$2:$ND$60=G$4)*(GMWQ!$NF$2:$NF$60=G$1),0),$E239-1966)</f>
        <v>59154.91</v>
      </c>
      <c r="H239" s="13" cm="1">
        <f t="array" ref="H239">INDEX(GMWQ!$A$2:$NF$60,MATCH(1,(GMWQ!$NE$2:$NE$60=H$3)*(GMWQ!$ND$2:$ND$60=H$4)*(GMWQ!$NF$2:$NF$60=H$1),0),$E239-1966)</f>
        <v>844.01250000000005</v>
      </c>
      <c r="I239" s="13" cm="1">
        <f t="array" ref="I239">INDEX(GMWQ!$A$2:$NF$60,MATCH(1,(GMWQ!$NE$2:$NE$60=I$3)*(GMWQ!$ND$2:$ND$60=I$4)*(GMWQ!$NF$2:$NF$60=I$1),0),$E239-1966)</f>
        <v>194713.3</v>
      </c>
      <c r="J239" s="13" cm="1">
        <f t="array" ref="J239">INDEX(GMWQ!$A$2:$NF$60,MATCH(1,(GMWQ!$NE$2:$NE$60=J$3)*(GMWQ!$ND$2:$ND$60=J$4)*(GMWQ!$NF$2:$NF$60=J$1),0),$E239-1966)</f>
        <v>914561.5</v>
      </c>
      <c r="K239" s="13" cm="1">
        <f t="array" ref="K239">INDEX(GMWQ!$A$2:$NF$60,MATCH(1,(GMWQ!$NE$2:$NE$60=K$3)*(GMWQ!$ND$2:$ND$60=K$4)*(GMWQ!$NF$2:$NF$60=K$1),0),$E239-1966)</f>
        <v>373701.6</v>
      </c>
      <c r="L239" s="13" cm="1">
        <f t="array" ref="L239">INDEX(GMWQ!$A$2:$NF$60,MATCH(1,(GMWQ!$NE$2:$NE$60=L$3)*(GMWQ!$ND$2:$ND$60=L$4)*(GMWQ!$NF$2:$NF$60=L$1),0),$E239-1966)</f>
        <v>593029.4</v>
      </c>
      <c r="M239" s="13" cm="1">
        <f t="array" ref="M239">INDEX(GMWQ!$A$2:$NF$60,MATCH(1,(GMWQ!$NE$2:$NE$60=M$3)*(GMWQ!$ND$2:$ND$60=M$4)*(GMWQ!$NF$2:$NF$60=M$1),0),$E239-1966)</f>
        <v>467594.4</v>
      </c>
      <c r="N239" s="13" cm="1">
        <f t="array" ref="N239">INDEX(GMWQ!$A$2:$NF$60,MATCH(1,(GMWQ!$NE$2:$NE$60=N$3)*(GMWQ!$ND$2:$ND$60=N$4)*(GMWQ!$NF$2:$NF$60=N$1),0),$E239-1966)</f>
        <v>126.7787</v>
      </c>
      <c r="O239" s="13" cm="1">
        <f t="array" ref="O239">INDEX(GMWQ!$A$2:$NF$60,MATCH(1,(GMWQ!$NE$2:$NE$60=O$3)*(GMWQ!$ND$2:$ND$60=O$4)*(GMWQ!$NF$2:$NF$60=O$1),0),$E239-1966)</f>
        <v>35912.480000000003</v>
      </c>
      <c r="P239" s="13" cm="1">
        <f t="array" ref="P239">INDEX(GMWQ!$A$2:$NF$60,MATCH(1,(GMWQ!$NE$2:$NE$60=P$3)*(GMWQ!$ND$2:$ND$60=P$4)*(GMWQ!$NF$2:$NF$60=P$1),0),$E239-1966)</f>
        <v>35633.21</v>
      </c>
      <c r="Q239" s="13" cm="1">
        <f t="array" ref="Q239">INDEX(GMWQ!$A$2:$NF$60,MATCH(1,(GMWQ!$NE$2:$NE$60=Q$3)*(GMWQ!$ND$2:$ND$60=Q$4)*(GMWQ!$NF$2:$NF$60=Q$1),0),$E239-1966)</f>
        <v>34436.82</v>
      </c>
    </row>
    <row r="240" spans="1:17" x14ac:dyDescent="0.25">
      <c r="B240" s="13">
        <f t="shared" si="19"/>
        <v>2031</v>
      </c>
      <c r="C240" s="13">
        <f t="shared" si="19"/>
        <v>2031</v>
      </c>
      <c r="E240" s="13">
        <f t="shared" si="15"/>
        <v>2206</v>
      </c>
      <c r="F240" s="13" cm="1">
        <f t="array" ref="F240">INDEX(GMWQ!$A$2:$NF$60,MATCH(1,(GMWQ!$NE$2:$NE$60=F$3)*(GMWQ!$ND$2:$ND$60=F$4)*(GMWQ!$NF$2:$NF$60=F$1),0),$E240-1966)</f>
        <v>176.5926</v>
      </c>
      <c r="G240" s="13" cm="1">
        <f t="array" ref="G240">INDEX(GMWQ!$A$2:$NF$60,MATCH(1,(GMWQ!$NE$2:$NE$60=G$3)*(GMWQ!$ND$2:$ND$60=G$4)*(GMWQ!$NF$2:$NF$60=G$1),0),$E240-1966)</f>
        <v>59695.55</v>
      </c>
      <c r="H240" s="13" cm="1">
        <f t="array" ref="H240">INDEX(GMWQ!$A$2:$NF$60,MATCH(1,(GMWQ!$NE$2:$NE$60=H$3)*(GMWQ!$ND$2:$ND$60=H$4)*(GMWQ!$NF$2:$NF$60=H$1),0),$E240-1966)</f>
        <v>849.85130000000004</v>
      </c>
      <c r="I240" s="13" cm="1">
        <f t="array" ref="I240">INDEX(GMWQ!$A$2:$NF$60,MATCH(1,(GMWQ!$NE$2:$NE$60=I$3)*(GMWQ!$ND$2:$ND$60=I$4)*(GMWQ!$NF$2:$NF$60=I$1),0),$E240-1966)</f>
        <v>197126.8</v>
      </c>
      <c r="J240" s="13" cm="1">
        <f t="array" ref="J240">INDEX(GMWQ!$A$2:$NF$60,MATCH(1,(GMWQ!$NE$2:$NE$60=J$3)*(GMWQ!$ND$2:$ND$60=J$4)*(GMWQ!$NF$2:$NF$60=J$1),0),$E240-1966)</f>
        <v>923109.6</v>
      </c>
      <c r="K240" s="13" cm="1">
        <f t="array" ref="K240">INDEX(GMWQ!$A$2:$NF$60,MATCH(1,(GMWQ!$NE$2:$NE$60=K$3)*(GMWQ!$ND$2:$ND$60=K$4)*(GMWQ!$NF$2:$NF$60=K$1),0),$E240-1966)</f>
        <v>377117</v>
      </c>
      <c r="L240" s="13" cm="1">
        <f t="array" ref="L240">INDEX(GMWQ!$A$2:$NF$60,MATCH(1,(GMWQ!$NE$2:$NE$60=L$3)*(GMWQ!$ND$2:$ND$60=L$4)*(GMWQ!$NF$2:$NF$60=L$1),0),$E240-1966)</f>
        <v>598607.5</v>
      </c>
      <c r="M240" s="13" cm="1">
        <f t="array" ref="M240">INDEX(GMWQ!$A$2:$NF$60,MATCH(1,(GMWQ!$NE$2:$NE$60=M$3)*(GMWQ!$ND$2:$ND$60=M$4)*(GMWQ!$NF$2:$NF$60=M$1),0),$E240-1966)</f>
        <v>469663.6</v>
      </c>
      <c r="N240" s="13" cm="1">
        <f t="array" ref="N240">INDEX(GMWQ!$A$2:$NF$60,MATCH(1,(GMWQ!$NE$2:$NE$60=N$3)*(GMWQ!$ND$2:$ND$60=N$4)*(GMWQ!$NF$2:$NF$60=N$1),0),$E240-1966)</f>
        <v>127.40779999999999</v>
      </c>
      <c r="O240" s="13" cm="1">
        <f t="array" ref="O240">INDEX(GMWQ!$A$2:$NF$60,MATCH(1,(GMWQ!$NE$2:$NE$60=O$3)*(GMWQ!$ND$2:$ND$60=O$4)*(GMWQ!$NF$2:$NF$60=O$1),0),$E240-1966)</f>
        <v>35991.49</v>
      </c>
      <c r="P240" s="13" cm="1">
        <f t="array" ref="P240">INDEX(GMWQ!$A$2:$NF$60,MATCH(1,(GMWQ!$NE$2:$NE$60=P$3)*(GMWQ!$ND$2:$ND$60=P$4)*(GMWQ!$NF$2:$NF$60=P$1),0),$E240-1966)</f>
        <v>35697.360000000001</v>
      </c>
      <c r="Q240" s="13" cm="1">
        <f t="array" ref="Q240">INDEX(GMWQ!$A$2:$NF$60,MATCH(1,(GMWQ!$NE$2:$NE$60=Q$3)*(GMWQ!$ND$2:$ND$60=Q$4)*(GMWQ!$NF$2:$NF$60=Q$1),0),$E240-1966)</f>
        <v>34455.410000000003</v>
      </c>
    </row>
    <row r="241" spans="1:17" x14ac:dyDescent="0.25">
      <c r="B241" s="13">
        <f t="shared" si="19"/>
        <v>2031</v>
      </c>
      <c r="C241" s="13">
        <f t="shared" si="19"/>
        <v>2031</v>
      </c>
      <c r="E241" s="13">
        <f t="shared" ref="E241:E304" si="20">+E240+1</f>
        <v>2207</v>
      </c>
      <c r="F241" s="13" cm="1">
        <f t="array" ref="F241">INDEX(GMWQ!$A$2:$NF$60,MATCH(1,(GMWQ!$NE$2:$NE$60=F$3)*(GMWQ!$ND$2:$ND$60=F$4)*(GMWQ!$NF$2:$NF$60=F$1),0),$E241-1966)</f>
        <v>177.49860000000001</v>
      </c>
      <c r="G241" s="13" cm="1">
        <f t="array" ref="G241">INDEX(GMWQ!$A$2:$NF$60,MATCH(1,(GMWQ!$NE$2:$NE$60=G$3)*(GMWQ!$ND$2:$ND$60=G$4)*(GMWQ!$NF$2:$NF$60=G$1),0),$E241-1966)</f>
        <v>60238.080000000002</v>
      </c>
      <c r="H241" s="13" cm="1">
        <f t="array" ref="H241">INDEX(GMWQ!$A$2:$NF$60,MATCH(1,(GMWQ!$NE$2:$NE$60=H$3)*(GMWQ!$ND$2:$ND$60=H$4)*(GMWQ!$NF$2:$NF$60=H$1),0),$E241-1966)</f>
        <v>855.72889999999995</v>
      </c>
      <c r="I241" s="13" cm="1">
        <f t="array" ref="I241">INDEX(GMWQ!$A$2:$NF$60,MATCH(1,(GMWQ!$NE$2:$NE$60=I$3)*(GMWQ!$ND$2:$ND$60=I$4)*(GMWQ!$NF$2:$NF$60=I$1),0),$E241-1966)</f>
        <v>200050</v>
      </c>
      <c r="J241" s="13" cm="1">
        <f t="array" ref="J241">INDEX(GMWQ!$A$2:$NF$60,MATCH(1,(GMWQ!$NE$2:$NE$60=J$3)*(GMWQ!$ND$2:$ND$60=J$4)*(GMWQ!$NF$2:$NF$60=J$1),0),$E241-1966)</f>
        <v>931690.8</v>
      </c>
      <c r="K241" s="13" cm="1">
        <f t="array" ref="K241">INDEX(GMWQ!$A$2:$NF$60,MATCH(1,(GMWQ!$NE$2:$NE$60=K$3)*(GMWQ!$ND$2:$ND$60=K$4)*(GMWQ!$NF$2:$NF$60=K$1),0),$E241-1966)</f>
        <v>380544.3</v>
      </c>
      <c r="L241" s="13" cm="1">
        <f t="array" ref="L241">INDEX(GMWQ!$A$2:$NF$60,MATCH(1,(GMWQ!$NE$2:$NE$60=L$3)*(GMWQ!$ND$2:$ND$60=L$4)*(GMWQ!$NF$2:$NF$60=L$1),0),$E241-1966)</f>
        <v>603928.30000000005</v>
      </c>
      <c r="M241" s="13" cm="1">
        <f t="array" ref="M241">INDEX(GMWQ!$A$2:$NF$60,MATCH(1,(GMWQ!$NE$2:$NE$60=M$3)*(GMWQ!$ND$2:$ND$60=M$4)*(GMWQ!$NF$2:$NF$60=M$1),0),$E241-1966)</f>
        <v>471500.2</v>
      </c>
      <c r="N241" s="13" cm="1">
        <f t="array" ref="N241">INDEX(GMWQ!$A$2:$NF$60,MATCH(1,(GMWQ!$NE$2:$NE$60=N$3)*(GMWQ!$ND$2:$ND$60=N$4)*(GMWQ!$NF$2:$NF$60=N$1),0),$E241-1966)</f>
        <v>128.04</v>
      </c>
      <c r="O241" s="13" cm="1">
        <f t="array" ref="O241">INDEX(GMWQ!$A$2:$NF$60,MATCH(1,(GMWQ!$NE$2:$NE$60=O$3)*(GMWQ!$ND$2:$ND$60=O$4)*(GMWQ!$NF$2:$NF$60=O$1),0),$E241-1966)</f>
        <v>36068.870000000003</v>
      </c>
      <c r="P241" s="13" cm="1">
        <f t="array" ref="P241">INDEX(GMWQ!$A$2:$NF$60,MATCH(1,(GMWQ!$NE$2:$NE$60=P$3)*(GMWQ!$ND$2:$ND$60=P$4)*(GMWQ!$NF$2:$NF$60=P$1),0),$E241-1966)</f>
        <v>35761.61</v>
      </c>
      <c r="Q241" s="13" cm="1">
        <f t="array" ref="Q241">INDEX(GMWQ!$A$2:$NF$60,MATCH(1,(GMWQ!$NE$2:$NE$60=Q$3)*(GMWQ!$ND$2:$ND$60=Q$4)*(GMWQ!$NF$2:$NF$60=Q$1),0),$E241-1966)</f>
        <v>34474</v>
      </c>
    </row>
    <row r="242" spans="1:17" x14ac:dyDescent="0.25">
      <c r="B242" s="13">
        <f t="shared" si="19"/>
        <v>2031</v>
      </c>
      <c r="C242" s="13">
        <f t="shared" si="19"/>
        <v>2031</v>
      </c>
      <c r="E242" s="13">
        <f t="shared" si="20"/>
        <v>2208</v>
      </c>
      <c r="F242" s="13" cm="1">
        <f t="array" ref="F242">INDEX(GMWQ!$A$2:$NF$60,MATCH(1,(GMWQ!$NE$2:$NE$60=F$3)*(GMWQ!$ND$2:$ND$60=F$4)*(GMWQ!$NF$2:$NF$60=F$1),0),$E242-1966)</f>
        <v>178.4093</v>
      </c>
      <c r="G242" s="13" cm="1">
        <f t="array" ref="G242">INDEX(GMWQ!$A$2:$NF$60,MATCH(1,(GMWQ!$NE$2:$NE$60=G$3)*(GMWQ!$ND$2:$ND$60=G$4)*(GMWQ!$NF$2:$NF$60=G$1),0),$E242-1966)</f>
        <v>60782.54</v>
      </c>
      <c r="H242" s="13" cm="1">
        <f t="array" ref="H242">INDEX(GMWQ!$A$2:$NF$60,MATCH(1,(GMWQ!$NE$2:$NE$60=H$3)*(GMWQ!$ND$2:$ND$60=H$4)*(GMWQ!$NF$2:$NF$60=H$1),0),$E242-1966)</f>
        <v>861.64869999999996</v>
      </c>
      <c r="I242" s="13" cm="1">
        <f t="array" ref="I242">INDEX(GMWQ!$A$2:$NF$60,MATCH(1,(GMWQ!$NE$2:$NE$60=I$3)*(GMWQ!$ND$2:$ND$60=I$4)*(GMWQ!$NF$2:$NF$60=I$1),0),$E242-1966)</f>
        <v>201772.3</v>
      </c>
      <c r="J242" s="13" cm="1">
        <f t="array" ref="J242">INDEX(GMWQ!$A$2:$NF$60,MATCH(1,(GMWQ!$NE$2:$NE$60=J$3)*(GMWQ!$ND$2:$ND$60=J$4)*(GMWQ!$NF$2:$NF$60=J$1),0),$E242-1966)</f>
        <v>940304.7</v>
      </c>
      <c r="K242" s="13" cm="1">
        <f t="array" ref="K242">INDEX(GMWQ!$A$2:$NF$60,MATCH(1,(GMWQ!$NE$2:$NE$60=K$3)*(GMWQ!$ND$2:$ND$60=K$4)*(GMWQ!$NF$2:$NF$60=K$1),0),$E242-1966)</f>
        <v>383983.9</v>
      </c>
      <c r="L242" s="13" cm="1">
        <f t="array" ref="L242">INDEX(GMWQ!$A$2:$NF$60,MATCH(1,(GMWQ!$NE$2:$NE$60=L$3)*(GMWQ!$ND$2:$ND$60=L$4)*(GMWQ!$NF$2:$NF$60=L$1),0),$E242-1966)</f>
        <v>609141.80000000005</v>
      </c>
      <c r="M242" s="13" cm="1">
        <f t="array" ref="M242">INDEX(GMWQ!$A$2:$NF$60,MATCH(1,(GMWQ!$NE$2:$NE$60=M$3)*(GMWQ!$ND$2:$ND$60=M$4)*(GMWQ!$NF$2:$NF$60=M$1),0),$E242-1966)</f>
        <v>473224</v>
      </c>
      <c r="N242" s="13" cm="1">
        <f t="array" ref="N242">INDEX(GMWQ!$A$2:$NF$60,MATCH(1,(GMWQ!$NE$2:$NE$60=N$3)*(GMWQ!$ND$2:$ND$60=N$4)*(GMWQ!$NF$2:$NF$60=N$1),0),$E242-1966)</f>
        <v>128.67529999999999</v>
      </c>
      <c r="O242" s="13" cm="1">
        <f t="array" ref="O242">INDEX(GMWQ!$A$2:$NF$60,MATCH(1,(GMWQ!$NE$2:$NE$60=O$3)*(GMWQ!$ND$2:$ND$60=O$4)*(GMWQ!$NF$2:$NF$60=O$1),0),$E242-1966)</f>
        <v>36144.61</v>
      </c>
      <c r="P242" s="13" cm="1">
        <f t="array" ref="P242">INDEX(GMWQ!$A$2:$NF$60,MATCH(1,(GMWQ!$NE$2:$NE$60=P$3)*(GMWQ!$ND$2:$ND$60=P$4)*(GMWQ!$NF$2:$NF$60=P$1),0),$E242-1966)</f>
        <v>35825.980000000003</v>
      </c>
      <c r="Q242" s="13" cm="1">
        <f t="array" ref="Q242">INDEX(GMWQ!$A$2:$NF$60,MATCH(1,(GMWQ!$NE$2:$NE$60=Q$3)*(GMWQ!$ND$2:$ND$60=Q$4)*(GMWQ!$NF$2:$NF$60=Q$1),0),$E242-1966)</f>
        <v>34492.589999999997</v>
      </c>
    </row>
    <row r="243" spans="1:17" x14ac:dyDescent="0.25">
      <c r="A243" s="13">
        <v>2032</v>
      </c>
      <c r="B243" s="13">
        <f t="shared" si="19"/>
        <v>2032</v>
      </c>
      <c r="C243" s="13">
        <f t="shared" si="19"/>
        <v>2031</v>
      </c>
      <c r="D243" s="13">
        <f t="shared" si="19"/>
        <v>2031</v>
      </c>
      <c r="E243" s="13">
        <f t="shared" si="20"/>
        <v>2209</v>
      </c>
      <c r="F243" s="13" cm="1">
        <f t="array" ref="F243">INDEX(GMWQ!$A$2:$NF$60,MATCH(1,(GMWQ!$NE$2:$NE$60=F$3)*(GMWQ!$ND$2:$ND$60=F$4)*(GMWQ!$NF$2:$NF$60=F$1),0),$E243-1966)</f>
        <v>179.32470000000001</v>
      </c>
      <c r="G243" s="13" cm="1">
        <f t="array" ref="G243">INDEX(GMWQ!$A$2:$NF$60,MATCH(1,(GMWQ!$NE$2:$NE$60=G$3)*(GMWQ!$ND$2:$ND$60=G$4)*(GMWQ!$NF$2:$NF$60=G$1),0),$E243-1966)</f>
        <v>61331.85</v>
      </c>
      <c r="H243" s="13" cm="1">
        <f t="array" ref="H243">INDEX(GMWQ!$A$2:$NF$60,MATCH(1,(GMWQ!$NE$2:$NE$60=H$3)*(GMWQ!$ND$2:$ND$60=H$4)*(GMWQ!$NF$2:$NF$60=H$1),0),$E243-1966)</f>
        <v>867.60879999999997</v>
      </c>
      <c r="I243" s="13" cm="1">
        <f t="array" ref="I243">INDEX(GMWQ!$A$2:$NF$60,MATCH(1,(GMWQ!$NE$2:$NE$60=I$3)*(GMWQ!$ND$2:$ND$60=I$4)*(GMWQ!$NF$2:$NF$60=I$1),0),$E243-1966)</f>
        <v>203235.20000000001</v>
      </c>
      <c r="J243" s="13" cm="1">
        <f t="array" ref="J243">INDEX(GMWQ!$A$2:$NF$60,MATCH(1,(GMWQ!$NE$2:$NE$60=J$3)*(GMWQ!$ND$2:$ND$60=J$4)*(GMWQ!$NF$2:$NF$60=J$1),0),$E243-1966)</f>
        <v>948998.8</v>
      </c>
      <c r="K243" s="13" cm="1">
        <f t="array" ref="K243">INDEX(GMWQ!$A$2:$NF$60,MATCH(1,(GMWQ!$NE$2:$NE$60=K$3)*(GMWQ!$ND$2:$ND$60=K$4)*(GMWQ!$NF$2:$NF$60=K$1),0),$E243-1966)</f>
        <v>387454.1</v>
      </c>
      <c r="L243" s="13" cm="1">
        <f t="array" ref="L243">INDEX(GMWQ!$A$2:$NF$60,MATCH(1,(GMWQ!$NE$2:$NE$60=L$3)*(GMWQ!$ND$2:$ND$60=L$4)*(GMWQ!$NF$2:$NF$60=L$1),0),$E243-1966)</f>
        <v>614400.69999999995</v>
      </c>
      <c r="M243" s="13" cm="1">
        <f t="array" ref="M243">INDEX(GMWQ!$A$2:$NF$60,MATCH(1,(GMWQ!$NE$2:$NE$60=M$3)*(GMWQ!$ND$2:$ND$60=M$4)*(GMWQ!$NF$2:$NF$60=M$1),0),$E243-1966)</f>
        <v>474954.2</v>
      </c>
      <c r="N243" s="13" cm="1">
        <f t="array" ref="N243">INDEX(GMWQ!$A$2:$NF$60,MATCH(1,(GMWQ!$NE$2:$NE$60=N$3)*(GMWQ!$ND$2:$ND$60=N$4)*(GMWQ!$NF$2:$NF$60=N$1),0),$E243-1966)</f>
        <v>129.31379999999999</v>
      </c>
      <c r="O243" s="13" cm="1">
        <f t="array" ref="O243">INDEX(GMWQ!$A$2:$NF$60,MATCH(1,(GMWQ!$NE$2:$NE$60=O$3)*(GMWQ!$ND$2:$ND$60=O$4)*(GMWQ!$NF$2:$NF$60=O$1),0),$E243-1966)</f>
        <v>36220.519999999997</v>
      </c>
      <c r="P243" s="13" cm="1">
        <f t="array" ref="P243">INDEX(GMWQ!$A$2:$NF$60,MATCH(1,(GMWQ!$NE$2:$NE$60=P$3)*(GMWQ!$ND$2:$ND$60=P$4)*(GMWQ!$NF$2:$NF$60=P$1),0),$E243-1966)</f>
        <v>35886.89</v>
      </c>
      <c r="Q243" s="13" cm="1">
        <f t="array" ref="Q243">INDEX(GMWQ!$A$2:$NF$60,MATCH(1,(GMWQ!$NE$2:$NE$60=Q$3)*(GMWQ!$ND$2:$ND$60=Q$4)*(GMWQ!$NF$2:$NF$60=Q$1),0),$E243-1966)</f>
        <v>34511.18</v>
      </c>
    </row>
    <row r="244" spans="1:17" x14ac:dyDescent="0.25">
      <c r="B244" s="13">
        <f t="shared" si="19"/>
        <v>2032</v>
      </c>
      <c r="C244" s="13">
        <f t="shared" si="19"/>
        <v>2032</v>
      </c>
      <c r="E244" s="13">
        <f t="shared" si="20"/>
        <v>2210</v>
      </c>
      <c r="F244" s="13" cm="1">
        <f t="array" ref="F244">INDEX(GMWQ!$A$2:$NF$60,MATCH(1,(GMWQ!$NE$2:$NE$60=F$3)*(GMWQ!$ND$2:$ND$60=F$4)*(GMWQ!$NF$2:$NF$60=F$1),0),$E244-1966)</f>
        <v>180.2313</v>
      </c>
      <c r="G244" s="13" cm="1">
        <f t="array" ref="G244">INDEX(GMWQ!$A$2:$NF$60,MATCH(1,(GMWQ!$NE$2:$NE$60=G$3)*(GMWQ!$ND$2:$ND$60=G$4)*(GMWQ!$NF$2:$NF$60=G$1),0),$E244-1966)</f>
        <v>61881.51</v>
      </c>
      <c r="H244" s="13" cm="1">
        <f t="array" ref="H244">INDEX(GMWQ!$A$2:$NF$60,MATCH(1,(GMWQ!$NE$2:$NE$60=H$3)*(GMWQ!$ND$2:$ND$60=H$4)*(GMWQ!$NF$2:$NF$60=H$1),0),$E244-1966)</f>
        <v>873.63239999999996</v>
      </c>
      <c r="I244" s="13" cm="1">
        <f t="array" ref="I244">INDEX(GMWQ!$A$2:$NF$60,MATCH(1,(GMWQ!$NE$2:$NE$60=I$3)*(GMWQ!$ND$2:$ND$60=I$4)*(GMWQ!$NF$2:$NF$60=I$1),0),$E244-1966)</f>
        <v>205228.1</v>
      </c>
      <c r="J244" s="13" cm="1">
        <f t="array" ref="J244">INDEX(GMWQ!$A$2:$NF$60,MATCH(1,(GMWQ!$NE$2:$NE$60=J$3)*(GMWQ!$ND$2:$ND$60=J$4)*(GMWQ!$NF$2:$NF$60=J$1),0),$E244-1966)</f>
        <v>957773.3</v>
      </c>
      <c r="K244" s="13" cm="1">
        <f t="array" ref="K244">INDEX(GMWQ!$A$2:$NF$60,MATCH(1,(GMWQ!$NE$2:$NE$60=K$3)*(GMWQ!$ND$2:$ND$60=K$4)*(GMWQ!$NF$2:$NF$60=K$1),0),$E244-1966)</f>
        <v>390926.5</v>
      </c>
      <c r="L244" s="13" cm="1">
        <f t="array" ref="L244">INDEX(GMWQ!$A$2:$NF$60,MATCH(1,(GMWQ!$NE$2:$NE$60=L$3)*(GMWQ!$ND$2:$ND$60=L$4)*(GMWQ!$NF$2:$NF$60=L$1),0),$E244-1966)</f>
        <v>620036.69999999995</v>
      </c>
      <c r="M244" s="13" cm="1">
        <f t="array" ref="M244">INDEX(GMWQ!$A$2:$NF$60,MATCH(1,(GMWQ!$NE$2:$NE$60=M$3)*(GMWQ!$ND$2:$ND$60=M$4)*(GMWQ!$NF$2:$NF$60=M$1),0),$E244-1966)</f>
        <v>476945.7</v>
      </c>
      <c r="N244" s="13" cm="1">
        <f t="array" ref="N244">INDEX(GMWQ!$A$2:$NF$60,MATCH(1,(GMWQ!$NE$2:$NE$60=N$3)*(GMWQ!$ND$2:$ND$60=N$4)*(GMWQ!$NF$2:$NF$60=N$1),0),$E244-1966)</f>
        <v>129.9555</v>
      </c>
      <c r="O244" s="13" cm="1">
        <f t="array" ref="O244">INDEX(GMWQ!$A$2:$NF$60,MATCH(1,(GMWQ!$NE$2:$NE$60=O$3)*(GMWQ!$ND$2:$ND$60=O$4)*(GMWQ!$NF$2:$NF$60=O$1),0),$E244-1966)</f>
        <v>36292.959999999999</v>
      </c>
      <c r="P244" s="13" cm="1">
        <f t="array" ref="P244">INDEX(GMWQ!$A$2:$NF$60,MATCH(1,(GMWQ!$NE$2:$NE$60=P$3)*(GMWQ!$ND$2:$ND$60=P$4)*(GMWQ!$NF$2:$NF$60=P$1),0),$E244-1966)</f>
        <v>35947.89</v>
      </c>
      <c r="Q244" s="13" cm="1">
        <f t="array" ref="Q244">INDEX(GMWQ!$A$2:$NF$60,MATCH(1,(GMWQ!$NE$2:$NE$60=Q$3)*(GMWQ!$ND$2:$ND$60=Q$4)*(GMWQ!$NF$2:$NF$60=Q$1),0),$E244-1966)</f>
        <v>34529.769999999997</v>
      </c>
    </row>
    <row r="245" spans="1:17" x14ac:dyDescent="0.25">
      <c r="B245" s="13">
        <f t="shared" si="19"/>
        <v>2032</v>
      </c>
      <c r="C245" s="13">
        <f t="shared" si="19"/>
        <v>2032</v>
      </c>
      <c r="E245" s="13">
        <f t="shared" si="20"/>
        <v>2211</v>
      </c>
      <c r="F245" s="13" cm="1">
        <f t="array" ref="F245">INDEX(GMWQ!$A$2:$NF$60,MATCH(1,(GMWQ!$NE$2:$NE$60=F$3)*(GMWQ!$ND$2:$ND$60=F$4)*(GMWQ!$NF$2:$NF$60=F$1),0),$E245-1966)</f>
        <v>181.1337</v>
      </c>
      <c r="G245" s="13" cm="1">
        <f t="array" ref="G245">INDEX(GMWQ!$A$2:$NF$60,MATCH(1,(GMWQ!$NE$2:$NE$60=G$3)*(GMWQ!$ND$2:$ND$60=G$4)*(GMWQ!$NF$2:$NF$60=G$1),0),$E245-1966)</f>
        <v>62439.19</v>
      </c>
      <c r="H245" s="13" cm="1">
        <f t="array" ref="H245">INDEX(GMWQ!$A$2:$NF$60,MATCH(1,(GMWQ!$NE$2:$NE$60=H$3)*(GMWQ!$ND$2:$ND$60=H$4)*(GMWQ!$NF$2:$NF$60=H$1),0),$E245-1966)</f>
        <v>879.74080000000004</v>
      </c>
      <c r="I245" s="13" cm="1">
        <f t="array" ref="I245">INDEX(GMWQ!$A$2:$NF$60,MATCH(1,(GMWQ!$NE$2:$NE$60=I$3)*(GMWQ!$ND$2:$ND$60=I$4)*(GMWQ!$NF$2:$NF$60=I$1),0),$E245-1966)</f>
        <v>207017.3</v>
      </c>
      <c r="J245" s="13" cm="1">
        <f t="array" ref="J245">INDEX(GMWQ!$A$2:$NF$60,MATCH(1,(GMWQ!$NE$2:$NE$60=J$3)*(GMWQ!$ND$2:$ND$60=J$4)*(GMWQ!$NF$2:$NF$60=J$1),0),$E245-1966)</f>
        <v>966724.7</v>
      </c>
      <c r="K245" s="13" cm="1">
        <f t="array" ref="K245">INDEX(GMWQ!$A$2:$NF$60,MATCH(1,(GMWQ!$NE$2:$NE$60=K$3)*(GMWQ!$ND$2:$ND$60=K$4)*(GMWQ!$NF$2:$NF$60=K$1),0),$E245-1966)</f>
        <v>394449.5</v>
      </c>
      <c r="L245" s="13" cm="1">
        <f t="array" ref="L245">INDEX(GMWQ!$A$2:$NF$60,MATCH(1,(GMWQ!$NE$2:$NE$60=L$3)*(GMWQ!$ND$2:$ND$60=L$4)*(GMWQ!$NF$2:$NF$60=L$1),0),$E245-1966)</f>
        <v>625362.9</v>
      </c>
      <c r="M245" s="13" cm="1">
        <f t="array" ref="M245">INDEX(GMWQ!$A$2:$NF$60,MATCH(1,(GMWQ!$NE$2:$NE$60=M$3)*(GMWQ!$ND$2:$ND$60=M$4)*(GMWQ!$NF$2:$NF$60=M$1),0),$E245-1966)</f>
        <v>478669.3</v>
      </c>
      <c r="N245" s="13" cm="1">
        <f t="array" ref="N245">INDEX(GMWQ!$A$2:$NF$60,MATCH(1,(GMWQ!$NE$2:$NE$60=N$3)*(GMWQ!$ND$2:$ND$60=N$4)*(GMWQ!$NF$2:$NF$60=N$1),0),$E245-1966)</f>
        <v>130.6003</v>
      </c>
      <c r="O245" s="13" cm="1">
        <f t="array" ref="O245">INDEX(GMWQ!$A$2:$NF$60,MATCH(1,(GMWQ!$NE$2:$NE$60=O$3)*(GMWQ!$ND$2:$ND$60=O$4)*(GMWQ!$NF$2:$NF$60=O$1),0),$E245-1966)</f>
        <v>36365.54</v>
      </c>
      <c r="P245" s="13" cm="1">
        <f t="array" ref="P245">INDEX(GMWQ!$A$2:$NF$60,MATCH(1,(GMWQ!$NE$2:$NE$60=P$3)*(GMWQ!$ND$2:$ND$60=P$4)*(GMWQ!$NF$2:$NF$60=P$1),0),$E245-1966)</f>
        <v>36001.82</v>
      </c>
      <c r="Q245" s="13" cm="1">
        <f t="array" ref="Q245">INDEX(GMWQ!$A$2:$NF$60,MATCH(1,(GMWQ!$NE$2:$NE$60=Q$3)*(GMWQ!$ND$2:$ND$60=Q$4)*(GMWQ!$NF$2:$NF$60=Q$1),0),$E245-1966)</f>
        <v>34548.36</v>
      </c>
    </row>
    <row r="246" spans="1:17" x14ac:dyDescent="0.25">
      <c r="B246" s="13">
        <f t="shared" si="19"/>
        <v>2032</v>
      </c>
      <c r="C246" s="13">
        <f t="shared" si="19"/>
        <v>2032</v>
      </c>
      <c r="E246" s="13">
        <f t="shared" si="20"/>
        <v>2212</v>
      </c>
      <c r="F246" s="13" cm="1">
        <f t="array" ref="F246">INDEX(GMWQ!$A$2:$NF$60,MATCH(1,(GMWQ!$NE$2:$NE$60=F$3)*(GMWQ!$ND$2:$ND$60=F$4)*(GMWQ!$NF$2:$NF$60=F$1),0),$E246-1966)</f>
        <v>182.03559999999999</v>
      </c>
      <c r="G246" s="13" cm="1">
        <f t="array" ref="G246">INDEX(GMWQ!$A$2:$NF$60,MATCH(1,(GMWQ!$NE$2:$NE$60=G$3)*(GMWQ!$ND$2:$ND$60=G$4)*(GMWQ!$NF$2:$NF$60=G$1),0),$E246-1966)</f>
        <v>62993.95</v>
      </c>
      <c r="H246" s="13" cm="1">
        <f t="array" ref="H246">INDEX(GMWQ!$A$2:$NF$60,MATCH(1,(GMWQ!$NE$2:$NE$60=H$3)*(GMWQ!$ND$2:$ND$60=H$4)*(GMWQ!$NF$2:$NF$60=H$1),0),$E246-1966)</f>
        <v>885.95860000000005</v>
      </c>
      <c r="I246" s="13" cm="1">
        <f t="array" ref="I246">INDEX(GMWQ!$A$2:$NF$60,MATCH(1,(GMWQ!$NE$2:$NE$60=I$3)*(GMWQ!$ND$2:$ND$60=I$4)*(GMWQ!$NF$2:$NF$60=I$1),0),$E246-1966)</f>
        <v>208894.9</v>
      </c>
      <c r="J246" s="13" cm="1">
        <f t="array" ref="J246">INDEX(GMWQ!$A$2:$NF$60,MATCH(1,(GMWQ!$NE$2:$NE$60=J$3)*(GMWQ!$ND$2:$ND$60=J$4)*(GMWQ!$NF$2:$NF$60=J$1),0),$E246-1966)</f>
        <v>975662.8</v>
      </c>
      <c r="K246" s="13" cm="1">
        <f t="array" ref="K246">INDEX(GMWQ!$A$2:$NF$60,MATCH(1,(GMWQ!$NE$2:$NE$60=K$3)*(GMWQ!$ND$2:$ND$60=K$4)*(GMWQ!$NF$2:$NF$60=K$1),0),$E246-1966)</f>
        <v>397954.1</v>
      </c>
      <c r="L246" s="13" cm="1">
        <f t="array" ref="L246">INDEX(GMWQ!$A$2:$NF$60,MATCH(1,(GMWQ!$NE$2:$NE$60=L$3)*(GMWQ!$ND$2:$ND$60=L$4)*(GMWQ!$NF$2:$NF$60=L$1),0),$E246-1966)</f>
        <v>630674.1</v>
      </c>
      <c r="M246" s="13" cm="1">
        <f t="array" ref="M246">INDEX(GMWQ!$A$2:$NF$60,MATCH(1,(GMWQ!$NE$2:$NE$60=M$3)*(GMWQ!$ND$2:$ND$60=M$4)*(GMWQ!$NF$2:$NF$60=M$1),0),$E246-1966)</f>
        <v>480352.6</v>
      </c>
      <c r="N246" s="13" cm="1">
        <f t="array" ref="N246">INDEX(GMWQ!$A$2:$NF$60,MATCH(1,(GMWQ!$NE$2:$NE$60=N$3)*(GMWQ!$ND$2:$ND$60=N$4)*(GMWQ!$NF$2:$NF$60=N$1),0),$E246-1966)</f>
        <v>131.2483</v>
      </c>
      <c r="O246" s="13" cm="1">
        <f t="array" ref="O246">INDEX(GMWQ!$A$2:$NF$60,MATCH(1,(GMWQ!$NE$2:$NE$60=O$3)*(GMWQ!$ND$2:$ND$60=O$4)*(GMWQ!$NF$2:$NF$60=O$1),0),$E246-1966)</f>
        <v>36431</v>
      </c>
      <c r="P246" s="13" cm="1">
        <f t="array" ref="P246">INDEX(GMWQ!$A$2:$NF$60,MATCH(1,(GMWQ!$NE$2:$NE$60=P$3)*(GMWQ!$ND$2:$ND$60=P$4)*(GMWQ!$NF$2:$NF$60=P$1),0),$E246-1966)</f>
        <v>36052.22</v>
      </c>
      <c r="Q246" s="13" cm="1">
        <f t="array" ref="Q246">INDEX(GMWQ!$A$2:$NF$60,MATCH(1,(GMWQ!$NE$2:$NE$60=Q$3)*(GMWQ!$ND$2:$ND$60=Q$4)*(GMWQ!$NF$2:$NF$60=Q$1),0),$E246-1966)</f>
        <v>34566.949999999997</v>
      </c>
    </row>
    <row r="247" spans="1:17" x14ac:dyDescent="0.25">
      <c r="A247" s="13">
        <v>2033</v>
      </c>
      <c r="B247" s="13">
        <f t="shared" si="19"/>
        <v>2033</v>
      </c>
      <c r="C247" s="13">
        <f t="shared" si="19"/>
        <v>2032</v>
      </c>
      <c r="D247" s="13">
        <f t="shared" si="19"/>
        <v>2032</v>
      </c>
      <c r="E247" s="13">
        <f t="shared" si="20"/>
        <v>2213</v>
      </c>
      <c r="F247" s="13" cm="1">
        <f t="array" ref="F247">INDEX(GMWQ!$A$2:$NF$60,MATCH(1,(GMWQ!$NE$2:$NE$60=F$3)*(GMWQ!$ND$2:$ND$60=F$4)*(GMWQ!$NF$2:$NF$60=F$1),0),$E247-1966)</f>
        <v>182.94290000000001</v>
      </c>
      <c r="G247" s="13" cm="1">
        <f t="array" ref="G247">INDEX(GMWQ!$A$2:$NF$60,MATCH(1,(GMWQ!$NE$2:$NE$60=G$3)*(GMWQ!$ND$2:$ND$60=G$4)*(GMWQ!$NF$2:$NF$60=G$1),0),$E247-1966)</f>
        <v>63564.39</v>
      </c>
      <c r="H247" s="13" cm="1">
        <f t="array" ref="H247">INDEX(GMWQ!$A$2:$NF$60,MATCH(1,(GMWQ!$NE$2:$NE$60=H$3)*(GMWQ!$ND$2:$ND$60=H$4)*(GMWQ!$NF$2:$NF$60=H$1),0),$E247-1966)</f>
        <v>892.30970000000002</v>
      </c>
      <c r="I247" s="13" cm="1">
        <f t="array" ref="I247">INDEX(GMWQ!$A$2:$NF$60,MATCH(1,(GMWQ!$NE$2:$NE$60=I$3)*(GMWQ!$ND$2:$ND$60=I$4)*(GMWQ!$NF$2:$NF$60=I$1),0),$E247-1966)</f>
        <v>210877.4</v>
      </c>
      <c r="J247" s="13" cm="1">
        <f t="array" ref="J247">INDEX(GMWQ!$A$2:$NF$60,MATCH(1,(GMWQ!$NE$2:$NE$60=J$3)*(GMWQ!$ND$2:$ND$60=J$4)*(GMWQ!$NF$2:$NF$60=J$1),0),$E247-1966)</f>
        <v>984848.1</v>
      </c>
      <c r="K247" s="13" cm="1">
        <f t="array" ref="K247">INDEX(GMWQ!$A$2:$NF$60,MATCH(1,(GMWQ!$NE$2:$NE$60=K$3)*(GMWQ!$ND$2:$ND$60=K$4)*(GMWQ!$NF$2:$NF$60=K$1),0),$E247-1966)</f>
        <v>401557.8</v>
      </c>
      <c r="L247" s="13" cm="1">
        <f t="array" ref="L247">INDEX(GMWQ!$A$2:$NF$60,MATCH(1,(GMWQ!$NE$2:$NE$60=L$3)*(GMWQ!$ND$2:$ND$60=L$4)*(GMWQ!$NF$2:$NF$60=L$1),0),$E247-1966)</f>
        <v>636182.1</v>
      </c>
      <c r="M247" s="13" cm="1">
        <f t="array" ref="M247">INDEX(GMWQ!$A$2:$NF$60,MATCH(1,(GMWQ!$NE$2:$NE$60=M$3)*(GMWQ!$ND$2:$ND$60=M$4)*(GMWQ!$NF$2:$NF$60=M$1),0),$E247-1966)</f>
        <v>482156.79999999999</v>
      </c>
      <c r="N247" s="13" cm="1">
        <f t="array" ref="N247">INDEX(GMWQ!$A$2:$NF$60,MATCH(1,(GMWQ!$NE$2:$NE$60=N$3)*(GMWQ!$ND$2:$ND$60=N$4)*(GMWQ!$NF$2:$NF$60=N$1),0),$E247-1966)</f>
        <v>131.89959999999999</v>
      </c>
      <c r="O247" s="13" cm="1">
        <f t="array" ref="O247">INDEX(GMWQ!$A$2:$NF$60,MATCH(1,(GMWQ!$NE$2:$NE$60=O$3)*(GMWQ!$ND$2:$ND$60=O$4)*(GMWQ!$NF$2:$NF$60=O$1),0),$E247-1966)</f>
        <v>36499.050000000003</v>
      </c>
      <c r="P247" s="13" cm="1">
        <f t="array" ref="P247">INDEX(GMWQ!$A$2:$NF$60,MATCH(1,(GMWQ!$NE$2:$NE$60=P$3)*(GMWQ!$ND$2:$ND$60=P$4)*(GMWQ!$NF$2:$NF$60=P$1),0),$E247-1966)</f>
        <v>36104.19</v>
      </c>
      <c r="Q247" s="13" cm="1">
        <f t="array" ref="Q247">INDEX(GMWQ!$A$2:$NF$60,MATCH(1,(GMWQ!$NE$2:$NE$60=Q$3)*(GMWQ!$ND$2:$ND$60=Q$4)*(GMWQ!$NF$2:$NF$60=Q$1),0),$E247-1966)</f>
        <v>34585.54</v>
      </c>
    </row>
    <row r="248" spans="1:17" x14ac:dyDescent="0.25">
      <c r="B248" s="13">
        <f t="shared" si="19"/>
        <v>2033</v>
      </c>
      <c r="C248" s="13">
        <f t="shared" si="19"/>
        <v>2033</v>
      </c>
      <c r="E248" s="13">
        <f t="shared" si="20"/>
        <v>2214</v>
      </c>
      <c r="F248" s="13" cm="1">
        <f t="array" ref="F248">INDEX(GMWQ!$A$2:$NF$60,MATCH(1,(GMWQ!$NE$2:$NE$60=F$3)*(GMWQ!$ND$2:$ND$60=F$4)*(GMWQ!$NF$2:$NF$60=F$1),0),$E248-1966)</f>
        <v>183.8545</v>
      </c>
      <c r="G248" s="13" cm="1">
        <f t="array" ref="G248">INDEX(GMWQ!$A$2:$NF$60,MATCH(1,(GMWQ!$NE$2:$NE$60=G$3)*(GMWQ!$ND$2:$ND$60=G$4)*(GMWQ!$NF$2:$NF$60=G$1),0),$E248-1966)</f>
        <v>64136.959999999999</v>
      </c>
      <c r="H248" s="13" cm="1">
        <f t="array" ref="H248">INDEX(GMWQ!$A$2:$NF$60,MATCH(1,(GMWQ!$NE$2:$NE$60=H$3)*(GMWQ!$ND$2:$ND$60=H$4)*(GMWQ!$NF$2:$NF$60=H$1),0),$E248-1966)</f>
        <v>898.79629999999997</v>
      </c>
      <c r="I248" s="13" cm="1">
        <f t="array" ref="I248">INDEX(GMWQ!$A$2:$NF$60,MATCH(1,(GMWQ!$NE$2:$NE$60=I$3)*(GMWQ!$ND$2:$ND$60=I$4)*(GMWQ!$NF$2:$NF$60=I$1),0),$E248-1966)</f>
        <v>212980.8</v>
      </c>
      <c r="J248" s="13" cm="1">
        <f t="array" ref="J248">INDEX(GMWQ!$A$2:$NF$60,MATCH(1,(GMWQ!$NE$2:$NE$60=J$3)*(GMWQ!$ND$2:$ND$60=J$4)*(GMWQ!$NF$2:$NF$60=J$1),0),$E248-1966)</f>
        <v>994074.5</v>
      </c>
      <c r="K248" s="13" cm="1">
        <f t="array" ref="K248">INDEX(GMWQ!$A$2:$NF$60,MATCH(1,(GMWQ!$NE$2:$NE$60=K$3)*(GMWQ!$ND$2:$ND$60=K$4)*(GMWQ!$NF$2:$NF$60=K$1),0),$E248-1966)</f>
        <v>405174.9</v>
      </c>
      <c r="L248" s="13" cm="1">
        <f t="array" ref="L248">INDEX(GMWQ!$A$2:$NF$60,MATCH(1,(GMWQ!$NE$2:$NE$60=L$3)*(GMWQ!$ND$2:$ND$60=L$4)*(GMWQ!$NF$2:$NF$60=L$1),0),$E248-1966)</f>
        <v>642051.80000000005</v>
      </c>
      <c r="M248" s="13" cm="1">
        <f t="array" ref="M248">INDEX(GMWQ!$A$2:$NF$60,MATCH(1,(GMWQ!$NE$2:$NE$60=M$3)*(GMWQ!$ND$2:$ND$60=M$4)*(GMWQ!$NF$2:$NF$60=M$1),0),$E248-1966)</f>
        <v>484204.2</v>
      </c>
      <c r="N248" s="13" cm="1">
        <f t="array" ref="N248">INDEX(GMWQ!$A$2:$NF$60,MATCH(1,(GMWQ!$NE$2:$NE$60=N$3)*(GMWQ!$ND$2:$ND$60=N$4)*(GMWQ!$NF$2:$NF$60=N$1),0),$E248-1966)</f>
        <v>132.55410000000001</v>
      </c>
      <c r="O248" s="13" cm="1">
        <f t="array" ref="O248">INDEX(GMWQ!$A$2:$NF$60,MATCH(1,(GMWQ!$NE$2:$NE$60=O$3)*(GMWQ!$ND$2:$ND$60=O$4)*(GMWQ!$NF$2:$NF$60=O$1),0),$E248-1966)</f>
        <v>36561.89</v>
      </c>
      <c r="P248" s="13" cm="1">
        <f t="array" ref="P248">INDEX(GMWQ!$A$2:$NF$60,MATCH(1,(GMWQ!$NE$2:$NE$60=P$3)*(GMWQ!$ND$2:$ND$60=P$4)*(GMWQ!$NF$2:$NF$60=P$1),0),$E248-1966)</f>
        <v>36150.82</v>
      </c>
      <c r="Q248" s="13" cm="1">
        <f t="array" ref="Q248">INDEX(GMWQ!$A$2:$NF$60,MATCH(1,(GMWQ!$NE$2:$NE$60=Q$3)*(GMWQ!$ND$2:$ND$60=Q$4)*(GMWQ!$NF$2:$NF$60=Q$1),0),$E248-1966)</f>
        <v>34604.129999999997</v>
      </c>
    </row>
    <row r="249" spans="1:17" x14ac:dyDescent="0.25">
      <c r="B249" s="13">
        <f t="shared" si="19"/>
        <v>2033</v>
      </c>
      <c r="C249" s="13">
        <f t="shared" si="19"/>
        <v>2033</v>
      </c>
      <c r="E249" s="13">
        <f t="shared" si="20"/>
        <v>2215</v>
      </c>
      <c r="F249" s="13" cm="1">
        <f t="array" ref="F249">INDEX(GMWQ!$A$2:$NF$60,MATCH(1,(GMWQ!$NE$2:$NE$60=F$3)*(GMWQ!$ND$2:$ND$60=F$4)*(GMWQ!$NF$2:$NF$60=F$1),0),$E249-1966)</f>
        <v>184.78450000000001</v>
      </c>
      <c r="G249" s="13" cm="1">
        <f t="array" ref="G249">INDEX(GMWQ!$A$2:$NF$60,MATCH(1,(GMWQ!$NE$2:$NE$60=G$3)*(GMWQ!$ND$2:$ND$60=G$4)*(GMWQ!$NF$2:$NF$60=G$1),0),$E249-1966)</f>
        <v>64714.03</v>
      </c>
      <c r="H249" s="13" cm="1">
        <f t="array" ref="H249">INDEX(GMWQ!$A$2:$NF$60,MATCH(1,(GMWQ!$NE$2:$NE$60=H$3)*(GMWQ!$ND$2:$ND$60=H$4)*(GMWQ!$NF$2:$NF$60=H$1),0),$E249-1966)</f>
        <v>905.39729999999997</v>
      </c>
      <c r="I249" s="13" cm="1">
        <f t="array" ref="I249">INDEX(GMWQ!$A$2:$NF$60,MATCH(1,(GMWQ!$NE$2:$NE$60=I$3)*(GMWQ!$ND$2:$ND$60=I$4)*(GMWQ!$NF$2:$NF$60=I$1),0),$E249-1966)</f>
        <v>214863.6</v>
      </c>
      <c r="J249" s="13" cm="1">
        <f t="array" ref="J249">INDEX(GMWQ!$A$2:$NF$60,MATCH(1,(GMWQ!$NE$2:$NE$60=J$3)*(GMWQ!$ND$2:$ND$60=J$4)*(GMWQ!$NF$2:$NF$60=J$1),0),$E249-1966)</f>
        <v>1003302</v>
      </c>
      <c r="K249" s="13" cm="1">
        <f t="array" ref="K249">INDEX(GMWQ!$A$2:$NF$60,MATCH(1,(GMWQ!$NE$2:$NE$60=K$3)*(GMWQ!$ND$2:$ND$60=K$4)*(GMWQ!$NF$2:$NF$60=K$1),0),$E249-1966)</f>
        <v>408820.5</v>
      </c>
      <c r="L249" s="13" cm="1">
        <f t="array" ref="L249">INDEX(GMWQ!$A$2:$NF$60,MATCH(1,(GMWQ!$NE$2:$NE$60=L$3)*(GMWQ!$ND$2:$ND$60=L$4)*(GMWQ!$NF$2:$NF$60=L$1),0),$E249-1966)</f>
        <v>647586.80000000005</v>
      </c>
      <c r="M249" s="13" cm="1">
        <f t="array" ref="M249">INDEX(GMWQ!$A$2:$NF$60,MATCH(1,(GMWQ!$NE$2:$NE$60=M$3)*(GMWQ!$ND$2:$ND$60=M$4)*(GMWQ!$NF$2:$NF$60=M$1),0),$E249-1966)</f>
        <v>485968.5</v>
      </c>
      <c r="N249" s="13" cm="1">
        <f t="array" ref="N249">INDEX(GMWQ!$A$2:$NF$60,MATCH(1,(GMWQ!$NE$2:$NE$60=N$3)*(GMWQ!$ND$2:$ND$60=N$4)*(GMWQ!$NF$2:$NF$60=N$1),0),$E249-1966)</f>
        <v>133.21180000000001</v>
      </c>
      <c r="O249" s="13" cm="1">
        <f t="array" ref="O249">INDEX(GMWQ!$A$2:$NF$60,MATCH(1,(GMWQ!$NE$2:$NE$60=O$3)*(GMWQ!$ND$2:$ND$60=O$4)*(GMWQ!$NF$2:$NF$60=O$1),0),$E249-1966)</f>
        <v>36621.75</v>
      </c>
      <c r="P249" s="13" cm="1">
        <f t="array" ref="P249">INDEX(GMWQ!$A$2:$NF$60,MATCH(1,(GMWQ!$NE$2:$NE$60=P$3)*(GMWQ!$ND$2:$ND$60=P$4)*(GMWQ!$NF$2:$NF$60=P$1),0),$E249-1966)</f>
        <v>36195.47</v>
      </c>
      <c r="Q249" s="13" cm="1">
        <f t="array" ref="Q249">INDEX(GMWQ!$A$2:$NF$60,MATCH(1,(GMWQ!$NE$2:$NE$60=Q$3)*(GMWQ!$ND$2:$ND$60=Q$4)*(GMWQ!$NF$2:$NF$60=Q$1),0),$E249-1966)</f>
        <v>34622.720000000001</v>
      </c>
    </row>
    <row r="250" spans="1:17" x14ac:dyDescent="0.25">
      <c r="B250" s="13">
        <f t="shared" si="19"/>
        <v>2033</v>
      </c>
      <c r="C250" s="13">
        <f t="shared" si="19"/>
        <v>2033</v>
      </c>
      <c r="E250" s="13">
        <f t="shared" si="20"/>
        <v>2216</v>
      </c>
      <c r="F250" s="13" cm="1">
        <f t="array" ref="F250">INDEX(GMWQ!$A$2:$NF$60,MATCH(1,(GMWQ!$NE$2:$NE$60=F$3)*(GMWQ!$ND$2:$ND$60=F$4)*(GMWQ!$NF$2:$NF$60=F$1),0),$E250-1966)</f>
        <v>185.7124</v>
      </c>
      <c r="G250" s="13" cm="1">
        <f t="array" ref="G250">INDEX(GMWQ!$A$2:$NF$60,MATCH(1,(GMWQ!$NE$2:$NE$60=G$3)*(GMWQ!$ND$2:$ND$60=G$4)*(GMWQ!$NF$2:$NF$60=G$1),0),$E250-1966)</f>
        <v>65288.01</v>
      </c>
      <c r="H250" s="13" cm="1">
        <f t="array" ref="H250">INDEX(GMWQ!$A$2:$NF$60,MATCH(1,(GMWQ!$NE$2:$NE$60=H$3)*(GMWQ!$ND$2:$ND$60=H$4)*(GMWQ!$NF$2:$NF$60=H$1),0),$E250-1966)</f>
        <v>912.10519999999997</v>
      </c>
      <c r="I250" s="13" cm="1">
        <f t="array" ref="I250">INDEX(GMWQ!$A$2:$NF$60,MATCH(1,(GMWQ!$NE$2:$NE$60=I$3)*(GMWQ!$ND$2:$ND$60=I$4)*(GMWQ!$NF$2:$NF$60=I$1),0),$E250-1966)</f>
        <v>216798.8</v>
      </c>
      <c r="J250" s="13" cm="1">
        <f t="array" ref="J250">INDEX(GMWQ!$A$2:$NF$60,MATCH(1,(GMWQ!$NE$2:$NE$60=J$3)*(GMWQ!$ND$2:$ND$60=J$4)*(GMWQ!$NF$2:$NF$60=J$1),0),$E250-1966)</f>
        <v>1012523</v>
      </c>
      <c r="K250" s="13" cm="1">
        <f t="array" ref="K250">INDEX(GMWQ!$A$2:$NF$60,MATCH(1,(GMWQ!$NE$2:$NE$60=K$3)*(GMWQ!$ND$2:$ND$60=K$4)*(GMWQ!$NF$2:$NF$60=K$1),0),$E250-1966)</f>
        <v>412446.5</v>
      </c>
      <c r="L250" s="13" cm="1">
        <f t="array" ref="L250">INDEX(GMWQ!$A$2:$NF$60,MATCH(1,(GMWQ!$NE$2:$NE$60=L$3)*(GMWQ!$ND$2:$ND$60=L$4)*(GMWQ!$NF$2:$NF$60=L$1),0),$E250-1966)</f>
        <v>653093.19999999995</v>
      </c>
      <c r="M250" s="13" cm="1">
        <f t="array" ref="M250">INDEX(GMWQ!$A$2:$NF$60,MATCH(1,(GMWQ!$NE$2:$NE$60=M$3)*(GMWQ!$ND$2:$ND$60=M$4)*(GMWQ!$NF$2:$NF$60=M$1),0),$E250-1966)</f>
        <v>487682.2</v>
      </c>
      <c r="N250" s="13" cm="1">
        <f t="array" ref="N250">INDEX(GMWQ!$A$2:$NF$60,MATCH(1,(GMWQ!$NE$2:$NE$60=N$3)*(GMWQ!$ND$2:$ND$60=N$4)*(GMWQ!$NF$2:$NF$60=N$1),0),$E250-1966)</f>
        <v>133.87280000000001</v>
      </c>
      <c r="O250" s="13" cm="1">
        <f t="array" ref="O250">INDEX(GMWQ!$A$2:$NF$60,MATCH(1,(GMWQ!$NE$2:$NE$60=O$3)*(GMWQ!$ND$2:$ND$60=O$4)*(GMWQ!$NF$2:$NF$60=O$1),0),$E250-1966)</f>
        <v>36674.67</v>
      </c>
      <c r="P250" s="13" cm="1">
        <f t="array" ref="P250">INDEX(GMWQ!$A$2:$NF$60,MATCH(1,(GMWQ!$NE$2:$NE$60=P$3)*(GMWQ!$ND$2:$ND$60=P$4)*(GMWQ!$NF$2:$NF$60=P$1),0),$E250-1966)</f>
        <v>36238.769999999997</v>
      </c>
      <c r="Q250" s="13" cm="1">
        <f t="array" ref="Q250">INDEX(GMWQ!$A$2:$NF$60,MATCH(1,(GMWQ!$NE$2:$NE$60=Q$3)*(GMWQ!$ND$2:$ND$60=Q$4)*(GMWQ!$NF$2:$NF$60=Q$1),0),$E250-1966)</f>
        <v>34641.31</v>
      </c>
    </row>
    <row r="251" spans="1:17" x14ac:dyDescent="0.25">
      <c r="A251" s="13">
        <v>2034</v>
      </c>
      <c r="B251" s="13">
        <f t="shared" si="19"/>
        <v>2034</v>
      </c>
      <c r="C251" s="13">
        <f t="shared" si="19"/>
        <v>2033</v>
      </c>
      <c r="D251" s="13">
        <f t="shared" si="19"/>
        <v>2033</v>
      </c>
      <c r="E251" s="13">
        <f t="shared" si="20"/>
        <v>2217</v>
      </c>
      <c r="F251" s="13" cm="1">
        <f t="array" ref="F251">INDEX(GMWQ!$A$2:$NF$60,MATCH(1,(GMWQ!$NE$2:$NE$60=F$3)*(GMWQ!$ND$2:$ND$60=F$4)*(GMWQ!$NF$2:$NF$60=F$1),0),$E251-1966)</f>
        <v>186.6455</v>
      </c>
      <c r="G251" s="13" cm="1">
        <f t="array" ref="G251">INDEX(GMWQ!$A$2:$NF$60,MATCH(1,(GMWQ!$NE$2:$NE$60=G$3)*(GMWQ!$ND$2:$ND$60=G$4)*(GMWQ!$NF$2:$NF$60=G$1),0),$E251-1966)</f>
        <v>65876.800000000003</v>
      </c>
      <c r="H251" s="13" cm="1">
        <f t="array" ref="H251">INDEX(GMWQ!$A$2:$NF$60,MATCH(1,(GMWQ!$NE$2:$NE$60=H$3)*(GMWQ!$ND$2:$ND$60=H$4)*(GMWQ!$NF$2:$NF$60=H$1),0),$E251-1966)</f>
        <v>918.90840000000003</v>
      </c>
      <c r="I251" s="13" cm="1">
        <f t="array" ref="I251">INDEX(GMWQ!$A$2:$NF$60,MATCH(1,(GMWQ!$NE$2:$NE$60=I$3)*(GMWQ!$ND$2:$ND$60=I$4)*(GMWQ!$NF$2:$NF$60=I$1),0),$E251-1966)</f>
        <v>218844.3</v>
      </c>
      <c r="J251" s="13" cm="1">
        <f t="array" ref="J251">INDEX(GMWQ!$A$2:$NF$60,MATCH(1,(GMWQ!$NE$2:$NE$60=J$3)*(GMWQ!$ND$2:$ND$60=J$4)*(GMWQ!$NF$2:$NF$60=J$1),0),$E251-1966)</f>
        <v>1021980</v>
      </c>
      <c r="K251" s="13" cm="1">
        <f t="array" ref="K251">INDEX(GMWQ!$A$2:$NF$60,MATCH(1,(GMWQ!$NE$2:$NE$60=K$3)*(GMWQ!$ND$2:$ND$60=K$4)*(GMWQ!$NF$2:$NF$60=K$1),0),$E251-1966)</f>
        <v>416166.1</v>
      </c>
      <c r="L251" s="13" cm="1">
        <f t="array" ref="L251">INDEX(GMWQ!$A$2:$NF$60,MATCH(1,(GMWQ!$NE$2:$NE$60=L$3)*(GMWQ!$ND$2:$ND$60=L$4)*(GMWQ!$NF$2:$NF$60=L$1),0),$E251-1966)</f>
        <v>658786.80000000005</v>
      </c>
      <c r="M251" s="13" cm="1">
        <f t="array" ref="M251">INDEX(GMWQ!$A$2:$NF$60,MATCH(1,(GMWQ!$NE$2:$NE$60=M$3)*(GMWQ!$ND$2:$ND$60=M$4)*(GMWQ!$NF$2:$NF$60=M$1),0),$E251-1966)</f>
        <v>489506.3</v>
      </c>
      <c r="N251" s="13" cm="1">
        <f t="array" ref="N251">INDEX(GMWQ!$A$2:$NF$60,MATCH(1,(GMWQ!$NE$2:$NE$60=N$3)*(GMWQ!$ND$2:$ND$60=N$4)*(GMWQ!$NF$2:$NF$60=N$1),0),$E251-1966)</f>
        <v>134.53710000000001</v>
      </c>
      <c r="O251" s="13" cm="1">
        <f t="array" ref="O251">INDEX(GMWQ!$A$2:$NF$60,MATCH(1,(GMWQ!$NE$2:$NE$60=O$3)*(GMWQ!$ND$2:$ND$60=O$4)*(GMWQ!$NF$2:$NF$60=O$1),0),$E251-1966)</f>
        <v>36731.25</v>
      </c>
      <c r="P251" s="13" cm="1">
        <f t="array" ref="P251">INDEX(GMWQ!$A$2:$NF$60,MATCH(1,(GMWQ!$NE$2:$NE$60=P$3)*(GMWQ!$ND$2:$ND$60=P$4)*(GMWQ!$NF$2:$NF$60=P$1),0),$E251-1966)</f>
        <v>36282.35</v>
      </c>
      <c r="Q251" s="13" cm="1">
        <f t="array" ref="Q251">INDEX(GMWQ!$A$2:$NF$60,MATCH(1,(GMWQ!$NE$2:$NE$60=Q$3)*(GMWQ!$ND$2:$ND$60=Q$4)*(GMWQ!$NF$2:$NF$60=Q$1),0),$E251-1966)</f>
        <v>34659.9</v>
      </c>
    </row>
    <row r="252" spans="1:17" x14ac:dyDescent="0.25">
      <c r="B252" s="13">
        <f t="shared" ref="B252:D267" si="21">+B248+1</f>
        <v>2034</v>
      </c>
      <c r="C252" s="13">
        <f t="shared" si="21"/>
        <v>2034</v>
      </c>
      <c r="E252" s="13">
        <f t="shared" si="20"/>
        <v>2218</v>
      </c>
      <c r="F252" s="13" cm="1">
        <f t="array" ref="F252">INDEX(GMWQ!$A$2:$NF$60,MATCH(1,(GMWQ!$NE$2:$NE$60=F$3)*(GMWQ!$ND$2:$ND$60=F$4)*(GMWQ!$NF$2:$NF$60=F$1),0),$E252-1966)</f>
        <v>187.58250000000001</v>
      </c>
      <c r="G252" s="13" cm="1">
        <f t="array" ref="G252">INDEX(GMWQ!$A$2:$NF$60,MATCH(1,(GMWQ!$NE$2:$NE$60=G$3)*(GMWQ!$ND$2:$ND$60=G$4)*(GMWQ!$NF$2:$NF$60=G$1),0),$E252-1966)</f>
        <v>66459.89</v>
      </c>
      <c r="H252" s="13" cm="1">
        <f t="array" ref="H252">INDEX(GMWQ!$A$2:$NF$60,MATCH(1,(GMWQ!$NE$2:$NE$60=H$3)*(GMWQ!$ND$2:$ND$60=H$4)*(GMWQ!$NF$2:$NF$60=H$1),0),$E252-1966)</f>
        <v>925.80899999999997</v>
      </c>
      <c r="I252" s="13" cm="1">
        <f t="array" ref="I252">INDEX(GMWQ!$A$2:$NF$60,MATCH(1,(GMWQ!$NE$2:$NE$60=I$3)*(GMWQ!$ND$2:$ND$60=I$4)*(GMWQ!$NF$2:$NF$60=I$1),0),$E252-1966)</f>
        <v>221010.7</v>
      </c>
      <c r="J252" s="13" cm="1">
        <f t="array" ref="J252">INDEX(GMWQ!$A$2:$NF$60,MATCH(1,(GMWQ!$NE$2:$NE$60=J$3)*(GMWQ!$ND$2:$ND$60=J$4)*(GMWQ!$NF$2:$NF$60=J$1),0),$E252-1966)</f>
        <v>1031356</v>
      </c>
      <c r="K252" s="13" cm="1">
        <f t="array" ref="K252">INDEX(GMWQ!$A$2:$NF$60,MATCH(1,(GMWQ!$NE$2:$NE$60=K$3)*(GMWQ!$ND$2:$ND$60=K$4)*(GMWQ!$NF$2:$NF$60=K$1),0),$E252-1966)</f>
        <v>419849.7</v>
      </c>
      <c r="L252" s="13" cm="1">
        <f t="array" ref="L252">INDEX(GMWQ!$A$2:$NF$60,MATCH(1,(GMWQ!$NE$2:$NE$60=L$3)*(GMWQ!$ND$2:$ND$60=L$4)*(GMWQ!$NF$2:$NF$60=L$1),0),$E252-1966)</f>
        <v>664788.4</v>
      </c>
      <c r="M252" s="13" cm="1">
        <f t="array" ref="M252">INDEX(GMWQ!$A$2:$NF$60,MATCH(1,(GMWQ!$NE$2:$NE$60=M$3)*(GMWQ!$ND$2:$ND$60=M$4)*(GMWQ!$NF$2:$NF$60=M$1),0),$E252-1966)</f>
        <v>491528.1</v>
      </c>
      <c r="N252" s="13" cm="1">
        <f t="array" ref="N252">INDEX(GMWQ!$A$2:$NF$60,MATCH(1,(GMWQ!$NE$2:$NE$60=N$3)*(GMWQ!$ND$2:$ND$60=N$4)*(GMWQ!$NF$2:$NF$60=N$1),0),$E252-1966)</f>
        <v>135.2047</v>
      </c>
      <c r="O252" s="13" cm="1">
        <f t="array" ref="O252">INDEX(GMWQ!$A$2:$NF$60,MATCH(1,(GMWQ!$NE$2:$NE$60=O$3)*(GMWQ!$ND$2:$ND$60=O$4)*(GMWQ!$NF$2:$NF$60=O$1),0),$E252-1966)</f>
        <v>36780.1</v>
      </c>
      <c r="P252" s="13" cm="1">
        <f t="array" ref="P252">INDEX(GMWQ!$A$2:$NF$60,MATCH(1,(GMWQ!$NE$2:$NE$60=P$3)*(GMWQ!$ND$2:$ND$60=P$4)*(GMWQ!$NF$2:$NF$60=P$1),0),$E252-1966)</f>
        <v>36326.379999999997</v>
      </c>
      <c r="Q252" s="13" cm="1">
        <f t="array" ref="Q252">INDEX(GMWQ!$A$2:$NF$60,MATCH(1,(GMWQ!$NE$2:$NE$60=Q$3)*(GMWQ!$ND$2:$ND$60=Q$4)*(GMWQ!$NF$2:$NF$60=Q$1),0),$E252-1966)</f>
        <v>34678.5</v>
      </c>
    </row>
    <row r="253" spans="1:17" x14ac:dyDescent="0.25">
      <c r="B253" s="13">
        <f t="shared" si="21"/>
        <v>2034</v>
      </c>
      <c r="C253" s="13">
        <f t="shared" si="21"/>
        <v>2034</v>
      </c>
      <c r="E253" s="13">
        <f t="shared" si="20"/>
        <v>2219</v>
      </c>
      <c r="F253" s="13" cm="1">
        <f t="array" ref="F253">INDEX(GMWQ!$A$2:$NF$60,MATCH(1,(GMWQ!$NE$2:$NE$60=F$3)*(GMWQ!$ND$2:$ND$60=F$4)*(GMWQ!$NF$2:$NF$60=F$1),0),$E253-1966)</f>
        <v>188.51509999999999</v>
      </c>
      <c r="G253" s="13" cm="1">
        <f t="array" ref="G253">INDEX(GMWQ!$A$2:$NF$60,MATCH(1,(GMWQ!$NE$2:$NE$60=G$3)*(GMWQ!$ND$2:$ND$60=G$4)*(GMWQ!$NF$2:$NF$60=G$1),0),$E253-1966)</f>
        <v>67041.05</v>
      </c>
      <c r="H253" s="13" cm="1">
        <f t="array" ref="H253">INDEX(GMWQ!$A$2:$NF$60,MATCH(1,(GMWQ!$NE$2:$NE$60=H$3)*(GMWQ!$ND$2:$ND$60=H$4)*(GMWQ!$NF$2:$NF$60=H$1),0),$E253-1966)</f>
        <v>932.80690000000004</v>
      </c>
      <c r="I253" s="13" cm="1">
        <f t="array" ref="I253">INDEX(GMWQ!$A$2:$NF$60,MATCH(1,(GMWQ!$NE$2:$NE$60=I$3)*(GMWQ!$ND$2:$ND$60=I$4)*(GMWQ!$NF$2:$NF$60=I$1),0),$E253-1966)</f>
        <v>222921.9</v>
      </c>
      <c r="J253" s="13" cm="1">
        <f t="array" ref="J253">INDEX(GMWQ!$A$2:$NF$60,MATCH(1,(GMWQ!$NE$2:$NE$60=J$3)*(GMWQ!$ND$2:$ND$60=J$4)*(GMWQ!$NF$2:$NF$60=J$1),0),$E253-1966)</f>
        <v>1040759</v>
      </c>
      <c r="K253" s="13" cm="1">
        <f t="array" ref="K253">INDEX(GMWQ!$A$2:$NF$60,MATCH(1,(GMWQ!$NE$2:$NE$60=K$3)*(GMWQ!$ND$2:$ND$60=K$4)*(GMWQ!$NF$2:$NF$60=K$1),0),$E253-1966)</f>
        <v>423521</v>
      </c>
      <c r="L253" s="13" cm="1">
        <f t="array" ref="L253">INDEX(GMWQ!$A$2:$NF$60,MATCH(1,(GMWQ!$NE$2:$NE$60=L$3)*(GMWQ!$ND$2:$ND$60=L$4)*(GMWQ!$NF$2:$NF$60=L$1),0),$E253-1966)</f>
        <v>670370.19999999995</v>
      </c>
      <c r="M253" s="13" cm="1">
        <f t="array" ref="M253">INDEX(GMWQ!$A$2:$NF$60,MATCH(1,(GMWQ!$NE$2:$NE$60=M$3)*(GMWQ!$ND$2:$ND$60=M$4)*(GMWQ!$NF$2:$NF$60=M$1),0),$E253-1966)</f>
        <v>493209.4</v>
      </c>
      <c r="N253" s="13" cm="1">
        <f t="array" ref="N253">INDEX(GMWQ!$A$2:$NF$60,MATCH(1,(GMWQ!$NE$2:$NE$60=N$3)*(GMWQ!$ND$2:$ND$60=N$4)*(GMWQ!$NF$2:$NF$60=N$1),0),$E253-1966)</f>
        <v>135.87549999999999</v>
      </c>
      <c r="O253" s="13" cm="1">
        <f t="array" ref="O253">INDEX(GMWQ!$A$2:$NF$60,MATCH(1,(GMWQ!$NE$2:$NE$60=O$3)*(GMWQ!$ND$2:$ND$60=O$4)*(GMWQ!$NF$2:$NF$60=O$1),0),$E253-1966)</f>
        <v>36823.19</v>
      </c>
      <c r="P253" s="13" cm="1">
        <f t="array" ref="P253">INDEX(GMWQ!$A$2:$NF$60,MATCH(1,(GMWQ!$NE$2:$NE$60=P$3)*(GMWQ!$ND$2:$ND$60=P$4)*(GMWQ!$NF$2:$NF$60=P$1),0),$E253-1966)</f>
        <v>36362.29</v>
      </c>
      <c r="Q253" s="13" cm="1">
        <f t="array" ref="Q253">INDEX(GMWQ!$A$2:$NF$60,MATCH(1,(GMWQ!$NE$2:$NE$60=Q$3)*(GMWQ!$ND$2:$ND$60=Q$4)*(GMWQ!$NF$2:$NF$60=Q$1),0),$E253-1966)</f>
        <v>34697.089999999997</v>
      </c>
    </row>
    <row r="254" spans="1:17" x14ac:dyDescent="0.25">
      <c r="B254" s="13">
        <f t="shared" si="21"/>
        <v>2034</v>
      </c>
      <c r="C254" s="13">
        <f t="shared" si="21"/>
        <v>2034</v>
      </c>
      <c r="E254" s="13">
        <f t="shared" si="20"/>
        <v>2220</v>
      </c>
      <c r="F254" s="13" cm="1">
        <f t="array" ref="F254">INDEX(GMWQ!$A$2:$NF$60,MATCH(1,(GMWQ!$NE$2:$NE$60=F$3)*(GMWQ!$ND$2:$ND$60=F$4)*(GMWQ!$NF$2:$NF$60=F$1),0),$E254-1966)</f>
        <v>189.45859999999999</v>
      </c>
      <c r="G254" s="13" cm="1">
        <f t="array" ref="G254">INDEX(GMWQ!$A$2:$NF$60,MATCH(1,(GMWQ!$NE$2:$NE$60=G$3)*(GMWQ!$ND$2:$ND$60=G$4)*(GMWQ!$NF$2:$NF$60=G$1),0),$E254-1966)</f>
        <v>67623.05</v>
      </c>
      <c r="H254" s="13" cm="1">
        <f t="array" ref="H254">INDEX(GMWQ!$A$2:$NF$60,MATCH(1,(GMWQ!$NE$2:$NE$60=H$3)*(GMWQ!$ND$2:$ND$60=H$4)*(GMWQ!$NF$2:$NF$60=H$1),0),$E254-1966)</f>
        <v>939.88900000000001</v>
      </c>
      <c r="I254" s="13" cm="1">
        <f t="array" ref="I254">INDEX(GMWQ!$A$2:$NF$60,MATCH(1,(GMWQ!$NE$2:$NE$60=I$3)*(GMWQ!$ND$2:$ND$60=I$4)*(GMWQ!$NF$2:$NF$60=I$1),0),$E254-1966)</f>
        <v>224892.5</v>
      </c>
      <c r="J254" s="13" cm="1">
        <f t="array" ref="J254">INDEX(GMWQ!$A$2:$NF$60,MATCH(1,(GMWQ!$NE$2:$NE$60=J$3)*(GMWQ!$ND$2:$ND$60=J$4)*(GMWQ!$NF$2:$NF$60=J$1),0),$E254-1966)</f>
        <v>1050146</v>
      </c>
      <c r="K254" s="13" cm="1">
        <f t="array" ref="K254">INDEX(GMWQ!$A$2:$NF$60,MATCH(1,(GMWQ!$NE$2:$NE$60=K$3)*(GMWQ!$ND$2:$ND$60=K$4)*(GMWQ!$NF$2:$NF$60=K$1),0),$E254-1966)</f>
        <v>427197.7</v>
      </c>
      <c r="L254" s="13" cm="1">
        <f t="array" ref="L254">INDEX(GMWQ!$A$2:$NF$60,MATCH(1,(GMWQ!$NE$2:$NE$60=L$3)*(GMWQ!$ND$2:$ND$60=L$4)*(GMWQ!$NF$2:$NF$60=L$1),0),$E254-1966)</f>
        <v>675951.3</v>
      </c>
      <c r="M254" s="13" cm="1">
        <f t="array" ref="M254">INDEX(GMWQ!$A$2:$NF$60,MATCH(1,(GMWQ!$NE$2:$NE$60=M$3)*(GMWQ!$ND$2:$ND$60=M$4)*(GMWQ!$NF$2:$NF$60=M$1),0),$E254-1966)</f>
        <v>494861.1</v>
      </c>
      <c r="N254" s="13" cm="1">
        <f t="array" ref="N254">INDEX(GMWQ!$A$2:$NF$60,MATCH(1,(GMWQ!$NE$2:$NE$60=N$3)*(GMWQ!$ND$2:$ND$60=N$4)*(GMWQ!$NF$2:$NF$60=N$1),0),$E254-1966)</f>
        <v>136.5498</v>
      </c>
      <c r="O254" s="13" cm="1">
        <f t="array" ref="O254">INDEX(GMWQ!$A$2:$NF$60,MATCH(1,(GMWQ!$NE$2:$NE$60=O$3)*(GMWQ!$ND$2:$ND$60=O$4)*(GMWQ!$NF$2:$NF$60=O$1),0),$E254-1966)</f>
        <v>36862.800000000003</v>
      </c>
      <c r="P254" s="13" cm="1">
        <f t="array" ref="P254">INDEX(GMWQ!$A$2:$NF$60,MATCH(1,(GMWQ!$NE$2:$NE$60=P$3)*(GMWQ!$ND$2:$ND$60=P$4)*(GMWQ!$NF$2:$NF$60=P$1),0),$E254-1966)</f>
        <v>36398.339999999997</v>
      </c>
      <c r="Q254" s="13" cm="1">
        <f t="array" ref="Q254">INDEX(GMWQ!$A$2:$NF$60,MATCH(1,(GMWQ!$NE$2:$NE$60=Q$3)*(GMWQ!$ND$2:$ND$60=Q$4)*(GMWQ!$NF$2:$NF$60=Q$1),0),$E254-1966)</f>
        <v>34715.68</v>
      </c>
    </row>
    <row r="255" spans="1:17" x14ac:dyDescent="0.25">
      <c r="A255" s="13">
        <v>2035</v>
      </c>
      <c r="B255" s="13">
        <f t="shared" si="21"/>
        <v>2035</v>
      </c>
      <c r="C255" s="13">
        <f t="shared" si="21"/>
        <v>2034</v>
      </c>
      <c r="D255" s="13">
        <f t="shared" si="21"/>
        <v>2034</v>
      </c>
      <c r="E255" s="13">
        <f t="shared" si="20"/>
        <v>2221</v>
      </c>
      <c r="F255" s="13" cm="1">
        <f t="array" ref="F255">INDEX(GMWQ!$A$2:$NF$60,MATCH(1,(GMWQ!$NE$2:$NE$60=F$3)*(GMWQ!$ND$2:$ND$60=F$4)*(GMWQ!$NF$2:$NF$60=F$1),0),$E255-1966)</f>
        <v>190.40690000000001</v>
      </c>
      <c r="G255" s="13" cm="1">
        <f t="array" ref="G255">INDEX(GMWQ!$A$2:$NF$60,MATCH(1,(GMWQ!$NE$2:$NE$60=G$3)*(GMWQ!$ND$2:$ND$60=G$4)*(GMWQ!$NF$2:$NF$60=G$1),0),$E255-1966)</f>
        <v>68215.92</v>
      </c>
      <c r="H255" s="13" cm="1">
        <f t="array" ref="H255">INDEX(GMWQ!$A$2:$NF$60,MATCH(1,(GMWQ!$NE$2:$NE$60=H$3)*(GMWQ!$ND$2:$ND$60=H$4)*(GMWQ!$NF$2:$NF$60=H$1),0),$E255-1966)</f>
        <v>947.05740000000003</v>
      </c>
      <c r="I255" s="13" cm="1">
        <f t="array" ref="I255">INDEX(GMWQ!$A$2:$NF$60,MATCH(1,(GMWQ!$NE$2:$NE$60=I$3)*(GMWQ!$ND$2:$ND$60=I$4)*(GMWQ!$NF$2:$NF$60=I$1),0),$E255-1966)</f>
        <v>226976</v>
      </c>
      <c r="J255" s="13" cm="1">
        <f t="array" ref="J255">INDEX(GMWQ!$A$2:$NF$60,MATCH(1,(GMWQ!$NE$2:$NE$60=J$3)*(GMWQ!$ND$2:$ND$60=J$4)*(GMWQ!$NF$2:$NF$60=J$1),0),$E255-1966)</f>
        <v>1059725</v>
      </c>
      <c r="K255" s="13" cm="1">
        <f t="array" ref="K255">INDEX(GMWQ!$A$2:$NF$60,MATCH(1,(GMWQ!$NE$2:$NE$60=K$3)*(GMWQ!$ND$2:$ND$60=K$4)*(GMWQ!$NF$2:$NF$60=K$1),0),$E255-1966)</f>
        <v>430943.1</v>
      </c>
      <c r="L255" s="13" cm="1">
        <f t="array" ref="L255">INDEX(GMWQ!$A$2:$NF$60,MATCH(1,(GMWQ!$NE$2:$NE$60=L$3)*(GMWQ!$ND$2:$ND$60=L$4)*(GMWQ!$NF$2:$NF$60=L$1),0),$E255-1966)</f>
        <v>681708.3</v>
      </c>
      <c r="M255" s="13" cm="1">
        <f t="array" ref="M255">INDEX(GMWQ!$A$2:$NF$60,MATCH(1,(GMWQ!$NE$2:$NE$60=M$3)*(GMWQ!$ND$2:$ND$60=M$4)*(GMWQ!$NF$2:$NF$60=M$1),0),$E255-1966)</f>
        <v>496613.4</v>
      </c>
      <c r="N255" s="13" cm="1">
        <f t="array" ref="N255">INDEX(GMWQ!$A$2:$NF$60,MATCH(1,(GMWQ!$NE$2:$NE$60=N$3)*(GMWQ!$ND$2:$ND$60=N$4)*(GMWQ!$NF$2:$NF$60=N$1),0),$E255-1966)</f>
        <v>137.22730000000001</v>
      </c>
      <c r="O255" s="13" cm="1">
        <f t="array" ref="O255">INDEX(GMWQ!$A$2:$NF$60,MATCH(1,(GMWQ!$NE$2:$NE$60=O$3)*(GMWQ!$ND$2:$ND$60=O$4)*(GMWQ!$NF$2:$NF$60=O$1),0),$E255-1966)</f>
        <v>36904.339999999997</v>
      </c>
      <c r="P255" s="13" cm="1">
        <f t="array" ref="P255">INDEX(GMWQ!$A$2:$NF$60,MATCH(1,(GMWQ!$NE$2:$NE$60=P$3)*(GMWQ!$ND$2:$ND$60=P$4)*(GMWQ!$NF$2:$NF$60=P$1),0),$E255-1966)</f>
        <v>36436.47</v>
      </c>
      <c r="Q255" s="13" cm="1">
        <f t="array" ref="Q255">INDEX(GMWQ!$A$2:$NF$60,MATCH(1,(GMWQ!$NE$2:$NE$60=Q$3)*(GMWQ!$ND$2:$ND$60=Q$4)*(GMWQ!$NF$2:$NF$60=Q$1),0),$E255-1966)</f>
        <v>34734.269999999997</v>
      </c>
    </row>
    <row r="256" spans="1:17" x14ac:dyDescent="0.25">
      <c r="B256" s="13">
        <f t="shared" si="21"/>
        <v>2035</v>
      </c>
      <c r="C256" s="13">
        <f t="shared" si="21"/>
        <v>2035</v>
      </c>
      <c r="E256" s="13">
        <f t="shared" si="20"/>
        <v>2222</v>
      </c>
      <c r="F256" s="13" cm="1">
        <f t="array" ref="F256">INDEX(GMWQ!$A$2:$NF$60,MATCH(1,(GMWQ!$NE$2:$NE$60=F$3)*(GMWQ!$ND$2:$ND$60=F$4)*(GMWQ!$NF$2:$NF$60=F$1),0),$E256-1966)</f>
        <v>191.36170000000001</v>
      </c>
      <c r="G256" s="13" cm="1">
        <f t="array" ref="G256">INDEX(GMWQ!$A$2:$NF$60,MATCH(1,(GMWQ!$NE$2:$NE$60=G$3)*(GMWQ!$ND$2:$ND$60=G$4)*(GMWQ!$NF$2:$NF$60=G$1),0),$E256-1966)</f>
        <v>68814.41</v>
      </c>
      <c r="H256" s="13" cm="1">
        <f t="array" ref="H256">INDEX(GMWQ!$A$2:$NF$60,MATCH(1,(GMWQ!$NE$2:$NE$60=H$3)*(GMWQ!$ND$2:$ND$60=H$4)*(GMWQ!$NF$2:$NF$60=H$1),0),$E256-1966)</f>
        <v>954.28689999999995</v>
      </c>
      <c r="I256" s="13" cm="1">
        <f t="array" ref="I256">INDEX(GMWQ!$A$2:$NF$60,MATCH(1,(GMWQ!$NE$2:$NE$60=I$3)*(GMWQ!$ND$2:$ND$60=I$4)*(GMWQ!$NF$2:$NF$60=I$1),0),$E256-1966)</f>
        <v>229173.5</v>
      </c>
      <c r="J256" s="13" cm="1">
        <f t="array" ref="J256">INDEX(GMWQ!$A$2:$NF$60,MATCH(1,(GMWQ!$NE$2:$NE$60=J$3)*(GMWQ!$ND$2:$ND$60=J$4)*(GMWQ!$NF$2:$NF$60=J$1),0),$E256-1966)</f>
        <v>1069390</v>
      </c>
      <c r="K256" s="13" cm="1">
        <f t="array" ref="K256">INDEX(GMWQ!$A$2:$NF$60,MATCH(1,(GMWQ!$NE$2:$NE$60=K$3)*(GMWQ!$ND$2:$ND$60=K$4)*(GMWQ!$NF$2:$NF$60=K$1),0),$E256-1966)</f>
        <v>434724</v>
      </c>
      <c r="L256" s="13" cm="1">
        <f t="array" ref="L256">INDEX(GMWQ!$A$2:$NF$60,MATCH(1,(GMWQ!$NE$2:$NE$60=L$3)*(GMWQ!$ND$2:$ND$60=L$4)*(GMWQ!$NF$2:$NF$60=L$1),0),$E256-1966)</f>
        <v>687883.1</v>
      </c>
      <c r="M256" s="13" cm="1">
        <f t="array" ref="M256">INDEX(GMWQ!$A$2:$NF$60,MATCH(1,(GMWQ!$NE$2:$NE$60=M$3)*(GMWQ!$ND$2:$ND$60=M$4)*(GMWQ!$NF$2:$NF$60=M$1),0),$E256-1966)</f>
        <v>498638.7</v>
      </c>
      <c r="N256" s="13" cm="1">
        <f t="array" ref="N256">INDEX(GMWQ!$A$2:$NF$60,MATCH(1,(GMWQ!$NE$2:$NE$60=N$3)*(GMWQ!$ND$2:$ND$60=N$4)*(GMWQ!$NF$2:$NF$60=N$1),0),$E256-1966)</f>
        <v>137.90819999999999</v>
      </c>
      <c r="O256" s="13" cm="1">
        <f t="array" ref="O256">INDEX(GMWQ!$A$2:$NF$60,MATCH(1,(GMWQ!$NE$2:$NE$60=O$3)*(GMWQ!$ND$2:$ND$60=O$4)*(GMWQ!$NF$2:$NF$60=O$1),0),$E256-1966)</f>
        <v>36945.879999999997</v>
      </c>
      <c r="P256" s="13" cm="1">
        <f t="array" ref="P256">INDEX(GMWQ!$A$2:$NF$60,MATCH(1,(GMWQ!$NE$2:$NE$60=P$3)*(GMWQ!$ND$2:$ND$60=P$4)*(GMWQ!$NF$2:$NF$60=P$1),0),$E256-1966)</f>
        <v>36474.6</v>
      </c>
      <c r="Q256" s="13" cm="1">
        <f t="array" ref="Q256">INDEX(GMWQ!$A$2:$NF$60,MATCH(1,(GMWQ!$NE$2:$NE$60=Q$3)*(GMWQ!$ND$2:$ND$60=Q$4)*(GMWQ!$NF$2:$NF$60=Q$1),0),$E256-1966)</f>
        <v>34752.86</v>
      </c>
    </row>
    <row r="257" spans="1:17" x14ac:dyDescent="0.25">
      <c r="B257" s="13">
        <f t="shared" si="21"/>
        <v>2035</v>
      </c>
      <c r="C257" s="13">
        <f t="shared" si="21"/>
        <v>2035</v>
      </c>
      <c r="E257" s="13">
        <f t="shared" si="20"/>
        <v>2223</v>
      </c>
      <c r="F257" s="13" cm="1">
        <f t="array" ref="F257">INDEX(GMWQ!$A$2:$NF$60,MATCH(1,(GMWQ!$NE$2:$NE$60=F$3)*(GMWQ!$ND$2:$ND$60=F$4)*(GMWQ!$NF$2:$NF$60=F$1),0),$E257-1966)</f>
        <v>192.32329999999999</v>
      </c>
      <c r="G257" s="13" cm="1">
        <f t="array" ref="G257">INDEX(GMWQ!$A$2:$NF$60,MATCH(1,(GMWQ!$NE$2:$NE$60=G$3)*(GMWQ!$ND$2:$ND$60=G$4)*(GMWQ!$NF$2:$NF$60=G$1),0),$E257-1966)</f>
        <v>69418.64</v>
      </c>
      <c r="H257" s="13" cm="1">
        <f t="array" ref="H257">INDEX(GMWQ!$A$2:$NF$60,MATCH(1,(GMWQ!$NE$2:$NE$60=H$3)*(GMWQ!$ND$2:$ND$60=H$4)*(GMWQ!$NF$2:$NF$60=H$1),0),$E257-1966)</f>
        <v>961.5806</v>
      </c>
      <c r="I257" s="13" cm="1">
        <f t="array" ref="I257">INDEX(GMWQ!$A$2:$NF$60,MATCH(1,(GMWQ!$NE$2:$NE$60=I$3)*(GMWQ!$ND$2:$ND$60=I$4)*(GMWQ!$NF$2:$NF$60=I$1),0),$E257-1966)</f>
        <v>231142.6</v>
      </c>
      <c r="J257" s="13" cm="1">
        <f t="array" ref="J257">INDEX(GMWQ!$A$2:$NF$60,MATCH(1,(GMWQ!$NE$2:$NE$60=J$3)*(GMWQ!$ND$2:$ND$60=J$4)*(GMWQ!$NF$2:$NF$60=J$1),0),$E257-1966)</f>
        <v>1079139</v>
      </c>
      <c r="K257" s="13" cm="1">
        <f t="array" ref="K257">INDEX(GMWQ!$A$2:$NF$60,MATCH(1,(GMWQ!$NE$2:$NE$60=K$3)*(GMWQ!$ND$2:$ND$60=K$4)*(GMWQ!$NF$2:$NF$60=K$1),0),$E257-1966)</f>
        <v>438541.1</v>
      </c>
      <c r="L257" s="13" cm="1">
        <f t="array" ref="L257">INDEX(GMWQ!$A$2:$NF$60,MATCH(1,(GMWQ!$NE$2:$NE$60=L$3)*(GMWQ!$ND$2:$ND$60=L$4)*(GMWQ!$NF$2:$NF$60=L$1),0),$E257-1966)</f>
        <v>693758.3</v>
      </c>
      <c r="M257" s="13" cm="1">
        <f t="array" ref="M257">INDEX(GMWQ!$A$2:$NF$60,MATCH(1,(GMWQ!$NE$2:$NE$60=M$3)*(GMWQ!$ND$2:$ND$60=M$4)*(GMWQ!$NF$2:$NF$60=M$1),0),$E257-1966)</f>
        <v>500416</v>
      </c>
      <c r="N257" s="13" cm="1">
        <f t="array" ref="N257">INDEX(GMWQ!$A$2:$NF$60,MATCH(1,(GMWQ!$NE$2:$NE$60=N$3)*(GMWQ!$ND$2:$ND$60=N$4)*(GMWQ!$NF$2:$NF$60=N$1),0),$E257-1966)</f>
        <v>138.5925</v>
      </c>
      <c r="O257" s="13" cm="1">
        <f t="array" ref="O257">INDEX(GMWQ!$A$2:$NF$60,MATCH(1,(GMWQ!$NE$2:$NE$60=O$3)*(GMWQ!$ND$2:$ND$60=O$4)*(GMWQ!$NF$2:$NF$60=O$1),0),$E257-1966)</f>
        <v>36987.410000000003</v>
      </c>
      <c r="P257" s="13" cm="1">
        <f t="array" ref="P257">INDEX(GMWQ!$A$2:$NF$60,MATCH(1,(GMWQ!$NE$2:$NE$60=P$3)*(GMWQ!$ND$2:$ND$60=P$4)*(GMWQ!$NF$2:$NF$60=P$1),0),$E257-1966)</f>
        <v>36512.730000000003</v>
      </c>
      <c r="Q257" s="13" cm="1">
        <f t="array" ref="Q257">INDEX(GMWQ!$A$2:$NF$60,MATCH(1,(GMWQ!$NE$2:$NE$60=Q$3)*(GMWQ!$ND$2:$ND$60=Q$4)*(GMWQ!$NF$2:$NF$60=Q$1),0),$E257-1966)</f>
        <v>34771.449999999997</v>
      </c>
    </row>
    <row r="258" spans="1:17" x14ac:dyDescent="0.25">
      <c r="B258" s="13">
        <f t="shared" si="21"/>
        <v>2035</v>
      </c>
      <c r="C258" s="13">
        <f t="shared" si="21"/>
        <v>2035</v>
      </c>
      <c r="E258" s="13">
        <f t="shared" si="20"/>
        <v>2224</v>
      </c>
      <c r="F258" s="13" cm="1">
        <f t="array" ref="F258">INDEX(GMWQ!$A$2:$NF$60,MATCH(1,(GMWQ!$NE$2:$NE$60=F$3)*(GMWQ!$ND$2:$ND$60=F$4)*(GMWQ!$NF$2:$NF$60=F$1),0),$E258-1966)</f>
        <v>193.29220000000001</v>
      </c>
      <c r="G258" s="13" cm="1">
        <f t="array" ref="G258">INDEX(GMWQ!$A$2:$NF$60,MATCH(1,(GMWQ!$NE$2:$NE$60=G$3)*(GMWQ!$ND$2:$ND$60=G$4)*(GMWQ!$NF$2:$NF$60=G$1),0),$E258-1966)</f>
        <v>70028.800000000003</v>
      </c>
      <c r="H258" s="13" cm="1">
        <f t="array" ref="H258">INDEX(GMWQ!$A$2:$NF$60,MATCH(1,(GMWQ!$NE$2:$NE$60=H$3)*(GMWQ!$ND$2:$ND$60=H$4)*(GMWQ!$NF$2:$NF$60=H$1),0),$E258-1966)</f>
        <v>968.93949999999995</v>
      </c>
      <c r="I258" s="13" cm="1">
        <f t="array" ref="I258">INDEX(GMWQ!$A$2:$NF$60,MATCH(1,(GMWQ!$NE$2:$NE$60=I$3)*(GMWQ!$ND$2:$ND$60=I$4)*(GMWQ!$NF$2:$NF$60=I$1),0),$E258-1966)</f>
        <v>233186</v>
      </c>
      <c r="J258" s="13" cm="1">
        <f t="array" ref="J258">INDEX(GMWQ!$A$2:$NF$60,MATCH(1,(GMWQ!$NE$2:$NE$60=J$3)*(GMWQ!$ND$2:$ND$60=J$4)*(GMWQ!$NF$2:$NF$60=J$1),0),$E258-1966)</f>
        <v>1088974</v>
      </c>
      <c r="K258" s="13" cm="1">
        <f t="array" ref="K258">INDEX(GMWQ!$A$2:$NF$60,MATCH(1,(GMWQ!$NE$2:$NE$60=K$3)*(GMWQ!$ND$2:$ND$60=K$4)*(GMWQ!$NF$2:$NF$60=K$1),0),$E258-1966)</f>
        <v>442395.6</v>
      </c>
      <c r="L258" s="13" cm="1">
        <f t="array" ref="L258">INDEX(GMWQ!$A$2:$NF$60,MATCH(1,(GMWQ!$NE$2:$NE$60=L$3)*(GMWQ!$ND$2:$ND$60=L$4)*(GMWQ!$NF$2:$NF$60=L$1),0),$E258-1966)</f>
        <v>699688.4</v>
      </c>
      <c r="M258" s="13" cm="1">
        <f t="array" ref="M258">INDEX(GMWQ!$A$2:$NF$60,MATCH(1,(GMWQ!$NE$2:$NE$60=M$3)*(GMWQ!$ND$2:$ND$60=M$4)*(GMWQ!$NF$2:$NF$60=M$1),0),$E258-1966)</f>
        <v>502202.8</v>
      </c>
      <c r="N258" s="13" cm="1">
        <f t="array" ref="N258">INDEX(GMWQ!$A$2:$NF$60,MATCH(1,(GMWQ!$NE$2:$NE$60=N$3)*(GMWQ!$ND$2:$ND$60=N$4)*(GMWQ!$NF$2:$NF$60=N$1),0),$E258-1966)</f>
        <v>139.28020000000001</v>
      </c>
      <c r="O258" s="13" cm="1">
        <f t="array" ref="O258">INDEX(GMWQ!$A$2:$NF$60,MATCH(1,(GMWQ!$NE$2:$NE$60=O$3)*(GMWQ!$ND$2:$ND$60=O$4)*(GMWQ!$NF$2:$NF$60=O$1),0),$E258-1966)</f>
        <v>37028.949999999997</v>
      </c>
      <c r="P258" s="13" cm="1">
        <f t="array" ref="P258">INDEX(GMWQ!$A$2:$NF$60,MATCH(1,(GMWQ!$NE$2:$NE$60=P$3)*(GMWQ!$ND$2:$ND$60=P$4)*(GMWQ!$NF$2:$NF$60=P$1),0),$E258-1966)</f>
        <v>36550.86</v>
      </c>
      <c r="Q258" s="13" cm="1">
        <f t="array" ref="Q258">INDEX(GMWQ!$A$2:$NF$60,MATCH(1,(GMWQ!$NE$2:$NE$60=Q$3)*(GMWQ!$ND$2:$ND$60=Q$4)*(GMWQ!$NF$2:$NF$60=Q$1),0),$E258-1966)</f>
        <v>34790.04</v>
      </c>
    </row>
    <row r="259" spans="1:17" x14ac:dyDescent="0.25">
      <c r="A259" s="13">
        <v>2036</v>
      </c>
      <c r="B259" s="13">
        <f t="shared" si="21"/>
        <v>2036</v>
      </c>
      <c r="C259" s="13">
        <f t="shared" si="21"/>
        <v>2035</v>
      </c>
      <c r="D259" s="13">
        <f t="shared" si="21"/>
        <v>2035</v>
      </c>
      <c r="E259" s="13">
        <f t="shared" si="20"/>
        <v>2225</v>
      </c>
      <c r="F259" s="13" cm="1">
        <f t="array" ref="F259">INDEX(GMWQ!$A$2:$NF$60,MATCH(1,(GMWQ!$NE$2:$NE$60=F$3)*(GMWQ!$ND$2:$ND$60=F$4)*(GMWQ!$NF$2:$NF$60=F$1),0),$E259-1966)</f>
        <v>194.2535</v>
      </c>
      <c r="G259" s="13" cm="1">
        <f t="array" ref="G259">INDEX(GMWQ!$A$2:$NF$60,MATCH(1,(GMWQ!$NE$2:$NE$60=G$3)*(GMWQ!$ND$2:$ND$60=G$4)*(GMWQ!$NF$2:$NF$60=G$1),0),$E259-1966)</f>
        <v>70645.62</v>
      </c>
      <c r="H259" s="13" cm="1">
        <f t="array" ref="H259">INDEX(GMWQ!$A$2:$NF$60,MATCH(1,(GMWQ!$NE$2:$NE$60=H$3)*(GMWQ!$ND$2:$ND$60=H$4)*(GMWQ!$NF$2:$NF$60=H$1),0),$E259-1966)</f>
        <v>976.3732</v>
      </c>
      <c r="I259" s="13" cm="1">
        <f t="array" ref="I259">INDEX(GMWQ!$A$2:$NF$60,MATCH(1,(GMWQ!$NE$2:$NE$60=I$3)*(GMWQ!$ND$2:$ND$60=I$4)*(GMWQ!$NF$2:$NF$60=I$1),0),$E259-1966)</f>
        <v>235368.3</v>
      </c>
      <c r="J259" s="13" cm="1">
        <f t="array" ref="J259">INDEX(GMWQ!$A$2:$NF$60,MATCH(1,(GMWQ!$NE$2:$NE$60=J$3)*(GMWQ!$ND$2:$ND$60=J$4)*(GMWQ!$NF$2:$NF$60=J$1),0),$E259-1966)</f>
        <v>1098991</v>
      </c>
      <c r="K259" s="13" cm="1">
        <f t="array" ref="K259">INDEX(GMWQ!$A$2:$NF$60,MATCH(1,(GMWQ!$NE$2:$NE$60=K$3)*(GMWQ!$ND$2:$ND$60=K$4)*(GMWQ!$NF$2:$NF$60=K$1),0),$E259-1966)</f>
        <v>446292.3</v>
      </c>
      <c r="L259" s="13" cm="1">
        <f t="array" ref="L259">INDEX(GMWQ!$A$2:$NF$60,MATCH(1,(GMWQ!$NE$2:$NE$60=L$3)*(GMWQ!$ND$2:$ND$60=L$4)*(GMWQ!$NF$2:$NF$60=L$1),0),$E259-1966)</f>
        <v>705703.7</v>
      </c>
      <c r="M259" s="13" cm="1">
        <f t="array" ref="M259">INDEX(GMWQ!$A$2:$NF$60,MATCH(1,(GMWQ!$NE$2:$NE$60=M$3)*(GMWQ!$ND$2:$ND$60=M$4)*(GMWQ!$NF$2:$NF$60=M$1),0),$E259-1966)</f>
        <v>504020.8</v>
      </c>
      <c r="N259" s="13" cm="1">
        <f t="array" ref="N259">INDEX(GMWQ!$A$2:$NF$60,MATCH(1,(GMWQ!$NE$2:$NE$60=N$3)*(GMWQ!$ND$2:$ND$60=N$4)*(GMWQ!$NF$2:$NF$60=N$1),0),$E259-1966)</f>
        <v>139.97130000000001</v>
      </c>
      <c r="O259" s="13" cm="1">
        <f t="array" ref="O259">INDEX(GMWQ!$A$2:$NF$60,MATCH(1,(GMWQ!$NE$2:$NE$60=O$3)*(GMWQ!$ND$2:$ND$60=O$4)*(GMWQ!$NF$2:$NF$60=O$1),0),$E259-1966)</f>
        <v>37070.480000000003</v>
      </c>
      <c r="P259" s="13" cm="1">
        <f t="array" ref="P259">INDEX(GMWQ!$A$2:$NF$60,MATCH(1,(GMWQ!$NE$2:$NE$60=P$3)*(GMWQ!$ND$2:$ND$60=P$4)*(GMWQ!$NF$2:$NF$60=P$1),0),$E259-1966)</f>
        <v>36588.980000000003</v>
      </c>
      <c r="Q259" s="13" cm="1">
        <f t="array" ref="Q259">INDEX(GMWQ!$A$2:$NF$60,MATCH(1,(GMWQ!$NE$2:$NE$60=Q$3)*(GMWQ!$ND$2:$ND$60=Q$4)*(GMWQ!$NF$2:$NF$60=Q$1),0),$E259-1966)</f>
        <v>34808.629999999997</v>
      </c>
    </row>
    <row r="260" spans="1:17" x14ac:dyDescent="0.25">
      <c r="B260" s="13">
        <f t="shared" si="21"/>
        <v>2036</v>
      </c>
      <c r="C260" s="13">
        <f t="shared" si="21"/>
        <v>2036</v>
      </c>
      <c r="E260" s="13">
        <f t="shared" si="20"/>
        <v>2226</v>
      </c>
      <c r="F260" s="13" cm="1">
        <f t="array" ref="F260">INDEX(GMWQ!$A$2:$NF$60,MATCH(1,(GMWQ!$NE$2:$NE$60=F$3)*(GMWQ!$ND$2:$ND$60=F$4)*(GMWQ!$NF$2:$NF$60=F$1),0),$E260-1966)</f>
        <v>195.2235</v>
      </c>
      <c r="G260" s="13" cm="1">
        <f t="array" ref="G260">INDEX(GMWQ!$A$2:$NF$60,MATCH(1,(GMWQ!$NE$2:$NE$60=G$3)*(GMWQ!$ND$2:$ND$60=G$4)*(GMWQ!$NF$2:$NF$60=G$1),0),$E260-1966)</f>
        <v>71269.3</v>
      </c>
      <c r="H260" s="13" cm="1">
        <f t="array" ref="H260">INDEX(GMWQ!$A$2:$NF$60,MATCH(1,(GMWQ!$NE$2:$NE$60=H$3)*(GMWQ!$ND$2:$ND$60=H$4)*(GMWQ!$NF$2:$NF$60=H$1),0),$E260-1966)</f>
        <v>983.88549999999998</v>
      </c>
      <c r="I260" s="13" cm="1">
        <f t="array" ref="I260">INDEX(GMWQ!$A$2:$NF$60,MATCH(1,(GMWQ!$NE$2:$NE$60=I$3)*(GMWQ!$ND$2:$ND$60=I$4)*(GMWQ!$NF$2:$NF$60=I$1),0),$E260-1966)</f>
        <v>237665</v>
      </c>
      <c r="J260" s="13" cm="1">
        <f t="array" ref="J260">INDEX(GMWQ!$A$2:$NF$60,MATCH(1,(GMWQ!$NE$2:$NE$60=J$3)*(GMWQ!$ND$2:$ND$60=J$4)*(GMWQ!$NF$2:$NF$60=J$1),0),$E260-1966)</f>
        <v>1109100</v>
      </c>
      <c r="K260" s="13" cm="1">
        <f t="array" ref="K260">INDEX(GMWQ!$A$2:$NF$60,MATCH(1,(GMWQ!$NE$2:$NE$60=K$3)*(GMWQ!$ND$2:$ND$60=K$4)*(GMWQ!$NF$2:$NF$60=K$1),0),$E260-1966)</f>
        <v>450232.3</v>
      </c>
      <c r="L260" s="13" cm="1">
        <f t="array" ref="L260">INDEX(GMWQ!$A$2:$NF$60,MATCH(1,(GMWQ!$NE$2:$NE$60=L$3)*(GMWQ!$ND$2:$ND$60=L$4)*(GMWQ!$NF$2:$NF$60=L$1),0),$E260-1966)</f>
        <v>711830.3</v>
      </c>
      <c r="M260" s="13" cm="1">
        <f t="array" ref="M260">INDEX(GMWQ!$A$2:$NF$60,MATCH(1,(GMWQ!$NE$2:$NE$60=M$3)*(GMWQ!$ND$2:$ND$60=M$4)*(GMWQ!$NF$2:$NF$60=M$1),0),$E260-1966)</f>
        <v>505887.4</v>
      </c>
      <c r="N260" s="13" cm="1">
        <f t="array" ref="N260">INDEX(GMWQ!$A$2:$NF$60,MATCH(1,(GMWQ!$NE$2:$NE$60=N$3)*(GMWQ!$ND$2:$ND$60=N$4)*(GMWQ!$NF$2:$NF$60=N$1),0),$E260-1966)</f>
        <v>140.66589999999999</v>
      </c>
      <c r="O260" s="13" cm="1">
        <f t="array" ref="O260">INDEX(GMWQ!$A$2:$NF$60,MATCH(1,(GMWQ!$NE$2:$NE$60=O$3)*(GMWQ!$ND$2:$ND$60=O$4)*(GMWQ!$NF$2:$NF$60=O$1),0),$E260-1966)</f>
        <v>37112.019999999997</v>
      </c>
      <c r="P260" s="13" cm="1">
        <f t="array" ref="P260">INDEX(GMWQ!$A$2:$NF$60,MATCH(1,(GMWQ!$NE$2:$NE$60=P$3)*(GMWQ!$ND$2:$ND$60=P$4)*(GMWQ!$NF$2:$NF$60=P$1),0),$E260-1966)</f>
        <v>36627.11</v>
      </c>
      <c r="Q260" s="13" cm="1">
        <f t="array" ref="Q260">INDEX(GMWQ!$A$2:$NF$60,MATCH(1,(GMWQ!$NE$2:$NE$60=Q$3)*(GMWQ!$ND$2:$ND$60=Q$4)*(GMWQ!$NF$2:$NF$60=Q$1),0),$E260-1966)</f>
        <v>34827.22</v>
      </c>
    </row>
    <row r="261" spans="1:17" x14ac:dyDescent="0.25">
      <c r="B261" s="13">
        <f t="shared" si="21"/>
        <v>2036</v>
      </c>
      <c r="C261" s="13">
        <f t="shared" si="21"/>
        <v>2036</v>
      </c>
      <c r="E261" s="13">
        <f t="shared" si="20"/>
        <v>2227</v>
      </c>
      <c r="F261" s="13" cm="1">
        <f t="array" ref="F261">INDEX(GMWQ!$A$2:$NF$60,MATCH(1,(GMWQ!$NE$2:$NE$60=F$3)*(GMWQ!$ND$2:$ND$60=F$4)*(GMWQ!$NF$2:$NF$60=F$1),0),$E261-1966)</f>
        <v>196.20249999999999</v>
      </c>
      <c r="G261" s="13" cm="1">
        <f t="array" ref="G261">INDEX(GMWQ!$A$2:$NF$60,MATCH(1,(GMWQ!$NE$2:$NE$60=G$3)*(GMWQ!$ND$2:$ND$60=G$4)*(GMWQ!$NF$2:$NF$60=G$1),0),$E261-1966)</f>
        <v>71900.009999999995</v>
      </c>
      <c r="H261" s="13" cm="1">
        <f t="array" ref="H261">INDEX(GMWQ!$A$2:$NF$60,MATCH(1,(GMWQ!$NE$2:$NE$60=H$3)*(GMWQ!$ND$2:$ND$60=H$4)*(GMWQ!$NF$2:$NF$60=H$1),0),$E261-1966)</f>
        <v>991.47829999999999</v>
      </c>
      <c r="I261" s="13" cm="1">
        <f t="array" ref="I261">INDEX(GMWQ!$A$2:$NF$60,MATCH(1,(GMWQ!$NE$2:$NE$60=I$3)*(GMWQ!$ND$2:$ND$60=I$4)*(GMWQ!$NF$2:$NF$60=I$1),0),$E261-1966)</f>
        <v>239725.8</v>
      </c>
      <c r="J261" s="13" cm="1">
        <f t="array" ref="J261">INDEX(GMWQ!$A$2:$NF$60,MATCH(1,(GMWQ!$NE$2:$NE$60=J$3)*(GMWQ!$ND$2:$ND$60=J$4)*(GMWQ!$NF$2:$NF$60=J$1),0),$E261-1966)</f>
        <v>1119304</v>
      </c>
      <c r="K261" s="13" cm="1">
        <f t="array" ref="K261">INDEX(GMWQ!$A$2:$NF$60,MATCH(1,(GMWQ!$NE$2:$NE$60=K$3)*(GMWQ!$ND$2:$ND$60=K$4)*(GMWQ!$NF$2:$NF$60=K$1),0),$E261-1966)</f>
        <v>454216.7</v>
      </c>
      <c r="L261" s="13" cm="1">
        <f t="array" ref="L261">INDEX(GMWQ!$A$2:$NF$60,MATCH(1,(GMWQ!$NE$2:$NE$60=L$3)*(GMWQ!$ND$2:$ND$60=L$4)*(GMWQ!$NF$2:$NF$60=L$1),0),$E261-1966)</f>
        <v>718010.9</v>
      </c>
      <c r="M261" s="13" cm="1">
        <f t="array" ref="M261">INDEX(GMWQ!$A$2:$NF$60,MATCH(1,(GMWQ!$NE$2:$NE$60=M$3)*(GMWQ!$ND$2:$ND$60=M$4)*(GMWQ!$NF$2:$NF$60=M$1),0),$E261-1966)</f>
        <v>507761.5</v>
      </c>
      <c r="N261" s="13" cm="1">
        <f t="array" ref="N261">INDEX(GMWQ!$A$2:$NF$60,MATCH(1,(GMWQ!$NE$2:$NE$60=N$3)*(GMWQ!$ND$2:$ND$60=N$4)*(GMWQ!$NF$2:$NF$60=N$1),0),$E261-1966)</f>
        <v>141.3639</v>
      </c>
      <c r="O261" s="13" cm="1">
        <f t="array" ref="O261">INDEX(GMWQ!$A$2:$NF$60,MATCH(1,(GMWQ!$NE$2:$NE$60=O$3)*(GMWQ!$ND$2:$ND$60=O$4)*(GMWQ!$NF$2:$NF$60=O$1),0),$E261-1966)</f>
        <v>37153.56</v>
      </c>
      <c r="P261" s="13" cm="1">
        <f t="array" ref="P261">INDEX(GMWQ!$A$2:$NF$60,MATCH(1,(GMWQ!$NE$2:$NE$60=P$3)*(GMWQ!$ND$2:$ND$60=P$4)*(GMWQ!$NF$2:$NF$60=P$1),0),$E261-1966)</f>
        <v>36665.24</v>
      </c>
      <c r="Q261" s="13" cm="1">
        <f t="array" ref="Q261">INDEX(GMWQ!$A$2:$NF$60,MATCH(1,(GMWQ!$NE$2:$NE$60=Q$3)*(GMWQ!$ND$2:$ND$60=Q$4)*(GMWQ!$NF$2:$NF$60=Q$1),0),$E261-1966)</f>
        <v>34845.81</v>
      </c>
    </row>
    <row r="262" spans="1:17" x14ac:dyDescent="0.25">
      <c r="B262" s="13">
        <f t="shared" si="21"/>
        <v>2036</v>
      </c>
      <c r="C262" s="13">
        <f t="shared" si="21"/>
        <v>2036</v>
      </c>
      <c r="E262" s="13">
        <f t="shared" si="20"/>
        <v>2228</v>
      </c>
      <c r="F262" s="13" cm="1">
        <f t="array" ref="F262">INDEX(GMWQ!$A$2:$NF$60,MATCH(1,(GMWQ!$NE$2:$NE$60=F$3)*(GMWQ!$ND$2:$ND$60=F$4)*(GMWQ!$NF$2:$NF$60=F$1),0),$E262-1966)</f>
        <v>197.19059999999999</v>
      </c>
      <c r="G262" s="13" cm="1">
        <f t="array" ref="G262">INDEX(GMWQ!$A$2:$NF$60,MATCH(1,(GMWQ!$NE$2:$NE$60=G$3)*(GMWQ!$ND$2:$ND$60=G$4)*(GMWQ!$NF$2:$NF$60=G$1),0),$E262-1966)</f>
        <v>72537.8</v>
      </c>
      <c r="H262" s="13" cm="1">
        <f t="array" ref="H262">INDEX(GMWQ!$A$2:$NF$60,MATCH(1,(GMWQ!$NE$2:$NE$60=H$3)*(GMWQ!$ND$2:$ND$60=H$4)*(GMWQ!$NF$2:$NF$60=H$1),0),$E262-1966)</f>
        <v>999.1508</v>
      </c>
      <c r="I262" s="13" cm="1">
        <f t="array" ref="I262">INDEX(GMWQ!$A$2:$NF$60,MATCH(1,(GMWQ!$NE$2:$NE$60=I$3)*(GMWQ!$ND$2:$ND$60=I$4)*(GMWQ!$NF$2:$NF$60=I$1),0),$E262-1966)</f>
        <v>241865</v>
      </c>
      <c r="J262" s="13" cm="1">
        <f t="array" ref="J262">INDEX(GMWQ!$A$2:$NF$60,MATCH(1,(GMWQ!$NE$2:$NE$60=J$3)*(GMWQ!$ND$2:$ND$60=J$4)*(GMWQ!$NF$2:$NF$60=J$1),0),$E262-1966)</f>
        <v>1129602</v>
      </c>
      <c r="K262" s="13" cm="1">
        <f t="array" ref="K262">INDEX(GMWQ!$A$2:$NF$60,MATCH(1,(GMWQ!$NE$2:$NE$60=K$3)*(GMWQ!$ND$2:$ND$60=K$4)*(GMWQ!$NF$2:$NF$60=K$1),0),$E262-1966)</f>
        <v>458245.9</v>
      </c>
      <c r="L262" s="13" cm="1">
        <f t="array" ref="L262">INDEX(GMWQ!$A$2:$NF$60,MATCH(1,(GMWQ!$NE$2:$NE$60=L$3)*(GMWQ!$ND$2:$ND$60=L$4)*(GMWQ!$NF$2:$NF$60=L$1),0),$E262-1966)</f>
        <v>724245.6</v>
      </c>
      <c r="M262" s="13" cm="1">
        <f t="array" ref="M262">INDEX(GMWQ!$A$2:$NF$60,MATCH(1,(GMWQ!$NE$2:$NE$60=M$3)*(GMWQ!$ND$2:$ND$60=M$4)*(GMWQ!$NF$2:$NF$60=M$1),0),$E262-1966)</f>
        <v>509643.3</v>
      </c>
      <c r="N262" s="13" cm="1">
        <f t="array" ref="N262">INDEX(GMWQ!$A$2:$NF$60,MATCH(1,(GMWQ!$NE$2:$NE$60=N$3)*(GMWQ!$ND$2:$ND$60=N$4)*(GMWQ!$NF$2:$NF$60=N$1),0),$E262-1966)</f>
        <v>142.06530000000001</v>
      </c>
      <c r="O262" s="13" cm="1">
        <f t="array" ref="O262">INDEX(GMWQ!$A$2:$NF$60,MATCH(1,(GMWQ!$NE$2:$NE$60=O$3)*(GMWQ!$ND$2:$ND$60=O$4)*(GMWQ!$NF$2:$NF$60=O$1),0),$E262-1966)</f>
        <v>37195.1</v>
      </c>
      <c r="P262" s="13" cm="1">
        <f t="array" ref="P262">INDEX(GMWQ!$A$2:$NF$60,MATCH(1,(GMWQ!$NE$2:$NE$60=P$3)*(GMWQ!$ND$2:$ND$60=P$4)*(GMWQ!$NF$2:$NF$60=P$1),0),$E262-1966)</f>
        <v>36703.370000000003</v>
      </c>
      <c r="Q262" s="13" cm="1">
        <f t="array" ref="Q262">INDEX(GMWQ!$A$2:$NF$60,MATCH(1,(GMWQ!$NE$2:$NE$60=Q$3)*(GMWQ!$ND$2:$ND$60=Q$4)*(GMWQ!$NF$2:$NF$60=Q$1),0),$E262-1966)</f>
        <v>34864.400000000001</v>
      </c>
    </row>
    <row r="263" spans="1:17" x14ac:dyDescent="0.25">
      <c r="A263" s="13">
        <v>2037</v>
      </c>
      <c r="B263" s="13">
        <f t="shared" si="21"/>
        <v>2037</v>
      </c>
      <c r="C263" s="13">
        <f t="shared" si="21"/>
        <v>2036</v>
      </c>
      <c r="D263" s="13">
        <f t="shared" si="21"/>
        <v>2036</v>
      </c>
      <c r="E263" s="13">
        <f t="shared" si="20"/>
        <v>2229</v>
      </c>
      <c r="F263" s="13" cm="1">
        <f t="array" ref="F263">INDEX(GMWQ!$A$2:$NF$60,MATCH(1,(GMWQ!$NE$2:$NE$60=F$3)*(GMWQ!$ND$2:$ND$60=F$4)*(GMWQ!$NF$2:$NF$60=F$1),0),$E263-1966)</f>
        <v>198.18389999999999</v>
      </c>
      <c r="G263" s="13" cm="1">
        <f t="array" ref="G263">INDEX(GMWQ!$A$2:$NF$60,MATCH(1,(GMWQ!$NE$2:$NE$60=G$3)*(GMWQ!$ND$2:$ND$60=G$4)*(GMWQ!$NF$2:$NF$60=G$1),0),$E263-1966)</f>
        <v>73181.33</v>
      </c>
      <c r="H263" s="13" cm="1">
        <f t="array" ref="H263">INDEX(GMWQ!$A$2:$NF$60,MATCH(1,(GMWQ!$NE$2:$NE$60=H$3)*(GMWQ!$ND$2:$ND$60=H$4)*(GMWQ!$NF$2:$NF$60=H$1),0),$E263-1966)</f>
        <v>1006.885</v>
      </c>
      <c r="I263" s="13" cm="1">
        <f t="array" ref="I263">INDEX(GMWQ!$A$2:$NF$60,MATCH(1,(GMWQ!$NE$2:$NE$60=I$3)*(GMWQ!$ND$2:$ND$60=I$4)*(GMWQ!$NF$2:$NF$60=I$1),0),$E263-1966)</f>
        <v>244149.4</v>
      </c>
      <c r="J263" s="13" cm="1">
        <f t="array" ref="J263">INDEX(GMWQ!$A$2:$NF$60,MATCH(1,(GMWQ!$NE$2:$NE$60=J$3)*(GMWQ!$ND$2:$ND$60=J$4)*(GMWQ!$NF$2:$NF$60=J$1),0),$E263-1966)</f>
        <v>1139995</v>
      </c>
      <c r="K263" s="13" cm="1">
        <f t="array" ref="K263">INDEX(GMWQ!$A$2:$NF$60,MATCH(1,(GMWQ!$NE$2:$NE$60=K$3)*(GMWQ!$ND$2:$ND$60=K$4)*(GMWQ!$NF$2:$NF$60=K$1),0),$E263-1966)</f>
        <v>462311.3</v>
      </c>
      <c r="L263" s="13" cm="1">
        <f t="array" ref="L263">INDEX(GMWQ!$A$2:$NF$60,MATCH(1,(GMWQ!$NE$2:$NE$60=L$3)*(GMWQ!$ND$2:$ND$60=L$4)*(GMWQ!$NF$2:$NF$60=L$1),0),$E263-1966)</f>
        <v>730534.40000000002</v>
      </c>
      <c r="M263" s="13" cm="1">
        <f t="array" ref="M263">INDEX(GMWQ!$A$2:$NF$60,MATCH(1,(GMWQ!$NE$2:$NE$60=M$3)*(GMWQ!$ND$2:$ND$60=M$4)*(GMWQ!$NF$2:$NF$60=M$1),0),$E263-1966)</f>
        <v>511531.8</v>
      </c>
      <c r="N263" s="13" cm="1">
        <f t="array" ref="N263">INDEX(GMWQ!$A$2:$NF$60,MATCH(1,(GMWQ!$NE$2:$NE$60=N$3)*(GMWQ!$ND$2:$ND$60=N$4)*(GMWQ!$NF$2:$NF$60=N$1),0),$E263-1966)</f>
        <v>142.77019999999999</v>
      </c>
      <c r="O263" s="13" cm="1">
        <f t="array" ref="O263">INDEX(GMWQ!$A$2:$NF$60,MATCH(1,(GMWQ!$NE$2:$NE$60=O$3)*(GMWQ!$ND$2:$ND$60=O$4)*(GMWQ!$NF$2:$NF$60=O$1),0),$E263-1966)</f>
        <v>37236.629999999997</v>
      </c>
      <c r="P263" s="13" cm="1">
        <f t="array" ref="P263">INDEX(GMWQ!$A$2:$NF$60,MATCH(1,(GMWQ!$NE$2:$NE$60=P$3)*(GMWQ!$ND$2:$ND$60=P$4)*(GMWQ!$NF$2:$NF$60=P$1),0),$E263-1966)</f>
        <v>36741.5</v>
      </c>
      <c r="Q263" s="13" cm="1">
        <f t="array" ref="Q263">INDEX(GMWQ!$A$2:$NF$60,MATCH(1,(GMWQ!$NE$2:$NE$60=Q$3)*(GMWQ!$ND$2:$ND$60=Q$4)*(GMWQ!$NF$2:$NF$60=Q$1),0),$E263-1966)</f>
        <v>34882.99</v>
      </c>
    </row>
    <row r="264" spans="1:17" x14ac:dyDescent="0.25">
      <c r="B264" s="13">
        <f t="shared" si="21"/>
        <v>2037</v>
      </c>
      <c r="C264" s="13">
        <f t="shared" si="21"/>
        <v>2037</v>
      </c>
      <c r="E264" s="13">
        <f t="shared" si="20"/>
        <v>2230</v>
      </c>
      <c r="F264" s="13" cm="1">
        <f t="array" ref="F264">INDEX(GMWQ!$A$2:$NF$60,MATCH(1,(GMWQ!$NE$2:$NE$60=F$3)*(GMWQ!$ND$2:$ND$60=F$4)*(GMWQ!$NF$2:$NF$60=F$1),0),$E264-1966)</f>
        <v>199.18219999999999</v>
      </c>
      <c r="G264" s="13" cm="1">
        <f t="array" ref="G264">INDEX(GMWQ!$A$2:$NF$60,MATCH(1,(GMWQ!$NE$2:$NE$60=G$3)*(GMWQ!$ND$2:$ND$60=G$4)*(GMWQ!$NF$2:$NF$60=G$1),0),$E264-1966)</f>
        <v>73830.59</v>
      </c>
      <c r="H264" s="13" cm="1">
        <f t="array" ref="H264">INDEX(GMWQ!$A$2:$NF$60,MATCH(1,(GMWQ!$NE$2:$NE$60=H$3)*(GMWQ!$ND$2:$ND$60=H$4)*(GMWQ!$NF$2:$NF$60=H$1),0),$E264-1966)</f>
        <v>1014.682</v>
      </c>
      <c r="I264" s="13" cm="1">
        <f t="array" ref="I264">INDEX(GMWQ!$A$2:$NF$60,MATCH(1,(GMWQ!$NE$2:$NE$60=I$3)*(GMWQ!$ND$2:$ND$60=I$4)*(GMWQ!$NF$2:$NF$60=I$1),0),$E264-1966)</f>
        <v>246532.4</v>
      </c>
      <c r="J264" s="13" cm="1">
        <f t="array" ref="J264">INDEX(GMWQ!$A$2:$NF$60,MATCH(1,(GMWQ!$NE$2:$NE$60=J$3)*(GMWQ!$ND$2:$ND$60=J$4)*(GMWQ!$NF$2:$NF$60=J$1),0),$E264-1966)</f>
        <v>1150484</v>
      </c>
      <c r="K264" s="13" cm="1">
        <f t="array" ref="K264">INDEX(GMWQ!$A$2:$NF$60,MATCH(1,(GMWQ!$NE$2:$NE$60=K$3)*(GMWQ!$ND$2:$ND$60=K$4)*(GMWQ!$NF$2:$NF$60=K$1),0),$E264-1966)</f>
        <v>466412.79999999999</v>
      </c>
      <c r="L264" s="13" cm="1">
        <f t="array" ref="L264">INDEX(GMWQ!$A$2:$NF$60,MATCH(1,(GMWQ!$NE$2:$NE$60=L$3)*(GMWQ!$ND$2:$ND$60=L$4)*(GMWQ!$NF$2:$NF$60=L$1),0),$E264-1966)</f>
        <v>736878.4</v>
      </c>
      <c r="M264" s="13" cm="1">
        <f t="array" ref="M264">INDEX(GMWQ!$A$2:$NF$60,MATCH(1,(GMWQ!$NE$2:$NE$60=M$3)*(GMWQ!$ND$2:$ND$60=M$4)*(GMWQ!$NF$2:$NF$60=M$1),0),$E264-1966)</f>
        <v>513427.5</v>
      </c>
      <c r="N264" s="13" cm="1">
        <f t="array" ref="N264">INDEX(GMWQ!$A$2:$NF$60,MATCH(1,(GMWQ!$NE$2:$NE$60=N$3)*(GMWQ!$ND$2:$ND$60=N$4)*(GMWQ!$NF$2:$NF$60=N$1),0),$E264-1966)</f>
        <v>143.4787</v>
      </c>
      <c r="O264" s="13" cm="1">
        <f t="array" ref="O264">INDEX(GMWQ!$A$2:$NF$60,MATCH(1,(GMWQ!$NE$2:$NE$60=O$3)*(GMWQ!$ND$2:$ND$60=O$4)*(GMWQ!$NF$2:$NF$60=O$1),0),$E264-1966)</f>
        <v>37278.17</v>
      </c>
      <c r="P264" s="13" cm="1">
        <f t="array" ref="P264">INDEX(GMWQ!$A$2:$NF$60,MATCH(1,(GMWQ!$NE$2:$NE$60=P$3)*(GMWQ!$ND$2:$ND$60=P$4)*(GMWQ!$NF$2:$NF$60=P$1),0),$E264-1966)</f>
        <v>36779.629999999997</v>
      </c>
      <c r="Q264" s="13" cm="1">
        <f t="array" ref="Q264">INDEX(GMWQ!$A$2:$NF$60,MATCH(1,(GMWQ!$NE$2:$NE$60=Q$3)*(GMWQ!$ND$2:$ND$60=Q$4)*(GMWQ!$NF$2:$NF$60=Q$1),0),$E264-1966)</f>
        <v>34901.58</v>
      </c>
    </row>
    <row r="265" spans="1:17" x14ac:dyDescent="0.25">
      <c r="B265" s="13">
        <f t="shared" si="21"/>
        <v>2037</v>
      </c>
      <c r="C265" s="13">
        <f t="shared" si="21"/>
        <v>2037</v>
      </c>
      <c r="E265" s="13">
        <f t="shared" si="20"/>
        <v>2231</v>
      </c>
      <c r="F265" s="13" cm="1">
        <f t="array" ref="F265">INDEX(GMWQ!$A$2:$NF$60,MATCH(1,(GMWQ!$NE$2:$NE$60=F$3)*(GMWQ!$ND$2:$ND$60=F$4)*(GMWQ!$NF$2:$NF$60=F$1),0),$E265-1966)</f>
        <v>200.1857</v>
      </c>
      <c r="G265" s="13" cm="1">
        <f t="array" ref="G265">INDEX(GMWQ!$A$2:$NF$60,MATCH(1,(GMWQ!$NE$2:$NE$60=G$3)*(GMWQ!$ND$2:$ND$60=G$4)*(GMWQ!$NF$2:$NF$60=G$1),0),$E265-1966)</f>
        <v>74485.66</v>
      </c>
      <c r="H265" s="13" cm="1">
        <f t="array" ref="H265">INDEX(GMWQ!$A$2:$NF$60,MATCH(1,(GMWQ!$NE$2:$NE$60=H$3)*(GMWQ!$ND$2:$ND$60=H$4)*(GMWQ!$NF$2:$NF$60=H$1),0),$E265-1966)</f>
        <v>1022.54</v>
      </c>
      <c r="I265" s="13" cm="1">
        <f t="array" ref="I265">INDEX(GMWQ!$A$2:$NF$60,MATCH(1,(GMWQ!$NE$2:$NE$60=I$3)*(GMWQ!$ND$2:$ND$60=I$4)*(GMWQ!$NF$2:$NF$60=I$1),0),$E265-1966)</f>
        <v>248670.7</v>
      </c>
      <c r="J265" s="13" cm="1">
        <f t="array" ref="J265">INDEX(GMWQ!$A$2:$NF$60,MATCH(1,(GMWQ!$NE$2:$NE$60=J$3)*(GMWQ!$ND$2:$ND$60=J$4)*(GMWQ!$NF$2:$NF$60=J$1),0),$E265-1966)</f>
        <v>1161070</v>
      </c>
      <c r="K265" s="13" cm="1">
        <f t="array" ref="K265">INDEX(GMWQ!$A$2:$NF$60,MATCH(1,(GMWQ!$NE$2:$NE$60=K$3)*(GMWQ!$ND$2:$ND$60=K$4)*(GMWQ!$NF$2:$NF$60=K$1),0),$E265-1966)</f>
        <v>470551.2</v>
      </c>
      <c r="L265" s="13" cm="1">
        <f t="array" ref="L265">INDEX(GMWQ!$A$2:$NF$60,MATCH(1,(GMWQ!$NE$2:$NE$60=L$3)*(GMWQ!$ND$2:$ND$60=L$4)*(GMWQ!$NF$2:$NF$60=L$1),0),$E265-1966)</f>
        <v>743278.3</v>
      </c>
      <c r="M265" s="13" cm="1">
        <f t="array" ref="M265">INDEX(GMWQ!$A$2:$NF$60,MATCH(1,(GMWQ!$NE$2:$NE$60=M$3)*(GMWQ!$ND$2:$ND$60=M$4)*(GMWQ!$NF$2:$NF$60=M$1),0),$E265-1966)</f>
        <v>515331.1</v>
      </c>
      <c r="N265" s="13" cm="1">
        <f t="array" ref="N265">INDEX(GMWQ!$A$2:$NF$60,MATCH(1,(GMWQ!$NE$2:$NE$60=N$3)*(GMWQ!$ND$2:$ND$60=N$4)*(GMWQ!$NF$2:$NF$60=N$1),0),$E265-1966)</f>
        <v>144.19059999999999</v>
      </c>
      <c r="O265" s="13" cm="1">
        <f t="array" ref="O265">INDEX(GMWQ!$A$2:$NF$60,MATCH(1,(GMWQ!$NE$2:$NE$60=O$3)*(GMWQ!$ND$2:$ND$60=O$4)*(GMWQ!$NF$2:$NF$60=O$1),0),$E265-1966)</f>
        <v>37319.71</v>
      </c>
      <c r="P265" s="13" cm="1">
        <f t="array" ref="P265">INDEX(GMWQ!$A$2:$NF$60,MATCH(1,(GMWQ!$NE$2:$NE$60=P$3)*(GMWQ!$ND$2:$ND$60=P$4)*(GMWQ!$NF$2:$NF$60=P$1),0),$E265-1966)</f>
        <v>36817.75</v>
      </c>
      <c r="Q265" s="13" cm="1">
        <f t="array" ref="Q265">INDEX(GMWQ!$A$2:$NF$60,MATCH(1,(GMWQ!$NE$2:$NE$60=Q$3)*(GMWQ!$ND$2:$ND$60=Q$4)*(GMWQ!$NF$2:$NF$60=Q$1),0),$E265-1966)</f>
        <v>34920.17</v>
      </c>
    </row>
    <row r="266" spans="1:17" x14ac:dyDescent="0.25">
      <c r="B266" s="13">
        <f t="shared" si="21"/>
        <v>2037</v>
      </c>
      <c r="C266" s="13">
        <f t="shared" si="21"/>
        <v>2037</v>
      </c>
      <c r="E266" s="13">
        <f t="shared" si="20"/>
        <v>2232</v>
      </c>
      <c r="F266" s="13" cm="1">
        <f t="array" ref="F266">INDEX(GMWQ!$A$2:$NF$60,MATCH(1,(GMWQ!$NE$2:$NE$60=F$3)*(GMWQ!$ND$2:$ND$60=F$4)*(GMWQ!$NF$2:$NF$60=F$1),0),$E266-1966)</f>
        <v>201.1943</v>
      </c>
      <c r="G266" s="13" cm="1">
        <f t="array" ref="G266">INDEX(GMWQ!$A$2:$NF$60,MATCH(1,(GMWQ!$NE$2:$NE$60=G$3)*(GMWQ!$ND$2:$ND$60=G$4)*(GMWQ!$NF$2:$NF$60=G$1),0),$E266-1966)</f>
        <v>75146.570000000007</v>
      </c>
      <c r="H266" s="13" cm="1">
        <f t="array" ref="H266">INDEX(GMWQ!$A$2:$NF$60,MATCH(1,(GMWQ!$NE$2:$NE$60=H$3)*(GMWQ!$ND$2:$ND$60=H$4)*(GMWQ!$NF$2:$NF$60=H$1),0),$E266-1966)</f>
        <v>1030.461</v>
      </c>
      <c r="I266" s="13" cm="1">
        <f t="array" ref="I266">INDEX(GMWQ!$A$2:$NF$60,MATCH(1,(GMWQ!$NE$2:$NE$60=I$3)*(GMWQ!$ND$2:$ND$60=I$4)*(GMWQ!$NF$2:$NF$60=I$1),0),$E266-1966)</f>
        <v>250890.1</v>
      </c>
      <c r="J266" s="13" cm="1">
        <f t="array" ref="J266">INDEX(GMWQ!$A$2:$NF$60,MATCH(1,(GMWQ!$NE$2:$NE$60=J$3)*(GMWQ!$ND$2:$ND$60=J$4)*(GMWQ!$NF$2:$NF$60=J$1),0),$E266-1966)</f>
        <v>1171756</v>
      </c>
      <c r="K266" s="13" cm="1">
        <f t="array" ref="K266">INDEX(GMWQ!$A$2:$NF$60,MATCH(1,(GMWQ!$NE$2:$NE$60=K$3)*(GMWQ!$ND$2:$ND$60=K$4)*(GMWQ!$NF$2:$NF$60=K$1),0),$E266-1966)</f>
        <v>474726.40000000002</v>
      </c>
      <c r="L266" s="13" cm="1">
        <f t="array" ref="L266">INDEX(GMWQ!$A$2:$NF$60,MATCH(1,(GMWQ!$NE$2:$NE$60=L$3)*(GMWQ!$ND$2:$ND$60=L$4)*(GMWQ!$NF$2:$NF$60=L$1),0),$E266-1966)</f>
        <v>749733.8</v>
      </c>
      <c r="M266" s="13" cm="1">
        <f t="array" ref="M266">INDEX(GMWQ!$A$2:$NF$60,MATCH(1,(GMWQ!$NE$2:$NE$60=M$3)*(GMWQ!$ND$2:$ND$60=M$4)*(GMWQ!$NF$2:$NF$60=M$1),0),$E266-1966)</f>
        <v>517241.4</v>
      </c>
      <c r="N266" s="13" cm="1">
        <f t="array" ref="N266">INDEX(GMWQ!$A$2:$NF$60,MATCH(1,(GMWQ!$NE$2:$NE$60=N$3)*(GMWQ!$ND$2:$ND$60=N$4)*(GMWQ!$NF$2:$NF$60=N$1),0),$E266-1966)</f>
        <v>144.90610000000001</v>
      </c>
      <c r="O266" s="13" cm="1">
        <f t="array" ref="O266">INDEX(GMWQ!$A$2:$NF$60,MATCH(1,(GMWQ!$NE$2:$NE$60=O$3)*(GMWQ!$ND$2:$ND$60=O$4)*(GMWQ!$NF$2:$NF$60=O$1),0),$E266-1966)</f>
        <v>37361.25</v>
      </c>
      <c r="P266" s="13" cm="1">
        <f t="array" ref="P266">INDEX(GMWQ!$A$2:$NF$60,MATCH(1,(GMWQ!$NE$2:$NE$60=P$3)*(GMWQ!$ND$2:$ND$60=P$4)*(GMWQ!$NF$2:$NF$60=P$1),0),$E266-1966)</f>
        <v>36855.879999999997</v>
      </c>
      <c r="Q266" s="13" cm="1">
        <f t="array" ref="Q266">INDEX(GMWQ!$A$2:$NF$60,MATCH(1,(GMWQ!$NE$2:$NE$60=Q$3)*(GMWQ!$ND$2:$ND$60=Q$4)*(GMWQ!$NF$2:$NF$60=Q$1),0),$E266-1966)</f>
        <v>34938.76</v>
      </c>
    </row>
    <row r="267" spans="1:17" x14ac:dyDescent="0.25">
      <c r="A267" s="13">
        <v>2038</v>
      </c>
      <c r="B267" s="13">
        <f t="shared" si="21"/>
        <v>2038</v>
      </c>
      <c r="C267" s="13">
        <f t="shared" si="21"/>
        <v>2037</v>
      </c>
      <c r="D267" s="13">
        <f t="shared" si="21"/>
        <v>2037</v>
      </c>
      <c r="E267" s="13">
        <f t="shared" si="20"/>
        <v>2233</v>
      </c>
      <c r="F267" s="13" cm="1">
        <f t="array" ref="F267">INDEX(GMWQ!$A$2:$NF$60,MATCH(1,(GMWQ!$NE$2:$NE$60=F$3)*(GMWQ!$ND$2:$ND$60=F$4)*(GMWQ!$NF$2:$NF$60=F$1),0),$E267-1966)</f>
        <v>202.19560000000001</v>
      </c>
      <c r="G267" s="13" cm="1">
        <f t="array" ref="G267">INDEX(GMWQ!$A$2:$NF$60,MATCH(1,(GMWQ!$NE$2:$NE$60=G$3)*(GMWQ!$ND$2:$ND$60=G$4)*(GMWQ!$NF$2:$NF$60=G$1),0),$E267-1966)</f>
        <v>75815.02</v>
      </c>
      <c r="H267" s="13" cm="1">
        <f t="array" ref="H267">INDEX(GMWQ!$A$2:$NF$60,MATCH(1,(GMWQ!$NE$2:$NE$60=H$3)*(GMWQ!$ND$2:$ND$60=H$4)*(GMWQ!$NF$2:$NF$60=H$1),0),$E267-1966)</f>
        <v>1038.4670000000001</v>
      </c>
      <c r="I267" s="13" cm="1">
        <f t="array" ref="I267">INDEX(GMWQ!$A$2:$NF$60,MATCH(1,(GMWQ!$NE$2:$NE$60=I$3)*(GMWQ!$ND$2:$ND$60=I$4)*(GMWQ!$NF$2:$NF$60=I$1),0),$E267-1966)</f>
        <v>253260.5</v>
      </c>
      <c r="J267" s="13" cm="1">
        <f t="array" ref="J267">INDEX(GMWQ!$A$2:$NF$60,MATCH(1,(GMWQ!$NE$2:$NE$60=J$3)*(GMWQ!$ND$2:$ND$60=J$4)*(GMWQ!$NF$2:$NF$60=J$1),0),$E267-1966)</f>
        <v>1182649</v>
      </c>
      <c r="K267" s="13" cm="1">
        <f t="array" ref="K267">INDEX(GMWQ!$A$2:$NF$60,MATCH(1,(GMWQ!$NE$2:$NE$60=K$3)*(GMWQ!$ND$2:$ND$60=K$4)*(GMWQ!$NF$2:$NF$60=K$1),0),$E267-1966)</f>
        <v>478949.2</v>
      </c>
      <c r="L267" s="13" cm="1">
        <f t="array" ref="L267">INDEX(GMWQ!$A$2:$NF$60,MATCH(1,(GMWQ!$NE$2:$NE$60=L$3)*(GMWQ!$ND$2:$ND$60=L$4)*(GMWQ!$NF$2:$NF$60=L$1),0),$E267-1966)</f>
        <v>756246.2</v>
      </c>
      <c r="M267" s="13" cm="1">
        <f t="array" ref="M267">INDEX(GMWQ!$A$2:$NF$60,MATCH(1,(GMWQ!$NE$2:$NE$60=M$3)*(GMWQ!$ND$2:$ND$60=M$4)*(GMWQ!$NF$2:$NF$60=M$1),0),$E267-1966)</f>
        <v>519159.7</v>
      </c>
      <c r="N267" s="13" cm="1">
        <f t="array" ref="N267">INDEX(GMWQ!$A$2:$NF$60,MATCH(1,(GMWQ!$NE$2:$NE$60=N$3)*(GMWQ!$ND$2:$ND$60=N$4)*(GMWQ!$NF$2:$NF$60=N$1),0),$E267-1966)</f>
        <v>145.6251</v>
      </c>
      <c r="O267" s="13" cm="1">
        <f t="array" ref="O267">INDEX(GMWQ!$A$2:$NF$60,MATCH(1,(GMWQ!$NE$2:$NE$60=O$3)*(GMWQ!$ND$2:$ND$60=O$4)*(GMWQ!$NF$2:$NF$60=O$1),0),$E267-1966)</f>
        <v>37402.78</v>
      </c>
      <c r="P267" s="13" cm="1">
        <f t="array" ref="P267">INDEX(GMWQ!$A$2:$NF$60,MATCH(1,(GMWQ!$NE$2:$NE$60=P$3)*(GMWQ!$ND$2:$ND$60=P$4)*(GMWQ!$NF$2:$NF$60=P$1),0),$E267-1966)</f>
        <v>36894.01</v>
      </c>
      <c r="Q267" s="13" cm="1">
        <f t="array" ref="Q267">INDEX(GMWQ!$A$2:$NF$60,MATCH(1,(GMWQ!$NE$2:$NE$60=Q$3)*(GMWQ!$ND$2:$ND$60=Q$4)*(GMWQ!$NF$2:$NF$60=Q$1),0),$E267-1966)</f>
        <v>34957.360000000001</v>
      </c>
    </row>
    <row r="268" spans="1:17" x14ac:dyDescent="0.25">
      <c r="B268" s="13">
        <f t="shared" ref="B268:D283" si="22">+B264+1</f>
        <v>2038</v>
      </c>
      <c r="C268" s="13">
        <f t="shared" si="22"/>
        <v>2038</v>
      </c>
      <c r="E268" s="13">
        <f t="shared" si="20"/>
        <v>2234</v>
      </c>
      <c r="F268" s="13" cm="1">
        <f t="array" ref="F268">INDEX(GMWQ!$A$2:$NF$60,MATCH(1,(GMWQ!$NE$2:$NE$60=F$3)*(GMWQ!$ND$2:$ND$60=F$4)*(GMWQ!$NF$2:$NF$60=F$1),0),$E268-1966)</f>
        <v>203.2062</v>
      </c>
      <c r="G268" s="13" cm="1">
        <f t="array" ref="G268">INDEX(GMWQ!$A$2:$NF$60,MATCH(1,(GMWQ!$NE$2:$NE$60=G$3)*(GMWQ!$ND$2:$ND$60=G$4)*(GMWQ!$NF$2:$NF$60=G$1),0),$E268-1966)</f>
        <v>76491.02</v>
      </c>
      <c r="H268" s="13" cm="1">
        <f t="array" ref="H268">INDEX(GMWQ!$A$2:$NF$60,MATCH(1,(GMWQ!$NE$2:$NE$60=H$3)*(GMWQ!$ND$2:$ND$60=H$4)*(GMWQ!$NF$2:$NF$60=H$1),0),$E268-1966)</f>
        <v>1046.559</v>
      </c>
      <c r="I268" s="13" cm="1">
        <f t="array" ref="I268">INDEX(GMWQ!$A$2:$NF$60,MATCH(1,(GMWQ!$NE$2:$NE$60=I$3)*(GMWQ!$ND$2:$ND$60=I$4)*(GMWQ!$NF$2:$NF$60=I$1),0),$E268-1966)</f>
        <v>255756.7</v>
      </c>
      <c r="J268" s="13" cm="1">
        <f t="array" ref="J268">INDEX(GMWQ!$A$2:$NF$60,MATCH(1,(GMWQ!$NE$2:$NE$60=J$3)*(GMWQ!$ND$2:$ND$60=J$4)*(GMWQ!$NF$2:$NF$60=J$1),0),$E268-1966)</f>
        <v>1193646</v>
      </c>
      <c r="K268" s="13" cm="1">
        <f t="array" ref="K268">INDEX(GMWQ!$A$2:$NF$60,MATCH(1,(GMWQ!$NE$2:$NE$60=K$3)*(GMWQ!$ND$2:$ND$60=K$4)*(GMWQ!$NF$2:$NF$60=K$1),0),$E268-1966)</f>
        <v>483219.7</v>
      </c>
      <c r="L268" s="13" cm="1">
        <f t="array" ref="L268">INDEX(GMWQ!$A$2:$NF$60,MATCH(1,(GMWQ!$NE$2:$NE$60=L$3)*(GMWQ!$ND$2:$ND$60=L$4)*(GMWQ!$NF$2:$NF$60=L$1),0),$E268-1966)</f>
        <v>762878.7</v>
      </c>
      <c r="M268" s="13" cm="1">
        <f t="array" ref="M268">INDEX(GMWQ!$A$2:$NF$60,MATCH(1,(GMWQ!$NE$2:$NE$60=M$3)*(GMWQ!$ND$2:$ND$60=M$4)*(GMWQ!$NF$2:$NF$60=M$1),0),$E268-1966)</f>
        <v>521128.3</v>
      </c>
      <c r="N268" s="13" cm="1">
        <f t="array" ref="N268">INDEX(GMWQ!$A$2:$NF$60,MATCH(1,(GMWQ!$NE$2:$NE$60=N$3)*(GMWQ!$ND$2:$ND$60=N$4)*(GMWQ!$NF$2:$NF$60=N$1),0),$E268-1966)</f>
        <v>146.3477</v>
      </c>
      <c r="O268" s="13" cm="1">
        <f t="array" ref="O268">INDEX(GMWQ!$A$2:$NF$60,MATCH(1,(GMWQ!$NE$2:$NE$60=O$3)*(GMWQ!$ND$2:$ND$60=O$4)*(GMWQ!$NF$2:$NF$60=O$1),0),$E268-1966)</f>
        <v>37444.32</v>
      </c>
      <c r="P268" s="13" cm="1">
        <f t="array" ref="P268">INDEX(GMWQ!$A$2:$NF$60,MATCH(1,(GMWQ!$NE$2:$NE$60=P$3)*(GMWQ!$ND$2:$ND$60=P$4)*(GMWQ!$NF$2:$NF$60=P$1),0),$E268-1966)</f>
        <v>36932.14</v>
      </c>
      <c r="Q268" s="13" cm="1">
        <f t="array" ref="Q268">INDEX(GMWQ!$A$2:$NF$60,MATCH(1,(GMWQ!$NE$2:$NE$60=Q$3)*(GMWQ!$ND$2:$ND$60=Q$4)*(GMWQ!$NF$2:$NF$60=Q$1),0),$E268-1966)</f>
        <v>34975.949999999997</v>
      </c>
    </row>
    <row r="269" spans="1:17" x14ac:dyDescent="0.25">
      <c r="B269" s="13">
        <f t="shared" si="22"/>
        <v>2038</v>
      </c>
      <c r="C269" s="13">
        <f t="shared" si="22"/>
        <v>2038</v>
      </c>
      <c r="E269" s="13">
        <f t="shared" si="20"/>
        <v>2235</v>
      </c>
      <c r="F269" s="13" cm="1">
        <f t="array" ref="F269">INDEX(GMWQ!$A$2:$NF$60,MATCH(1,(GMWQ!$NE$2:$NE$60=F$3)*(GMWQ!$ND$2:$ND$60=F$4)*(GMWQ!$NF$2:$NF$60=F$1),0),$E269-1966)</f>
        <v>204.2261</v>
      </c>
      <c r="G269" s="13" cm="1">
        <f t="array" ref="G269">INDEX(GMWQ!$A$2:$NF$60,MATCH(1,(GMWQ!$NE$2:$NE$60=G$3)*(GMWQ!$ND$2:$ND$60=G$4)*(GMWQ!$NF$2:$NF$60=G$1),0),$E269-1966)</f>
        <v>77174.740000000005</v>
      </c>
      <c r="H269" s="13" cm="1">
        <f t="array" ref="H269">INDEX(GMWQ!$A$2:$NF$60,MATCH(1,(GMWQ!$NE$2:$NE$60=H$3)*(GMWQ!$ND$2:$ND$60=H$4)*(GMWQ!$NF$2:$NF$60=H$1),0),$E269-1966)</f>
        <v>1054.739</v>
      </c>
      <c r="I269" s="13" cm="1">
        <f t="array" ref="I269">INDEX(GMWQ!$A$2:$NF$60,MATCH(1,(GMWQ!$NE$2:$NE$60=I$3)*(GMWQ!$ND$2:$ND$60=I$4)*(GMWQ!$NF$2:$NF$60=I$1),0),$E269-1966)</f>
        <v>257999.8</v>
      </c>
      <c r="J269" s="13" cm="1">
        <f t="array" ref="J269">INDEX(GMWQ!$A$2:$NF$60,MATCH(1,(GMWQ!$NE$2:$NE$60=J$3)*(GMWQ!$ND$2:$ND$60=J$4)*(GMWQ!$NF$2:$NF$60=J$1),0),$E269-1966)</f>
        <v>1204747</v>
      </c>
      <c r="K269" s="13" cm="1">
        <f t="array" ref="K269">INDEX(GMWQ!$A$2:$NF$60,MATCH(1,(GMWQ!$NE$2:$NE$60=K$3)*(GMWQ!$ND$2:$ND$60=K$4)*(GMWQ!$NF$2:$NF$60=K$1),0),$E269-1966)</f>
        <v>487539</v>
      </c>
      <c r="L269" s="13" cm="1">
        <f t="array" ref="L269">INDEX(GMWQ!$A$2:$NF$60,MATCH(1,(GMWQ!$NE$2:$NE$60=L$3)*(GMWQ!$ND$2:$ND$60=L$4)*(GMWQ!$NF$2:$NF$60=L$1),0),$E269-1966)</f>
        <v>769570.3</v>
      </c>
      <c r="M269" s="13" cm="1">
        <f t="array" ref="M269">INDEX(GMWQ!$A$2:$NF$60,MATCH(1,(GMWQ!$NE$2:$NE$60=M$3)*(GMWQ!$ND$2:$ND$60=M$4)*(GMWQ!$NF$2:$NF$60=M$1),0),$E269-1966)</f>
        <v>523105</v>
      </c>
      <c r="N269" s="13" cm="1">
        <f t="array" ref="N269">INDEX(GMWQ!$A$2:$NF$60,MATCH(1,(GMWQ!$NE$2:$NE$60=N$3)*(GMWQ!$ND$2:$ND$60=N$4)*(GMWQ!$NF$2:$NF$60=N$1),0),$E269-1966)</f>
        <v>147.07390000000001</v>
      </c>
      <c r="O269" s="13" cm="1">
        <f t="array" ref="O269">INDEX(GMWQ!$A$2:$NF$60,MATCH(1,(GMWQ!$NE$2:$NE$60=O$3)*(GMWQ!$ND$2:$ND$60=O$4)*(GMWQ!$NF$2:$NF$60=O$1),0),$E269-1966)</f>
        <v>37485.86</v>
      </c>
      <c r="P269" s="13" cm="1">
        <f t="array" ref="P269">INDEX(GMWQ!$A$2:$NF$60,MATCH(1,(GMWQ!$NE$2:$NE$60=P$3)*(GMWQ!$ND$2:$ND$60=P$4)*(GMWQ!$NF$2:$NF$60=P$1),0),$E269-1966)</f>
        <v>36970.269999999997</v>
      </c>
      <c r="Q269" s="13" cm="1">
        <f t="array" ref="Q269">INDEX(GMWQ!$A$2:$NF$60,MATCH(1,(GMWQ!$NE$2:$NE$60=Q$3)*(GMWQ!$ND$2:$ND$60=Q$4)*(GMWQ!$NF$2:$NF$60=Q$1),0),$E269-1966)</f>
        <v>34994.54</v>
      </c>
    </row>
    <row r="270" spans="1:17" x14ac:dyDescent="0.25">
      <c r="B270" s="13">
        <f t="shared" si="22"/>
        <v>2038</v>
      </c>
      <c r="C270" s="13">
        <f t="shared" si="22"/>
        <v>2038</v>
      </c>
      <c r="E270" s="13">
        <f t="shared" si="20"/>
        <v>2236</v>
      </c>
      <c r="F270" s="13" cm="1">
        <f t="array" ref="F270">INDEX(GMWQ!$A$2:$NF$60,MATCH(1,(GMWQ!$NE$2:$NE$60=F$3)*(GMWQ!$ND$2:$ND$60=F$4)*(GMWQ!$NF$2:$NF$60=F$1),0),$E270-1966)</f>
        <v>205.25559999999999</v>
      </c>
      <c r="G270" s="13" cm="1">
        <f t="array" ref="G270">INDEX(GMWQ!$A$2:$NF$60,MATCH(1,(GMWQ!$NE$2:$NE$60=G$3)*(GMWQ!$ND$2:$ND$60=G$4)*(GMWQ!$NF$2:$NF$60=G$1),0),$E270-1966)</f>
        <v>77866.36</v>
      </c>
      <c r="H270" s="13" cm="1">
        <f t="array" ref="H270">INDEX(GMWQ!$A$2:$NF$60,MATCH(1,(GMWQ!$NE$2:$NE$60=H$3)*(GMWQ!$ND$2:$ND$60=H$4)*(GMWQ!$NF$2:$NF$60=H$1),0),$E270-1966)</f>
        <v>1063.008</v>
      </c>
      <c r="I270" s="13" cm="1">
        <f t="array" ref="I270">INDEX(GMWQ!$A$2:$NF$60,MATCH(1,(GMWQ!$NE$2:$NE$60=I$3)*(GMWQ!$ND$2:$ND$60=I$4)*(GMWQ!$NF$2:$NF$60=I$1),0),$E270-1966)</f>
        <v>260327.9</v>
      </c>
      <c r="J270" s="13" cm="1">
        <f t="array" ref="J270">INDEX(GMWQ!$A$2:$NF$60,MATCH(1,(GMWQ!$NE$2:$NE$60=J$3)*(GMWQ!$ND$2:$ND$60=J$4)*(GMWQ!$NF$2:$NF$60=J$1),0),$E270-1966)</f>
        <v>1215953</v>
      </c>
      <c r="K270" s="13" cm="1">
        <f t="array" ref="K270">INDEX(GMWQ!$A$2:$NF$60,MATCH(1,(GMWQ!$NE$2:$NE$60=K$3)*(GMWQ!$ND$2:$ND$60=K$4)*(GMWQ!$NF$2:$NF$60=K$1),0),$E270-1966)</f>
        <v>491908.2</v>
      </c>
      <c r="L270" s="13" cm="1">
        <f t="array" ref="L270">INDEX(GMWQ!$A$2:$NF$60,MATCH(1,(GMWQ!$NE$2:$NE$60=L$3)*(GMWQ!$ND$2:$ND$60=L$4)*(GMWQ!$NF$2:$NF$60=L$1),0),$E270-1966)</f>
        <v>776322.3</v>
      </c>
      <c r="M270" s="13" cm="1">
        <f t="array" ref="M270">INDEX(GMWQ!$A$2:$NF$60,MATCH(1,(GMWQ!$NE$2:$NE$60=M$3)*(GMWQ!$ND$2:$ND$60=M$4)*(GMWQ!$NF$2:$NF$60=M$1),0),$E270-1966)</f>
        <v>525090.4</v>
      </c>
      <c r="N270" s="13" cm="1">
        <f t="array" ref="N270">INDEX(GMWQ!$A$2:$NF$60,MATCH(1,(GMWQ!$NE$2:$NE$60=N$3)*(GMWQ!$ND$2:$ND$60=N$4)*(GMWQ!$NF$2:$NF$60=N$1),0),$E270-1966)</f>
        <v>147.80369999999999</v>
      </c>
      <c r="O270" s="13" cm="1">
        <f t="array" ref="O270">INDEX(GMWQ!$A$2:$NF$60,MATCH(1,(GMWQ!$NE$2:$NE$60=O$3)*(GMWQ!$ND$2:$ND$60=O$4)*(GMWQ!$NF$2:$NF$60=O$1),0),$E270-1966)</f>
        <v>37527.39</v>
      </c>
      <c r="P270" s="13" cm="1">
        <f t="array" ref="P270">INDEX(GMWQ!$A$2:$NF$60,MATCH(1,(GMWQ!$NE$2:$NE$60=P$3)*(GMWQ!$ND$2:$ND$60=P$4)*(GMWQ!$NF$2:$NF$60=P$1),0),$E270-1966)</f>
        <v>37008.39</v>
      </c>
      <c r="Q270" s="13" cm="1">
        <f t="array" ref="Q270">INDEX(GMWQ!$A$2:$NF$60,MATCH(1,(GMWQ!$NE$2:$NE$60=Q$3)*(GMWQ!$ND$2:$ND$60=Q$4)*(GMWQ!$NF$2:$NF$60=Q$1),0),$E270-1966)</f>
        <v>35013.129999999997</v>
      </c>
    </row>
    <row r="271" spans="1:17" x14ac:dyDescent="0.25">
      <c r="A271" s="13">
        <v>2039</v>
      </c>
      <c r="B271" s="13">
        <f t="shared" si="22"/>
        <v>2039</v>
      </c>
      <c r="C271" s="13">
        <f t="shared" si="22"/>
        <v>2038</v>
      </c>
      <c r="D271" s="13">
        <f t="shared" si="22"/>
        <v>2038</v>
      </c>
      <c r="E271" s="13">
        <f t="shared" si="20"/>
        <v>2237</v>
      </c>
      <c r="F271" s="13" cm="1">
        <f t="array" ref="F271">INDEX(GMWQ!$A$2:$NF$60,MATCH(1,(GMWQ!$NE$2:$NE$60=F$3)*(GMWQ!$ND$2:$ND$60=F$4)*(GMWQ!$NF$2:$NF$60=F$1),0),$E271-1966)</f>
        <v>206.2903</v>
      </c>
      <c r="G271" s="13" cm="1">
        <f t="array" ref="G271">INDEX(GMWQ!$A$2:$NF$60,MATCH(1,(GMWQ!$NE$2:$NE$60=G$3)*(GMWQ!$ND$2:$ND$60=G$4)*(GMWQ!$NF$2:$NF$60=G$1),0),$E271-1966)</f>
        <v>78564.28</v>
      </c>
      <c r="H271" s="13" cm="1">
        <f t="array" ref="H271">INDEX(GMWQ!$A$2:$NF$60,MATCH(1,(GMWQ!$NE$2:$NE$60=H$3)*(GMWQ!$ND$2:$ND$60=H$4)*(GMWQ!$NF$2:$NF$60=H$1),0),$E271-1966)</f>
        <v>1071.345</v>
      </c>
      <c r="I271" s="13" cm="1">
        <f t="array" ref="I271">INDEX(GMWQ!$A$2:$NF$60,MATCH(1,(GMWQ!$NE$2:$NE$60=I$3)*(GMWQ!$ND$2:$ND$60=I$4)*(GMWQ!$NF$2:$NF$60=I$1),0),$E271-1966)</f>
        <v>262813.2</v>
      </c>
      <c r="J271" s="13" cm="1">
        <f t="array" ref="J271">INDEX(GMWQ!$A$2:$NF$60,MATCH(1,(GMWQ!$NE$2:$NE$60=J$3)*(GMWQ!$ND$2:$ND$60=J$4)*(GMWQ!$NF$2:$NF$60=J$1),0),$E271-1966)</f>
        <v>1227266</v>
      </c>
      <c r="K271" s="13" cm="1">
        <f t="array" ref="K271">INDEX(GMWQ!$A$2:$NF$60,MATCH(1,(GMWQ!$NE$2:$NE$60=K$3)*(GMWQ!$ND$2:$ND$60=K$4)*(GMWQ!$NF$2:$NF$60=K$1),0),$E271-1966)</f>
        <v>496317.2</v>
      </c>
      <c r="L271" s="13" cm="1">
        <f t="array" ref="L271">INDEX(GMWQ!$A$2:$NF$60,MATCH(1,(GMWQ!$NE$2:$NE$60=L$3)*(GMWQ!$ND$2:$ND$60=L$4)*(GMWQ!$NF$2:$NF$60=L$1),0),$E271-1966)</f>
        <v>783134.9</v>
      </c>
      <c r="M271" s="13" cm="1">
        <f t="array" ref="M271">INDEX(GMWQ!$A$2:$NF$60,MATCH(1,(GMWQ!$NE$2:$NE$60=M$3)*(GMWQ!$ND$2:$ND$60=M$4)*(GMWQ!$NF$2:$NF$60=M$1),0),$E271-1966)</f>
        <v>527084.30000000005</v>
      </c>
      <c r="N271" s="13" cm="1">
        <f t="array" ref="N271">INDEX(GMWQ!$A$2:$NF$60,MATCH(1,(GMWQ!$NE$2:$NE$60=N$3)*(GMWQ!$ND$2:$ND$60=N$4)*(GMWQ!$NF$2:$NF$60=N$1),0),$E271-1966)</f>
        <v>148.53710000000001</v>
      </c>
      <c r="O271" s="13" cm="1">
        <f t="array" ref="O271">INDEX(GMWQ!$A$2:$NF$60,MATCH(1,(GMWQ!$NE$2:$NE$60=O$3)*(GMWQ!$ND$2:$ND$60=O$4)*(GMWQ!$NF$2:$NF$60=O$1),0),$E271-1966)</f>
        <v>37568.93</v>
      </c>
      <c r="P271" s="13" cm="1">
        <f t="array" ref="P271">INDEX(GMWQ!$A$2:$NF$60,MATCH(1,(GMWQ!$NE$2:$NE$60=P$3)*(GMWQ!$ND$2:$ND$60=P$4)*(GMWQ!$NF$2:$NF$60=P$1),0),$E271-1966)</f>
        <v>37046.519999999997</v>
      </c>
      <c r="Q271" s="13" cm="1">
        <f t="array" ref="Q271">INDEX(GMWQ!$A$2:$NF$60,MATCH(1,(GMWQ!$NE$2:$NE$60=Q$3)*(GMWQ!$ND$2:$ND$60=Q$4)*(GMWQ!$NF$2:$NF$60=Q$1),0),$E271-1966)</f>
        <v>35031.71</v>
      </c>
    </row>
    <row r="272" spans="1:17" x14ac:dyDescent="0.25">
      <c r="B272" s="13">
        <f t="shared" si="22"/>
        <v>2039</v>
      </c>
      <c r="C272" s="13">
        <f t="shared" si="22"/>
        <v>2039</v>
      </c>
      <c r="E272" s="13">
        <f t="shared" si="20"/>
        <v>2238</v>
      </c>
      <c r="F272" s="13" cm="1">
        <f t="array" ref="F272">INDEX(GMWQ!$A$2:$NF$60,MATCH(1,(GMWQ!$NE$2:$NE$60=F$3)*(GMWQ!$ND$2:$ND$60=F$4)*(GMWQ!$NF$2:$NF$60=F$1),0),$E272-1966)</f>
        <v>207.3304</v>
      </c>
      <c r="G272" s="13" cm="1">
        <f t="array" ref="G272">INDEX(GMWQ!$A$2:$NF$60,MATCH(1,(GMWQ!$NE$2:$NE$60=G$3)*(GMWQ!$ND$2:$ND$60=G$4)*(GMWQ!$NF$2:$NF$60=G$1),0),$E272-1966)</f>
        <v>79268.61</v>
      </c>
      <c r="H272" s="13" cm="1">
        <f t="array" ref="H272">INDEX(GMWQ!$A$2:$NF$60,MATCH(1,(GMWQ!$NE$2:$NE$60=H$3)*(GMWQ!$ND$2:$ND$60=H$4)*(GMWQ!$NF$2:$NF$60=H$1),0),$E272-1966)</f>
        <v>1079.75</v>
      </c>
      <c r="I272" s="13" cm="1">
        <f t="array" ref="I272">INDEX(GMWQ!$A$2:$NF$60,MATCH(1,(GMWQ!$NE$2:$NE$60=I$3)*(GMWQ!$ND$2:$ND$60=I$4)*(GMWQ!$NF$2:$NF$60=I$1),0),$E272-1966)</f>
        <v>265405.40000000002</v>
      </c>
      <c r="J272" s="13" cm="1">
        <f t="array" ref="J272">INDEX(GMWQ!$A$2:$NF$60,MATCH(1,(GMWQ!$NE$2:$NE$60=J$3)*(GMWQ!$ND$2:$ND$60=J$4)*(GMWQ!$NF$2:$NF$60=J$1),0),$E272-1966)</f>
        <v>1238685</v>
      </c>
      <c r="K272" s="13" cm="1">
        <f t="array" ref="K272">INDEX(GMWQ!$A$2:$NF$60,MATCH(1,(GMWQ!$NE$2:$NE$60=K$3)*(GMWQ!$ND$2:$ND$60=K$4)*(GMWQ!$NF$2:$NF$60=K$1),0),$E272-1966)</f>
        <v>500766.7</v>
      </c>
      <c r="L272" s="13" cm="1">
        <f t="array" ref="L272">INDEX(GMWQ!$A$2:$NF$60,MATCH(1,(GMWQ!$NE$2:$NE$60=L$3)*(GMWQ!$ND$2:$ND$60=L$4)*(GMWQ!$NF$2:$NF$60=L$1),0),$E272-1966)</f>
        <v>790008.4</v>
      </c>
      <c r="M272" s="13" cm="1">
        <f t="array" ref="M272">INDEX(GMWQ!$A$2:$NF$60,MATCH(1,(GMWQ!$NE$2:$NE$60=M$3)*(GMWQ!$ND$2:$ND$60=M$4)*(GMWQ!$NF$2:$NF$60=M$1),0),$E272-1966)</f>
        <v>529086.5</v>
      </c>
      <c r="N272" s="13" cm="1">
        <f t="array" ref="N272">INDEX(GMWQ!$A$2:$NF$60,MATCH(1,(GMWQ!$NE$2:$NE$60=N$3)*(GMWQ!$ND$2:$ND$60=N$4)*(GMWQ!$NF$2:$NF$60=N$1),0),$E272-1966)</f>
        <v>149.2741</v>
      </c>
      <c r="O272" s="13" cm="1">
        <f t="array" ref="O272">INDEX(GMWQ!$A$2:$NF$60,MATCH(1,(GMWQ!$NE$2:$NE$60=O$3)*(GMWQ!$ND$2:$ND$60=O$4)*(GMWQ!$NF$2:$NF$60=O$1),0),$E272-1966)</f>
        <v>37610.47</v>
      </c>
      <c r="P272" s="13" cm="1">
        <f t="array" ref="P272">INDEX(GMWQ!$A$2:$NF$60,MATCH(1,(GMWQ!$NE$2:$NE$60=P$3)*(GMWQ!$ND$2:$ND$60=P$4)*(GMWQ!$NF$2:$NF$60=P$1),0),$E272-1966)</f>
        <v>37084.65</v>
      </c>
      <c r="Q272" s="13" cm="1">
        <f t="array" ref="Q272">INDEX(GMWQ!$A$2:$NF$60,MATCH(1,(GMWQ!$NE$2:$NE$60=Q$3)*(GMWQ!$ND$2:$ND$60=Q$4)*(GMWQ!$NF$2:$NF$60=Q$1),0),$E272-1966)</f>
        <v>35050.31</v>
      </c>
    </row>
    <row r="273" spans="1:17" x14ac:dyDescent="0.25">
      <c r="B273" s="13">
        <f t="shared" si="22"/>
        <v>2039</v>
      </c>
      <c r="C273" s="13">
        <f t="shared" si="22"/>
        <v>2039</v>
      </c>
      <c r="E273" s="13">
        <f t="shared" si="20"/>
        <v>2239</v>
      </c>
      <c r="F273" s="13" cm="1">
        <f t="array" ref="F273">INDEX(GMWQ!$A$2:$NF$60,MATCH(1,(GMWQ!$NE$2:$NE$60=F$3)*(GMWQ!$ND$2:$ND$60=F$4)*(GMWQ!$NF$2:$NF$60=F$1),0),$E273-1966)</f>
        <v>208.37549999999999</v>
      </c>
      <c r="G273" s="13" cm="1">
        <f t="array" ref="G273">INDEX(GMWQ!$A$2:$NF$60,MATCH(1,(GMWQ!$NE$2:$NE$60=G$3)*(GMWQ!$ND$2:$ND$60=G$4)*(GMWQ!$NF$2:$NF$60=G$1),0),$E273-1966)</f>
        <v>79979.34</v>
      </c>
      <c r="H273" s="13" cm="1">
        <f t="array" ref="H273">INDEX(GMWQ!$A$2:$NF$60,MATCH(1,(GMWQ!$NE$2:$NE$60=H$3)*(GMWQ!$ND$2:$ND$60=H$4)*(GMWQ!$NF$2:$NF$60=H$1),0),$E273-1966)</f>
        <v>1088.2239999999999</v>
      </c>
      <c r="I273" s="13" cm="1">
        <f t="array" ref="I273">INDEX(GMWQ!$A$2:$NF$60,MATCH(1,(GMWQ!$NE$2:$NE$60=I$3)*(GMWQ!$ND$2:$ND$60=I$4)*(GMWQ!$NF$2:$NF$60=I$1),0),$E273-1966)</f>
        <v>267734.8</v>
      </c>
      <c r="J273" s="13" cm="1">
        <f t="array" ref="J273">INDEX(GMWQ!$A$2:$NF$60,MATCH(1,(GMWQ!$NE$2:$NE$60=J$3)*(GMWQ!$ND$2:$ND$60=J$4)*(GMWQ!$NF$2:$NF$60=J$1),0),$E273-1966)</f>
        <v>1250214</v>
      </c>
      <c r="K273" s="13" cm="1">
        <f t="array" ref="K273">INDEX(GMWQ!$A$2:$NF$60,MATCH(1,(GMWQ!$NE$2:$NE$60=K$3)*(GMWQ!$ND$2:$ND$60=K$4)*(GMWQ!$NF$2:$NF$60=K$1),0),$E273-1966)</f>
        <v>505256.6</v>
      </c>
      <c r="L273" s="13" cm="1">
        <f t="array" ref="L273">INDEX(GMWQ!$A$2:$NF$60,MATCH(1,(GMWQ!$NE$2:$NE$60=L$3)*(GMWQ!$ND$2:$ND$60=L$4)*(GMWQ!$NF$2:$NF$60=L$1),0),$E273-1966)</f>
        <v>796943.6</v>
      </c>
      <c r="M273" s="13" cm="1">
        <f t="array" ref="M273">INDEX(GMWQ!$A$2:$NF$60,MATCH(1,(GMWQ!$NE$2:$NE$60=M$3)*(GMWQ!$ND$2:$ND$60=M$4)*(GMWQ!$NF$2:$NF$60=M$1),0),$E273-1966)</f>
        <v>531097.19999999995</v>
      </c>
      <c r="N273" s="13" cm="1">
        <f t="array" ref="N273">INDEX(GMWQ!$A$2:$NF$60,MATCH(1,(GMWQ!$NE$2:$NE$60=N$3)*(GMWQ!$ND$2:$ND$60=N$4)*(GMWQ!$NF$2:$NF$60=N$1),0),$E273-1966)</f>
        <v>150.01480000000001</v>
      </c>
      <c r="O273" s="13" cm="1">
        <f t="array" ref="O273">INDEX(GMWQ!$A$2:$NF$60,MATCH(1,(GMWQ!$NE$2:$NE$60=O$3)*(GMWQ!$ND$2:$ND$60=O$4)*(GMWQ!$NF$2:$NF$60=O$1),0),$E273-1966)</f>
        <v>37652</v>
      </c>
      <c r="P273" s="13" cm="1">
        <f t="array" ref="P273">INDEX(GMWQ!$A$2:$NF$60,MATCH(1,(GMWQ!$NE$2:$NE$60=P$3)*(GMWQ!$ND$2:$ND$60=P$4)*(GMWQ!$NF$2:$NF$60=P$1),0),$E273-1966)</f>
        <v>37122.78</v>
      </c>
      <c r="Q273" s="13" cm="1">
        <f t="array" ref="Q273">INDEX(GMWQ!$A$2:$NF$60,MATCH(1,(GMWQ!$NE$2:$NE$60=Q$3)*(GMWQ!$ND$2:$ND$60=Q$4)*(GMWQ!$NF$2:$NF$60=Q$1),0),$E273-1966)</f>
        <v>35068.9</v>
      </c>
    </row>
    <row r="274" spans="1:17" x14ac:dyDescent="0.25">
      <c r="B274" s="13">
        <f t="shared" si="22"/>
        <v>2039</v>
      </c>
      <c r="C274" s="13">
        <f t="shared" si="22"/>
        <v>2039</v>
      </c>
      <c r="E274" s="13">
        <f t="shared" si="20"/>
        <v>2240</v>
      </c>
      <c r="F274" s="13" cm="1">
        <f t="array" ref="F274">INDEX(GMWQ!$A$2:$NF$60,MATCH(1,(GMWQ!$NE$2:$NE$60=F$3)*(GMWQ!$ND$2:$ND$60=F$4)*(GMWQ!$NF$2:$NF$60=F$1),0),$E274-1966)</f>
        <v>209.42619999999999</v>
      </c>
      <c r="G274" s="13" cm="1">
        <f t="array" ref="G274">INDEX(GMWQ!$A$2:$NF$60,MATCH(1,(GMWQ!$NE$2:$NE$60=G$3)*(GMWQ!$ND$2:$ND$60=G$4)*(GMWQ!$NF$2:$NF$60=G$1),0),$E274-1966)</f>
        <v>80696.649999999994</v>
      </c>
      <c r="H274" s="13" cm="1">
        <f t="array" ref="H274">INDEX(GMWQ!$A$2:$NF$60,MATCH(1,(GMWQ!$NE$2:$NE$60=H$3)*(GMWQ!$ND$2:$ND$60=H$4)*(GMWQ!$NF$2:$NF$60=H$1),0),$E274-1966)</f>
        <v>1096.769</v>
      </c>
      <c r="I274" s="13" cm="1">
        <f t="array" ref="I274">INDEX(GMWQ!$A$2:$NF$60,MATCH(1,(GMWQ!$NE$2:$NE$60=I$3)*(GMWQ!$ND$2:$ND$60=I$4)*(GMWQ!$NF$2:$NF$60=I$1),0),$E274-1966)</f>
        <v>270152.8</v>
      </c>
      <c r="J274" s="13" cm="1">
        <f t="array" ref="J274">INDEX(GMWQ!$A$2:$NF$60,MATCH(1,(GMWQ!$NE$2:$NE$60=J$3)*(GMWQ!$ND$2:$ND$60=J$4)*(GMWQ!$NF$2:$NF$60=J$1),0),$E274-1966)</f>
        <v>1261853</v>
      </c>
      <c r="K274" s="13" cm="1">
        <f t="array" ref="K274">INDEX(GMWQ!$A$2:$NF$60,MATCH(1,(GMWQ!$NE$2:$NE$60=K$3)*(GMWQ!$ND$2:$ND$60=K$4)*(GMWQ!$NF$2:$NF$60=K$1),0),$E274-1966)</f>
        <v>509788.1</v>
      </c>
      <c r="L274" s="13" cm="1">
        <f t="array" ref="L274">INDEX(GMWQ!$A$2:$NF$60,MATCH(1,(GMWQ!$NE$2:$NE$60=L$3)*(GMWQ!$ND$2:$ND$60=L$4)*(GMWQ!$NF$2:$NF$60=L$1),0),$E274-1966)</f>
        <v>803941.6</v>
      </c>
      <c r="M274" s="13" cm="1">
        <f t="array" ref="M274">INDEX(GMWQ!$A$2:$NF$60,MATCH(1,(GMWQ!$NE$2:$NE$60=M$3)*(GMWQ!$ND$2:$ND$60=M$4)*(GMWQ!$NF$2:$NF$60=M$1),0),$E274-1966)</f>
        <v>533116.5</v>
      </c>
      <c r="N274" s="13" cm="1">
        <f t="array" ref="N274">INDEX(GMWQ!$A$2:$NF$60,MATCH(1,(GMWQ!$NE$2:$NE$60=N$3)*(GMWQ!$ND$2:$ND$60=N$4)*(GMWQ!$NF$2:$NF$60=N$1),0),$E274-1966)</f>
        <v>150.75919999999999</v>
      </c>
      <c r="O274" s="13" cm="1">
        <f t="array" ref="O274">INDEX(GMWQ!$A$2:$NF$60,MATCH(1,(GMWQ!$NE$2:$NE$60=O$3)*(GMWQ!$ND$2:$ND$60=O$4)*(GMWQ!$NF$2:$NF$60=O$1),0),$E274-1966)</f>
        <v>37693.54</v>
      </c>
      <c r="P274" s="13" cm="1">
        <f t="array" ref="P274">INDEX(GMWQ!$A$2:$NF$60,MATCH(1,(GMWQ!$NE$2:$NE$60=P$3)*(GMWQ!$ND$2:$ND$60=P$4)*(GMWQ!$NF$2:$NF$60=P$1),0),$E274-1966)</f>
        <v>37160.910000000003</v>
      </c>
      <c r="Q274" s="13" cm="1">
        <f t="array" ref="Q274">INDEX(GMWQ!$A$2:$NF$60,MATCH(1,(GMWQ!$NE$2:$NE$60=Q$3)*(GMWQ!$ND$2:$ND$60=Q$4)*(GMWQ!$NF$2:$NF$60=Q$1),0),$E274-1966)</f>
        <v>35087.49</v>
      </c>
    </row>
    <row r="275" spans="1:17" x14ac:dyDescent="0.25">
      <c r="A275" s="13">
        <v>2040</v>
      </c>
      <c r="B275" s="13">
        <f t="shared" si="22"/>
        <v>2040</v>
      </c>
      <c r="C275" s="13">
        <f t="shared" si="22"/>
        <v>2039</v>
      </c>
      <c r="D275" s="13">
        <f t="shared" si="22"/>
        <v>2039</v>
      </c>
      <c r="E275" s="13">
        <f t="shared" si="20"/>
        <v>2241</v>
      </c>
      <c r="F275" s="13" cm="1">
        <f t="array" ref="F275">INDEX(GMWQ!$A$2:$NF$60,MATCH(1,(GMWQ!$NE$2:$NE$60=F$3)*(GMWQ!$ND$2:$ND$60=F$4)*(GMWQ!$NF$2:$NF$60=F$1),0),$E275-1966)</f>
        <v>210.48230000000001</v>
      </c>
      <c r="G275" s="13" cm="1">
        <f t="array" ref="G275">INDEX(GMWQ!$A$2:$NF$60,MATCH(1,(GMWQ!$NE$2:$NE$60=G$3)*(GMWQ!$ND$2:$ND$60=G$4)*(GMWQ!$NF$2:$NF$60=G$1),0),$E275-1966)</f>
        <v>81420.52</v>
      </c>
      <c r="H275" s="13" cm="1">
        <f t="array" ref="H275">INDEX(GMWQ!$A$2:$NF$60,MATCH(1,(GMWQ!$NE$2:$NE$60=H$3)*(GMWQ!$ND$2:$ND$60=H$4)*(GMWQ!$NF$2:$NF$60=H$1),0),$E275-1966)</f>
        <v>1105.383</v>
      </c>
      <c r="I275" s="13" cm="1">
        <f t="array" ref="I275">INDEX(GMWQ!$A$2:$NF$60,MATCH(1,(GMWQ!$NE$2:$NE$60=I$3)*(GMWQ!$ND$2:$ND$60=I$4)*(GMWQ!$NF$2:$NF$60=I$1),0),$E275-1966)</f>
        <v>272733.8</v>
      </c>
      <c r="J275" s="13" cm="1">
        <f t="array" ref="J275">INDEX(GMWQ!$A$2:$NF$60,MATCH(1,(GMWQ!$NE$2:$NE$60=J$3)*(GMWQ!$ND$2:$ND$60=J$4)*(GMWQ!$NF$2:$NF$60=J$1),0),$E275-1966)</f>
        <v>1273602</v>
      </c>
      <c r="K275" s="13" cm="1">
        <f t="array" ref="K275">INDEX(GMWQ!$A$2:$NF$60,MATCH(1,(GMWQ!$NE$2:$NE$60=K$3)*(GMWQ!$ND$2:$ND$60=K$4)*(GMWQ!$NF$2:$NF$60=K$1),0),$E275-1966)</f>
        <v>514361</v>
      </c>
      <c r="L275" s="13" cm="1">
        <f t="array" ref="L275">INDEX(GMWQ!$A$2:$NF$60,MATCH(1,(GMWQ!$NE$2:$NE$60=L$3)*(GMWQ!$ND$2:$ND$60=L$4)*(GMWQ!$NF$2:$NF$60=L$1),0),$E275-1966)</f>
        <v>811002.8</v>
      </c>
      <c r="M275" s="13" cm="1">
        <f t="array" ref="M275">INDEX(GMWQ!$A$2:$NF$60,MATCH(1,(GMWQ!$NE$2:$NE$60=M$3)*(GMWQ!$ND$2:$ND$60=M$4)*(GMWQ!$NF$2:$NF$60=M$1),0),$E275-1966)</f>
        <v>535145.1</v>
      </c>
      <c r="N275" s="13" cm="1">
        <f t="array" ref="N275">INDEX(GMWQ!$A$2:$NF$60,MATCH(1,(GMWQ!$NE$2:$NE$60=N$3)*(GMWQ!$ND$2:$ND$60=N$4)*(GMWQ!$NF$2:$NF$60=N$1),0),$E275-1966)</f>
        <v>151.50720000000001</v>
      </c>
      <c r="O275" s="13" cm="1">
        <f t="array" ref="O275">INDEX(GMWQ!$A$2:$NF$60,MATCH(1,(GMWQ!$NE$2:$NE$60=O$3)*(GMWQ!$ND$2:$ND$60=O$4)*(GMWQ!$NF$2:$NF$60=O$1),0),$E275-1966)</f>
        <v>37735.08</v>
      </c>
      <c r="P275" s="13" cm="1">
        <f t="array" ref="P275">INDEX(GMWQ!$A$2:$NF$60,MATCH(1,(GMWQ!$NE$2:$NE$60=P$3)*(GMWQ!$ND$2:$ND$60=P$4)*(GMWQ!$NF$2:$NF$60=P$1),0),$E275-1966)</f>
        <v>37199.040000000001</v>
      </c>
      <c r="Q275" s="13" cm="1">
        <f t="array" ref="Q275">INDEX(GMWQ!$A$2:$NF$60,MATCH(1,(GMWQ!$NE$2:$NE$60=Q$3)*(GMWQ!$ND$2:$ND$60=Q$4)*(GMWQ!$NF$2:$NF$60=Q$1),0),$E275-1966)</f>
        <v>35106.080000000002</v>
      </c>
    </row>
    <row r="276" spans="1:17" x14ac:dyDescent="0.25">
      <c r="B276" s="13">
        <f t="shared" si="22"/>
        <v>2040</v>
      </c>
      <c r="C276" s="13">
        <f t="shared" si="22"/>
        <v>2040</v>
      </c>
      <c r="E276" s="13">
        <f t="shared" si="20"/>
        <v>2242</v>
      </c>
      <c r="F276" s="13" cm="1">
        <f t="array" ref="F276">INDEX(GMWQ!$A$2:$NF$60,MATCH(1,(GMWQ!$NE$2:$NE$60=F$3)*(GMWQ!$ND$2:$ND$60=F$4)*(GMWQ!$NF$2:$NF$60=F$1),0),$E276-1966)</f>
        <v>211.54409999999999</v>
      </c>
      <c r="G276" s="13" cm="1">
        <f t="array" ref="G276">INDEX(GMWQ!$A$2:$NF$60,MATCH(1,(GMWQ!$NE$2:$NE$60=G$3)*(GMWQ!$ND$2:$ND$60=G$4)*(GMWQ!$NF$2:$NF$60=G$1),0),$E276-1966)</f>
        <v>82151.02</v>
      </c>
      <c r="H276" s="13" cm="1">
        <f t="array" ref="H276">INDEX(GMWQ!$A$2:$NF$60,MATCH(1,(GMWQ!$NE$2:$NE$60=H$3)*(GMWQ!$ND$2:$ND$60=H$4)*(GMWQ!$NF$2:$NF$60=H$1),0),$E276-1966)</f>
        <v>1114.069</v>
      </c>
      <c r="I276" s="13" cm="1">
        <f t="array" ref="I276">INDEX(GMWQ!$A$2:$NF$60,MATCH(1,(GMWQ!$NE$2:$NE$60=I$3)*(GMWQ!$ND$2:$ND$60=I$4)*(GMWQ!$NF$2:$NF$60=I$1),0),$E276-1966)</f>
        <v>275425.90000000002</v>
      </c>
      <c r="J276" s="13" cm="1">
        <f t="array" ref="J276">INDEX(GMWQ!$A$2:$NF$60,MATCH(1,(GMWQ!$NE$2:$NE$60=J$3)*(GMWQ!$ND$2:$ND$60=J$4)*(GMWQ!$NF$2:$NF$60=J$1),0),$E276-1966)</f>
        <v>1285460</v>
      </c>
      <c r="K276" s="13" cm="1">
        <f t="array" ref="K276">INDEX(GMWQ!$A$2:$NF$60,MATCH(1,(GMWQ!$NE$2:$NE$60=K$3)*(GMWQ!$ND$2:$ND$60=K$4)*(GMWQ!$NF$2:$NF$60=K$1),0),$E276-1966)</f>
        <v>518975.8</v>
      </c>
      <c r="L276" s="13" cm="1">
        <f t="array" ref="L276">INDEX(GMWQ!$A$2:$NF$60,MATCH(1,(GMWQ!$NE$2:$NE$60=L$3)*(GMWQ!$ND$2:$ND$60=L$4)*(GMWQ!$NF$2:$NF$60=L$1),0),$E276-1966)</f>
        <v>818127.6</v>
      </c>
      <c r="M276" s="13" cm="1">
        <f t="array" ref="M276">INDEX(GMWQ!$A$2:$NF$60,MATCH(1,(GMWQ!$NE$2:$NE$60=M$3)*(GMWQ!$ND$2:$ND$60=M$4)*(GMWQ!$NF$2:$NF$60=M$1),0),$E276-1966)</f>
        <v>537182.30000000005</v>
      </c>
      <c r="N276" s="13" cm="1">
        <f t="array" ref="N276">INDEX(GMWQ!$A$2:$NF$60,MATCH(1,(GMWQ!$NE$2:$NE$60=N$3)*(GMWQ!$ND$2:$ND$60=N$4)*(GMWQ!$NF$2:$NF$60=N$1),0),$E276-1966)</f>
        <v>152.25899999999999</v>
      </c>
      <c r="O276" s="13" cm="1">
        <f t="array" ref="O276">INDEX(GMWQ!$A$2:$NF$60,MATCH(1,(GMWQ!$NE$2:$NE$60=O$3)*(GMWQ!$ND$2:$ND$60=O$4)*(GMWQ!$NF$2:$NF$60=O$1),0),$E276-1966)</f>
        <v>37776.620000000003</v>
      </c>
      <c r="P276" s="13" cm="1">
        <f t="array" ref="P276">INDEX(GMWQ!$A$2:$NF$60,MATCH(1,(GMWQ!$NE$2:$NE$60=P$3)*(GMWQ!$ND$2:$ND$60=P$4)*(GMWQ!$NF$2:$NF$60=P$1),0),$E276-1966)</f>
        <v>37237.160000000003</v>
      </c>
      <c r="Q276" s="13" cm="1">
        <f t="array" ref="Q276">INDEX(GMWQ!$A$2:$NF$60,MATCH(1,(GMWQ!$NE$2:$NE$60=Q$3)*(GMWQ!$ND$2:$ND$60=Q$4)*(GMWQ!$NF$2:$NF$60=Q$1),0),$E276-1966)</f>
        <v>35124.67</v>
      </c>
    </row>
    <row r="277" spans="1:17" x14ac:dyDescent="0.25">
      <c r="B277" s="13">
        <f t="shared" si="22"/>
        <v>2040</v>
      </c>
      <c r="C277" s="13">
        <f t="shared" si="22"/>
        <v>2040</v>
      </c>
      <c r="E277" s="13">
        <f t="shared" si="20"/>
        <v>2243</v>
      </c>
      <c r="F277" s="13" cm="1">
        <f t="array" ref="F277">INDEX(GMWQ!$A$2:$NF$60,MATCH(1,(GMWQ!$NE$2:$NE$60=F$3)*(GMWQ!$ND$2:$ND$60=F$4)*(GMWQ!$NF$2:$NF$60=F$1),0),$E277-1966)</f>
        <v>212.61160000000001</v>
      </c>
      <c r="G277" s="13" cm="1">
        <f t="array" ref="G277">INDEX(GMWQ!$A$2:$NF$60,MATCH(1,(GMWQ!$NE$2:$NE$60=G$3)*(GMWQ!$ND$2:$ND$60=G$4)*(GMWQ!$NF$2:$NF$60=G$1),0),$E277-1966)</f>
        <v>82888.14</v>
      </c>
      <c r="H277" s="13" cm="1">
        <f t="array" ref="H277">INDEX(GMWQ!$A$2:$NF$60,MATCH(1,(GMWQ!$NE$2:$NE$60=H$3)*(GMWQ!$ND$2:$ND$60=H$4)*(GMWQ!$NF$2:$NF$60=H$1),0),$E277-1966)</f>
        <v>1122.826</v>
      </c>
      <c r="I277" s="13" cm="1">
        <f t="array" ref="I277">INDEX(GMWQ!$A$2:$NF$60,MATCH(1,(GMWQ!$NE$2:$NE$60=I$3)*(GMWQ!$ND$2:$ND$60=I$4)*(GMWQ!$NF$2:$NF$60=I$1),0),$E277-1966)</f>
        <v>277845</v>
      </c>
      <c r="J277" s="13" cm="1">
        <f t="array" ref="J277">INDEX(GMWQ!$A$2:$NF$60,MATCH(1,(GMWQ!$NE$2:$NE$60=J$3)*(GMWQ!$ND$2:$ND$60=J$4)*(GMWQ!$NF$2:$NF$60=J$1),0),$E277-1966)</f>
        <v>1297429</v>
      </c>
      <c r="K277" s="13" cm="1">
        <f t="array" ref="K277">INDEX(GMWQ!$A$2:$NF$60,MATCH(1,(GMWQ!$NE$2:$NE$60=K$3)*(GMWQ!$ND$2:$ND$60=K$4)*(GMWQ!$NF$2:$NF$60=K$1),0),$E277-1966)</f>
        <v>523632.5</v>
      </c>
      <c r="L277" s="13" cm="1">
        <f t="array" ref="L277">INDEX(GMWQ!$A$2:$NF$60,MATCH(1,(GMWQ!$NE$2:$NE$60=L$3)*(GMWQ!$ND$2:$ND$60=L$4)*(GMWQ!$NF$2:$NF$60=L$1),0),$E277-1966)</f>
        <v>825315.6</v>
      </c>
      <c r="M277" s="13" cm="1">
        <f t="array" ref="M277">INDEX(GMWQ!$A$2:$NF$60,MATCH(1,(GMWQ!$NE$2:$NE$60=M$3)*(GMWQ!$ND$2:$ND$60=M$4)*(GMWQ!$NF$2:$NF$60=M$1),0),$E277-1966)</f>
        <v>539227.4</v>
      </c>
      <c r="N277" s="13" cm="1">
        <f t="array" ref="N277">INDEX(GMWQ!$A$2:$NF$60,MATCH(1,(GMWQ!$NE$2:$NE$60=N$3)*(GMWQ!$ND$2:$ND$60=N$4)*(GMWQ!$NF$2:$NF$60=N$1),0),$E277-1966)</f>
        <v>153.0145</v>
      </c>
      <c r="O277" s="13" cm="1">
        <f t="array" ref="O277">INDEX(GMWQ!$A$2:$NF$60,MATCH(1,(GMWQ!$NE$2:$NE$60=O$3)*(GMWQ!$ND$2:$ND$60=O$4)*(GMWQ!$NF$2:$NF$60=O$1),0),$E277-1966)</f>
        <v>37818.15</v>
      </c>
      <c r="P277" s="13" cm="1">
        <f t="array" ref="P277">INDEX(GMWQ!$A$2:$NF$60,MATCH(1,(GMWQ!$NE$2:$NE$60=P$3)*(GMWQ!$ND$2:$ND$60=P$4)*(GMWQ!$NF$2:$NF$60=P$1),0),$E277-1966)</f>
        <v>37275.29</v>
      </c>
      <c r="Q277" s="13" cm="1">
        <f t="array" ref="Q277">INDEX(GMWQ!$A$2:$NF$60,MATCH(1,(GMWQ!$NE$2:$NE$60=Q$3)*(GMWQ!$ND$2:$ND$60=Q$4)*(GMWQ!$NF$2:$NF$60=Q$1),0),$E277-1966)</f>
        <v>35143.26</v>
      </c>
    </row>
    <row r="278" spans="1:17" x14ac:dyDescent="0.25">
      <c r="B278" s="13">
        <f t="shared" si="22"/>
        <v>2040</v>
      </c>
      <c r="C278" s="13">
        <f t="shared" si="22"/>
        <v>2040</v>
      </c>
      <c r="E278" s="13">
        <f t="shared" si="20"/>
        <v>2244</v>
      </c>
      <c r="F278" s="13" cm="1">
        <f t="array" ref="F278">INDEX(GMWQ!$A$2:$NF$60,MATCH(1,(GMWQ!$NE$2:$NE$60=F$3)*(GMWQ!$ND$2:$ND$60=F$4)*(GMWQ!$NF$2:$NF$60=F$1),0),$E278-1966)</f>
        <v>213.68450000000001</v>
      </c>
      <c r="G278" s="13" cm="1">
        <f t="array" ref="G278">INDEX(GMWQ!$A$2:$NF$60,MATCH(1,(GMWQ!$NE$2:$NE$60=G$3)*(GMWQ!$ND$2:$ND$60=G$4)*(GMWQ!$NF$2:$NF$60=G$1),0),$E278-1966)</f>
        <v>83631.91</v>
      </c>
      <c r="H278" s="13" cm="1">
        <f t="array" ref="H278">INDEX(GMWQ!$A$2:$NF$60,MATCH(1,(GMWQ!$NE$2:$NE$60=H$3)*(GMWQ!$ND$2:$ND$60=H$4)*(GMWQ!$NF$2:$NF$60=H$1),0),$E278-1966)</f>
        <v>1131.652</v>
      </c>
      <c r="I278" s="13" cm="1">
        <f t="array" ref="I278">INDEX(GMWQ!$A$2:$NF$60,MATCH(1,(GMWQ!$NE$2:$NE$60=I$3)*(GMWQ!$ND$2:$ND$60=I$4)*(GMWQ!$NF$2:$NF$60=I$1),0),$E278-1966)</f>
        <v>280355.3</v>
      </c>
      <c r="J278" s="13" cm="1">
        <f t="array" ref="J278">INDEX(GMWQ!$A$2:$NF$60,MATCH(1,(GMWQ!$NE$2:$NE$60=J$3)*(GMWQ!$ND$2:$ND$60=J$4)*(GMWQ!$NF$2:$NF$60=J$1),0),$E278-1966)</f>
        <v>1309510</v>
      </c>
      <c r="K278" s="13" cm="1">
        <f t="array" ref="K278">INDEX(GMWQ!$A$2:$NF$60,MATCH(1,(GMWQ!$NE$2:$NE$60=K$3)*(GMWQ!$ND$2:$ND$60=K$4)*(GMWQ!$NF$2:$NF$60=K$1),0),$E278-1966)</f>
        <v>528331.1</v>
      </c>
      <c r="L278" s="13" cm="1">
        <f t="array" ref="L278">INDEX(GMWQ!$A$2:$NF$60,MATCH(1,(GMWQ!$NE$2:$NE$60=L$3)*(GMWQ!$ND$2:$ND$60=L$4)*(GMWQ!$NF$2:$NF$60=L$1),0),$E278-1966)</f>
        <v>832566.7</v>
      </c>
      <c r="M278" s="13" cm="1">
        <f t="array" ref="M278">INDEX(GMWQ!$A$2:$NF$60,MATCH(1,(GMWQ!$NE$2:$NE$60=M$3)*(GMWQ!$ND$2:$ND$60=M$4)*(GMWQ!$NF$2:$NF$60=M$1),0),$E278-1966)</f>
        <v>541280.30000000005</v>
      </c>
      <c r="N278" s="13" cm="1">
        <f t="array" ref="N278">INDEX(GMWQ!$A$2:$NF$60,MATCH(1,(GMWQ!$NE$2:$NE$60=N$3)*(GMWQ!$ND$2:$ND$60=N$4)*(GMWQ!$NF$2:$NF$60=N$1),0),$E278-1966)</f>
        <v>153.77379999999999</v>
      </c>
      <c r="O278" s="13" cm="1">
        <f t="array" ref="O278">INDEX(GMWQ!$A$2:$NF$60,MATCH(1,(GMWQ!$NE$2:$NE$60=O$3)*(GMWQ!$ND$2:$ND$60=O$4)*(GMWQ!$NF$2:$NF$60=O$1),0),$E278-1966)</f>
        <v>37859.69</v>
      </c>
      <c r="P278" s="13" cm="1">
        <f t="array" ref="P278">INDEX(GMWQ!$A$2:$NF$60,MATCH(1,(GMWQ!$NE$2:$NE$60=P$3)*(GMWQ!$ND$2:$ND$60=P$4)*(GMWQ!$NF$2:$NF$60=P$1),0),$E278-1966)</f>
        <v>37313.42</v>
      </c>
      <c r="Q278" s="13" cm="1">
        <f t="array" ref="Q278">INDEX(GMWQ!$A$2:$NF$60,MATCH(1,(GMWQ!$NE$2:$NE$60=Q$3)*(GMWQ!$ND$2:$ND$60=Q$4)*(GMWQ!$NF$2:$NF$60=Q$1),0),$E278-1966)</f>
        <v>35161.85</v>
      </c>
    </row>
    <row r="279" spans="1:17" x14ac:dyDescent="0.25">
      <c r="A279" s="13">
        <v>2041</v>
      </c>
      <c r="B279" s="13">
        <f t="shared" si="22"/>
        <v>2041</v>
      </c>
      <c r="C279" s="13">
        <f t="shared" si="22"/>
        <v>2040</v>
      </c>
      <c r="D279" s="13">
        <f t="shared" si="22"/>
        <v>2040</v>
      </c>
      <c r="E279" s="13">
        <f t="shared" si="20"/>
        <v>2245</v>
      </c>
      <c r="F279" s="13" cm="1">
        <f t="array" ref="F279">INDEX(GMWQ!$A$2:$NF$60,MATCH(1,(GMWQ!$NE$2:$NE$60=F$3)*(GMWQ!$ND$2:$ND$60=F$4)*(GMWQ!$NF$2:$NF$60=F$1),0),$E279-1966)</f>
        <v>214.75299999999999</v>
      </c>
      <c r="G279" s="13" cm="1">
        <f t="array" ref="G279">INDEX(GMWQ!$A$2:$NF$60,MATCH(1,(GMWQ!$NE$2:$NE$60=G$3)*(GMWQ!$ND$2:$ND$60=G$4)*(GMWQ!$NF$2:$NF$60=G$1),0),$E279-1966)</f>
        <v>84368.52</v>
      </c>
      <c r="H279" s="13" cm="1">
        <f t="array" ref="H279">INDEX(GMWQ!$A$2:$NF$60,MATCH(1,(GMWQ!$NE$2:$NE$60=H$3)*(GMWQ!$ND$2:$ND$60=H$4)*(GMWQ!$NF$2:$NF$60=H$1),0),$E279-1966)</f>
        <v>1140.567</v>
      </c>
      <c r="I279" s="13" cm="1">
        <f t="array" ref="I279">INDEX(GMWQ!$A$2:$NF$60,MATCH(1,(GMWQ!$NE$2:$NE$60=I$3)*(GMWQ!$ND$2:$ND$60=I$4)*(GMWQ!$NF$2:$NF$60=I$1),0),$E279-1966)</f>
        <v>283034.2</v>
      </c>
      <c r="J279" s="13" cm="1">
        <f t="array" ref="J279">INDEX(GMWQ!$A$2:$NF$60,MATCH(1,(GMWQ!$NE$2:$NE$60=J$3)*(GMWQ!$ND$2:$ND$60=J$4)*(GMWQ!$NF$2:$NF$60=J$1),0),$E279-1966)</f>
        <v>1321545</v>
      </c>
      <c r="K279" s="13" cm="1">
        <f t="array" ref="K279">INDEX(GMWQ!$A$2:$NF$60,MATCH(1,(GMWQ!$NE$2:$NE$60=K$3)*(GMWQ!$ND$2:$ND$60=K$4)*(GMWQ!$NF$2:$NF$60=K$1),0),$E279-1966)</f>
        <v>532984.6</v>
      </c>
      <c r="L279" s="13" cm="1">
        <f t="array" ref="L279">INDEX(GMWQ!$A$2:$NF$60,MATCH(1,(GMWQ!$NE$2:$NE$60=L$3)*(GMWQ!$ND$2:$ND$60=L$4)*(GMWQ!$NF$2:$NF$60=L$1),0),$E279-1966)</f>
        <v>839881.8</v>
      </c>
      <c r="M279" s="13" cm="1">
        <f t="array" ref="M279">INDEX(GMWQ!$A$2:$NF$60,MATCH(1,(GMWQ!$NE$2:$NE$60=M$3)*(GMWQ!$ND$2:$ND$60=M$4)*(GMWQ!$NF$2:$NF$60=M$1),0),$E279-1966)</f>
        <v>543341.4</v>
      </c>
      <c r="N279" s="13" cm="1">
        <f t="array" ref="N279">INDEX(GMWQ!$A$2:$NF$60,MATCH(1,(GMWQ!$NE$2:$NE$60=N$3)*(GMWQ!$ND$2:$ND$60=N$4)*(GMWQ!$NF$2:$NF$60=N$1),0),$E279-1966)</f>
        <v>154.5368</v>
      </c>
      <c r="O279" s="13" cm="1">
        <f t="array" ref="O279">INDEX(GMWQ!$A$2:$NF$60,MATCH(1,(GMWQ!$NE$2:$NE$60=O$3)*(GMWQ!$ND$2:$ND$60=O$4)*(GMWQ!$NF$2:$NF$60=O$1),0),$E279-1966)</f>
        <v>37894.5</v>
      </c>
      <c r="P279" s="13" cm="1">
        <f t="array" ref="P279">INDEX(GMWQ!$A$2:$NF$60,MATCH(1,(GMWQ!$NE$2:$NE$60=P$3)*(GMWQ!$ND$2:$ND$60=P$4)*(GMWQ!$NF$2:$NF$60=P$1),0),$E279-1966)</f>
        <v>37347.82</v>
      </c>
      <c r="Q279" s="13" cm="1">
        <f t="array" ref="Q279">INDEX(GMWQ!$A$2:$NF$60,MATCH(1,(GMWQ!$NE$2:$NE$60=Q$3)*(GMWQ!$ND$2:$ND$60=Q$4)*(GMWQ!$NF$2:$NF$60=Q$1),0),$E279-1966)</f>
        <v>35167.99</v>
      </c>
    </row>
    <row r="280" spans="1:17" x14ac:dyDescent="0.25">
      <c r="B280" s="13">
        <f t="shared" si="22"/>
        <v>2041</v>
      </c>
      <c r="C280" s="13">
        <f t="shared" si="22"/>
        <v>2041</v>
      </c>
      <c r="E280" s="13">
        <f t="shared" si="20"/>
        <v>2246</v>
      </c>
      <c r="F280" s="13" cm="1">
        <f t="array" ref="F280">INDEX(GMWQ!$A$2:$NF$60,MATCH(1,(GMWQ!$NE$2:$NE$60=F$3)*(GMWQ!$ND$2:$ND$60=F$4)*(GMWQ!$NF$2:$NF$60=F$1),0),$E280-1966)</f>
        <v>215.83</v>
      </c>
      <c r="G280" s="13" cm="1">
        <f t="array" ref="G280">INDEX(GMWQ!$A$2:$NF$60,MATCH(1,(GMWQ!$NE$2:$NE$60=G$3)*(GMWQ!$ND$2:$ND$60=G$4)*(GMWQ!$NF$2:$NF$60=G$1),0),$E280-1966)</f>
        <v>85112.79</v>
      </c>
      <c r="H280" s="13" cm="1">
        <f t="array" ref="H280">INDEX(GMWQ!$A$2:$NF$60,MATCH(1,(GMWQ!$NE$2:$NE$60=H$3)*(GMWQ!$ND$2:$ND$60=H$4)*(GMWQ!$NF$2:$NF$60=H$1),0),$E280-1966)</f>
        <v>1149.568</v>
      </c>
      <c r="I280" s="13" cm="1">
        <f t="array" ref="I280">INDEX(GMWQ!$A$2:$NF$60,MATCH(1,(GMWQ!$NE$2:$NE$60=I$3)*(GMWQ!$ND$2:$ND$60=I$4)*(GMWQ!$NF$2:$NF$60=I$1),0),$E280-1966)</f>
        <v>285794</v>
      </c>
      <c r="J280" s="13" cm="1">
        <f t="array" ref="J280">INDEX(GMWQ!$A$2:$NF$60,MATCH(1,(GMWQ!$NE$2:$NE$60=J$3)*(GMWQ!$ND$2:$ND$60=J$4)*(GMWQ!$NF$2:$NF$60=J$1),0),$E280-1966)</f>
        <v>1333689</v>
      </c>
      <c r="K280" s="13" cm="1">
        <f t="array" ref="K280">INDEX(GMWQ!$A$2:$NF$60,MATCH(1,(GMWQ!$NE$2:$NE$60=K$3)*(GMWQ!$ND$2:$ND$60=K$4)*(GMWQ!$NF$2:$NF$60=K$1),0),$E280-1966)</f>
        <v>537686.30000000005</v>
      </c>
      <c r="L280" s="13" cm="1">
        <f t="array" ref="L280">INDEX(GMWQ!$A$2:$NF$60,MATCH(1,(GMWQ!$NE$2:$NE$60=L$3)*(GMWQ!$ND$2:$ND$60=L$4)*(GMWQ!$NF$2:$NF$60=L$1),0),$E280-1966)</f>
        <v>847159.8</v>
      </c>
      <c r="M280" s="13" cm="1">
        <f t="array" ref="M280">INDEX(GMWQ!$A$2:$NF$60,MATCH(1,(GMWQ!$NE$2:$NE$60=M$3)*(GMWQ!$ND$2:$ND$60=M$4)*(GMWQ!$NF$2:$NF$60=M$1),0),$E280-1966)</f>
        <v>545345</v>
      </c>
      <c r="N280" s="13" cm="1">
        <f t="array" ref="N280">INDEX(GMWQ!$A$2:$NF$60,MATCH(1,(GMWQ!$NE$2:$NE$60=N$3)*(GMWQ!$ND$2:$ND$60=N$4)*(GMWQ!$NF$2:$NF$60=N$1),0),$E280-1966)</f>
        <v>155.30359999999999</v>
      </c>
      <c r="O280" s="13" cm="1">
        <f t="array" ref="O280">INDEX(GMWQ!$A$2:$NF$60,MATCH(1,(GMWQ!$NE$2:$NE$60=O$3)*(GMWQ!$ND$2:$ND$60=O$4)*(GMWQ!$NF$2:$NF$60=O$1),0),$E280-1966)</f>
        <v>37929.300000000003</v>
      </c>
      <c r="P280" s="13" cm="1">
        <f t="array" ref="P280">INDEX(GMWQ!$A$2:$NF$60,MATCH(1,(GMWQ!$NE$2:$NE$60=P$3)*(GMWQ!$ND$2:$ND$60=P$4)*(GMWQ!$NF$2:$NF$60=P$1),0),$E280-1966)</f>
        <v>37382.22</v>
      </c>
      <c r="Q280" s="13" cm="1">
        <f t="array" ref="Q280">INDEX(GMWQ!$A$2:$NF$60,MATCH(1,(GMWQ!$NE$2:$NE$60=Q$3)*(GMWQ!$ND$2:$ND$60=Q$4)*(GMWQ!$NF$2:$NF$60=Q$1),0),$E280-1966)</f>
        <v>35174.14</v>
      </c>
    </row>
    <row r="281" spans="1:17" x14ac:dyDescent="0.25">
      <c r="B281" s="13">
        <f t="shared" si="22"/>
        <v>2041</v>
      </c>
      <c r="C281" s="13">
        <f t="shared" si="22"/>
        <v>2041</v>
      </c>
      <c r="E281" s="13">
        <f t="shared" si="20"/>
        <v>2247</v>
      </c>
      <c r="F281" s="13" cm="1">
        <f t="array" ref="F281">INDEX(GMWQ!$A$2:$NF$60,MATCH(1,(GMWQ!$NE$2:$NE$60=F$3)*(GMWQ!$ND$2:$ND$60=F$4)*(GMWQ!$NF$2:$NF$60=F$1),0),$E281-1966)</f>
        <v>216.91589999999999</v>
      </c>
      <c r="G281" s="13" cm="1">
        <f t="array" ref="G281">INDEX(GMWQ!$A$2:$NF$60,MATCH(1,(GMWQ!$NE$2:$NE$60=G$3)*(GMWQ!$ND$2:$ND$60=G$4)*(GMWQ!$NF$2:$NF$60=G$1),0),$E281-1966)</f>
        <v>85864.81</v>
      </c>
      <c r="H281" s="13" cm="1">
        <f t="array" ref="H281">INDEX(GMWQ!$A$2:$NF$60,MATCH(1,(GMWQ!$NE$2:$NE$60=H$3)*(GMWQ!$ND$2:$ND$60=H$4)*(GMWQ!$NF$2:$NF$60=H$1),0),$E281-1966)</f>
        <v>1158.6569999999999</v>
      </c>
      <c r="I281" s="13" cm="1">
        <f t="array" ref="I281">INDEX(GMWQ!$A$2:$NF$60,MATCH(1,(GMWQ!$NE$2:$NE$60=I$3)*(GMWQ!$ND$2:$ND$60=I$4)*(GMWQ!$NF$2:$NF$60=I$1),0),$E281-1966)</f>
        <v>288269.5</v>
      </c>
      <c r="J281" s="13" cm="1">
        <f t="array" ref="J281">INDEX(GMWQ!$A$2:$NF$60,MATCH(1,(GMWQ!$NE$2:$NE$60=J$3)*(GMWQ!$ND$2:$ND$60=J$4)*(GMWQ!$NF$2:$NF$60=J$1),0),$E281-1966)</f>
        <v>1345945</v>
      </c>
      <c r="K281" s="13" cm="1">
        <f t="array" ref="K281">INDEX(GMWQ!$A$2:$NF$60,MATCH(1,(GMWQ!$NE$2:$NE$60=K$3)*(GMWQ!$ND$2:$ND$60=K$4)*(GMWQ!$NF$2:$NF$60=K$1),0),$E281-1966)</f>
        <v>542437.1</v>
      </c>
      <c r="L281" s="13" cm="1">
        <f t="array" ref="L281">INDEX(GMWQ!$A$2:$NF$60,MATCH(1,(GMWQ!$NE$2:$NE$60=L$3)*(GMWQ!$ND$2:$ND$60=L$4)*(GMWQ!$NF$2:$NF$60=L$1),0),$E281-1966)</f>
        <v>854500.1</v>
      </c>
      <c r="M281" s="13" cm="1">
        <f t="array" ref="M281">INDEX(GMWQ!$A$2:$NF$60,MATCH(1,(GMWQ!$NE$2:$NE$60=M$3)*(GMWQ!$ND$2:$ND$60=M$4)*(GMWQ!$NF$2:$NF$60=M$1),0),$E281-1966)</f>
        <v>547355.5</v>
      </c>
      <c r="N281" s="13" cm="1">
        <f t="array" ref="N281">INDEX(GMWQ!$A$2:$NF$60,MATCH(1,(GMWQ!$NE$2:$NE$60=N$3)*(GMWQ!$ND$2:$ND$60=N$4)*(GMWQ!$NF$2:$NF$60=N$1),0),$E281-1966)</f>
        <v>156.07419999999999</v>
      </c>
      <c r="O281" s="13" cm="1">
        <f t="array" ref="O281">INDEX(GMWQ!$A$2:$NF$60,MATCH(1,(GMWQ!$NE$2:$NE$60=O$3)*(GMWQ!$ND$2:$ND$60=O$4)*(GMWQ!$NF$2:$NF$60=O$1),0),$E281-1966)</f>
        <v>37964.1</v>
      </c>
      <c r="P281" s="13" cm="1">
        <f t="array" ref="P281">INDEX(GMWQ!$A$2:$NF$60,MATCH(1,(GMWQ!$NE$2:$NE$60=P$3)*(GMWQ!$ND$2:$ND$60=P$4)*(GMWQ!$NF$2:$NF$60=P$1),0),$E281-1966)</f>
        <v>37416.629999999997</v>
      </c>
      <c r="Q281" s="13" cm="1">
        <f t="array" ref="Q281">INDEX(GMWQ!$A$2:$NF$60,MATCH(1,(GMWQ!$NE$2:$NE$60=Q$3)*(GMWQ!$ND$2:$ND$60=Q$4)*(GMWQ!$NF$2:$NF$60=Q$1),0),$E281-1966)</f>
        <v>35180.28</v>
      </c>
    </row>
    <row r="282" spans="1:17" x14ac:dyDescent="0.25">
      <c r="B282" s="13">
        <f t="shared" si="22"/>
        <v>2041</v>
      </c>
      <c r="C282" s="13">
        <f t="shared" si="22"/>
        <v>2041</v>
      </c>
      <c r="E282" s="13">
        <f t="shared" si="20"/>
        <v>2248</v>
      </c>
      <c r="F282" s="13" cm="1">
        <f t="array" ref="F282">INDEX(GMWQ!$A$2:$NF$60,MATCH(1,(GMWQ!$NE$2:$NE$60=F$3)*(GMWQ!$ND$2:$ND$60=F$4)*(GMWQ!$NF$2:$NF$60=F$1),0),$E282-1966)</f>
        <v>218.01070000000001</v>
      </c>
      <c r="G282" s="13" cm="1">
        <f t="array" ref="G282">INDEX(GMWQ!$A$2:$NF$60,MATCH(1,(GMWQ!$NE$2:$NE$60=G$3)*(GMWQ!$ND$2:$ND$60=G$4)*(GMWQ!$NF$2:$NF$60=G$1),0),$E282-1966)</f>
        <v>86624.7</v>
      </c>
      <c r="H282" s="13" cm="1">
        <f t="array" ref="H282">INDEX(GMWQ!$A$2:$NF$60,MATCH(1,(GMWQ!$NE$2:$NE$60=H$3)*(GMWQ!$ND$2:$ND$60=H$4)*(GMWQ!$NF$2:$NF$60=H$1),0),$E282-1966)</f>
        <v>1167.835</v>
      </c>
      <c r="I282" s="13" cm="1">
        <f t="array" ref="I282">INDEX(GMWQ!$A$2:$NF$60,MATCH(1,(GMWQ!$NE$2:$NE$60=I$3)*(GMWQ!$ND$2:$ND$60=I$4)*(GMWQ!$NF$2:$NF$60=I$1),0),$E282-1966)</f>
        <v>290838.7</v>
      </c>
      <c r="J282" s="13" cm="1">
        <f t="array" ref="J282">INDEX(GMWQ!$A$2:$NF$60,MATCH(1,(GMWQ!$NE$2:$NE$60=J$3)*(GMWQ!$ND$2:$ND$60=J$4)*(GMWQ!$NF$2:$NF$60=J$1),0),$E282-1966)</f>
        <v>1358310</v>
      </c>
      <c r="K282" s="13" cm="1">
        <f t="array" ref="K282">INDEX(GMWQ!$A$2:$NF$60,MATCH(1,(GMWQ!$NE$2:$NE$60=K$3)*(GMWQ!$ND$2:$ND$60=K$4)*(GMWQ!$NF$2:$NF$60=K$1),0),$E282-1966)</f>
        <v>547237.6</v>
      </c>
      <c r="L282" s="13" cm="1">
        <f t="array" ref="L282">INDEX(GMWQ!$A$2:$NF$60,MATCH(1,(GMWQ!$NE$2:$NE$60=L$3)*(GMWQ!$ND$2:$ND$60=L$4)*(GMWQ!$NF$2:$NF$60=L$1),0),$E282-1966)</f>
        <v>861903.3</v>
      </c>
      <c r="M282" s="13" cm="1">
        <f t="array" ref="M282">INDEX(GMWQ!$A$2:$NF$60,MATCH(1,(GMWQ!$NE$2:$NE$60=M$3)*(GMWQ!$ND$2:$ND$60=M$4)*(GMWQ!$NF$2:$NF$60=M$1),0),$E282-1966)</f>
        <v>549372.69999999995</v>
      </c>
      <c r="N282" s="13" cm="1">
        <f t="array" ref="N282">INDEX(GMWQ!$A$2:$NF$60,MATCH(1,(GMWQ!$NE$2:$NE$60=N$3)*(GMWQ!$ND$2:$ND$60=N$4)*(GMWQ!$NF$2:$NF$60=N$1),0),$E282-1966)</f>
        <v>156.84870000000001</v>
      </c>
      <c r="O282" s="13" cm="1">
        <f t="array" ref="O282">INDEX(GMWQ!$A$2:$NF$60,MATCH(1,(GMWQ!$NE$2:$NE$60=O$3)*(GMWQ!$ND$2:$ND$60=O$4)*(GMWQ!$NF$2:$NF$60=O$1),0),$E282-1966)</f>
        <v>37998.910000000003</v>
      </c>
      <c r="P282" s="13" cm="1">
        <f t="array" ref="P282">INDEX(GMWQ!$A$2:$NF$60,MATCH(1,(GMWQ!$NE$2:$NE$60=P$3)*(GMWQ!$ND$2:$ND$60=P$4)*(GMWQ!$NF$2:$NF$60=P$1),0),$E282-1966)</f>
        <v>37451.03</v>
      </c>
      <c r="Q282" s="13" cm="1">
        <f t="array" ref="Q282">INDEX(GMWQ!$A$2:$NF$60,MATCH(1,(GMWQ!$NE$2:$NE$60=Q$3)*(GMWQ!$ND$2:$ND$60=Q$4)*(GMWQ!$NF$2:$NF$60=Q$1),0),$E282-1966)</f>
        <v>35186.42</v>
      </c>
    </row>
    <row r="283" spans="1:17" x14ac:dyDescent="0.25">
      <c r="A283" s="13">
        <v>2042</v>
      </c>
      <c r="B283" s="13">
        <f t="shared" si="22"/>
        <v>2042</v>
      </c>
      <c r="C283" s="13">
        <f t="shared" si="22"/>
        <v>2041</v>
      </c>
      <c r="D283" s="13">
        <f t="shared" si="22"/>
        <v>2041</v>
      </c>
      <c r="E283" s="13">
        <f t="shared" si="20"/>
        <v>2249</v>
      </c>
      <c r="F283" s="13" cm="1">
        <f t="array" ref="F283">INDEX(GMWQ!$A$2:$NF$60,MATCH(1,(GMWQ!$NE$2:$NE$60=F$3)*(GMWQ!$ND$2:$ND$60=F$4)*(GMWQ!$NF$2:$NF$60=F$1),0),$E283-1966)</f>
        <v>219.11080000000001</v>
      </c>
      <c r="G283" s="13" cm="1">
        <f t="array" ref="G283">INDEX(GMWQ!$A$2:$NF$60,MATCH(1,(GMWQ!$NE$2:$NE$60=G$3)*(GMWQ!$ND$2:$ND$60=G$4)*(GMWQ!$NF$2:$NF$60=G$1),0),$E283-1966)</f>
        <v>87391.18</v>
      </c>
      <c r="H283" s="13" cm="1">
        <f t="array" ref="H283">INDEX(GMWQ!$A$2:$NF$60,MATCH(1,(GMWQ!$NE$2:$NE$60=H$3)*(GMWQ!$ND$2:$ND$60=H$4)*(GMWQ!$NF$2:$NF$60=H$1),0),$E283-1966)</f>
        <v>1177.086</v>
      </c>
      <c r="I283" s="13" cm="1">
        <f t="array" ref="I283">INDEX(GMWQ!$A$2:$NF$60,MATCH(1,(GMWQ!$NE$2:$NE$60=I$3)*(GMWQ!$ND$2:$ND$60=I$4)*(GMWQ!$NF$2:$NF$60=I$1),0),$E283-1966)</f>
        <v>293581.90000000002</v>
      </c>
      <c r="J283" s="13" cm="1">
        <f t="array" ref="J283">INDEX(GMWQ!$A$2:$NF$60,MATCH(1,(GMWQ!$NE$2:$NE$60=J$3)*(GMWQ!$ND$2:$ND$60=J$4)*(GMWQ!$NF$2:$NF$60=J$1),0),$E283-1966)</f>
        <v>1370788</v>
      </c>
      <c r="K283" s="13" cm="1">
        <f t="array" ref="K283">INDEX(GMWQ!$A$2:$NF$60,MATCH(1,(GMWQ!$NE$2:$NE$60=K$3)*(GMWQ!$ND$2:$ND$60=K$4)*(GMWQ!$NF$2:$NF$60=K$1),0),$E283-1966)</f>
        <v>552079.69999999995</v>
      </c>
      <c r="L283" s="13" cm="1">
        <f t="array" ref="L283">INDEX(GMWQ!$A$2:$NF$60,MATCH(1,(GMWQ!$NE$2:$NE$60=L$3)*(GMWQ!$ND$2:$ND$60=L$4)*(GMWQ!$NF$2:$NF$60=L$1),0),$E283-1966)</f>
        <v>869369.6</v>
      </c>
      <c r="M283" s="13" cm="1">
        <f t="array" ref="M283">INDEX(GMWQ!$A$2:$NF$60,MATCH(1,(GMWQ!$NE$2:$NE$60=M$3)*(GMWQ!$ND$2:$ND$60=M$4)*(GMWQ!$NF$2:$NF$60=M$1),0),$E283-1966)</f>
        <v>551396.80000000005</v>
      </c>
      <c r="N283" s="13" cm="1">
        <f t="array" ref="N283">INDEX(GMWQ!$A$2:$NF$60,MATCH(1,(GMWQ!$NE$2:$NE$60=N$3)*(GMWQ!$ND$2:$ND$60=N$4)*(GMWQ!$NF$2:$NF$60=N$1),0),$E283-1966)</f>
        <v>157.62700000000001</v>
      </c>
      <c r="O283" s="13" cm="1">
        <f t="array" ref="O283">INDEX(GMWQ!$A$2:$NF$60,MATCH(1,(GMWQ!$NE$2:$NE$60=O$3)*(GMWQ!$ND$2:$ND$60=O$4)*(GMWQ!$NF$2:$NF$60=O$1),0),$E283-1966)</f>
        <v>38033.71</v>
      </c>
      <c r="P283" s="13" cm="1">
        <f t="array" ref="P283">INDEX(GMWQ!$A$2:$NF$60,MATCH(1,(GMWQ!$NE$2:$NE$60=P$3)*(GMWQ!$ND$2:$ND$60=P$4)*(GMWQ!$NF$2:$NF$60=P$1),0),$E283-1966)</f>
        <v>37485.43</v>
      </c>
      <c r="Q283" s="13" cm="1">
        <f t="array" ref="Q283">INDEX(GMWQ!$A$2:$NF$60,MATCH(1,(GMWQ!$NE$2:$NE$60=Q$3)*(GMWQ!$ND$2:$ND$60=Q$4)*(GMWQ!$NF$2:$NF$60=Q$1),0),$E283-1966)</f>
        <v>35192.559999999998</v>
      </c>
    </row>
    <row r="284" spans="1:17" x14ac:dyDescent="0.25">
      <c r="B284" s="13">
        <f t="shared" ref="B284:D299" si="23">+B280+1</f>
        <v>2042</v>
      </c>
      <c r="C284" s="13">
        <f t="shared" si="23"/>
        <v>2042</v>
      </c>
      <c r="E284" s="13">
        <f t="shared" si="20"/>
        <v>2250</v>
      </c>
      <c r="F284" s="13" cm="1">
        <f t="array" ref="F284">INDEX(GMWQ!$A$2:$NF$60,MATCH(1,(GMWQ!$NE$2:$NE$60=F$3)*(GMWQ!$ND$2:$ND$60=F$4)*(GMWQ!$NF$2:$NF$60=F$1),0),$E284-1966)</f>
        <v>220.21680000000001</v>
      </c>
      <c r="G284" s="13" cm="1">
        <f t="array" ref="G284">INDEX(GMWQ!$A$2:$NF$60,MATCH(1,(GMWQ!$NE$2:$NE$60=G$3)*(GMWQ!$ND$2:$ND$60=G$4)*(GMWQ!$NF$2:$NF$60=G$1),0),$E284-1966)</f>
        <v>88164.36</v>
      </c>
      <c r="H284" s="13" cm="1">
        <f t="array" ref="H284">INDEX(GMWQ!$A$2:$NF$60,MATCH(1,(GMWQ!$NE$2:$NE$60=H$3)*(GMWQ!$ND$2:$ND$60=H$4)*(GMWQ!$NF$2:$NF$60=H$1),0),$E284-1966)</f>
        <v>1186.4100000000001</v>
      </c>
      <c r="I284" s="13" cm="1">
        <f t="array" ref="I284">INDEX(GMWQ!$A$2:$NF$60,MATCH(1,(GMWQ!$NE$2:$NE$60=I$3)*(GMWQ!$ND$2:$ND$60=I$4)*(GMWQ!$NF$2:$NF$60=I$1),0),$E284-1966)</f>
        <v>296443.2</v>
      </c>
      <c r="J284" s="13" cm="1">
        <f t="array" ref="J284">INDEX(GMWQ!$A$2:$NF$60,MATCH(1,(GMWQ!$NE$2:$NE$60=J$3)*(GMWQ!$ND$2:$ND$60=J$4)*(GMWQ!$NF$2:$NF$60=J$1),0),$E284-1966)</f>
        <v>1383379</v>
      </c>
      <c r="K284" s="13" cm="1">
        <f t="array" ref="K284">INDEX(GMWQ!$A$2:$NF$60,MATCH(1,(GMWQ!$NE$2:$NE$60=K$3)*(GMWQ!$ND$2:$ND$60=K$4)*(GMWQ!$NF$2:$NF$60=K$1),0),$E284-1966)</f>
        <v>556964.1</v>
      </c>
      <c r="L284" s="13" cm="1">
        <f t="array" ref="L284">INDEX(GMWQ!$A$2:$NF$60,MATCH(1,(GMWQ!$NE$2:$NE$60=L$3)*(GMWQ!$ND$2:$ND$60=L$4)*(GMWQ!$NF$2:$NF$60=L$1),0),$E284-1966)</f>
        <v>876899.8</v>
      </c>
      <c r="M284" s="13" cm="1">
        <f t="array" ref="M284">INDEX(GMWQ!$A$2:$NF$60,MATCH(1,(GMWQ!$NE$2:$NE$60=M$3)*(GMWQ!$ND$2:$ND$60=M$4)*(GMWQ!$NF$2:$NF$60=M$1),0),$E284-1966)</f>
        <v>553428.1</v>
      </c>
      <c r="N284" s="13" cm="1">
        <f t="array" ref="N284">INDEX(GMWQ!$A$2:$NF$60,MATCH(1,(GMWQ!$NE$2:$NE$60=N$3)*(GMWQ!$ND$2:$ND$60=N$4)*(GMWQ!$NF$2:$NF$60=N$1),0),$E284-1966)</f>
        <v>158.4091</v>
      </c>
      <c r="O284" s="13" cm="1">
        <f t="array" ref="O284">INDEX(GMWQ!$A$2:$NF$60,MATCH(1,(GMWQ!$NE$2:$NE$60=O$3)*(GMWQ!$ND$2:$ND$60=O$4)*(GMWQ!$NF$2:$NF$60=O$1),0),$E284-1966)</f>
        <v>38068.51</v>
      </c>
      <c r="P284" s="13" cm="1">
        <f t="array" ref="P284">INDEX(GMWQ!$A$2:$NF$60,MATCH(1,(GMWQ!$NE$2:$NE$60=P$3)*(GMWQ!$ND$2:$ND$60=P$4)*(GMWQ!$NF$2:$NF$60=P$1),0),$E284-1966)</f>
        <v>37519.839999999997</v>
      </c>
      <c r="Q284" s="13" cm="1">
        <f t="array" ref="Q284">INDEX(GMWQ!$A$2:$NF$60,MATCH(1,(GMWQ!$NE$2:$NE$60=Q$3)*(GMWQ!$ND$2:$ND$60=Q$4)*(GMWQ!$NF$2:$NF$60=Q$1),0),$E284-1966)</f>
        <v>35198.699999999997</v>
      </c>
    </row>
    <row r="285" spans="1:17" x14ac:dyDescent="0.25">
      <c r="B285" s="13">
        <f t="shared" si="23"/>
        <v>2042</v>
      </c>
      <c r="C285" s="13">
        <f t="shared" si="23"/>
        <v>2042</v>
      </c>
      <c r="E285" s="13">
        <f t="shared" si="20"/>
        <v>2251</v>
      </c>
      <c r="F285" s="13" cm="1">
        <f t="array" ref="F285">INDEX(GMWQ!$A$2:$NF$60,MATCH(1,(GMWQ!$NE$2:$NE$60=F$3)*(GMWQ!$ND$2:$ND$60=F$4)*(GMWQ!$NF$2:$NF$60=F$1),0),$E285-1966)</f>
        <v>221.32830000000001</v>
      </c>
      <c r="G285" s="13" cm="1">
        <f t="array" ref="G285">INDEX(GMWQ!$A$2:$NF$60,MATCH(1,(GMWQ!$NE$2:$NE$60=G$3)*(GMWQ!$ND$2:$ND$60=G$4)*(GMWQ!$NF$2:$NF$60=G$1),0),$E285-1966)</f>
        <v>88944.23</v>
      </c>
      <c r="H285" s="13" cm="1">
        <f t="array" ref="H285">INDEX(GMWQ!$A$2:$NF$60,MATCH(1,(GMWQ!$NE$2:$NE$60=H$3)*(GMWQ!$ND$2:$ND$60=H$4)*(GMWQ!$NF$2:$NF$60=H$1),0),$E285-1966)</f>
        <v>1195.806</v>
      </c>
      <c r="I285" s="13" cm="1">
        <f t="array" ref="I285">INDEX(GMWQ!$A$2:$NF$60,MATCH(1,(GMWQ!$NE$2:$NE$60=I$3)*(GMWQ!$ND$2:$ND$60=I$4)*(GMWQ!$NF$2:$NF$60=I$1),0),$E285-1966)</f>
        <v>299009.7</v>
      </c>
      <c r="J285" s="13" cm="1">
        <f t="array" ref="J285">INDEX(GMWQ!$A$2:$NF$60,MATCH(1,(GMWQ!$NE$2:$NE$60=J$3)*(GMWQ!$ND$2:$ND$60=J$4)*(GMWQ!$NF$2:$NF$60=J$1),0),$E285-1966)</f>
        <v>1396083</v>
      </c>
      <c r="K285" s="13" cm="1">
        <f t="array" ref="K285">INDEX(GMWQ!$A$2:$NF$60,MATCH(1,(GMWQ!$NE$2:$NE$60=K$3)*(GMWQ!$ND$2:$ND$60=K$4)*(GMWQ!$NF$2:$NF$60=K$1),0),$E285-1966)</f>
        <v>561890.80000000005</v>
      </c>
      <c r="L285" s="13" cm="1">
        <f t="array" ref="L285">INDEX(GMWQ!$A$2:$NF$60,MATCH(1,(GMWQ!$NE$2:$NE$60=L$3)*(GMWQ!$ND$2:$ND$60=L$4)*(GMWQ!$NF$2:$NF$60=L$1),0),$E285-1966)</f>
        <v>884493.6</v>
      </c>
      <c r="M285" s="13" cm="1">
        <f t="array" ref="M285">INDEX(GMWQ!$A$2:$NF$60,MATCH(1,(GMWQ!$NE$2:$NE$60=M$3)*(GMWQ!$ND$2:$ND$60=M$4)*(GMWQ!$NF$2:$NF$60=M$1),0),$E285-1966)</f>
        <v>555465.80000000005</v>
      </c>
      <c r="N285" s="13" cm="1">
        <f t="array" ref="N285">INDEX(GMWQ!$A$2:$NF$60,MATCH(1,(GMWQ!$NE$2:$NE$60=N$3)*(GMWQ!$ND$2:$ND$60=N$4)*(GMWQ!$NF$2:$NF$60=N$1),0),$E285-1966)</f>
        <v>159.1951</v>
      </c>
      <c r="O285" s="13" cm="1">
        <f t="array" ref="O285">INDEX(GMWQ!$A$2:$NF$60,MATCH(1,(GMWQ!$NE$2:$NE$60=O$3)*(GMWQ!$ND$2:$ND$60=O$4)*(GMWQ!$NF$2:$NF$60=O$1),0),$E285-1966)</f>
        <v>38103.31</v>
      </c>
      <c r="P285" s="13" cm="1">
        <f t="array" ref="P285">INDEX(GMWQ!$A$2:$NF$60,MATCH(1,(GMWQ!$NE$2:$NE$60=P$3)*(GMWQ!$ND$2:$ND$60=P$4)*(GMWQ!$NF$2:$NF$60=P$1),0),$E285-1966)</f>
        <v>37554.239999999998</v>
      </c>
      <c r="Q285" s="13" cm="1">
        <f t="array" ref="Q285">INDEX(GMWQ!$A$2:$NF$60,MATCH(1,(GMWQ!$NE$2:$NE$60=Q$3)*(GMWQ!$ND$2:$ND$60=Q$4)*(GMWQ!$NF$2:$NF$60=Q$1),0),$E285-1966)</f>
        <v>35204.839999999997</v>
      </c>
    </row>
    <row r="286" spans="1:17" x14ac:dyDescent="0.25">
      <c r="B286" s="13">
        <f t="shared" si="23"/>
        <v>2042</v>
      </c>
      <c r="C286" s="13">
        <f t="shared" si="23"/>
        <v>2042</v>
      </c>
      <c r="E286" s="13">
        <f t="shared" si="20"/>
        <v>2252</v>
      </c>
      <c r="F286" s="13" cm="1">
        <f t="array" ref="F286">INDEX(GMWQ!$A$2:$NF$60,MATCH(1,(GMWQ!$NE$2:$NE$60=F$3)*(GMWQ!$ND$2:$ND$60=F$4)*(GMWQ!$NF$2:$NF$60=F$1),0),$E286-1966)</f>
        <v>222.44569999999999</v>
      </c>
      <c r="G286" s="13" cm="1">
        <f t="array" ref="G286">INDEX(GMWQ!$A$2:$NF$60,MATCH(1,(GMWQ!$NE$2:$NE$60=G$3)*(GMWQ!$ND$2:$ND$60=G$4)*(GMWQ!$NF$2:$NF$60=G$1),0),$E286-1966)</f>
        <v>89730.94</v>
      </c>
      <c r="H286" s="13" cm="1">
        <f t="array" ref="H286">INDEX(GMWQ!$A$2:$NF$60,MATCH(1,(GMWQ!$NE$2:$NE$60=H$3)*(GMWQ!$ND$2:$ND$60=H$4)*(GMWQ!$NF$2:$NF$60=H$1),0),$E286-1966)</f>
        <v>1205.277</v>
      </c>
      <c r="I286" s="13" cm="1">
        <f t="array" ref="I286">INDEX(GMWQ!$A$2:$NF$60,MATCH(1,(GMWQ!$NE$2:$NE$60=I$3)*(GMWQ!$ND$2:$ND$60=I$4)*(GMWQ!$NF$2:$NF$60=I$1),0),$E286-1966)</f>
        <v>301673</v>
      </c>
      <c r="J286" s="13" cm="1">
        <f t="array" ref="J286">INDEX(GMWQ!$A$2:$NF$60,MATCH(1,(GMWQ!$NE$2:$NE$60=J$3)*(GMWQ!$ND$2:$ND$60=J$4)*(GMWQ!$NF$2:$NF$60=J$1),0),$E286-1966)</f>
        <v>1408904</v>
      </c>
      <c r="K286" s="13" cm="1">
        <f t="array" ref="K286">INDEX(GMWQ!$A$2:$NF$60,MATCH(1,(GMWQ!$NE$2:$NE$60=K$3)*(GMWQ!$ND$2:$ND$60=K$4)*(GMWQ!$NF$2:$NF$60=K$1),0),$E286-1966)</f>
        <v>566860.80000000005</v>
      </c>
      <c r="L286" s="13" cm="1">
        <f t="array" ref="L286">INDEX(GMWQ!$A$2:$NF$60,MATCH(1,(GMWQ!$NE$2:$NE$60=L$3)*(GMWQ!$ND$2:$ND$60=L$4)*(GMWQ!$NF$2:$NF$60=L$1),0),$E286-1966)</f>
        <v>892151.8</v>
      </c>
      <c r="M286" s="13" cm="1">
        <f t="array" ref="M286">INDEX(GMWQ!$A$2:$NF$60,MATCH(1,(GMWQ!$NE$2:$NE$60=M$3)*(GMWQ!$ND$2:$ND$60=M$4)*(GMWQ!$NF$2:$NF$60=M$1),0),$E286-1966)</f>
        <v>557509.6</v>
      </c>
      <c r="N286" s="13" cm="1">
        <f t="array" ref="N286">INDEX(GMWQ!$A$2:$NF$60,MATCH(1,(GMWQ!$NE$2:$NE$60=N$3)*(GMWQ!$ND$2:$ND$60=N$4)*(GMWQ!$NF$2:$NF$60=N$1),0),$E286-1966)</f>
        <v>159.98509999999999</v>
      </c>
      <c r="O286" s="13" cm="1">
        <f t="array" ref="O286">INDEX(GMWQ!$A$2:$NF$60,MATCH(1,(GMWQ!$NE$2:$NE$60=O$3)*(GMWQ!$ND$2:$ND$60=O$4)*(GMWQ!$NF$2:$NF$60=O$1),0),$E286-1966)</f>
        <v>38138.120000000003</v>
      </c>
      <c r="P286" s="13" cm="1">
        <f t="array" ref="P286">INDEX(GMWQ!$A$2:$NF$60,MATCH(1,(GMWQ!$NE$2:$NE$60=P$3)*(GMWQ!$ND$2:$ND$60=P$4)*(GMWQ!$NF$2:$NF$60=P$1),0),$E286-1966)</f>
        <v>37588.639999999999</v>
      </c>
      <c r="Q286" s="13" cm="1">
        <f t="array" ref="Q286">INDEX(GMWQ!$A$2:$NF$60,MATCH(1,(GMWQ!$NE$2:$NE$60=Q$3)*(GMWQ!$ND$2:$ND$60=Q$4)*(GMWQ!$NF$2:$NF$60=Q$1),0),$E286-1966)</f>
        <v>35210.99</v>
      </c>
    </row>
    <row r="287" spans="1:17" x14ac:dyDescent="0.25">
      <c r="A287" s="13">
        <v>2043</v>
      </c>
      <c r="B287" s="13">
        <f t="shared" si="23"/>
        <v>2043</v>
      </c>
      <c r="C287" s="13">
        <f t="shared" si="23"/>
        <v>2042</v>
      </c>
      <c r="D287" s="13">
        <f t="shared" si="23"/>
        <v>2042</v>
      </c>
      <c r="E287" s="13">
        <f t="shared" si="20"/>
        <v>2253</v>
      </c>
      <c r="F287" s="13" cm="1">
        <f t="array" ref="F287">INDEX(GMWQ!$A$2:$NF$60,MATCH(1,(GMWQ!$NE$2:$NE$60=F$3)*(GMWQ!$ND$2:$ND$60=F$4)*(GMWQ!$NF$2:$NF$60=F$1),0),$E287-1966)</f>
        <v>223.56880000000001</v>
      </c>
      <c r="G287" s="13" cm="1">
        <f t="array" ref="G287">INDEX(GMWQ!$A$2:$NF$60,MATCH(1,(GMWQ!$NE$2:$NE$60=G$3)*(GMWQ!$ND$2:$ND$60=G$4)*(GMWQ!$NF$2:$NF$60=G$1),0),$E287-1966)</f>
        <v>90524.47</v>
      </c>
      <c r="H287" s="13" cm="1">
        <f t="array" ref="H287">INDEX(GMWQ!$A$2:$NF$60,MATCH(1,(GMWQ!$NE$2:$NE$60=H$3)*(GMWQ!$ND$2:$ND$60=H$4)*(GMWQ!$NF$2:$NF$60=H$1),0),$E287-1966)</f>
        <v>1214.8230000000001</v>
      </c>
      <c r="I287" s="13" cm="1">
        <f t="array" ref="I287">INDEX(GMWQ!$A$2:$NF$60,MATCH(1,(GMWQ!$NE$2:$NE$60=I$3)*(GMWQ!$ND$2:$ND$60=I$4)*(GMWQ!$NF$2:$NF$60=I$1),0),$E287-1966)</f>
        <v>304517</v>
      </c>
      <c r="J287" s="13" cm="1">
        <f t="array" ref="J287">INDEX(GMWQ!$A$2:$NF$60,MATCH(1,(GMWQ!$NE$2:$NE$60=J$3)*(GMWQ!$ND$2:$ND$60=J$4)*(GMWQ!$NF$2:$NF$60=J$1),0),$E287-1966)</f>
        <v>1421824</v>
      </c>
      <c r="K287" s="13" cm="1">
        <f t="array" ref="K287">INDEX(GMWQ!$A$2:$NF$60,MATCH(1,(GMWQ!$NE$2:$NE$60=K$3)*(GMWQ!$ND$2:$ND$60=K$4)*(GMWQ!$NF$2:$NF$60=K$1),0),$E287-1966)</f>
        <v>571873.80000000005</v>
      </c>
      <c r="L287" s="13" cm="1">
        <f t="array" ref="L287">INDEX(GMWQ!$A$2:$NF$60,MATCH(1,(GMWQ!$NE$2:$NE$60=L$3)*(GMWQ!$ND$2:$ND$60=L$4)*(GMWQ!$NF$2:$NF$60=L$1),0),$E287-1966)</f>
        <v>899876.1</v>
      </c>
      <c r="M287" s="13" cm="1">
        <f t="array" ref="M287">INDEX(GMWQ!$A$2:$NF$60,MATCH(1,(GMWQ!$NE$2:$NE$60=M$3)*(GMWQ!$ND$2:$ND$60=M$4)*(GMWQ!$NF$2:$NF$60=M$1),0),$E287-1966)</f>
        <v>559561.4</v>
      </c>
      <c r="N287" s="13" cm="1">
        <f t="array" ref="N287">INDEX(GMWQ!$A$2:$NF$60,MATCH(1,(GMWQ!$NE$2:$NE$60=N$3)*(GMWQ!$ND$2:$ND$60=N$4)*(GMWQ!$NF$2:$NF$60=N$1),0),$E287-1966)</f>
        <v>160.77889999999999</v>
      </c>
      <c r="O287" s="13" cm="1">
        <f t="array" ref="O287">INDEX(GMWQ!$A$2:$NF$60,MATCH(1,(GMWQ!$NE$2:$NE$60=O$3)*(GMWQ!$ND$2:$ND$60=O$4)*(GMWQ!$NF$2:$NF$60=O$1),0),$E287-1966)</f>
        <v>38172.92</v>
      </c>
      <c r="P287" s="13" cm="1">
        <f t="array" ref="P287">INDEX(GMWQ!$A$2:$NF$60,MATCH(1,(GMWQ!$NE$2:$NE$60=P$3)*(GMWQ!$ND$2:$ND$60=P$4)*(GMWQ!$NF$2:$NF$60=P$1),0),$E287-1966)</f>
        <v>37623.050000000003</v>
      </c>
      <c r="Q287" s="13" cm="1">
        <f t="array" ref="Q287">INDEX(GMWQ!$A$2:$NF$60,MATCH(1,(GMWQ!$NE$2:$NE$60=Q$3)*(GMWQ!$ND$2:$ND$60=Q$4)*(GMWQ!$NF$2:$NF$60=Q$1),0),$E287-1966)</f>
        <v>35217.129999999997</v>
      </c>
    </row>
    <row r="288" spans="1:17" x14ac:dyDescent="0.25">
      <c r="B288" s="13">
        <f t="shared" si="23"/>
        <v>2043</v>
      </c>
      <c r="C288" s="13">
        <f t="shared" si="23"/>
        <v>2043</v>
      </c>
      <c r="E288" s="13">
        <f t="shared" si="20"/>
        <v>2254</v>
      </c>
      <c r="F288" s="13" cm="1">
        <f t="array" ref="F288">INDEX(GMWQ!$A$2:$NF$60,MATCH(1,(GMWQ!$NE$2:$NE$60=F$3)*(GMWQ!$ND$2:$ND$60=F$4)*(GMWQ!$NF$2:$NF$60=F$1),0),$E288-1966)</f>
        <v>224.69739999999999</v>
      </c>
      <c r="G288" s="13" cm="1">
        <f t="array" ref="G288">INDEX(GMWQ!$A$2:$NF$60,MATCH(1,(GMWQ!$NE$2:$NE$60=G$3)*(GMWQ!$ND$2:$ND$60=G$4)*(GMWQ!$NF$2:$NF$60=G$1),0),$E288-1966)</f>
        <v>91324.83</v>
      </c>
      <c r="H288" s="13" cm="1">
        <f t="array" ref="H288">INDEX(GMWQ!$A$2:$NF$60,MATCH(1,(GMWQ!$NE$2:$NE$60=H$3)*(GMWQ!$ND$2:$ND$60=H$4)*(GMWQ!$NF$2:$NF$60=H$1),0),$E288-1966)</f>
        <v>1224.442</v>
      </c>
      <c r="I288" s="13" cm="1">
        <f t="array" ref="I288">INDEX(GMWQ!$A$2:$NF$60,MATCH(1,(GMWQ!$NE$2:$NE$60=I$3)*(GMWQ!$ND$2:$ND$60=I$4)*(GMWQ!$NF$2:$NF$60=I$1),0),$E288-1966)</f>
        <v>307480.09999999998</v>
      </c>
      <c r="J288" s="13" cm="1">
        <f t="array" ref="J288">INDEX(GMWQ!$A$2:$NF$60,MATCH(1,(GMWQ!$NE$2:$NE$60=J$3)*(GMWQ!$ND$2:$ND$60=J$4)*(GMWQ!$NF$2:$NF$60=J$1),0),$E288-1966)</f>
        <v>1434861</v>
      </c>
      <c r="K288" s="13" cm="1">
        <f t="array" ref="K288">INDEX(GMWQ!$A$2:$NF$60,MATCH(1,(GMWQ!$NE$2:$NE$60=K$3)*(GMWQ!$ND$2:$ND$60=K$4)*(GMWQ!$NF$2:$NF$60=K$1),0),$E288-1966)</f>
        <v>576929.9</v>
      </c>
      <c r="L288" s="13" cm="1">
        <f t="array" ref="L288">INDEX(GMWQ!$A$2:$NF$60,MATCH(1,(GMWQ!$NE$2:$NE$60=L$3)*(GMWQ!$ND$2:$ND$60=L$4)*(GMWQ!$NF$2:$NF$60=L$1),0),$E288-1966)</f>
        <v>907664.9</v>
      </c>
      <c r="M288" s="13" cm="1">
        <f t="array" ref="M288">INDEX(GMWQ!$A$2:$NF$60,MATCH(1,(GMWQ!$NE$2:$NE$60=M$3)*(GMWQ!$ND$2:$ND$60=M$4)*(GMWQ!$NF$2:$NF$60=M$1),0),$E288-1966)</f>
        <v>561619</v>
      </c>
      <c r="N288" s="13" cm="1">
        <f t="array" ref="N288">INDEX(GMWQ!$A$2:$NF$60,MATCH(1,(GMWQ!$NE$2:$NE$60=N$3)*(GMWQ!$ND$2:$ND$60=N$4)*(GMWQ!$NF$2:$NF$60=N$1),0),$E288-1966)</f>
        <v>161.57669999999999</v>
      </c>
      <c r="O288" s="13" cm="1">
        <f t="array" ref="O288">INDEX(GMWQ!$A$2:$NF$60,MATCH(1,(GMWQ!$NE$2:$NE$60=O$3)*(GMWQ!$ND$2:$ND$60=O$4)*(GMWQ!$NF$2:$NF$60=O$1),0),$E288-1966)</f>
        <v>38207.72</v>
      </c>
      <c r="P288" s="13" cm="1">
        <f t="array" ref="P288">INDEX(GMWQ!$A$2:$NF$60,MATCH(1,(GMWQ!$NE$2:$NE$60=P$3)*(GMWQ!$ND$2:$ND$60=P$4)*(GMWQ!$NF$2:$NF$60=P$1),0),$E288-1966)</f>
        <v>37657.449999999997</v>
      </c>
      <c r="Q288" s="13" cm="1">
        <f t="array" ref="Q288">INDEX(GMWQ!$A$2:$NF$60,MATCH(1,(GMWQ!$NE$2:$NE$60=Q$3)*(GMWQ!$ND$2:$ND$60=Q$4)*(GMWQ!$NF$2:$NF$60=Q$1),0),$E288-1966)</f>
        <v>35223.269999999997</v>
      </c>
    </row>
    <row r="289" spans="1:17" x14ac:dyDescent="0.25">
      <c r="B289" s="13">
        <f t="shared" si="23"/>
        <v>2043</v>
      </c>
      <c r="C289" s="13">
        <f t="shared" si="23"/>
        <v>2043</v>
      </c>
      <c r="E289" s="13">
        <f t="shared" si="20"/>
        <v>2255</v>
      </c>
      <c r="F289" s="13" cm="1">
        <f t="array" ref="F289">INDEX(GMWQ!$A$2:$NF$60,MATCH(1,(GMWQ!$NE$2:$NE$60=F$3)*(GMWQ!$ND$2:$ND$60=F$4)*(GMWQ!$NF$2:$NF$60=F$1),0),$E289-1966)</f>
        <v>225.8321</v>
      </c>
      <c r="G289" s="13" cm="1">
        <f t="array" ref="G289">INDEX(GMWQ!$A$2:$NF$60,MATCH(1,(GMWQ!$NE$2:$NE$60=G$3)*(GMWQ!$ND$2:$ND$60=G$4)*(GMWQ!$NF$2:$NF$60=G$1),0),$E289-1966)</f>
        <v>92132.160000000003</v>
      </c>
      <c r="H289" s="13" cm="1">
        <f t="array" ref="H289">INDEX(GMWQ!$A$2:$NF$60,MATCH(1,(GMWQ!$NE$2:$NE$60=H$3)*(GMWQ!$ND$2:$ND$60=H$4)*(GMWQ!$NF$2:$NF$60=H$1),0),$E289-1966)</f>
        <v>1234.1369999999999</v>
      </c>
      <c r="I289" s="13" cm="1">
        <f t="array" ref="I289">INDEX(GMWQ!$A$2:$NF$60,MATCH(1,(GMWQ!$NE$2:$NE$60=I$3)*(GMWQ!$ND$2:$ND$60=I$4)*(GMWQ!$NF$2:$NF$60=I$1),0),$E289-1966)</f>
        <v>310137.2</v>
      </c>
      <c r="J289" s="13" cm="1">
        <f t="array" ref="J289">INDEX(GMWQ!$A$2:$NF$60,MATCH(1,(GMWQ!$NE$2:$NE$60=J$3)*(GMWQ!$ND$2:$ND$60=J$4)*(GMWQ!$NF$2:$NF$60=J$1),0),$E289-1966)</f>
        <v>1448015</v>
      </c>
      <c r="K289" s="13" cm="1">
        <f t="array" ref="K289">INDEX(GMWQ!$A$2:$NF$60,MATCH(1,(GMWQ!$NE$2:$NE$60=K$3)*(GMWQ!$ND$2:$ND$60=K$4)*(GMWQ!$NF$2:$NF$60=K$1),0),$E289-1966)</f>
        <v>582030.1</v>
      </c>
      <c r="L289" s="13" cm="1">
        <f t="array" ref="L289">INDEX(GMWQ!$A$2:$NF$60,MATCH(1,(GMWQ!$NE$2:$NE$60=L$3)*(GMWQ!$ND$2:$ND$60=L$4)*(GMWQ!$NF$2:$NF$60=L$1),0),$E289-1966)</f>
        <v>915520.3</v>
      </c>
      <c r="M289" s="13" cm="1">
        <f t="array" ref="M289">INDEX(GMWQ!$A$2:$NF$60,MATCH(1,(GMWQ!$NE$2:$NE$60=M$3)*(GMWQ!$ND$2:$ND$60=M$4)*(GMWQ!$NF$2:$NF$60=M$1),0),$E289-1966)</f>
        <v>563683.9</v>
      </c>
      <c r="N289" s="13" cm="1">
        <f t="array" ref="N289">INDEX(GMWQ!$A$2:$NF$60,MATCH(1,(GMWQ!$NE$2:$NE$60=N$3)*(GMWQ!$ND$2:$ND$60=N$4)*(GMWQ!$NF$2:$NF$60=N$1),0),$E289-1966)</f>
        <v>162.3784</v>
      </c>
      <c r="O289" s="13" cm="1">
        <f t="array" ref="O289">INDEX(GMWQ!$A$2:$NF$60,MATCH(1,(GMWQ!$NE$2:$NE$60=O$3)*(GMWQ!$ND$2:$ND$60=O$4)*(GMWQ!$NF$2:$NF$60=O$1),0),$E289-1966)</f>
        <v>38242.53</v>
      </c>
      <c r="P289" s="13" cm="1">
        <f t="array" ref="P289">INDEX(GMWQ!$A$2:$NF$60,MATCH(1,(GMWQ!$NE$2:$NE$60=P$3)*(GMWQ!$ND$2:$ND$60=P$4)*(GMWQ!$NF$2:$NF$60=P$1),0),$E289-1966)</f>
        <v>37691.85</v>
      </c>
      <c r="Q289" s="13" cm="1">
        <f t="array" ref="Q289">INDEX(GMWQ!$A$2:$NF$60,MATCH(1,(GMWQ!$NE$2:$NE$60=Q$3)*(GMWQ!$ND$2:$ND$60=Q$4)*(GMWQ!$NF$2:$NF$60=Q$1),0),$E289-1966)</f>
        <v>35229.410000000003</v>
      </c>
    </row>
    <row r="290" spans="1:17" x14ac:dyDescent="0.25">
      <c r="B290" s="13">
        <f t="shared" si="23"/>
        <v>2043</v>
      </c>
      <c r="C290" s="13">
        <f t="shared" si="23"/>
        <v>2043</v>
      </c>
      <c r="E290" s="13">
        <f t="shared" si="20"/>
        <v>2256</v>
      </c>
      <c r="F290" s="13" cm="1">
        <f t="array" ref="F290">INDEX(GMWQ!$A$2:$NF$60,MATCH(1,(GMWQ!$NE$2:$NE$60=F$3)*(GMWQ!$ND$2:$ND$60=F$4)*(GMWQ!$NF$2:$NF$60=F$1),0),$E290-1966)</f>
        <v>226.9726</v>
      </c>
      <c r="G290" s="13" cm="1">
        <f t="array" ref="G290">INDEX(GMWQ!$A$2:$NF$60,MATCH(1,(GMWQ!$NE$2:$NE$60=G$3)*(GMWQ!$ND$2:$ND$60=G$4)*(GMWQ!$NF$2:$NF$60=G$1),0),$E290-1966)</f>
        <v>92946.48</v>
      </c>
      <c r="H290" s="13" cm="1">
        <f t="array" ref="H290">INDEX(GMWQ!$A$2:$NF$60,MATCH(1,(GMWQ!$NE$2:$NE$60=H$3)*(GMWQ!$ND$2:$ND$60=H$4)*(GMWQ!$NF$2:$NF$60=H$1),0),$E290-1966)</f>
        <v>1243.9079999999999</v>
      </c>
      <c r="I290" s="13" cm="1">
        <f t="array" ref="I290">INDEX(GMWQ!$A$2:$NF$60,MATCH(1,(GMWQ!$NE$2:$NE$60=I$3)*(GMWQ!$ND$2:$ND$60=I$4)*(GMWQ!$NF$2:$NF$60=I$1),0),$E290-1966)</f>
        <v>312894.5</v>
      </c>
      <c r="J290" s="13" cm="1">
        <f t="array" ref="J290">INDEX(GMWQ!$A$2:$NF$60,MATCH(1,(GMWQ!$NE$2:$NE$60=J$3)*(GMWQ!$ND$2:$ND$60=J$4)*(GMWQ!$NF$2:$NF$60=J$1),0),$E290-1966)</f>
        <v>1461286</v>
      </c>
      <c r="K290" s="13" cm="1">
        <f t="array" ref="K290">INDEX(GMWQ!$A$2:$NF$60,MATCH(1,(GMWQ!$NE$2:$NE$60=K$3)*(GMWQ!$ND$2:$ND$60=K$4)*(GMWQ!$NF$2:$NF$60=K$1),0),$E290-1966)</f>
        <v>587174.40000000002</v>
      </c>
      <c r="L290" s="13" cm="1">
        <f t="array" ref="L290">INDEX(GMWQ!$A$2:$NF$60,MATCH(1,(GMWQ!$NE$2:$NE$60=L$3)*(GMWQ!$ND$2:$ND$60=L$4)*(GMWQ!$NF$2:$NF$60=L$1),0),$E290-1966)</f>
        <v>923441.5</v>
      </c>
      <c r="M290" s="13" cm="1">
        <f t="array" ref="M290">INDEX(GMWQ!$A$2:$NF$60,MATCH(1,(GMWQ!$NE$2:$NE$60=M$3)*(GMWQ!$ND$2:$ND$60=M$4)*(GMWQ!$NF$2:$NF$60=M$1),0),$E290-1966)</f>
        <v>565754.6</v>
      </c>
      <c r="N290" s="13" cm="1">
        <f t="array" ref="N290">INDEX(GMWQ!$A$2:$NF$60,MATCH(1,(GMWQ!$NE$2:$NE$60=N$3)*(GMWQ!$ND$2:$ND$60=N$4)*(GMWQ!$NF$2:$NF$60=N$1),0),$E290-1966)</f>
        <v>163.1842</v>
      </c>
      <c r="O290" s="13" cm="1">
        <f t="array" ref="O290">INDEX(GMWQ!$A$2:$NF$60,MATCH(1,(GMWQ!$NE$2:$NE$60=O$3)*(GMWQ!$ND$2:$ND$60=O$4)*(GMWQ!$NF$2:$NF$60=O$1),0),$E290-1966)</f>
        <v>38277.33</v>
      </c>
      <c r="P290" s="13" cm="1">
        <f t="array" ref="P290">INDEX(GMWQ!$A$2:$NF$60,MATCH(1,(GMWQ!$NE$2:$NE$60=P$3)*(GMWQ!$ND$2:$ND$60=P$4)*(GMWQ!$NF$2:$NF$60=P$1),0),$E290-1966)</f>
        <v>37726.26</v>
      </c>
      <c r="Q290" s="13" cm="1">
        <f t="array" ref="Q290">INDEX(GMWQ!$A$2:$NF$60,MATCH(1,(GMWQ!$NE$2:$NE$60=Q$3)*(GMWQ!$ND$2:$ND$60=Q$4)*(GMWQ!$NF$2:$NF$60=Q$1),0),$E290-1966)</f>
        <v>35235.550000000003</v>
      </c>
    </row>
    <row r="291" spans="1:17" x14ac:dyDescent="0.25">
      <c r="A291" s="13">
        <v>2044</v>
      </c>
      <c r="B291" s="13">
        <f t="shared" si="23"/>
        <v>2044</v>
      </c>
      <c r="C291" s="13">
        <f t="shared" si="23"/>
        <v>2043</v>
      </c>
      <c r="D291" s="13">
        <f t="shared" si="23"/>
        <v>2043</v>
      </c>
      <c r="E291" s="13">
        <f t="shared" si="20"/>
        <v>2257</v>
      </c>
      <c r="F291" s="13" cm="1">
        <f t="array" ref="F291">INDEX(GMWQ!$A$2:$NF$60,MATCH(1,(GMWQ!$NE$2:$NE$60=F$3)*(GMWQ!$ND$2:$ND$60=F$4)*(GMWQ!$NF$2:$NF$60=F$1),0),$E291-1966)</f>
        <v>228.11879999999999</v>
      </c>
      <c r="G291" s="13" cm="1">
        <f t="array" ref="G291">INDEX(GMWQ!$A$2:$NF$60,MATCH(1,(GMWQ!$NE$2:$NE$60=G$3)*(GMWQ!$ND$2:$ND$60=G$4)*(GMWQ!$NF$2:$NF$60=G$1),0),$E291-1966)</f>
        <v>93767.74</v>
      </c>
      <c r="H291" s="13" cm="1">
        <f t="array" ref="H291">INDEX(GMWQ!$A$2:$NF$60,MATCH(1,(GMWQ!$NE$2:$NE$60=H$3)*(GMWQ!$ND$2:$ND$60=H$4)*(GMWQ!$NF$2:$NF$60=H$1),0),$E291-1966)</f>
        <v>1253.7550000000001</v>
      </c>
      <c r="I291" s="13" cm="1">
        <f t="array" ref="I291">INDEX(GMWQ!$A$2:$NF$60,MATCH(1,(GMWQ!$NE$2:$NE$60=I$3)*(GMWQ!$ND$2:$ND$60=I$4)*(GMWQ!$NF$2:$NF$60=I$1),0),$E291-1966)</f>
        <v>315838.90000000002</v>
      </c>
      <c r="J291" s="13" cm="1">
        <f t="array" ref="J291">INDEX(GMWQ!$A$2:$NF$60,MATCH(1,(GMWQ!$NE$2:$NE$60=J$3)*(GMWQ!$ND$2:$ND$60=J$4)*(GMWQ!$NF$2:$NF$60=J$1),0),$E291-1966)</f>
        <v>1474676</v>
      </c>
      <c r="K291" s="13" cm="1">
        <f t="array" ref="K291">INDEX(GMWQ!$A$2:$NF$60,MATCH(1,(GMWQ!$NE$2:$NE$60=K$3)*(GMWQ!$ND$2:$ND$60=K$4)*(GMWQ!$NF$2:$NF$60=K$1),0),$E291-1966)</f>
        <v>592362.6</v>
      </c>
      <c r="L291" s="13" cm="1">
        <f t="array" ref="L291">INDEX(GMWQ!$A$2:$NF$60,MATCH(1,(GMWQ!$NE$2:$NE$60=L$3)*(GMWQ!$ND$2:$ND$60=L$4)*(GMWQ!$NF$2:$NF$60=L$1),0),$E291-1966)</f>
        <v>931430.3</v>
      </c>
      <c r="M291" s="13" cm="1">
        <f t="array" ref="M291">INDEX(GMWQ!$A$2:$NF$60,MATCH(1,(GMWQ!$NE$2:$NE$60=M$3)*(GMWQ!$ND$2:$ND$60=M$4)*(GMWQ!$NF$2:$NF$60=M$1),0),$E291-1966)</f>
        <v>567832.69999999995</v>
      </c>
      <c r="N291" s="13" cm="1">
        <f t="array" ref="N291">INDEX(GMWQ!$A$2:$NF$60,MATCH(1,(GMWQ!$NE$2:$NE$60=N$3)*(GMWQ!$ND$2:$ND$60=N$4)*(GMWQ!$NF$2:$NF$60=N$1),0),$E291-1966)</f>
        <v>163.9939</v>
      </c>
      <c r="O291" s="13" cm="1">
        <f t="array" ref="O291">INDEX(GMWQ!$A$2:$NF$60,MATCH(1,(GMWQ!$NE$2:$NE$60=O$3)*(GMWQ!$ND$2:$ND$60=O$4)*(GMWQ!$NF$2:$NF$60=O$1),0),$E291-1966)</f>
        <v>38312.129999999997</v>
      </c>
      <c r="P291" s="13" cm="1">
        <f t="array" ref="P291">INDEX(GMWQ!$A$2:$NF$60,MATCH(1,(GMWQ!$NE$2:$NE$60=P$3)*(GMWQ!$ND$2:$ND$60=P$4)*(GMWQ!$NF$2:$NF$60=P$1),0),$E291-1966)</f>
        <v>37760.660000000003</v>
      </c>
      <c r="Q291" s="13" cm="1">
        <f t="array" ref="Q291">INDEX(GMWQ!$A$2:$NF$60,MATCH(1,(GMWQ!$NE$2:$NE$60=Q$3)*(GMWQ!$ND$2:$ND$60=Q$4)*(GMWQ!$NF$2:$NF$60=Q$1),0),$E291-1966)</f>
        <v>35241.699999999997</v>
      </c>
    </row>
    <row r="292" spans="1:17" x14ac:dyDescent="0.25">
      <c r="B292" s="13">
        <f t="shared" si="23"/>
        <v>2044</v>
      </c>
      <c r="C292" s="13">
        <f t="shared" si="23"/>
        <v>2044</v>
      </c>
      <c r="E292" s="13">
        <f t="shared" si="20"/>
        <v>2258</v>
      </c>
      <c r="F292" s="13" cm="1">
        <f t="array" ref="F292">INDEX(GMWQ!$A$2:$NF$60,MATCH(1,(GMWQ!$NE$2:$NE$60=F$3)*(GMWQ!$ND$2:$ND$60=F$4)*(GMWQ!$NF$2:$NF$60=F$1),0),$E292-1966)</f>
        <v>229.27099999999999</v>
      </c>
      <c r="G292" s="13" cm="1">
        <f t="array" ref="G292">INDEX(GMWQ!$A$2:$NF$60,MATCH(1,(GMWQ!$NE$2:$NE$60=G$3)*(GMWQ!$ND$2:$ND$60=G$4)*(GMWQ!$NF$2:$NF$60=G$1),0),$E292-1966)</f>
        <v>94596.13</v>
      </c>
      <c r="H292" s="13" cm="1">
        <f t="array" ref="H292">INDEX(GMWQ!$A$2:$NF$60,MATCH(1,(GMWQ!$NE$2:$NE$60=H$3)*(GMWQ!$ND$2:$ND$60=H$4)*(GMWQ!$NF$2:$NF$60=H$1),0),$E292-1966)</f>
        <v>1263.6769999999999</v>
      </c>
      <c r="I292" s="13" cm="1">
        <f t="array" ref="I292">INDEX(GMWQ!$A$2:$NF$60,MATCH(1,(GMWQ!$NE$2:$NE$60=I$3)*(GMWQ!$ND$2:$ND$60=I$4)*(GMWQ!$NF$2:$NF$60=I$1),0),$E292-1966)</f>
        <v>318909.8</v>
      </c>
      <c r="J292" s="13" cm="1">
        <f t="array" ref="J292">INDEX(GMWQ!$A$2:$NF$60,MATCH(1,(GMWQ!$NE$2:$NE$60=J$3)*(GMWQ!$ND$2:$ND$60=J$4)*(GMWQ!$NF$2:$NF$60=J$1),0),$E292-1966)</f>
        <v>1488185</v>
      </c>
      <c r="K292" s="13" cm="1">
        <f t="array" ref="K292">INDEX(GMWQ!$A$2:$NF$60,MATCH(1,(GMWQ!$NE$2:$NE$60=K$3)*(GMWQ!$ND$2:$ND$60=K$4)*(GMWQ!$NF$2:$NF$60=K$1),0),$E292-1966)</f>
        <v>597595.80000000005</v>
      </c>
      <c r="L292" s="13" cm="1">
        <f t="array" ref="L292">INDEX(GMWQ!$A$2:$NF$60,MATCH(1,(GMWQ!$NE$2:$NE$60=L$3)*(GMWQ!$ND$2:$ND$60=L$4)*(GMWQ!$NF$2:$NF$60=L$1),0),$E292-1966)</f>
        <v>939485.2</v>
      </c>
      <c r="M292" s="13" cm="1">
        <f t="array" ref="M292">INDEX(GMWQ!$A$2:$NF$60,MATCH(1,(GMWQ!$NE$2:$NE$60=M$3)*(GMWQ!$ND$2:$ND$60=M$4)*(GMWQ!$NF$2:$NF$60=M$1),0),$E292-1966)</f>
        <v>569916.6</v>
      </c>
      <c r="N292" s="13" cm="1">
        <f t="array" ref="N292">INDEX(GMWQ!$A$2:$NF$60,MATCH(1,(GMWQ!$NE$2:$NE$60=N$3)*(GMWQ!$ND$2:$ND$60=N$4)*(GMWQ!$NF$2:$NF$60=N$1),0),$E292-1966)</f>
        <v>164.80760000000001</v>
      </c>
      <c r="O292" s="13" cm="1">
        <f t="array" ref="O292">INDEX(GMWQ!$A$2:$NF$60,MATCH(1,(GMWQ!$NE$2:$NE$60=O$3)*(GMWQ!$ND$2:$ND$60=O$4)*(GMWQ!$NF$2:$NF$60=O$1),0),$E292-1966)</f>
        <v>38346.94</v>
      </c>
      <c r="P292" s="13" cm="1">
        <f t="array" ref="P292">INDEX(GMWQ!$A$2:$NF$60,MATCH(1,(GMWQ!$NE$2:$NE$60=P$3)*(GMWQ!$ND$2:$ND$60=P$4)*(GMWQ!$NF$2:$NF$60=P$1),0),$E292-1966)</f>
        <v>37795.06</v>
      </c>
      <c r="Q292" s="13" cm="1">
        <f t="array" ref="Q292">INDEX(GMWQ!$A$2:$NF$60,MATCH(1,(GMWQ!$NE$2:$NE$60=Q$3)*(GMWQ!$ND$2:$ND$60=Q$4)*(GMWQ!$NF$2:$NF$60=Q$1),0),$E292-1966)</f>
        <v>35247.839999999997</v>
      </c>
    </row>
    <row r="293" spans="1:17" x14ac:dyDescent="0.25">
      <c r="B293" s="13">
        <f t="shared" si="23"/>
        <v>2044</v>
      </c>
      <c r="C293" s="13">
        <f t="shared" si="23"/>
        <v>2044</v>
      </c>
      <c r="E293" s="13">
        <f t="shared" si="20"/>
        <v>2259</v>
      </c>
      <c r="F293" s="13" cm="1">
        <f t="array" ref="F293">INDEX(GMWQ!$A$2:$NF$60,MATCH(1,(GMWQ!$NE$2:$NE$60=F$3)*(GMWQ!$ND$2:$ND$60=F$4)*(GMWQ!$NF$2:$NF$60=F$1),0),$E293-1966)</f>
        <v>230.42920000000001</v>
      </c>
      <c r="G293" s="13" cm="1">
        <f t="array" ref="G293">INDEX(GMWQ!$A$2:$NF$60,MATCH(1,(GMWQ!$NE$2:$NE$60=G$3)*(GMWQ!$ND$2:$ND$60=G$4)*(GMWQ!$NF$2:$NF$60=G$1),0),$E293-1966)</f>
        <v>95431.64</v>
      </c>
      <c r="H293" s="13" cm="1">
        <f t="array" ref="H293">INDEX(GMWQ!$A$2:$NF$60,MATCH(1,(GMWQ!$NE$2:$NE$60=H$3)*(GMWQ!$ND$2:$ND$60=H$4)*(GMWQ!$NF$2:$NF$60=H$1),0),$E293-1966)</f>
        <v>1273.6780000000001</v>
      </c>
      <c r="I293" s="13" cm="1">
        <f t="array" ref="I293">INDEX(GMWQ!$A$2:$NF$60,MATCH(1,(GMWQ!$NE$2:$NE$60=I$3)*(GMWQ!$ND$2:$ND$60=I$4)*(GMWQ!$NF$2:$NF$60=I$1),0),$E293-1966)</f>
        <v>321663</v>
      </c>
      <c r="J293" s="13" cm="1">
        <f t="array" ref="J293">INDEX(GMWQ!$A$2:$NF$60,MATCH(1,(GMWQ!$NE$2:$NE$60=J$3)*(GMWQ!$ND$2:$ND$60=J$4)*(GMWQ!$NF$2:$NF$60=J$1),0),$E293-1966)</f>
        <v>1501815</v>
      </c>
      <c r="K293" s="13" cm="1">
        <f t="array" ref="K293">INDEX(GMWQ!$A$2:$NF$60,MATCH(1,(GMWQ!$NE$2:$NE$60=K$3)*(GMWQ!$ND$2:$ND$60=K$4)*(GMWQ!$NF$2:$NF$60=K$1),0),$E293-1966)</f>
        <v>602874</v>
      </c>
      <c r="L293" s="13" cm="1">
        <f t="array" ref="L293">INDEX(GMWQ!$A$2:$NF$60,MATCH(1,(GMWQ!$NE$2:$NE$60=L$3)*(GMWQ!$ND$2:$ND$60=L$4)*(GMWQ!$NF$2:$NF$60=L$1),0),$E293-1966)</f>
        <v>947607.9</v>
      </c>
      <c r="M293" s="13" cm="1">
        <f t="array" ref="M293">INDEX(GMWQ!$A$2:$NF$60,MATCH(1,(GMWQ!$NE$2:$NE$60=M$3)*(GMWQ!$ND$2:$ND$60=M$4)*(GMWQ!$NF$2:$NF$60=M$1),0),$E293-1966)</f>
        <v>572006.9</v>
      </c>
      <c r="N293" s="13" cm="1">
        <f t="array" ref="N293">INDEX(GMWQ!$A$2:$NF$60,MATCH(1,(GMWQ!$NE$2:$NE$60=N$3)*(GMWQ!$ND$2:$ND$60=N$4)*(GMWQ!$NF$2:$NF$60=N$1),0),$E293-1966)</f>
        <v>165.62540000000001</v>
      </c>
      <c r="O293" s="13" cm="1">
        <f t="array" ref="O293">INDEX(GMWQ!$A$2:$NF$60,MATCH(1,(GMWQ!$NE$2:$NE$60=O$3)*(GMWQ!$ND$2:$ND$60=O$4)*(GMWQ!$NF$2:$NF$60=O$1),0),$E293-1966)</f>
        <v>38381.74</v>
      </c>
      <c r="P293" s="13" cm="1">
        <f t="array" ref="P293">INDEX(GMWQ!$A$2:$NF$60,MATCH(1,(GMWQ!$NE$2:$NE$60=P$3)*(GMWQ!$ND$2:$ND$60=P$4)*(GMWQ!$NF$2:$NF$60=P$1),0),$E293-1966)</f>
        <v>37829.46</v>
      </c>
      <c r="Q293" s="13" cm="1">
        <f t="array" ref="Q293">INDEX(GMWQ!$A$2:$NF$60,MATCH(1,(GMWQ!$NE$2:$NE$60=Q$3)*(GMWQ!$ND$2:$ND$60=Q$4)*(GMWQ!$NF$2:$NF$60=Q$1),0),$E293-1966)</f>
        <v>35253.980000000003</v>
      </c>
    </row>
    <row r="294" spans="1:17" x14ac:dyDescent="0.25">
      <c r="B294" s="13">
        <f t="shared" si="23"/>
        <v>2044</v>
      </c>
      <c r="C294" s="13">
        <f t="shared" si="23"/>
        <v>2044</v>
      </c>
      <c r="E294" s="13">
        <f t="shared" si="20"/>
        <v>2260</v>
      </c>
      <c r="F294" s="13" cm="1">
        <f t="array" ref="F294">INDEX(GMWQ!$A$2:$NF$60,MATCH(1,(GMWQ!$NE$2:$NE$60=F$3)*(GMWQ!$ND$2:$ND$60=F$4)*(GMWQ!$NF$2:$NF$60=F$1),0),$E294-1966)</f>
        <v>231.5932</v>
      </c>
      <c r="G294" s="13" cm="1">
        <f t="array" ref="G294">INDEX(GMWQ!$A$2:$NF$60,MATCH(1,(GMWQ!$NE$2:$NE$60=G$3)*(GMWQ!$ND$2:$ND$60=G$4)*(GMWQ!$NF$2:$NF$60=G$1),0),$E294-1966)</f>
        <v>96274.27</v>
      </c>
      <c r="H294" s="13" cm="1">
        <f t="array" ref="H294">INDEX(GMWQ!$A$2:$NF$60,MATCH(1,(GMWQ!$NE$2:$NE$60=H$3)*(GMWQ!$ND$2:$ND$60=H$4)*(GMWQ!$NF$2:$NF$60=H$1),0),$E294-1966)</f>
        <v>1283.7550000000001</v>
      </c>
      <c r="I294" s="13" cm="1">
        <f t="array" ref="I294">INDEX(GMWQ!$A$2:$NF$60,MATCH(1,(GMWQ!$NE$2:$NE$60=I$3)*(GMWQ!$ND$2:$ND$60=I$4)*(GMWQ!$NF$2:$NF$60=I$1),0),$E294-1966)</f>
        <v>324520</v>
      </c>
      <c r="J294" s="13" cm="1">
        <f t="array" ref="J294">INDEX(GMWQ!$A$2:$NF$60,MATCH(1,(GMWQ!$NE$2:$NE$60=J$3)*(GMWQ!$ND$2:$ND$60=J$4)*(GMWQ!$NF$2:$NF$60=J$1),0),$E294-1966)</f>
        <v>1515566</v>
      </c>
      <c r="K294" s="13" cm="1">
        <f t="array" ref="K294">INDEX(GMWQ!$A$2:$NF$60,MATCH(1,(GMWQ!$NE$2:$NE$60=K$3)*(GMWQ!$ND$2:$ND$60=K$4)*(GMWQ!$NF$2:$NF$60=K$1),0),$E294-1966)</f>
        <v>608197.19999999995</v>
      </c>
      <c r="L294" s="13" cm="1">
        <f t="array" ref="L294">INDEX(GMWQ!$A$2:$NF$60,MATCH(1,(GMWQ!$NE$2:$NE$60=L$3)*(GMWQ!$ND$2:$ND$60=L$4)*(GMWQ!$NF$2:$NF$60=L$1),0),$E294-1966)</f>
        <v>955799.1</v>
      </c>
      <c r="M294" s="13" cm="1">
        <f t="array" ref="M294">INDEX(GMWQ!$A$2:$NF$60,MATCH(1,(GMWQ!$NE$2:$NE$60=M$3)*(GMWQ!$ND$2:$ND$60=M$4)*(GMWQ!$NF$2:$NF$60=M$1),0),$E294-1966)</f>
        <v>574103.9</v>
      </c>
      <c r="N294" s="13" cm="1">
        <f t="array" ref="N294">INDEX(GMWQ!$A$2:$NF$60,MATCH(1,(GMWQ!$NE$2:$NE$60=N$3)*(GMWQ!$ND$2:$ND$60=N$4)*(GMWQ!$NF$2:$NF$60=N$1),0),$E294-1966)</f>
        <v>166.44720000000001</v>
      </c>
      <c r="O294" s="13" cm="1">
        <f t="array" ref="O294">INDEX(GMWQ!$A$2:$NF$60,MATCH(1,(GMWQ!$NE$2:$NE$60=O$3)*(GMWQ!$ND$2:$ND$60=O$4)*(GMWQ!$NF$2:$NF$60=O$1),0),$E294-1966)</f>
        <v>38416.54</v>
      </c>
      <c r="P294" s="13" cm="1">
        <f t="array" ref="P294">INDEX(GMWQ!$A$2:$NF$60,MATCH(1,(GMWQ!$NE$2:$NE$60=P$3)*(GMWQ!$ND$2:$ND$60=P$4)*(GMWQ!$NF$2:$NF$60=P$1),0),$E294-1966)</f>
        <v>37863.870000000003</v>
      </c>
      <c r="Q294" s="13" cm="1">
        <f t="array" ref="Q294">INDEX(GMWQ!$A$2:$NF$60,MATCH(1,(GMWQ!$NE$2:$NE$60=Q$3)*(GMWQ!$ND$2:$ND$60=Q$4)*(GMWQ!$NF$2:$NF$60=Q$1),0),$E294-1966)</f>
        <v>35260.129999999997</v>
      </c>
    </row>
    <row r="295" spans="1:17" x14ac:dyDescent="0.25">
      <c r="A295" s="13">
        <v>2045</v>
      </c>
      <c r="B295" s="13">
        <f t="shared" si="23"/>
        <v>2045</v>
      </c>
      <c r="C295" s="13">
        <f t="shared" si="23"/>
        <v>2044</v>
      </c>
      <c r="D295" s="13">
        <f t="shared" si="23"/>
        <v>2044</v>
      </c>
      <c r="E295" s="13">
        <f t="shared" si="20"/>
        <v>2261</v>
      </c>
      <c r="F295" s="13" cm="1">
        <f t="array" ref="F295">INDEX(GMWQ!$A$2:$NF$60,MATCH(1,(GMWQ!$NE$2:$NE$60=F$3)*(GMWQ!$ND$2:$ND$60=F$4)*(GMWQ!$NF$2:$NF$60=F$1),0),$E295-1966)</f>
        <v>232.76320000000001</v>
      </c>
      <c r="G295" s="13" cm="1">
        <f t="array" ref="G295">INDEX(GMWQ!$A$2:$NF$60,MATCH(1,(GMWQ!$NE$2:$NE$60=G$3)*(GMWQ!$ND$2:$ND$60=G$4)*(GMWQ!$NF$2:$NF$60=G$1),0),$E295-1966)</f>
        <v>97124.15</v>
      </c>
      <c r="H295" s="13" cm="1">
        <f t="array" ref="H295">INDEX(GMWQ!$A$2:$NF$60,MATCH(1,(GMWQ!$NE$2:$NE$60=H$3)*(GMWQ!$ND$2:$ND$60=H$4)*(GMWQ!$NF$2:$NF$60=H$1),0),$E295-1966)</f>
        <v>1293.9100000000001</v>
      </c>
      <c r="I295" s="13" cm="1">
        <f t="array" ref="I295">INDEX(GMWQ!$A$2:$NF$60,MATCH(1,(GMWQ!$NE$2:$NE$60=I$3)*(GMWQ!$ND$2:$ND$60=I$4)*(GMWQ!$NF$2:$NF$60=I$1),0),$E295-1966)</f>
        <v>327570.7</v>
      </c>
      <c r="J295" s="13" cm="1">
        <f t="array" ref="J295">INDEX(GMWQ!$A$2:$NF$60,MATCH(1,(GMWQ!$NE$2:$NE$60=J$3)*(GMWQ!$ND$2:$ND$60=J$4)*(GMWQ!$NF$2:$NF$60=J$1),0),$E295-1966)</f>
        <v>1529439</v>
      </c>
      <c r="K295" s="13" cm="1">
        <f t="array" ref="K295">INDEX(GMWQ!$A$2:$NF$60,MATCH(1,(GMWQ!$NE$2:$NE$60=K$3)*(GMWQ!$ND$2:$ND$60=K$4)*(GMWQ!$NF$2:$NF$60=K$1),0),$E295-1966)</f>
        <v>613566.19999999995</v>
      </c>
      <c r="L295" s="13" cm="1">
        <f t="array" ref="L295">INDEX(GMWQ!$A$2:$NF$60,MATCH(1,(GMWQ!$NE$2:$NE$60=L$3)*(GMWQ!$ND$2:$ND$60=L$4)*(GMWQ!$NF$2:$NF$60=L$1),0),$E295-1966)</f>
        <v>964058.2</v>
      </c>
      <c r="M295" s="13" cm="1">
        <f t="array" ref="M295">INDEX(GMWQ!$A$2:$NF$60,MATCH(1,(GMWQ!$NE$2:$NE$60=M$3)*(GMWQ!$ND$2:$ND$60=M$4)*(GMWQ!$NF$2:$NF$60=M$1),0),$E295-1966)</f>
        <v>576206.69999999995</v>
      </c>
      <c r="N295" s="13" cm="1">
        <f t="array" ref="N295">INDEX(GMWQ!$A$2:$NF$60,MATCH(1,(GMWQ!$NE$2:$NE$60=N$3)*(GMWQ!$ND$2:$ND$60=N$4)*(GMWQ!$NF$2:$NF$60=N$1),0),$E295-1966)</f>
        <v>167.2731</v>
      </c>
      <c r="O295" s="13" cm="1">
        <f t="array" ref="O295">INDEX(GMWQ!$A$2:$NF$60,MATCH(1,(GMWQ!$NE$2:$NE$60=O$3)*(GMWQ!$ND$2:$ND$60=O$4)*(GMWQ!$NF$2:$NF$60=O$1),0),$E295-1966)</f>
        <v>38451.35</v>
      </c>
      <c r="P295" s="13" cm="1">
        <f t="array" ref="P295">INDEX(GMWQ!$A$2:$NF$60,MATCH(1,(GMWQ!$NE$2:$NE$60=P$3)*(GMWQ!$ND$2:$ND$60=P$4)*(GMWQ!$NF$2:$NF$60=P$1),0),$E295-1966)</f>
        <v>37898.269999999997</v>
      </c>
      <c r="Q295" s="13" cm="1">
        <f t="array" ref="Q295">INDEX(GMWQ!$A$2:$NF$60,MATCH(1,(GMWQ!$NE$2:$NE$60=Q$3)*(GMWQ!$ND$2:$ND$60=Q$4)*(GMWQ!$NF$2:$NF$60=Q$1),0),$E295-1966)</f>
        <v>35266.269999999997</v>
      </c>
    </row>
    <row r="296" spans="1:17" x14ac:dyDescent="0.25">
      <c r="B296" s="13">
        <f t="shared" si="23"/>
        <v>2045</v>
      </c>
      <c r="C296" s="13">
        <f t="shared" si="23"/>
        <v>2045</v>
      </c>
      <c r="E296" s="13">
        <f t="shared" si="20"/>
        <v>2262</v>
      </c>
      <c r="F296" s="13" cm="1">
        <f t="array" ref="F296">INDEX(GMWQ!$A$2:$NF$60,MATCH(1,(GMWQ!$NE$2:$NE$60=F$3)*(GMWQ!$ND$2:$ND$60=F$4)*(GMWQ!$NF$2:$NF$60=F$1),0),$E296-1966)</f>
        <v>233.9391</v>
      </c>
      <c r="G296" s="13" cm="1">
        <f t="array" ref="G296">INDEX(GMWQ!$A$2:$NF$60,MATCH(1,(GMWQ!$NE$2:$NE$60=G$3)*(GMWQ!$ND$2:$ND$60=G$4)*(GMWQ!$NF$2:$NF$60=G$1),0),$E296-1966)</f>
        <v>97981.27</v>
      </c>
      <c r="H296" s="13" cm="1">
        <f t="array" ref="H296">INDEX(GMWQ!$A$2:$NF$60,MATCH(1,(GMWQ!$NE$2:$NE$60=H$3)*(GMWQ!$ND$2:$ND$60=H$4)*(GMWQ!$NF$2:$NF$60=H$1),0),$E296-1966)</f>
        <v>1304.144</v>
      </c>
      <c r="I296" s="13" cm="1">
        <f t="array" ref="I296">INDEX(GMWQ!$A$2:$NF$60,MATCH(1,(GMWQ!$NE$2:$NE$60=I$3)*(GMWQ!$ND$2:$ND$60=I$4)*(GMWQ!$NF$2:$NF$60=I$1),0),$E296-1966)</f>
        <v>330752.7</v>
      </c>
      <c r="J296" s="13" cm="1">
        <f t="array" ref="J296">INDEX(GMWQ!$A$2:$NF$60,MATCH(1,(GMWQ!$NE$2:$NE$60=J$3)*(GMWQ!$ND$2:$ND$60=J$4)*(GMWQ!$NF$2:$NF$60=J$1),0),$E296-1966)</f>
        <v>1543436</v>
      </c>
      <c r="K296" s="13" cm="1">
        <f t="array" ref="K296">INDEX(GMWQ!$A$2:$NF$60,MATCH(1,(GMWQ!$NE$2:$NE$60=K$3)*(GMWQ!$ND$2:$ND$60=K$4)*(GMWQ!$NF$2:$NF$60=K$1),0),$E296-1966)</f>
        <v>618980.9</v>
      </c>
      <c r="L296" s="13" cm="1">
        <f t="array" ref="L296">INDEX(GMWQ!$A$2:$NF$60,MATCH(1,(GMWQ!$NE$2:$NE$60=L$3)*(GMWQ!$ND$2:$ND$60=L$4)*(GMWQ!$NF$2:$NF$60=L$1),0),$E296-1966)</f>
        <v>972386.9</v>
      </c>
      <c r="M296" s="13" cm="1">
        <f t="array" ref="M296">INDEX(GMWQ!$A$2:$NF$60,MATCH(1,(GMWQ!$NE$2:$NE$60=M$3)*(GMWQ!$ND$2:$ND$60=M$4)*(GMWQ!$NF$2:$NF$60=M$1),0),$E296-1966)</f>
        <v>578316.30000000005</v>
      </c>
      <c r="N296" s="13" cm="1">
        <f t="array" ref="N296">INDEX(GMWQ!$A$2:$NF$60,MATCH(1,(GMWQ!$NE$2:$NE$60=N$3)*(GMWQ!$ND$2:$ND$60=N$4)*(GMWQ!$NF$2:$NF$60=N$1),0),$E296-1966)</f>
        <v>168.10310000000001</v>
      </c>
      <c r="O296" s="13" cm="1">
        <f t="array" ref="O296">INDEX(GMWQ!$A$2:$NF$60,MATCH(1,(GMWQ!$NE$2:$NE$60=O$3)*(GMWQ!$ND$2:$ND$60=O$4)*(GMWQ!$NF$2:$NF$60=O$1),0),$E296-1966)</f>
        <v>38486.15</v>
      </c>
      <c r="P296" s="13" cm="1">
        <f t="array" ref="P296">INDEX(GMWQ!$A$2:$NF$60,MATCH(1,(GMWQ!$NE$2:$NE$60=P$3)*(GMWQ!$ND$2:$ND$60=P$4)*(GMWQ!$NF$2:$NF$60=P$1),0),$E296-1966)</f>
        <v>37932.68</v>
      </c>
      <c r="Q296" s="13" cm="1">
        <f t="array" ref="Q296">INDEX(GMWQ!$A$2:$NF$60,MATCH(1,(GMWQ!$NE$2:$NE$60=Q$3)*(GMWQ!$ND$2:$ND$60=Q$4)*(GMWQ!$NF$2:$NF$60=Q$1),0),$E296-1966)</f>
        <v>35272.410000000003</v>
      </c>
    </row>
    <row r="297" spans="1:17" x14ac:dyDescent="0.25">
      <c r="B297" s="13">
        <f t="shared" si="23"/>
        <v>2045</v>
      </c>
      <c r="C297" s="13">
        <f t="shared" si="23"/>
        <v>2045</v>
      </c>
      <c r="E297" s="13">
        <f t="shared" si="20"/>
        <v>2263</v>
      </c>
      <c r="F297" s="13" cm="1">
        <f t="array" ref="F297">INDEX(GMWQ!$A$2:$NF$60,MATCH(1,(GMWQ!$NE$2:$NE$60=F$3)*(GMWQ!$ND$2:$ND$60=F$4)*(GMWQ!$NF$2:$NF$60=F$1),0),$E297-1966)</f>
        <v>235.12090000000001</v>
      </c>
      <c r="G297" s="13" cm="1">
        <f t="array" ref="G297">INDEX(GMWQ!$A$2:$NF$60,MATCH(1,(GMWQ!$NE$2:$NE$60=G$3)*(GMWQ!$ND$2:$ND$60=G$4)*(GMWQ!$NF$2:$NF$60=G$1),0),$E297-1966)</f>
        <v>98845.7</v>
      </c>
      <c r="H297" s="13" cm="1">
        <f t="array" ref="H297">INDEX(GMWQ!$A$2:$NF$60,MATCH(1,(GMWQ!$NE$2:$NE$60=H$3)*(GMWQ!$ND$2:$ND$60=H$4)*(GMWQ!$NF$2:$NF$60=H$1),0),$E297-1966)</f>
        <v>1314.4549999999999</v>
      </c>
      <c r="I297" s="13" cm="1">
        <f t="array" ref="I297">INDEX(GMWQ!$A$2:$NF$60,MATCH(1,(GMWQ!$NE$2:$NE$60=I$3)*(GMWQ!$ND$2:$ND$60=I$4)*(GMWQ!$NF$2:$NF$60=I$1),0),$E297-1966)</f>
        <v>333605</v>
      </c>
      <c r="J297" s="13" cm="1">
        <f t="array" ref="J297">INDEX(GMWQ!$A$2:$NF$60,MATCH(1,(GMWQ!$NE$2:$NE$60=J$3)*(GMWQ!$ND$2:$ND$60=J$4)*(GMWQ!$NF$2:$NF$60=J$1),0),$E297-1966)</f>
        <v>1557558</v>
      </c>
      <c r="K297" s="13" cm="1">
        <f t="array" ref="K297">INDEX(GMWQ!$A$2:$NF$60,MATCH(1,(GMWQ!$NE$2:$NE$60=K$3)*(GMWQ!$ND$2:$ND$60=K$4)*(GMWQ!$NF$2:$NF$60=K$1),0),$E297-1966)</f>
        <v>624441.80000000005</v>
      </c>
      <c r="L297" s="13" cm="1">
        <f t="array" ref="L297">INDEX(GMWQ!$A$2:$NF$60,MATCH(1,(GMWQ!$NE$2:$NE$60=L$3)*(GMWQ!$ND$2:$ND$60=L$4)*(GMWQ!$NF$2:$NF$60=L$1),0),$E297-1966)</f>
        <v>980785.1</v>
      </c>
      <c r="M297" s="13" cm="1">
        <f t="array" ref="M297">INDEX(GMWQ!$A$2:$NF$60,MATCH(1,(GMWQ!$NE$2:$NE$60=M$3)*(GMWQ!$ND$2:$ND$60=M$4)*(GMWQ!$NF$2:$NF$60=M$1),0),$E297-1966)</f>
        <v>580431.80000000005</v>
      </c>
      <c r="N297" s="13" cm="1">
        <f t="array" ref="N297">INDEX(GMWQ!$A$2:$NF$60,MATCH(1,(GMWQ!$NE$2:$NE$60=N$3)*(GMWQ!$ND$2:$ND$60=N$4)*(GMWQ!$NF$2:$NF$60=N$1),0),$E297-1966)</f>
        <v>168.93729999999999</v>
      </c>
      <c r="O297" s="13" cm="1">
        <f t="array" ref="O297">INDEX(GMWQ!$A$2:$NF$60,MATCH(1,(GMWQ!$NE$2:$NE$60=O$3)*(GMWQ!$ND$2:$ND$60=O$4)*(GMWQ!$NF$2:$NF$60=O$1),0),$E297-1966)</f>
        <v>38520.949999999997</v>
      </c>
      <c r="P297" s="13" cm="1">
        <f t="array" ref="P297">INDEX(GMWQ!$A$2:$NF$60,MATCH(1,(GMWQ!$NE$2:$NE$60=P$3)*(GMWQ!$ND$2:$ND$60=P$4)*(GMWQ!$NF$2:$NF$60=P$1),0),$E297-1966)</f>
        <v>37967.08</v>
      </c>
      <c r="Q297" s="13" cm="1">
        <f t="array" ref="Q297">INDEX(GMWQ!$A$2:$NF$60,MATCH(1,(GMWQ!$NE$2:$NE$60=Q$3)*(GMWQ!$ND$2:$ND$60=Q$4)*(GMWQ!$NF$2:$NF$60=Q$1),0),$E297-1966)</f>
        <v>35278.550000000003</v>
      </c>
    </row>
    <row r="298" spans="1:17" x14ac:dyDescent="0.25">
      <c r="B298" s="13">
        <f t="shared" si="23"/>
        <v>2045</v>
      </c>
      <c r="C298" s="13">
        <f t="shared" si="23"/>
        <v>2045</v>
      </c>
      <c r="E298" s="13">
        <f t="shared" si="20"/>
        <v>2264</v>
      </c>
      <c r="F298" s="13" cm="1">
        <f t="array" ref="F298">INDEX(GMWQ!$A$2:$NF$60,MATCH(1,(GMWQ!$NE$2:$NE$60=F$3)*(GMWQ!$ND$2:$ND$60=F$4)*(GMWQ!$NF$2:$NF$60=F$1),0),$E298-1966)</f>
        <v>236.30889999999999</v>
      </c>
      <c r="G298" s="13" cm="1">
        <f t="array" ref="G298">INDEX(GMWQ!$A$2:$NF$60,MATCH(1,(GMWQ!$NE$2:$NE$60=G$3)*(GMWQ!$ND$2:$ND$60=G$4)*(GMWQ!$NF$2:$NF$60=G$1),0),$E298-1966)</f>
        <v>99717.62</v>
      </c>
      <c r="H298" s="13" cm="1">
        <f t="array" ref="H298">INDEX(GMWQ!$A$2:$NF$60,MATCH(1,(GMWQ!$NE$2:$NE$60=H$3)*(GMWQ!$ND$2:$ND$60=H$4)*(GMWQ!$NF$2:$NF$60=H$1),0),$E298-1966)</f>
        <v>1324.848</v>
      </c>
      <c r="I298" s="13" cm="1">
        <f t="array" ref="I298">INDEX(GMWQ!$A$2:$NF$60,MATCH(1,(GMWQ!$NE$2:$NE$60=I$3)*(GMWQ!$ND$2:$ND$60=I$4)*(GMWQ!$NF$2:$NF$60=I$1),0),$E298-1966)</f>
        <v>336565.1</v>
      </c>
      <c r="J298" s="13" cm="1">
        <f t="array" ref="J298">INDEX(GMWQ!$A$2:$NF$60,MATCH(1,(GMWQ!$NE$2:$NE$60=J$3)*(GMWQ!$ND$2:$ND$60=J$4)*(GMWQ!$NF$2:$NF$60=J$1),0),$E298-1966)</f>
        <v>1571805</v>
      </c>
      <c r="K298" s="13" cm="1">
        <f t="array" ref="K298">INDEX(GMWQ!$A$2:$NF$60,MATCH(1,(GMWQ!$NE$2:$NE$60=K$3)*(GMWQ!$ND$2:$ND$60=K$4)*(GMWQ!$NF$2:$NF$60=K$1),0),$E298-1966)</f>
        <v>629950</v>
      </c>
      <c r="L298" s="13" cm="1">
        <f t="array" ref="L298">INDEX(GMWQ!$A$2:$NF$60,MATCH(1,(GMWQ!$NE$2:$NE$60=L$3)*(GMWQ!$ND$2:$ND$60=L$4)*(GMWQ!$NF$2:$NF$60=L$1),0),$E298-1966)</f>
        <v>989254.4</v>
      </c>
      <c r="M298" s="13" cm="1">
        <f t="array" ref="M298">INDEX(GMWQ!$A$2:$NF$60,MATCH(1,(GMWQ!$NE$2:$NE$60=M$3)*(GMWQ!$ND$2:$ND$60=M$4)*(GMWQ!$NF$2:$NF$60=M$1),0),$E298-1966)</f>
        <v>582554.6</v>
      </c>
      <c r="N298" s="13" cm="1">
        <f t="array" ref="N298">INDEX(GMWQ!$A$2:$NF$60,MATCH(1,(GMWQ!$NE$2:$NE$60=N$3)*(GMWQ!$ND$2:$ND$60=N$4)*(GMWQ!$NF$2:$NF$60=N$1),0),$E298-1966)</f>
        <v>169.77549999999999</v>
      </c>
      <c r="O298" s="13" cm="1">
        <f t="array" ref="O298">INDEX(GMWQ!$A$2:$NF$60,MATCH(1,(GMWQ!$NE$2:$NE$60=O$3)*(GMWQ!$ND$2:$ND$60=O$4)*(GMWQ!$NF$2:$NF$60=O$1),0),$E298-1966)</f>
        <v>38555.760000000002</v>
      </c>
      <c r="P298" s="13" cm="1">
        <f t="array" ref="P298">INDEX(GMWQ!$A$2:$NF$60,MATCH(1,(GMWQ!$NE$2:$NE$60=P$3)*(GMWQ!$ND$2:$ND$60=P$4)*(GMWQ!$NF$2:$NF$60=P$1),0),$E298-1966)</f>
        <v>38001.480000000003</v>
      </c>
      <c r="Q298" s="13" cm="1">
        <f t="array" ref="Q298">INDEX(GMWQ!$A$2:$NF$60,MATCH(1,(GMWQ!$NE$2:$NE$60=Q$3)*(GMWQ!$ND$2:$ND$60=Q$4)*(GMWQ!$NF$2:$NF$60=Q$1),0),$E298-1966)</f>
        <v>35284.69</v>
      </c>
    </row>
    <row r="299" spans="1:17" x14ac:dyDescent="0.25">
      <c r="A299" s="13">
        <v>2046</v>
      </c>
      <c r="B299" s="13">
        <f t="shared" si="23"/>
        <v>2046</v>
      </c>
      <c r="C299" s="13">
        <f t="shared" si="23"/>
        <v>2045</v>
      </c>
      <c r="D299" s="13">
        <f t="shared" si="23"/>
        <v>2045</v>
      </c>
      <c r="E299" s="13">
        <f t="shared" si="20"/>
        <v>2265</v>
      </c>
      <c r="F299" s="13" cm="1">
        <f t="array" ref="F299">INDEX(GMWQ!$A$2:$NF$60,MATCH(1,(GMWQ!$NE$2:$NE$60=F$3)*(GMWQ!$ND$2:$ND$60=F$4)*(GMWQ!$NF$2:$NF$60=F$1),0),$E299-1966)</f>
        <v>237.5027</v>
      </c>
      <c r="G299" s="13" cm="1">
        <f t="array" ref="G299">INDEX(GMWQ!$A$2:$NF$60,MATCH(1,(GMWQ!$NE$2:$NE$60=G$3)*(GMWQ!$ND$2:$ND$60=G$4)*(GMWQ!$NF$2:$NF$60=G$1),0),$E299-1966)</f>
        <v>100596.9</v>
      </c>
      <c r="H299" s="13" cm="1">
        <f t="array" ref="H299">INDEX(GMWQ!$A$2:$NF$60,MATCH(1,(GMWQ!$NE$2:$NE$60=H$3)*(GMWQ!$ND$2:$ND$60=H$4)*(GMWQ!$NF$2:$NF$60=H$1),0),$E299-1966)</f>
        <v>1335.319</v>
      </c>
      <c r="I299" s="13" cm="1">
        <f t="array" ref="I299">INDEX(GMWQ!$A$2:$NF$60,MATCH(1,(GMWQ!$NE$2:$NE$60=I$3)*(GMWQ!$ND$2:$ND$60=I$4)*(GMWQ!$NF$2:$NF$60=I$1),0),$E299-1966)</f>
        <v>339726</v>
      </c>
      <c r="J299" s="13" cm="1">
        <f t="array" ref="J299">INDEX(GMWQ!$A$2:$NF$60,MATCH(1,(GMWQ!$NE$2:$NE$60=J$3)*(GMWQ!$ND$2:$ND$60=J$4)*(GMWQ!$NF$2:$NF$60=J$1),0),$E299-1966)</f>
        <v>1586179</v>
      </c>
      <c r="K299" s="13" cm="1">
        <f t="array" ref="K299">INDEX(GMWQ!$A$2:$NF$60,MATCH(1,(GMWQ!$NE$2:$NE$60=K$3)*(GMWQ!$ND$2:$ND$60=K$4)*(GMWQ!$NF$2:$NF$60=K$1),0),$E299-1966)</f>
        <v>635504.6</v>
      </c>
      <c r="L299" s="13" cm="1">
        <f t="array" ref="L299">INDEX(GMWQ!$A$2:$NF$60,MATCH(1,(GMWQ!$NE$2:$NE$60=L$3)*(GMWQ!$ND$2:$ND$60=L$4)*(GMWQ!$NF$2:$NF$60=L$1),0),$E299-1966)</f>
        <v>997793.5</v>
      </c>
      <c r="M299" s="13" cm="1">
        <f t="array" ref="M299">INDEX(GMWQ!$A$2:$NF$60,MATCH(1,(GMWQ!$NE$2:$NE$60=M$3)*(GMWQ!$ND$2:$ND$60=M$4)*(GMWQ!$NF$2:$NF$60=M$1),0),$E299-1966)</f>
        <v>584682.9</v>
      </c>
      <c r="N299" s="13" cm="1">
        <f t="array" ref="N299">INDEX(GMWQ!$A$2:$NF$60,MATCH(1,(GMWQ!$NE$2:$NE$60=N$3)*(GMWQ!$ND$2:$ND$60=N$4)*(GMWQ!$NF$2:$NF$60=N$1),0),$E299-1966)</f>
        <v>170.61799999999999</v>
      </c>
      <c r="O299" s="13" cm="1">
        <f t="array" ref="O299">INDEX(GMWQ!$A$2:$NF$60,MATCH(1,(GMWQ!$NE$2:$NE$60=O$3)*(GMWQ!$ND$2:$ND$60=O$4)*(GMWQ!$NF$2:$NF$60=O$1),0),$E299-1966)</f>
        <v>38590.559999999998</v>
      </c>
      <c r="P299" s="13" cm="1">
        <f t="array" ref="P299">INDEX(GMWQ!$A$2:$NF$60,MATCH(1,(GMWQ!$NE$2:$NE$60=P$3)*(GMWQ!$ND$2:$ND$60=P$4)*(GMWQ!$NF$2:$NF$60=P$1),0),$E299-1966)</f>
        <v>38035.89</v>
      </c>
      <c r="Q299" s="13" cm="1">
        <f t="array" ref="Q299">INDEX(GMWQ!$A$2:$NF$60,MATCH(1,(GMWQ!$NE$2:$NE$60=Q$3)*(GMWQ!$ND$2:$ND$60=Q$4)*(GMWQ!$NF$2:$NF$60=Q$1),0),$E299-1966)</f>
        <v>35290.83</v>
      </c>
    </row>
    <row r="300" spans="1:17" x14ac:dyDescent="0.25">
      <c r="B300" s="13">
        <f t="shared" ref="B300:D315" si="24">+B296+1</f>
        <v>2046</v>
      </c>
      <c r="C300" s="13">
        <f t="shared" si="24"/>
        <v>2046</v>
      </c>
      <c r="E300" s="13">
        <f t="shared" si="20"/>
        <v>2266</v>
      </c>
      <c r="F300" s="13" cm="1">
        <f t="array" ref="F300">INDEX(GMWQ!$A$2:$NF$60,MATCH(1,(GMWQ!$NE$2:$NE$60=F$3)*(GMWQ!$ND$2:$ND$60=F$4)*(GMWQ!$NF$2:$NF$60=F$1),0),$E300-1966)</f>
        <v>238.7029</v>
      </c>
      <c r="G300" s="13" cm="1">
        <f t="array" ref="G300">INDEX(GMWQ!$A$2:$NF$60,MATCH(1,(GMWQ!$NE$2:$NE$60=G$3)*(GMWQ!$ND$2:$ND$60=G$4)*(GMWQ!$NF$2:$NF$60=G$1),0),$E300-1966)</f>
        <v>101483.8</v>
      </c>
      <c r="H300" s="13" cm="1">
        <f t="array" ref="H300">INDEX(GMWQ!$A$2:$NF$60,MATCH(1,(GMWQ!$NE$2:$NE$60=H$3)*(GMWQ!$ND$2:$ND$60=H$4)*(GMWQ!$NF$2:$NF$60=H$1),0),$E300-1966)</f>
        <v>1345.873</v>
      </c>
      <c r="I300" s="13" cm="1">
        <f t="array" ref="I300">INDEX(GMWQ!$A$2:$NF$60,MATCH(1,(GMWQ!$NE$2:$NE$60=I$3)*(GMWQ!$ND$2:$ND$60=I$4)*(GMWQ!$NF$2:$NF$60=I$1),0),$E300-1966)</f>
        <v>343023</v>
      </c>
      <c r="J300" s="13" cm="1">
        <f t="array" ref="J300">INDEX(GMWQ!$A$2:$NF$60,MATCH(1,(GMWQ!$NE$2:$NE$60=J$3)*(GMWQ!$ND$2:$ND$60=J$4)*(GMWQ!$NF$2:$NF$60=J$1),0),$E300-1966)</f>
        <v>1600679</v>
      </c>
      <c r="K300" s="13" cm="1">
        <f t="array" ref="K300">INDEX(GMWQ!$A$2:$NF$60,MATCH(1,(GMWQ!$NE$2:$NE$60=K$3)*(GMWQ!$ND$2:$ND$60=K$4)*(GMWQ!$NF$2:$NF$60=K$1),0),$E300-1966)</f>
        <v>641107.30000000005</v>
      </c>
      <c r="L300" s="13" cm="1">
        <f t="array" ref="L300">INDEX(GMWQ!$A$2:$NF$60,MATCH(1,(GMWQ!$NE$2:$NE$60=L$3)*(GMWQ!$ND$2:$ND$60=L$4)*(GMWQ!$NF$2:$NF$60=L$1),0),$E300-1966)</f>
        <v>1006405</v>
      </c>
      <c r="M300" s="13" cm="1">
        <f t="array" ref="M300">INDEX(GMWQ!$A$2:$NF$60,MATCH(1,(GMWQ!$NE$2:$NE$60=M$3)*(GMWQ!$ND$2:$ND$60=M$4)*(GMWQ!$NF$2:$NF$60=M$1),0),$E300-1966)</f>
        <v>586818.30000000005</v>
      </c>
      <c r="N300" s="13" cm="1">
        <f t="array" ref="N300">INDEX(GMWQ!$A$2:$NF$60,MATCH(1,(GMWQ!$NE$2:$NE$60=N$3)*(GMWQ!$ND$2:$ND$60=N$4)*(GMWQ!$NF$2:$NF$60=N$1),0),$E300-1966)</f>
        <v>171.46459999999999</v>
      </c>
      <c r="O300" s="13" cm="1">
        <f t="array" ref="O300">INDEX(GMWQ!$A$2:$NF$60,MATCH(1,(GMWQ!$NE$2:$NE$60=O$3)*(GMWQ!$ND$2:$ND$60=O$4)*(GMWQ!$NF$2:$NF$60=O$1),0),$E300-1966)</f>
        <v>38625.360000000001</v>
      </c>
      <c r="P300" s="13" cm="1">
        <f t="array" ref="P300">INDEX(GMWQ!$A$2:$NF$60,MATCH(1,(GMWQ!$NE$2:$NE$60=P$3)*(GMWQ!$ND$2:$ND$60=P$4)*(GMWQ!$NF$2:$NF$60=P$1),0),$E300-1966)</f>
        <v>38070.29</v>
      </c>
      <c r="Q300" s="13" cm="1">
        <f t="array" ref="Q300">INDEX(GMWQ!$A$2:$NF$60,MATCH(1,(GMWQ!$NE$2:$NE$60=Q$3)*(GMWQ!$ND$2:$ND$60=Q$4)*(GMWQ!$NF$2:$NF$60=Q$1),0),$E300-1966)</f>
        <v>35296.980000000003</v>
      </c>
    </row>
    <row r="301" spans="1:17" x14ac:dyDescent="0.25">
      <c r="B301" s="13">
        <f t="shared" si="24"/>
        <v>2046</v>
      </c>
      <c r="C301" s="13">
        <f t="shared" si="24"/>
        <v>2046</v>
      </c>
      <c r="E301" s="13">
        <f t="shared" si="20"/>
        <v>2267</v>
      </c>
      <c r="F301" s="13" cm="1">
        <f t="array" ref="F301">INDEX(GMWQ!$A$2:$NF$60,MATCH(1,(GMWQ!$NE$2:$NE$60=F$3)*(GMWQ!$ND$2:$ND$60=F$4)*(GMWQ!$NF$2:$NF$60=F$1),0),$E301-1966)</f>
        <v>239.90899999999999</v>
      </c>
      <c r="G301" s="13" cm="1">
        <f t="array" ref="G301">INDEX(GMWQ!$A$2:$NF$60,MATCH(1,(GMWQ!$NE$2:$NE$60=G$3)*(GMWQ!$ND$2:$ND$60=G$4)*(GMWQ!$NF$2:$NF$60=G$1),0),$E301-1966)</f>
        <v>102378.2</v>
      </c>
      <c r="H301" s="13" cm="1">
        <f t="array" ref="H301">INDEX(GMWQ!$A$2:$NF$60,MATCH(1,(GMWQ!$NE$2:$NE$60=H$3)*(GMWQ!$ND$2:$ND$60=H$4)*(GMWQ!$NF$2:$NF$60=H$1),0),$E301-1966)</f>
        <v>1356.5060000000001</v>
      </c>
      <c r="I301" s="13" cm="1">
        <f t="array" ref="I301">INDEX(GMWQ!$A$2:$NF$60,MATCH(1,(GMWQ!$NE$2:$NE$60=I$3)*(GMWQ!$ND$2:$ND$60=I$4)*(GMWQ!$NF$2:$NF$60=I$1),0),$E301-1966)</f>
        <v>345977.8</v>
      </c>
      <c r="J301" s="13" cm="1">
        <f t="array" ref="J301">INDEX(GMWQ!$A$2:$NF$60,MATCH(1,(GMWQ!$NE$2:$NE$60=J$3)*(GMWQ!$ND$2:$ND$60=J$4)*(GMWQ!$NF$2:$NF$60=J$1),0),$E301-1966)</f>
        <v>1615309</v>
      </c>
      <c r="K301" s="13" cm="1">
        <f t="array" ref="K301">INDEX(GMWQ!$A$2:$NF$60,MATCH(1,(GMWQ!$NE$2:$NE$60=K$3)*(GMWQ!$ND$2:$ND$60=K$4)*(GMWQ!$NF$2:$NF$60=K$1),0),$E301-1966)</f>
        <v>646757.6</v>
      </c>
      <c r="L301" s="13" cm="1">
        <f t="array" ref="L301">INDEX(GMWQ!$A$2:$NF$60,MATCH(1,(GMWQ!$NE$2:$NE$60=L$3)*(GMWQ!$ND$2:$ND$60=L$4)*(GMWQ!$NF$2:$NF$60=L$1),0),$E301-1966)</f>
        <v>1015087</v>
      </c>
      <c r="M301" s="13" cm="1">
        <f t="array" ref="M301">INDEX(GMWQ!$A$2:$NF$60,MATCH(1,(GMWQ!$NE$2:$NE$60=M$3)*(GMWQ!$ND$2:$ND$60=M$4)*(GMWQ!$NF$2:$NF$60=M$1),0),$E301-1966)</f>
        <v>588959.6</v>
      </c>
      <c r="N301" s="13" cm="1">
        <f t="array" ref="N301">INDEX(GMWQ!$A$2:$NF$60,MATCH(1,(GMWQ!$NE$2:$NE$60=N$3)*(GMWQ!$ND$2:$ND$60=N$4)*(GMWQ!$NF$2:$NF$60=N$1),0),$E301-1966)</f>
        <v>172.31540000000001</v>
      </c>
      <c r="O301" s="13" cm="1">
        <f t="array" ref="O301">INDEX(GMWQ!$A$2:$NF$60,MATCH(1,(GMWQ!$NE$2:$NE$60=O$3)*(GMWQ!$ND$2:$ND$60=O$4)*(GMWQ!$NF$2:$NF$60=O$1),0),$E301-1966)</f>
        <v>38660.17</v>
      </c>
      <c r="P301" s="13" cm="1">
        <f t="array" ref="P301">INDEX(GMWQ!$A$2:$NF$60,MATCH(1,(GMWQ!$NE$2:$NE$60=P$3)*(GMWQ!$ND$2:$ND$60=P$4)*(GMWQ!$NF$2:$NF$60=P$1),0),$E301-1966)</f>
        <v>38104.69</v>
      </c>
      <c r="Q301" s="13" cm="1">
        <f t="array" ref="Q301">INDEX(GMWQ!$A$2:$NF$60,MATCH(1,(GMWQ!$NE$2:$NE$60=Q$3)*(GMWQ!$ND$2:$ND$60=Q$4)*(GMWQ!$NF$2:$NF$60=Q$1),0),$E301-1966)</f>
        <v>35303.120000000003</v>
      </c>
    </row>
    <row r="302" spans="1:17" x14ac:dyDescent="0.25">
      <c r="B302" s="13">
        <f t="shared" si="24"/>
        <v>2046</v>
      </c>
      <c r="C302" s="13">
        <f t="shared" si="24"/>
        <v>2046</v>
      </c>
      <c r="E302" s="13">
        <f t="shared" si="20"/>
        <v>2268</v>
      </c>
      <c r="F302" s="13" cm="1">
        <f t="array" ref="F302">INDEX(GMWQ!$A$2:$NF$60,MATCH(1,(GMWQ!$NE$2:$NE$60=F$3)*(GMWQ!$ND$2:$ND$60=F$4)*(GMWQ!$NF$2:$NF$60=F$1),0),$E302-1966)</f>
        <v>241.12119999999999</v>
      </c>
      <c r="G302" s="13" cm="1">
        <f t="array" ref="G302">INDEX(GMWQ!$A$2:$NF$60,MATCH(1,(GMWQ!$NE$2:$NE$60=G$3)*(GMWQ!$ND$2:$ND$60=G$4)*(GMWQ!$NF$2:$NF$60=G$1),0),$E302-1966)</f>
        <v>103280.2</v>
      </c>
      <c r="H302" s="13" cm="1">
        <f t="array" ref="H302">INDEX(GMWQ!$A$2:$NF$60,MATCH(1,(GMWQ!$NE$2:$NE$60=H$3)*(GMWQ!$ND$2:$ND$60=H$4)*(GMWQ!$NF$2:$NF$60=H$1),0),$E302-1966)</f>
        <v>1367.223</v>
      </c>
      <c r="I302" s="13" cm="1">
        <f t="array" ref="I302">INDEX(GMWQ!$A$2:$NF$60,MATCH(1,(GMWQ!$NE$2:$NE$60=I$3)*(GMWQ!$ND$2:$ND$60=I$4)*(GMWQ!$NF$2:$NF$60=I$1),0),$E302-1966)</f>
        <v>349044.5</v>
      </c>
      <c r="J302" s="13" cm="1">
        <f t="array" ref="J302">INDEX(GMWQ!$A$2:$NF$60,MATCH(1,(GMWQ!$NE$2:$NE$60=J$3)*(GMWQ!$ND$2:$ND$60=J$4)*(GMWQ!$NF$2:$NF$60=J$1),0),$E302-1966)</f>
        <v>1630069</v>
      </c>
      <c r="K302" s="13" cm="1">
        <f t="array" ref="K302">INDEX(GMWQ!$A$2:$NF$60,MATCH(1,(GMWQ!$NE$2:$NE$60=K$3)*(GMWQ!$ND$2:$ND$60=K$4)*(GMWQ!$NF$2:$NF$60=K$1),0),$E302-1966)</f>
        <v>652456</v>
      </c>
      <c r="L302" s="13" cm="1">
        <f t="array" ref="L302">INDEX(GMWQ!$A$2:$NF$60,MATCH(1,(GMWQ!$NE$2:$NE$60=L$3)*(GMWQ!$ND$2:$ND$60=L$4)*(GMWQ!$NF$2:$NF$60=L$1),0),$E302-1966)</f>
        <v>1023843</v>
      </c>
      <c r="M302" s="13" cm="1">
        <f t="array" ref="M302">INDEX(GMWQ!$A$2:$NF$60,MATCH(1,(GMWQ!$NE$2:$NE$60=M$3)*(GMWQ!$ND$2:$ND$60=M$4)*(GMWQ!$NF$2:$NF$60=M$1),0),$E302-1966)</f>
        <v>591107.69999999995</v>
      </c>
      <c r="N302" s="13" cm="1">
        <f t="array" ref="N302">INDEX(GMWQ!$A$2:$NF$60,MATCH(1,(GMWQ!$NE$2:$NE$60=N$3)*(GMWQ!$ND$2:$ND$60=N$4)*(GMWQ!$NF$2:$NF$60=N$1),0),$E302-1966)</f>
        <v>173.1704</v>
      </c>
      <c r="O302" s="13" cm="1">
        <f t="array" ref="O302">INDEX(GMWQ!$A$2:$NF$60,MATCH(1,(GMWQ!$NE$2:$NE$60=O$3)*(GMWQ!$ND$2:$ND$60=O$4)*(GMWQ!$NF$2:$NF$60=O$1),0),$E302-1966)</f>
        <v>38694.97</v>
      </c>
      <c r="P302" s="13" cm="1">
        <f t="array" ref="P302">INDEX(GMWQ!$A$2:$NF$60,MATCH(1,(GMWQ!$NE$2:$NE$60=P$3)*(GMWQ!$ND$2:$ND$60=P$4)*(GMWQ!$NF$2:$NF$60=P$1),0),$E302-1966)</f>
        <v>38139.089999999997</v>
      </c>
      <c r="Q302" s="13" cm="1">
        <f t="array" ref="Q302">INDEX(GMWQ!$A$2:$NF$60,MATCH(1,(GMWQ!$NE$2:$NE$60=Q$3)*(GMWQ!$ND$2:$ND$60=Q$4)*(GMWQ!$NF$2:$NF$60=Q$1),0),$E302-1966)</f>
        <v>35309.26</v>
      </c>
    </row>
    <row r="303" spans="1:17" x14ac:dyDescent="0.25">
      <c r="A303" s="13">
        <v>2047</v>
      </c>
      <c r="B303" s="13">
        <f t="shared" si="24"/>
        <v>2047</v>
      </c>
      <c r="C303" s="13">
        <f t="shared" si="24"/>
        <v>2046</v>
      </c>
      <c r="D303" s="13">
        <f t="shared" si="24"/>
        <v>2046</v>
      </c>
      <c r="E303" s="13">
        <f t="shared" si="20"/>
        <v>2269</v>
      </c>
      <c r="F303" s="13" cm="1">
        <f t="array" ref="F303">INDEX(GMWQ!$A$2:$NF$60,MATCH(1,(GMWQ!$NE$2:$NE$60=F$3)*(GMWQ!$ND$2:$ND$60=F$4)*(GMWQ!$NF$2:$NF$60=F$1),0),$E303-1966)</f>
        <v>242.33959999999999</v>
      </c>
      <c r="G303" s="13" cm="1">
        <f t="array" ref="G303">INDEX(GMWQ!$A$2:$NF$60,MATCH(1,(GMWQ!$NE$2:$NE$60=G$3)*(GMWQ!$ND$2:$ND$60=G$4)*(GMWQ!$NF$2:$NF$60=G$1),0),$E303-1966)</f>
        <v>104190</v>
      </c>
      <c r="H303" s="13" cm="1">
        <f t="array" ref="H303">INDEX(GMWQ!$A$2:$NF$60,MATCH(1,(GMWQ!$NE$2:$NE$60=H$3)*(GMWQ!$ND$2:$ND$60=H$4)*(GMWQ!$NF$2:$NF$60=H$1),0),$E303-1966)</f>
        <v>1378.021</v>
      </c>
      <c r="I303" s="13" cm="1">
        <f t="array" ref="I303">INDEX(GMWQ!$A$2:$NF$60,MATCH(1,(GMWQ!$NE$2:$NE$60=I$3)*(GMWQ!$ND$2:$ND$60=I$4)*(GMWQ!$NF$2:$NF$60=I$1),0),$E303-1966)</f>
        <v>352319.1</v>
      </c>
      <c r="J303" s="13" cm="1">
        <f t="array" ref="J303">INDEX(GMWQ!$A$2:$NF$60,MATCH(1,(GMWQ!$NE$2:$NE$60=J$3)*(GMWQ!$ND$2:$ND$60=J$4)*(GMWQ!$NF$2:$NF$60=J$1),0),$E303-1966)</f>
        <v>1644961</v>
      </c>
      <c r="K303" s="13" cm="1">
        <f t="array" ref="K303">INDEX(GMWQ!$A$2:$NF$60,MATCH(1,(GMWQ!$NE$2:$NE$60=K$3)*(GMWQ!$ND$2:$ND$60=K$4)*(GMWQ!$NF$2:$NF$60=K$1),0),$E303-1966)</f>
        <v>658203.30000000005</v>
      </c>
      <c r="L303" s="13" cm="1">
        <f t="array" ref="L303">INDEX(GMWQ!$A$2:$NF$60,MATCH(1,(GMWQ!$NE$2:$NE$60=L$3)*(GMWQ!$ND$2:$ND$60=L$4)*(GMWQ!$NF$2:$NF$60=L$1),0),$E303-1966)</f>
        <v>1032671</v>
      </c>
      <c r="M303" s="13" cm="1">
        <f t="array" ref="M303">INDEX(GMWQ!$A$2:$NF$60,MATCH(1,(GMWQ!$NE$2:$NE$60=M$3)*(GMWQ!$ND$2:$ND$60=M$4)*(GMWQ!$NF$2:$NF$60=M$1),0),$E303-1966)</f>
        <v>593261.9</v>
      </c>
      <c r="N303" s="13" cm="1">
        <f t="array" ref="N303">INDEX(GMWQ!$A$2:$NF$60,MATCH(1,(GMWQ!$NE$2:$NE$60=N$3)*(GMWQ!$ND$2:$ND$60=N$4)*(GMWQ!$NF$2:$NF$60=N$1),0),$E303-1966)</f>
        <v>174.02969999999999</v>
      </c>
      <c r="O303" s="13" cm="1">
        <f t="array" ref="O303">INDEX(GMWQ!$A$2:$NF$60,MATCH(1,(GMWQ!$NE$2:$NE$60=O$3)*(GMWQ!$ND$2:$ND$60=O$4)*(GMWQ!$NF$2:$NF$60=O$1),0),$E303-1966)</f>
        <v>38729.769999999997</v>
      </c>
      <c r="P303" s="13" cm="1">
        <f t="array" ref="P303">INDEX(GMWQ!$A$2:$NF$60,MATCH(1,(GMWQ!$NE$2:$NE$60=P$3)*(GMWQ!$ND$2:$ND$60=P$4)*(GMWQ!$NF$2:$NF$60=P$1),0),$E303-1966)</f>
        <v>38173.5</v>
      </c>
      <c r="Q303" s="13" cm="1">
        <f t="array" ref="Q303">INDEX(GMWQ!$A$2:$NF$60,MATCH(1,(GMWQ!$NE$2:$NE$60=Q$3)*(GMWQ!$ND$2:$ND$60=Q$4)*(GMWQ!$NF$2:$NF$60=Q$1),0),$E303-1966)</f>
        <v>35315.4</v>
      </c>
    </row>
    <row r="304" spans="1:17" x14ac:dyDescent="0.25">
      <c r="B304" s="13">
        <f t="shared" si="24"/>
        <v>2047</v>
      </c>
      <c r="C304" s="13">
        <f t="shared" si="24"/>
        <v>2047</v>
      </c>
      <c r="E304" s="13">
        <f t="shared" si="20"/>
        <v>2270</v>
      </c>
      <c r="F304" s="13" cm="1">
        <f t="array" ref="F304">INDEX(GMWQ!$A$2:$NF$60,MATCH(1,(GMWQ!$NE$2:$NE$60=F$3)*(GMWQ!$ND$2:$ND$60=F$4)*(GMWQ!$NF$2:$NF$60=F$1),0),$E304-1966)</f>
        <v>243.5643</v>
      </c>
      <c r="G304" s="13" cm="1">
        <f t="array" ref="G304">INDEX(GMWQ!$A$2:$NF$60,MATCH(1,(GMWQ!$NE$2:$NE$60=G$3)*(GMWQ!$ND$2:$ND$60=G$4)*(GMWQ!$NF$2:$NF$60=G$1),0),$E304-1966)</f>
        <v>105107.5</v>
      </c>
      <c r="H304" s="13" cm="1">
        <f t="array" ref="H304">INDEX(GMWQ!$A$2:$NF$60,MATCH(1,(GMWQ!$NE$2:$NE$60=H$3)*(GMWQ!$ND$2:$ND$60=H$4)*(GMWQ!$NF$2:$NF$60=H$1),0),$E304-1966)</f>
        <v>1388.903</v>
      </c>
      <c r="I304" s="13" cm="1">
        <f t="array" ref="I304">INDEX(GMWQ!$A$2:$NF$60,MATCH(1,(GMWQ!$NE$2:$NE$60=I$3)*(GMWQ!$ND$2:$ND$60=I$4)*(GMWQ!$NF$2:$NF$60=I$1),0),$E304-1966)</f>
        <v>355735</v>
      </c>
      <c r="J304" s="13" cm="1">
        <f t="array" ref="J304">INDEX(GMWQ!$A$2:$NF$60,MATCH(1,(GMWQ!$NE$2:$NE$60=J$3)*(GMWQ!$ND$2:$ND$60=J$4)*(GMWQ!$NF$2:$NF$60=J$1),0),$E304-1966)</f>
        <v>1659984</v>
      </c>
      <c r="K304" s="13" cm="1">
        <f t="array" ref="K304">INDEX(GMWQ!$A$2:$NF$60,MATCH(1,(GMWQ!$NE$2:$NE$60=K$3)*(GMWQ!$ND$2:$ND$60=K$4)*(GMWQ!$NF$2:$NF$60=K$1),0),$E304-1966)</f>
        <v>663999.80000000005</v>
      </c>
      <c r="L304" s="13" cm="1">
        <f t="array" ref="L304">INDEX(GMWQ!$A$2:$NF$60,MATCH(1,(GMWQ!$NE$2:$NE$60=L$3)*(GMWQ!$ND$2:$ND$60=L$4)*(GMWQ!$NF$2:$NF$60=L$1),0),$E304-1966)</f>
        <v>1041574</v>
      </c>
      <c r="M304" s="13" cm="1">
        <f t="array" ref="M304">INDEX(GMWQ!$A$2:$NF$60,MATCH(1,(GMWQ!$NE$2:$NE$60=M$3)*(GMWQ!$ND$2:$ND$60=M$4)*(GMWQ!$NF$2:$NF$60=M$1),0),$E304-1966)</f>
        <v>595422.9</v>
      </c>
      <c r="N304" s="13" cm="1">
        <f t="array" ref="N304">INDEX(GMWQ!$A$2:$NF$60,MATCH(1,(GMWQ!$NE$2:$NE$60=N$3)*(GMWQ!$ND$2:$ND$60=N$4)*(GMWQ!$NF$2:$NF$60=N$1),0),$E304-1966)</f>
        <v>174.89320000000001</v>
      </c>
      <c r="O304" s="13" cm="1">
        <f t="array" ref="O304">INDEX(GMWQ!$A$2:$NF$60,MATCH(1,(GMWQ!$NE$2:$NE$60=O$3)*(GMWQ!$ND$2:$ND$60=O$4)*(GMWQ!$NF$2:$NF$60=O$1),0),$E304-1966)</f>
        <v>38764.58</v>
      </c>
      <c r="P304" s="13" cm="1">
        <f t="array" ref="P304">INDEX(GMWQ!$A$2:$NF$60,MATCH(1,(GMWQ!$NE$2:$NE$60=P$3)*(GMWQ!$ND$2:$ND$60=P$4)*(GMWQ!$NF$2:$NF$60=P$1),0),$E304-1966)</f>
        <v>38207.9</v>
      </c>
      <c r="Q304" s="13" cm="1">
        <f t="array" ref="Q304">INDEX(GMWQ!$A$2:$NF$60,MATCH(1,(GMWQ!$NE$2:$NE$60=Q$3)*(GMWQ!$ND$2:$ND$60=Q$4)*(GMWQ!$NF$2:$NF$60=Q$1),0),$E304-1966)</f>
        <v>35321.54</v>
      </c>
    </row>
    <row r="305" spans="1:17" x14ac:dyDescent="0.25">
      <c r="B305" s="13">
        <f t="shared" si="24"/>
        <v>2047</v>
      </c>
      <c r="C305" s="13">
        <f t="shared" si="24"/>
        <v>2047</v>
      </c>
      <c r="E305" s="13">
        <f t="shared" ref="E305:E358" si="25">+E304+1</f>
        <v>2271</v>
      </c>
      <c r="F305" s="13" cm="1">
        <f t="array" ref="F305">INDEX(GMWQ!$A$2:$NF$60,MATCH(1,(GMWQ!$NE$2:$NE$60=F$3)*(GMWQ!$ND$2:$ND$60=F$4)*(GMWQ!$NF$2:$NF$60=F$1),0),$E305-1966)</f>
        <v>244.79509999999999</v>
      </c>
      <c r="G305" s="13" cm="1">
        <f t="array" ref="G305">INDEX(GMWQ!$A$2:$NF$60,MATCH(1,(GMWQ!$NE$2:$NE$60=G$3)*(GMWQ!$ND$2:$ND$60=G$4)*(GMWQ!$NF$2:$NF$60=G$1),0),$E305-1966)</f>
        <v>106032.9</v>
      </c>
      <c r="H305" s="13" cm="1">
        <f t="array" ref="H305">INDEX(GMWQ!$A$2:$NF$60,MATCH(1,(GMWQ!$NE$2:$NE$60=H$3)*(GMWQ!$ND$2:$ND$60=H$4)*(GMWQ!$NF$2:$NF$60=H$1),0),$E305-1966)</f>
        <v>1399.8679999999999</v>
      </c>
      <c r="I305" s="13" cm="1">
        <f t="array" ref="I305">INDEX(GMWQ!$A$2:$NF$60,MATCH(1,(GMWQ!$NE$2:$NE$60=I$3)*(GMWQ!$ND$2:$ND$60=I$4)*(GMWQ!$NF$2:$NF$60=I$1),0),$E305-1966)</f>
        <v>358796.2</v>
      </c>
      <c r="J305" s="13" cm="1">
        <f t="array" ref="J305">INDEX(GMWQ!$A$2:$NF$60,MATCH(1,(GMWQ!$NE$2:$NE$60=J$3)*(GMWQ!$ND$2:$ND$60=J$4)*(GMWQ!$NF$2:$NF$60=J$1),0),$E305-1966)</f>
        <v>1675140</v>
      </c>
      <c r="K305" s="13" cm="1">
        <f t="array" ref="K305">INDEX(GMWQ!$A$2:$NF$60,MATCH(1,(GMWQ!$NE$2:$NE$60=K$3)*(GMWQ!$ND$2:$ND$60=K$4)*(GMWQ!$NF$2:$NF$60=K$1),0),$E305-1966)</f>
        <v>669845.4</v>
      </c>
      <c r="L305" s="13" cm="1">
        <f t="array" ref="L305">INDEX(GMWQ!$A$2:$NF$60,MATCH(1,(GMWQ!$NE$2:$NE$60=L$3)*(GMWQ!$ND$2:$ND$60=L$4)*(GMWQ!$NF$2:$NF$60=L$1),0),$E305-1966)</f>
        <v>1050550</v>
      </c>
      <c r="M305" s="13" cm="1">
        <f t="array" ref="M305">INDEX(GMWQ!$A$2:$NF$60,MATCH(1,(GMWQ!$NE$2:$NE$60=M$3)*(GMWQ!$ND$2:$ND$60=M$4)*(GMWQ!$NF$2:$NF$60=M$1),0),$E305-1966)</f>
        <v>597590.4</v>
      </c>
      <c r="N305" s="13" cm="1">
        <f t="array" ref="N305">INDEX(GMWQ!$A$2:$NF$60,MATCH(1,(GMWQ!$NE$2:$NE$60=N$3)*(GMWQ!$ND$2:$ND$60=N$4)*(GMWQ!$NF$2:$NF$60=N$1),0),$E305-1966)</f>
        <v>175.761</v>
      </c>
      <c r="O305" s="13" cm="1">
        <f t="array" ref="O305">INDEX(GMWQ!$A$2:$NF$60,MATCH(1,(GMWQ!$NE$2:$NE$60=O$3)*(GMWQ!$ND$2:$ND$60=O$4)*(GMWQ!$NF$2:$NF$60=O$1),0),$E305-1966)</f>
        <v>38799.379999999997</v>
      </c>
      <c r="P305" s="13" cm="1">
        <f t="array" ref="P305">INDEX(GMWQ!$A$2:$NF$60,MATCH(1,(GMWQ!$NE$2:$NE$60=P$3)*(GMWQ!$ND$2:$ND$60=P$4)*(GMWQ!$NF$2:$NF$60=P$1),0),$E305-1966)</f>
        <v>38242.300000000003</v>
      </c>
      <c r="Q305" s="13" cm="1">
        <f t="array" ref="Q305">INDEX(GMWQ!$A$2:$NF$60,MATCH(1,(GMWQ!$NE$2:$NE$60=Q$3)*(GMWQ!$ND$2:$ND$60=Q$4)*(GMWQ!$NF$2:$NF$60=Q$1),0),$E305-1966)</f>
        <v>35327.69</v>
      </c>
    </row>
    <row r="306" spans="1:17" x14ac:dyDescent="0.25">
      <c r="B306" s="13">
        <f t="shared" si="24"/>
        <v>2047</v>
      </c>
      <c r="C306" s="13">
        <f t="shared" si="24"/>
        <v>2047</v>
      </c>
      <c r="E306" s="13">
        <f t="shared" si="25"/>
        <v>2272</v>
      </c>
      <c r="F306" s="13" cm="1">
        <f t="array" ref="F306">INDEX(GMWQ!$A$2:$NF$60,MATCH(1,(GMWQ!$NE$2:$NE$60=F$3)*(GMWQ!$ND$2:$ND$60=F$4)*(GMWQ!$NF$2:$NF$60=F$1),0),$E306-1966)</f>
        <v>246.03210000000001</v>
      </c>
      <c r="G306" s="13" cm="1">
        <f t="array" ref="G306">INDEX(GMWQ!$A$2:$NF$60,MATCH(1,(GMWQ!$NE$2:$NE$60=G$3)*(GMWQ!$ND$2:$ND$60=G$4)*(GMWQ!$NF$2:$NF$60=G$1),0),$E306-1966)</f>
        <v>106966.1</v>
      </c>
      <c r="H306" s="13" cm="1">
        <f t="array" ref="H306">INDEX(GMWQ!$A$2:$NF$60,MATCH(1,(GMWQ!$NE$2:$NE$60=H$3)*(GMWQ!$ND$2:$ND$60=H$4)*(GMWQ!$NF$2:$NF$60=H$1),0),$E306-1966)</f>
        <v>1410.9190000000001</v>
      </c>
      <c r="I306" s="13" cm="1">
        <f t="array" ref="I306">INDEX(GMWQ!$A$2:$NF$60,MATCH(1,(GMWQ!$NE$2:$NE$60=I$3)*(GMWQ!$ND$2:$ND$60=I$4)*(GMWQ!$NF$2:$NF$60=I$1),0),$E306-1966)</f>
        <v>361973</v>
      </c>
      <c r="J306" s="13" cm="1">
        <f t="array" ref="J306">INDEX(GMWQ!$A$2:$NF$60,MATCH(1,(GMWQ!$NE$2:$NE$60=J$3)*(GMWQ!$ND$2:$ND$60=J$4)*(GMWQ!$NF$2:$NF$60=J$1),0),$E306-1966)</f>
        <v>1690432</v>
      </c>
      <c r="K306" s="13" cm="1">
        <f t="array" ref="K306">INDEX(GMWQ!$A$2:$NF$60,MATCH(1,(GMWQ!$NE$2:$NE$60=K$3)*(GMWQ!$ND$2:$ND$60=K$4)*(GMWQ!$NF$2:$NF$60=K$1),0),$E306-1966)</f>
        <v>675741.1</v>
      </c>
      <c r="L306" s="13" cm="1">
        <f t="array" ref="L306">INDEX(GMWQ!$A$2:$NF$60,MATCH(1,(GMWQ!$NE$2:$NE$60=L$3)*(GMWQ!$ND$2:$ND$60=L$4)*(GMWQ!$NF$2:$NF$60=L$1),0),$E306-1966)</f>
        <v>1059602</v>
      </c>
      <c r="M306" s="13" cm="1">
        <f t="array" ref="M306">INDEX(GMWQ!$A$2:$NF$60,MATCH(1,(GMWQ!$NE$2:$NE$60=M$3)*(GMWQ!$ND$2:$ND$60=M$4)*(GMWQ!$NF$2:$NF$60=M$1),0),$E306-1966)</f>
        <v>599764</v>
      </c>
      <c r="N306" s="13" cm="1">
        <f t="array" ref="N306">INDEX(GMWQ!$A$2:$NF$60,MATCH(1,(GMWQ!$NE$2:$NE$60=N$3)*(GMWQ!$ND$2:$ND$60=N$4)*(GMWQ!$NF$2:$NF$60=N$1),0),$E306-1966)</f>
        <v>176.63319999999999</v>
      </c>
      <c r="O306" s="13" cm="1">
        <f t="array" ref="O306">INDEX(GMWQ!$A$2:$NF$60,MATCH(1,(GMWQ!$NE$2:$NE$60=O$3)*(GMWQ!$ND$2:$ND$60=O$4)*(GMWQ!$NF$2:$NF$60=O$1),0),$E306-1966)</f>
        <v>38834.18</v>
      </c>
      <c r="P306" s="13" cm="1">
        <f t="array" ref="P306">INDEX(GMWQ!$A$2:$NF$60,MATCH(1,(GMWQ!$NE$2:$NE$60=P$3)*(GMWQ!$ND$2:$ND$60=P$4)*(GMWQ!$NF$2:$NF$60=P$1),0),$E306-1966)</f>
        <v>38276.71</v>
      </c>
      <c r="Q306" s="13" cm="1">
        <f t="array" ref="Q306">INDEX(GMWQ!$A$2:$NF$60,MATCH(1,(GMWQ!$NE$2:$NE$60=Q$3)*(GMWQ!$ND$2:$ND$60=Q$4)*(GMWQ!$NF$2:$NF$60=Q$1),0),$E306-1966)</f>
        <v>35333.83</v>
      </c>
    </row>
    <row r="307" spans="1:17" x14ac:dyDescent="0.25">
      <c r="A307" s="13">
        <v>2048</v>
      </c>
      <c r="B307" s="13">
        <f t="shared" si="24"/>
        <v>2048</v>
      </c>
      <c r="C307" s="13">
        <f t="shared" si="24"/>
        <v>2047</v>
      </c>
      <c r="D307" s="13">
        <f t="shared" si="24"/>
        <v>2047</v>
      </c>
      <c r="E307" s="13">
        <f t="shared" si="25"/>
        <v>2273</v>
      </c>
      <c r="F307" s="13" cm="1">
        <f t="array" ref="F307">INDEX(GMWQ!$A$2:$NF$60,MATCH(1,(GMWQ!$NE$2:$NE$60=F$3)*(GMWQ!$ND$2:$ND$60=F$4)*(GMWQ!$NF$2:$NF$60=F$1),0),$E307-1966)</f>
        <v>247.27539999999999</v>
      </c>
      <c r="G307" s="13" cm="1">
        <f t="array" ref="G307">INDEX(GMWQ!$A$2:$NF$60,MATCH(1,(GMWQ!$NE$2:$NE$60=G$3)*(GMWQ!$ND$2:$ND$60=G$4)*(GMWQ!$NF$2:$NF$60=G$1),0),$E307-1966)</f>
        <v>107907.3</v>
      </c>
      <c r="H307" s="13" cm="1">
        <f t="array" ref="H307">INDEX(GMWQ!$A$2:$NF$60,MATCH(1,(GMWQ!$NE$2:$NE$60=H$3)*(GMWQ!$ND$2:$ND$60=H$4)*(GMWQ!$NF$2:$NF$60=H$1),0),$E307-1966)</f>
        <v>1422.0540000000001</v>
      </c>
      <c r="I307" s="13" cm="1">
        <f t="array" ref="I307">INDEX(GMWQ!$A$2:$NF$60,MATCH(1,(GMWQ!$NE$2:$NE$60=I$3)*(GMWQ!$ND$2:$ND$60=I$4)*(GMWQ!$NF$2:$NF$60=I$1),0),$E307-1966)</f>
        <v>365365.9</v>
      </c>
      <c r="J307" s="13" cm="1">
        <f t="array" ref="J307">INDEX(GMWQ!$A$2:$NF$60,MATCH(1,(GMWQ!$NE$2:$NE$60=J$3)*(GMWQ!$ND$2:$ND$60=J$4)*(GMWQ!$NF$2:$NF$60=J$1),0),$E307-1966)</f>
        <v>1705860</v>
      </c>
      <c r="K307" s="13" cm="1">
        <f t="array" ref="K307">INDEX(GMWQ!$A$2:$NF$60,MATCH(1,(GMWQ!$NE$2:$NE$60=K$3)*(GMWQ!$ND$2:$ND$60=K$4)*(GMWQ!$NF$2:$NF$60=K$1),0),$E307-1966)</f>
        <v>681687.3</v>
      </c>
      <c r="L307" s="13" cm="1">
        <f t="array" ref="L307">INDEX(GMWQ!$A$2:$NF$60,MATCH(1,(GMWQ!$NE$2:$NE$60=L$3)*(GMWQ!$ND$2:$ND$60=L$4)*(GMWQ!$NF$2:$NF$60=L$1),0),$E307-1966)</f>
        <v>1068729</v>
      </c>
      <c r="M307" s="13" cm="1">
        <f t="array" ref="M307">INDEX(GMWQ!$A$2:$NF$60,MATCH(1,(GMWQ!$NE$2:$NE$60=M$3)*(GMWQ!$ND$2:$ND$60=M$4)*(GMWQ!$NF$2:$NF$60=M$1),0),$E307-1966)</f>
        <v>601944.80000000005</v>
      </c>
      <c r="N307" s="13" cm="1">
        <f t="array" ref="N307">INDEX(GMWQ!$A$2:$NF$60,MATCH(1,(GMWQ!$NE$2:$NE$60=N$3)*(GMWQ!$ND$2:$ND$60=N$4)*(GMWQ!$NF$2:$NF$60=N$1),0),$E307-1966)</f>
        <v>177.50960000000001</v>
      </c>
      <c r="O307" s="13" cm="1">
        <f t="array" ref="O307">INDEX(GMWQ!$A$2:$NF$60,MATCH(1,(GMWQ!$NE$2:$NE$60=O$3)*(GMWQ!$ND$2:$ND$60=O$4)*(GMWQ!$NF$2:$NF$60=O$1),0),$E307-1966)</f>
        <v>38868.99</v>
      </c>
      <c r="P307" s="13" cm="1">
        <f t="array" ref="P307">INDEX(GMWQ!$A$2:$NF$60,MATCH(1,(GMWQ!$NE$2:$NE$60=P$3)*(GMWQ!$ND$2:$ND$60=P$4)*(GMWQ!$NF$2:$NF$60=P$1),0),$E307-1966)</f>
        <v>38311.11</v>
      </c>
      <c r="Q307" s="13" cm="1">
        <f t="array" ref="Q307">INDEX(GMWQ!$A$2:$NF$60,MATCH(1,(GMWQ!$NE$2:$NE$60=Q$3)*(GMWQ!$ND$2:$ND$60=Q$4)*(GMWQ!$NF$2:$NF$60=Q$1),0),$E307-1966)</f>
        <v>35339.97</v>
      </c>
    </row>
    <row r="308" spans="1:17" x14ac:dyDescent="0.25">
      <c r="B308" s="13">
        <f t="shared" si="24"/>
        <v>2048</v>
      </c>
      <c r="C308" s="13">
        <f t="shared" si="24"/>
        <v>2048</v>
      </c>
      <c r="E308" s="13">
        <f t="shared" si="25"/>
        <v>2274</v>
      </c>
      <c r="F308" s="13" cm="1">
        <f t="array" ref="F308">INDEX(GMWQ!$A$2:$NF$60,MATCH(1,(GMWQ!$NE$2:$NE$60=F$3)*(GMWQ!$ND$2:$ND$60=F$4)*(GMWQ!$NF$2:$NF$60=F$1),0),$E308-1966)</f>
        <v>248.52510000000001</v>
      </c>
      <c r="G308" s="13" cm="1">
        <f t="array" ref="G308">INDEX(GMWQ!$A$2:$NF$60,MATCH(1,(GMWQ!$NE$2:$NE$60=G$3)*(GMWQ!$ND$2:$ND$60=G$4)*(GMWQ!$NF$2:$NF$60=G$1),0),$E308-1966)</f>
        <v>108856.6</v>
      </c>
      <c r="H308" s="13" cm="1">
        <f t="array" ref="H308">INDEX(GMWQ!$A$2:$NF$60,MATCH(1,(GMWQ!$NE$2:$NE$60=H$3)*(GMWQ!$ND$2:$ND$60=H$4)*(GMWQ!$NF$2:$NF$60=H$1),0),$E308-1966)</f>
        <v>1433.2739999999999</v>
      </c>
      <c r="I308" s="13" cm="1">
        <f t="array" ref="I308">INDEX(GMWQ!$A$2:$NF$60,MATCH(1,(GMWQ!$NE$2:$NE$60=I$3)*(GMWQ!$ND$2:$ND$60=I$4)*(GMWQ!$NF$2:$NF$60=I$1),0),$E308-1966)</f>
        <v>368904.9</v>
      </c>
      <c r="J308" s="13" cm="1">
        <f t="array" ref="J308">INDEX(GMWQ!$A$2:$NF$60,MATCH(1,(GMWQ!$NE$2:$NE$60=J$3)*(GMWQ!$ND$2:$ND$60=J$4)*(GMWQ!$NF$2:$NF$60=J$1),0),$E308-1966)</f>
        <v>1721424</v>
      </c>
      <c r="K308" s="13" cm="1">
        <f t="array" ref="K308">INDEX(GMWQ!$A$2:$NF$60,MATCH(1,(GMWQ!$NE$2:$NE$60=K$3)*(GMWQ!$ND$2:$ND$60=K$4)*(GMWQ!$NF$2:$NF$60=K$1),0),$E308-1966)</f>
        <v>687684.1</v>
      </c>
      <c r="L308" s="13" cm="1">
        <f t="array" ref="L308">INDEX(GMWQ!$A$2:$NF$60,MATCH(1,(GMWQ!$NE$2:$NE$60=L$3)*(GMWQ!$ND$2:$ND$60=L$4)*(GMWQ!$NF$2:$NF$60=L$1),0),$E308-1966)</f>
        <v>1077933</v>
      </c>
      <c r="M308" s="13" cm="1">
        <f t="array" ref="M308">INDEX(GMWQ!$A$2:$NF$60,MATCH(1,(GMWQ!$NE$2:$NE$60=M$3)*(GMWQ!$ND$2:$ND$60=M$4)*(GMWQ!$NF$2:$NF$60=M$1),0),$E308-1966)</f>
        <v>604131.9</v>
      </c>
      <c r="N308" s="13" cm="1">
        <f t="array" ref="N308">INDEX(GMWQ!$A$2:$NF$60,MATCH(1,(GMWQ!$NE$2:$NE$60=N$3)*(GMWQ!$ND$2:$ND$60=N$4)*(GMWQ!$NF$2:$NF$60=N$1),0),$E308-1966)</f>
        <v>178.3904</v>
      </c>
      <c r="O308" s="13" cm="1">
        <f t="array" ref="O308">INDEX(GMWQ!$A$2:$NF$60,MATCH(1,(GMWQ!$NE$2:$NE$60=O$3)*(GMWQ!$ND$2:$ND$60=O$4)*(GMWQ!$NF$2:$NF$60=O$1),0),$E308-1966)</f>
        <v>38903.79</v>
      </c>
      <c r="P308" s="13" cm="1">
        <f t="array" ref="P308">INDEX(GMWQ!$A$2:$NF$60,MATCH(1,(GMWQ!$NE$2:$NE$60=P$3)*(GMWQ!$ND$2:$ND$60=P$4)*(GMWQ!$NF$2:$NF$60=P$1),0),$E308-1966)</f>
        <v>38345.519999999997</v>
      </c>
      <c r="Q308" s="13" cm="1">
        <f t="array" ref="Q308">INDEX(GMWQ!$A$2:$NF$60,MATCH(1,(GMWQ!$NE$2:$NE$60=Q$3)*(GMWQ!$ND$2:$ND$60=Q$4)*(GMWQ!$NF$2:$NF$60=Q$1),0),$E308-1966)</f>
        <v>35346.11</v>
      </c>
    </row>
    <row r="309" spans="1:17" x14ac:dyDescent="0.25">
      <c r="B309" s="13">
        <f t="shared" si="24"/>
        <v>2048</v>
      </c>
      <c r="C309" s="13">
        <f t="shared" si="24"/>
        <v>2048</v>
      </c>
      <c r="E309" s="13">
        <f t="shared" si="25"/>
        <v>2275</v>
      </c>
      <c r="F309" s="13" cm="1">
        <f t="array" ref="F309">INDEX(GMWQ!$A$2:$NF$60,MATCH(1,(GMWQ!$NE$2:$NE$60=F$3)*(GMWQ!$ND$2:$ND$60=F$4)*(GMWQ!$NF$2:$NF$60=F$1),0),$E309-1966)</f>
        <v>249.78110000000001</v>
      </c>
      <c r="G309" s="13" cm="1">
        <f t="array" ref="G309">INDEX(GMWQ!$A$2:$NF$60,MATCH(1,(GMWQ!$NE$2:$NE$60=G$3)*(GMWQ!$ND$2:$ND$60=G$4)*(GMWQ!$NF$2:$NF$60=G$1),0),$E309-1966)</f>
        <v>109814</v>
      </c>
      <c r="H309" s="13" cm="1">
        <f t="array" ref="H309">INDEX(GMWQ!$A$2:$NF$60,MATCH(1,(GMWQ!$NE$2:$NE$60=H$3)*(GMWQ!$ND$2:$ND$60=H$4)*(GMWQ!$NF$2:$NF$60=H$1),0),$E309-1966)</f>
        <v>1444.5830000000001</v>
      </c>
      <c r="I309" s="13" cm="1">
        <f t="array" ref="I309">INDEX(GMWQ!$A$2:$NF$60,MATCH(1,(GMWQ!$NE$2:$NE$60=I$3)*(GMWQ!$ND$2:$ND$60=I$4)*(GMWQ!$NF$2:$NF$60=I$1),0),$E309-1966)</f>
        <v>372076.1</v>
      </c>
      <c r="J309" s="13" cm="1">
        <f t="array" ref="J309">INDEX(GMWQ!$A$2:$NF$60,MATCH(1,(GMWQ!$NE$2:$NE$60=J$3)*(GMWQ!$ND$2:$ND$60=J$4)*(GMWQ!$NF$2:$NF$60=J$1),0),$E309-1966)</f>
        <v>1737126</v>
      </c>
      <c r="K309" s="13" cm="1">
        <f t="array" ref="K309">INDEX(GMWQ!$A$2:$NF$60,MATCH(1,(GMWQ!$NE$2:$NE$60=K$3)*(GMWQ!$ND$2:$ND$60=K$4)*(GMWQ!$NF$2:$NF$60=K$1),0),$E309-1966)</f>
        <v>693732.4</v>
      </c>
      <c r="L309" s="13" cm="1">
        <f t="array" ref="L309">INDEX(GMWQ!$A$2:$NF$60,MATCH(1,(GMWQ!$NE$2:$NE$60=L$3)*(GMWQ!$ND$2:$ND$60=L$4)*(GMWQ!$NF$2:$NF$60=L$1),0),$E309-1966)</f>
        <v>1087213</v>
      </c>
      <c r="M309" s="13" cm="1">
        <f t="array" ref="M309">INDEX(GMWQ!$A$2:$NF$60,MATCH(1,(GMWQ!$NE$2:$NE$60=M$3)*(GMWQ!$ND$2:$ND$60=M$4)*(GMWQ!$NF$2:$NF$60=M$1),0),$E309-1966)</f>
        <v>606325.4</v>
      </c>
      <c r="N309" s="13" cm="1">
        <f t="array" ref="N309">INDEX(GMWQ!$A$2:$NF$60,MATCH(1,(GMWQ!$NE$2:$NE$60=N$3)*(GMWQ!$ND$2:$ND$60=N$4)*(GMWQ!$NF$2:$NF$60=N$1),0),$E309-1966)</f>
        <v>179.2756</v>
      </c>
      <c r="O309" s="13" cm="1">
        <f t="array" ref="O309">INDEX(GMWQ!$A$2:$NF$60,MATCH(1,(GMWQ!$NE$2:$NE$60=O$3)*(GMWQ!$ND$2:$ND$60=O$4)*(GMWQ!$NF$2:$NF$60=O$1),0),$E309-1966)</f>
        <v>38938.589999999997</v>
      </c>
      <c r="P309" s="13" cm="1">
        <f t="array" ref="P309">INDEX(GMWQ!$A$2:$NF$60,MATCH(1,(GMWQ!$NE$2:$NE$60=P$3)*(GMWQ!$ND$2:$ND$60=P$4)*(GMWQ!$NF$2:$NF$60=P$1),0),$E309-1966)</f>
        <v>38379.919999999998</v>
      </c>
      <c r="Q309" s="13" cm="1">
        <f t="array" ref="Q309">INDEX(GMWQ!$A$2:$NF$60,MATCH(1,(GMWQ!$NE$2:$NE$60=Q$3)*(GMWQ!$ND$2:$ND$60=Q$4)*(GMWQ!$NF$2:$NF$60=Q$1),0),$E309-1966)</f>
        <v>35352.25</v>
      </c>
    </row>
    <row r="310" spans="1:17" x14ac:dyDescent="0.25">
      <c r="B310" s="13">
        <f t="shared" si="24"/>
        <v>2048</v>
      </c>
      <c r="C310" s="13">
        <f t="shared" si="24"/>
        <v>2048</v>
      </c>
      <c r="E310" s="13">
        <f t="shared" si="25"/>
        <v>2276</v>
      </c>
      <c r="F310" s="13" cm="1">
        <f t="array" ref="F310">INDEX(GMWQ!$A$2:$NF$60,MATCH(1,(GMWQ!$NE$2:$NE$60=F$3)*(GMWQ!$ND$2:$ND$60=F$4)*(GMWQ!$NF$2:$NF$60=F$1),0),$E310-1966)</f>
        <v>251.04349999999999</v>
      </c>
      <c r="G310" s="13" cm="1">
        <f t="array" ref="G310">INDEX(GMWQ!$A$2:$NF$60,MATCH(1,(GMWQ!$NE$2:$NE$60=G$3)*(GMWQ!$ND$2:$ND$60=G$4)*(GMWQ!$NF$2:$NF$60=G$1),0),$E310-1966)</f>
        <v>110779.6</v>
      </c>
      <c r="H310" s="13" cm="1">
        <f t="array" ref="H310">INDEX(GMWQ!$A$2:$NF$60,MATCH(1,(GMWQ!$NE$2:$NE$60=H$3)*(GMWQ!$ND$2:$ND$60=H$4)*(GMWQ!$NF$2:$NF$60=H$1),0),$E310-1966)</f>
        <v>1455.9770000000001</v>
      </c>
      <c r="I310" s="13" cm="1">
        <f t="array" ref="I310">INDEX(GMWQ!$A$2:$NF$60,MATCH(1,(GMWQ!$NE$2:$NE$60=I$3)*(GMWQ!$ND$2:$ND$60=I$4)*(GMWQ!$NF$2:$NF$60=I$1),0),$E310-1966)</f>
        <v>375367.3</v>
      </c>
      <c r="J310" s="13" cm="1">
        <f t="array" ref="J310">INDEX(GMWQ!$A$2:$NF$60,MATCH(1,(GMWQ!$NE$2:$NE$60=J$3)*(GMWQ!$ND$2:$ND$60=J$4)*(GMWQ!$NF$2:$NF$60=J$1),0),$E310-1966)</f>
        <v>1752968</v>
      </c>
      <c r="K310" s="13" cm="1">
        <f t="array" ref="K310">INDEX(GMWQ!$A$2:$NF$60,MATCH(1,(GMWQ!$NE$2:$NE$60=K$3)*(GMWQ!$ND$2:$ND$60=K$4)*(GMWQ!$NF$2:$NF$60=K$1),0),$E310-1966)</f>
        <v>699832</v>
      </c>
      <c r="L310" s="13" cm="1">
        <f t="array" ref="L310">INDEX(GMWQ!$A$2:$NF$60,MATCH(1,(GMWQ!$NE$2:$NE$60=L$3)*(GMWQ!$ND$2:$ND$60=L$4)*(GMWQ!$NF$2:$NF$60=L$1),0),$E310-1966)</f>
        <v>1096571</v>
      </c>
      <c r="M310" s="13" cm="1">
        <f t="array" ref="M310">INDEX(GMWQ!$A$2:$NF$60,MATCH(1,(GMWQ!$NE$2:$NE$60=M$3)*(GMWQ!$ND$2:$ND$60=M$4)*(GMWQ!$NF$2:$NF$60=M$1),0),$E310-1966)</f>
        <v>608525.9</v>
      </c>
      <c r="N310" s="13" cm="1">
        <f t="array" ref="N310">INDEX(GMWQ!$A$2:$NF$60,MATCH(1,(GMWQ!$NE$2:$NE$60=N$3)*(GMWQ!$ND$2:$ND$60=N$4)*(GMWQ!$NF$2:$NF$60=N$1),0),$E310-1966)</f>
        <v>180.1652</v>
      </c>
      <c r="O310" s="13" cm="1">
        <f t="array" ref="O310">INDEX(GMWQ!$A$2:$NF$60,MATCH(1,(GMWQ!$NE$2:$NE$60=O$3)*(GMWQ!$ND$2:$ND$60=O$4)*(GMWQ!$NF$2:$NF$60=O$1),0),$E310-1966)</f>
        <v>38973.4</v>
      </c>
      <c r="P310" s="13" cm="1">
        <f t="array" ref="P310">INDEX(GMWQ!$A$2:$NF$60,MATCH(1,(GMWQ!$NE$2:$NE$60=P$3)*(GMWQ!$ND$2:$ND$60=P$4)*(GMWQ!$NF$2:$NF$60=P$1),0),$E310-1966)</f>
        <v>38414.32</v>
      </c>
      <c r="Q310" s="13" cm="1">
        <f t="array" ref="Q310">INDEX(GMWQ!$A$2:$NF$60,MATCH(1,(GMWQ!$NE$2:$NE$60=Q$3)*(GMWQ!$ND$2:$ND$60=Q$4)*(GMWQ!$NF$2:$NF$60=Q$1),0),$E310-1966)</f>
        <v>35358.39</v>
      </c>
    </row>
    <row r="311" spans="1:17" x14ac:dyDescent="0.25">
      <c r="A311" s="13">
        <v>2049</v>
      </c>
      <c r="B311" s="13">
        <f t="shared" si="24"/>
        <v>2049</v>
      </c>
      <c r="C311" s="13">
        <f t="shared" si="24"/>
        <v>2048</v>
      </c>
      <c r="D311" s="13">
        <f t="shared" si="24"/>
        <v>2048</v>
      </c>
      <c r="E311" s="13">
        <f t="shared" si="25"/>
        <v>2277</v>
      </c>
      <c r="F311" s="13" cm="1">
        <f t="array" ref="F311">INDEX(GMWQ!$A$2:$NF$60,MATCH(1,(GMWQ!$NE$2:$NE$60=F$3)*(GMWQ!$ND$2:$ND$60=F$4)*(GMWQ!$NF$2:$NF$60=F$1),0),$E311-1966)</f>
        <v>252.3124</v>
      </c>
      <c r="G311" s="13" cm="1">
        <f t="array" ref="G311">INDEX(GMWQ!$A$2:$NF$60,MATCH(1,(GMWQ!$NE$2:$NE$60=G$3)*(GMWQ!$ND$2:$ND$60=G$4)*(GMWQ!$NF$2:$NF$60=G$1),0),$E311-1966)</f>
        <v>111753.3</v>
      </c>
      <c r="H311" s="13" cm="1">
        <f t="array" ref="H311">INDEX(GMWQ!$A$2:$NF$60,MATCH(1,(GMWQ!$NE$2:$NE$60=H$3)*(GMWQ!$ND$2:$ND$60=H$4)*(GMWQ!$NF$2:$NF$60=H$1),0),$E311-1966)</f>
        <v>1467.4590000000001</v>
      </c>
      <c r="I311" s="13" cm="1">
        <f t="array" ref="I311">INDEX(GMWQ!$A$2:$NF$60,MATCH(1,(GMWQ!$NE$2:$NE$60=I$3)*(GMWQ!$ND$2:$ND$60=I$4)*(GMWQ!$NF$2:$NF$60=I$1),0),$E311-1966)</f>
        <v>378882.2</v>
      </c>
      <c r="J311" s="13" cm="1">
        <f t="array" ref="J311">INDEX(GMWQ!$A$2:$NF$60,MATCH(1,(GMWQ!$NE$2:$NE$60=J$3)*(GMWQ!$ND$2:$ND$60=J$4)*(GMWQ!$NF$2:$NF$60=J$1),0),$E311-1966)</f>
        <v>1768949</v>
      </c>
      <c r="K311" s="13" cm="1">
        <f t="array" ref="K311">INDEX(GMWQ!$A$2:$NF$60,MATCH(1,(GMWQ!$NE$2:$NE$60=K$3)*(GMWQ!$ND$2:$ND$60=K$4)*(GMWQ!$NF$2:$NF$60=K$1),0),$E311-1966)</f>
        <v>705983.7</v>
      </c>
      <c r="L311" s="13" cm="1">
        <f t="array" ref="L311">INDEX(GMWQ!$A$2:$NF$60,MATCH(1,(GMWQ!$NE$2:$NE$60=L$3)*(GMWQ!$ND$2:$ND$60=L$4)*(GMWQ!$NF$2:$NF$60=L$1),0),$E311-1966)</f>
        <v>1106007</v>
      </c>
      <c r="M311" s="13" cm="1">
        <f t="array" ref="M311">INDEX(GMWQ!$A$2:$NF$60,MATCH(1,(GMWQ!$NE$2:$NE$60=M$3)*(GMWQ!$ND$2:$ND$60=M$4)*(GMWQ!$NF$2:$NF$60=M$1),0),$E311-1966)</f>
        <v>610733.1</v>
      </c>
      <c r="N311" s="13" cm="1">
        <f t="array" ref="N311">INDEX(GMWQ!$A$2:$NF$60,MATCH(1,(GMWQ!$NE$2:$NE$60=N$3)*(GMWQ!$ND$2:$ND$60=N$4)*(GMWQ!$NF$2:$NF$60=N$1),0),$E311-1966)</f>
        <v>181.0591</v>
      </c>
      <c r="O311" s="13" cm="1">
        <f t="array" ref="O311">INDEX(GMWQ!$A$2:$NF$60,MATCH(1,(GMWQ!$NE$2:$NE$60=O$3)*(GMWQ!$ND$2:$ND$60=O$4)*(GMWQ!$NF$2:$NF$60=O$1),0),$E311-1966)</f>
        <v>39008.199999999997</v>
      </c>
      <c r="P311" s="13" cm="1">
        <f t="array" ref="P311">INDEX(GMWQ!$A$2:$NF$60,MATCH(1,(GMWQ!$NE$2:$NE$60=P$3)*(GMWQ!$ND$2:$ND$60=P$4)*(GMWQ!$NF$2:$NF$60=P$1),0),$E311-1966)</f>
        <v>38448.720000000001</v>
      </c>
      <c r="Q311" s="13" cm="1">
        <f t="array" ref="Q311">INDEX(GMWQ!$A$2:$NF$60,MATCH(1,(GMWQ!$NE$2:$NE$60=Q$3)*(GMWQ!$ND$2:$ND$60=Q$4)*(GMWQ!$NF$2:$NF$60=Q$1),0),$E311-1966)</f>
        <v>35364.54</v>
      </c>
    </row>
    <row r="312" spans="1:17" x14ac:dyDescent="0.25">
      <c r="B312" s="13">
        <f t="shared" si="24"/>
        <v>2049</v>
      </c>
      <c r="C312" s="13">
        <f t="shared" si="24"/>
        <v>2049</v>
      </c>
      <c r="E312" s="13">
        <f t="shared" si="25"/>
        <v>2278</v>
      </c>
      <c r="F312" s="13" cm="1">
        <f t="array" ref="F312">INDEX(GMWQ!$A$2:$NF$60,MATCH(1,(GMWQ!$NE$2:$NE$60=F$3)*(GMWQ!$ND$2:$ND$60=F$4)*(GMWQ!$NF$2:$NF$60=F$1),0),$E312-1966)</f>
        <v>253.58760000000001</v>
      </c>
      <c r="G312" s="13" cm="1">
        <f t="array" ref="G312">INDEX(GMWQ!$A$2:$NF$60,MATCH(1,(GMWQ!$NE$2:$NE$60=G$3)*(GMWQ!$ND$2:$ND$60=G$4)*(GMWQ!$NF$2:$NF$60=G$1),0),$E312-1966)</f>
        <v>112735.4</v>
      </c>
      <c r="H312" s="13" cm="1">
        <f t="array" ref="H312">INDEX(GMWQ!$A$2:$NF$60,MATCH(1,(GMWQ!$NE$2:$NE$60=H$3)*(GMWQ!$ND$2:$ND$60=H$4)*(GMWQ!$NF$2:$NF$60=H$1),0),$E312-1966)</f>
        <v>1479.03</v>
      </c>
      <c r="I312" s="13" cm="1">
        <f t="array" ref="I312">INDEX(GMWQ!$A$2:$NF$60,MATCH(1,(GMWQ!$NE$2:$NE$60=I$3)*(GMWQ!$ND$2:$ND$60=I$4)*(GMWQ!$NF$2:$NF$60=I$1),0),$E312-1966)</f>
        <v>382548.4</v>
      </c>
      <c r="J312" s="13" cm="1">
        <f t="array" ref="J312">INDEX(GMWQ!$A$2:$NF$60,MATCH(1,(GMWQ!$NE$2:$NE$60=J$3)*(GMWQ!$ND$2:$ND$60=J$4)*(GMWQ!$NF$2:$NF$60=J$1),0),$E312-1966)</f>
        <v>1785073</v>
      </c>
      <c r="K312" s="13" cm="1">
        <f t="array" ref="K312">INDEX(GMWQ!$A$2:$NF$60,MATCH(1,(GMWQ!$NE$2:$NE$60=K$3)*(GMWQ!$ND$2:$ND$60=K$4)*(GMWQ!$NF$2:$NF$60=K$1),0),$E312-1966)</f>
        <v>712187.5</v>
      </c>
      <c r="L312" s="13" cm="1">
        <f t="array" ref="L312">INDEX(GMWQ!$A$2:$NF$60,MATCH(1,(GMWQ!$NE$2:$NE$60=L$3)*(GMWQ!$ND$2:$ND$60=L$4)*(GMWQ!$NF$2:$NF$60=L$1),0),$E312-1966)</f>
        <v>1115521</v>
      </c>
      <c r="M312" s="13" cm="1">
        <f t="array" ref="M312">INDEX(GMWQ!$A$2:$NF$60,MATCH(1,(GMWQ!$NE$2:$NE$60=M$3)*(GMWQ!$ND$2:$ND$60=M$4)*(GMWQ!$NF$2:$NF$60=M$1),0),$E312-1966)</f>
        <v>612946</v>
      </c>
      <c r="N312" s="13" cm="1">
        <f t="array" ref="N312">INDEX(GMWQ!$A$2:$NF$60,MATCH(1,(GMWQ!$NE$2:$NE$60=N$3)*(GMWQ!$ND$2:$ND$60=N$4)*(GMWQ!$NF$2:$NF$60=N$1),0),$E312-1966)</f>
        <v>181.95760000000001</v>
      </c>
      <c r="O312" s="13" cm="1">
        <f t="array" ref="O312">INDEX(GMWQ!$A$2:$NF$60,MATCH(1,(GMWQ!$NE$2:$NE$60=O$3)*(GMWQ!$ND$2:$ND$60=O$4)*(GMWQ!$NF$2:$NF$60=O$1),0),$E312-1966)</f>
        <v>39043</v>
      </c>
      <c r="P312" s="13" cm="1">
        <f t="array" ref="P312">INDEX(GMWQ!$A$2:$NF$60,MATCH(1,(GMWQ!$NE$2:$NE$60=P$3)*(GMWQ!$ND$2:$ND$60=P$4)*(GMWQ!$NF$2:$NF$60=P$1),0),$E312-1966)</f>
        <v>38483.129999999997</v>
      </c>
      <c r="Q312" s="13" cm="1">
        <f t="array" ref="Q312">INDEX(GMWQ!$A$2:$NF$60,MATCH(1,(GMWQ!$NE$2:$NE$60=Q$3)*(GMWQ!$ND$2:$ND$60=Q$4)*(GMWQ!$NF$2:$NF$60=Q$1),0),$E312-1966)</f>
        <v>35370.68</v>
      </c>
    </row>
    <row r="313" spans="1:17" x14ac:dyDescent="0.25">
      <c r="B313" s="13">
        <f t="shared" si="24"/>
        <v>2049</v>
      </c>
      <c r="C313" s="13">
        <f t="shared" si="24"/>
        <v>2049</v>
      </c>
      <c r="E313" s="13">
        <f t="shared" si="25"/>
        <v>2279</v>
      </c>
      <c r="F313" s="13" cm="1">
        <f t="array" ref="F313">INDEX(GMWQ!$A$2:$NF$60,MATCH(1,(GMWQ!$NE$2:$NE$60=F$3)*(GMWQ!$ND$2:$ND$60=F$4)*(GMWQ!$NF$2:$NF$60=F$1),0),$E313-1966)</f>
        <v>254.86940000000001</v>
      </c>
      <c r="G313" s="13" cm="1">
        <f t="array" ref="G313">INDEX(GMWQ!$A$2:$NF$60,MATCH(1,(GMWQ!$NE$2:$NE$60=G$3)*(GMWQ!$ND$2:$ND$60=G$4)*(GMWQ!$NF$2:$NF$60=G$1),0),$E313-1966)</f>
        <v>113725.8</v>
      </c>
      <c r="H313" s="13" cm="1">
        <f t="array" ref="H313">INDEX(GMWQ!$A$2:$NF$60,MATCH(1,(GMWQ!$NE$2:$NE$60=H$3)*(GMWQ!$ND$2:$ND$60=H$4)*(GMWQ!$NF$2:$NF$60=H$1),0),$E313-1966)</f>
        <v>1490.6880000000001</v>
      </c>
      <c r="I313" s="13" cm="1">
        <f t="array" ref="I313">INDEX(GMWQ!$A$2:$NF$60,MATCH(1,(GMWQ!$NE$2:$NE$60=I$3)*(GMWQ!$ND$2:$ND$60=I$4)*(GMWQ!$NF$2:$NF$60=I$1),0),$E313-1966)</f>
        <v>385833.5</v>
      </c>
      <c r="J313" s="13" cm="1">
        <f t="array" ref="J313">INDEX(GMWQ!$A$2:$NF$60,MATCH(1,(GMWQ!$NE$2:$NE$60=J$3)*(GMWQ!$ND$2:$ND$60=J$4)*(GMWQ!$NF$2:$NF$60=J$1),0),$E313-1966)</f>
        <v>1801338</v>
      </c>
      <c r="K313" s="13" cm="1">
        <f t="array" ref="K313">INDEX(GMWQ!$A$2:$NF$60,MATCH(1,(GMWQ!$NE$2:$NE$60=K$3)*(GMWQ!$ND$2:$ND$60=K$4)*(GMWQ!$NF$2:$NF$60=K$1),0),$E313-1966)</f>
        <v>718444.4</v>
      </c>
      <c r="L313" s="13" cm="1">
        <f t="array" ref="L313">INDEX(GMWQ!$A$2:$NF$60,MATCH(1,(GMWQ!$NE$2:$NE$60=L$3)*(GMWQ!$ND$2:$ND$60=L$4)*(GMWQ!$NF$2:$NF$60=L$1),0),$E313-1966)</f>
        <v>1125115</v>
      </c>
      <c r="M313" s="13" cm="1">
        <f t="array" ref="M313">INDEX(GMWQ!$A$2:$NF$60,MATCH(1,(GMWQ!$NE$2:$NE$60=M$3)*(GMWQ!$ND$2:$ND$60=M$4)*(GMWQ!$NF$2:$NF$60=M$1),0),$E313-1966)</f>
        <v>615166.4</v>
      </c>
      <c r="N313" s="13" cm="1">
        <f t="array" ref="N313">INDEX(GMWQ!$A$2:$NF$60,MATCH(1,(GMWQ!$NE$2:$NE$60=N$3)*(GMWQ!$ND$2:$ND$60=N$4)*(GMWQ!$NF$2:$NF$60=N$1),0),$E313-1966)</f>
        <v>182.8604</v>
      </c>
      <c r="O313" s="13" cm="1">
        <f t="array" ref="O313">INDEX(GMWQ!$A$2:$NF$60,MATCH(1,(GMWQ!$NE$2:$NE$60=O$3)*(GMWQ!$ND$2:$ND$60=O$4)*(GMWQ!$NF$2:$NF$60=O$1),0),$E313-1966)</f>
        <v>39077.81</v>
      </c>
      <c r="P313" s="13" cm="1">
        <f t="array" ref="P313">INDEX(GMWQ!$A$2:$NF$60,MATCH(1,(GMWQ!$NE$2:$NE$60=P$3)*(GMWQ!$ND$2:$ND$60=P$4)*(GMWQ!$NF$2:$NF$60=P$1),0),$E313-1966)</f>
        <v>38517.53</v>
      </c>
      <c r="Q313" s="13" cm="1">
        <f t="array" ref="Q313">INDEX(GMWQ!$A$2:$NF$60,MATCH(1,(GMWQ!$NE$2:$NE$60=Q$3)*(GMWQ!$ND$2:$ND$60=Q$4)*(GMWQ!$NF$2:$NF$60=Q$1),0),$E313-1966)</f>
        <v>35376.82</v>
      </c>
    </row>
    <row r="314" spans="1:17" x14ac:dyDescent="0.25">
      <c r="B314" s="13">
        <f t="shared" si="24"/>
        <v>2049</v>
      </c>
      <c r="C314" s="13">
        <f t="shared" si="24"/>
        <v>2049</v>
      </c>
      <c r="E314" s="13">
        <f t="shared" si="25"/>
        <v>2280</v>
      </c>
      <c r="F314" s="13" cm="1">
        <f t="array" ref="F314">INDEX(GMWQ!$A$2:$NF$60,MATCH(1,(GMWQ!$NE$2:$NE$60=F$3)*(GMWQ!$ND$2:$ND$60=F$4)*(GMWQ!$NF$2:$NF$60=F$1),0),$E314-1966)</f>
        <v>256.15769999999998</v>
      </c>
      <c r="G314" s="13" cm="1">
        <f t="array" ref="G314">INDEX(GMWQ!$A$2:$NF$60,MATCH(1,(GMWQ!$NE$2:$NE$60=G$3)*(GMWQ!$ND$2:$ND$60=G$4)*(GMWQ!$NF$2:$NF$60=G$1),0),$E314-1966)</f>
        <v>114724.6</v>
      </c>
      <c r="H314" s="13" cm="1">
        <f t="array" ref="H314">INDEX(GMWQ!$A$2:$NF$60,MATCH(1,(GMWQ!$NE$2:$NE$60=H$3)*(GMWQ!$ND$2:$ND$60=H$4)*(GMWQ!$NF$2:$NF$60=H$1),0),$E314-1966)</f>
        <v>1502.4369999999999</v>
      </c>
      <c r="I314" s="13" cm="1">
        <f t="array" ref="I314">INDEX(GMWQ!$A$2:$NF$60,MATCH(1,(GMWQ!$NE$2:$NE$60=I$3)*(GMWQ!$ND$2:$ND$60=I$4)*(GMWQ!$NF$2:$NF$60=I$1),0),$E314-1966)</f>
        <v>389242.4</v>
      </c>
      <c r="J314" s="13" cm="1">
        <f t="array" ref="J314">INDEX(GMWQ!$A$2:$NF$60,MATCH(1,(GMWQ!$NE$2:$NE$60=J$3)*(GMWQ!$ND$2:$ND$60=J$4)*(GMWQ!$NF$2:$NF$60=J$1),0),$E314-1966)</f>
        <v>1817747</v>
      </c>
      <c r="K314" s="13" cm="1">
        <f t="array" ref="K314">INDEX(GMWQ!$A$2:$NF$60,MATCH(1,(GMWQ!$NE$2:$NE$60=K$3)*(GMWQ!$ND$2:$ND$60=K$4)*(GMWQ!$NF$2:$NF$60=K$1),0),$E314-1966)</f>
        <v>724754.4</v>
      </c>
      <c r="L314" s="13" cm="1">
        <f t="array" ref="L314">INDEX(GMWQ!$A$2:$NF$60,MATCH(1,(GMWQ!$NE$2:$NE$60=L$3)*(GMWQ!$ND$2:$ND$60=L$4)*(GMWQ!$NF$2:$NF$60=L$1),0),$E314-1966)</f>
        <v>1134788</v>
      </c>
      <c r="M314" s="13" cm="1">
        <f t="array" ref="M314">INDEX(GMWQ!$A$2:$NF$60,MATCH(1,(GMWQ!$NE$2:$NE$60=M$3)*(GMWQ!$ND$2:$ND$60=M$4)*(GMWQ!$NF$2:$NF$60=M$1),0),$E314-1966)</f>
        <v>617392.4</v>
      </c>
      <c r="N314" s="13" cm="1">
        <f t="array" ref="N314">INDEX(GMWQ!$A$2:$NF$60,MATCH(1,(GMWQ!$NE$2:$NE$60=N$3)*(GMWQ!$ND$2:$ND$60=N$4)*(GMWQ!$NF$2:$NF$60=N$1),0),$E314-1966)</f>
        <v>183.76779999999999</v>
      </c>
      <c r="O314" s="13" cm="1">
        <f t="array" ref="O314">INDEX(GMWQ!$A$2:$NF$60,MATCH(1,(GMWQ!$NE$2:$NE$60=O$3)*(GMWQ!$ND$2:$ND$60=O$4)*(GMWQ!$NF$2:$NF$60=O$1),0),$E314-1966)</f>
        <v>39112.61</v>
      </c>
      <c r="P314" s="13" cm="1">
        <f t="array" ref="P314">INDEX(GMWQ!$A$2:$NF$60,MATCH(1,(GMWQ!$NE$2:$NE$60=P$3)*(GMWQ!$ND$2:$ND$60=P$4)*(GMWQ!$NF$2:$NF$60=P$1),0),$E314-1966)</f>
        <v>38551.93</v>
      </c>
      <c r="Q314" s="13" cm="1">
        <f t="array" ref="Q314">INDEX(GMWQ!$A$2:$NF$60,MATCH(1,(GMWQ!$NE$2:$NE$60=Q$3)*(GMWQ!$ND$2:$ND$60=Q$4)*(GMWQ!$NF$2:$NF$60=Q$1),0),$E314-1966)</f>
        <v>35382.959999999999</v>
      </c>
    </row>
    <row r="315" spans="1:17" x14ac:dyDescent="0.25">
      <c r="A315" s="13">
        <v>2050</v>
      </c>
      <c r="B315" s="13">
        <f t="shared" si="24"/>
        <v>2050</v>
      </c>
      <c r="C315" s="13">
        <f t="shared" si="24"/>
        <v>2049</v>
      </c>
      <c r="D315" s="13">
        <f t="shared" si="24"/>
        <v>2049</v>
      </c>
      <c r="E315" s="13">
        <f t="shared" si="25"/>
        <v>2281</v>
      </c>
      <c r="F315" s="13" cm="1">
        <f t="array" ref="F315">INDEX(GMWQ!$A$2:$NF$60,MATCH(1,(GMWQ!$NE$2:$NE$60=F$3)*(GMWQ!$ND$2:$ND$60=F$4)*(GMWQ!$NF$2:$NF$60=F$1),0),$E315-1966)</f>
        <v>257.45260000000002</v>
      </c>
      <c r="G315" s="13" cm="1">
        <f t="array" ref="G315">INDEX(GMWQ!$A$2:$NF$60,MATCH(1,(GMWQ!$NE$2:$NE$60=G$3)*(GMWQ!$ND$2:$ND$60=G$4)*(GMWQ!$NF$2:$NF$60=G$1),0),$E315-1966)</f>
        <v>115731.9</v>
      </c>
      <c r="H315" s="13" cm="1">
        <f t="array" ref="H315">INDEX(GMWQ!$A$2:$NF$60,MATCH(1,(GMWQ!$NE$2:$NE$60=H$3)*(GMWQ!$ND$2:$ND$60=H$4)*(GMWQ!$NF$2:$NF$60=H$1),0),$E315-1966)</f>
        <v>1514.2760000000001</v>
      </c>
      <c r="I315" s="13" cm="1">
        <f t="array" ref="I315">INDEX(GMWQ!$A$2:$NF$60,MATCH(1,(GMWQ!$NE$2:$NE$60=I$3)*(GMWQ!$ND$2:$ND$60=I$4)*(GMWQ!$NF$2:$NF$60=I$1),0),$E315-1966)</f>
        <v>392883.4</v>
      </c>
      <c r="J315" s="13" cm="1">
        <f t="array" ref="J315">INDEX(GMWQ!$A$2:$NF$60,MATCH(1,(GMWQ!$NE$2:$NE$60=J$3)*(GMWQ!$ND$2:$ND$60=J$4)*(GMWQ!$NF$2:$NF$60=J$1),0),$E315-1966)</f>
        <v>1834300</v>
      </c>
      <c r="K315" s="13" cm="1">
        <f t="array" ref="K315">INDEX(GMWQ!$A$2:$NF$60,MATCH(1,(GMWQ!$NE$2:$NE$60=K$3)*(GMWQ!$ND$2:$ND$60=K$4)*(GMWQ!$NF$2:$NF$60=K$1),0),$E315-1966)</f>
        <v>731117.8</v>
      </c>
      <c r="L315" s="13" cm="1">
        <f t="array" ref="L315">INDEX(GMWQ!$A$2:$NF$60,MATCH(1,(GMWQ!$NE$2:$NE$60=L$3)*(GMWQ!$ND$2:$ND$60=L$4)*(GMWQ!$NF$2:$NF$60=L$1),0),$E315-1966)</f>
        <v>1144542</v>
      </c>
      <c r="M315" s="13" cm="1">
        <f t="array" ref="M315">INDEX(GMWQ!$A$2:$NF$60,MATCH(1,(GMWQ!$NE$2:$NE$60=M$3)*(GMWQ!$ND$2:$ND$60=M$4)*(GMWQ!$NF$2:$NF$60=M$1),0),$E315-1966)</f>
        <v>619625.80000000005</v>
      </c>
      <c r="N315" s="13" cm="1">
        <f t="array" ref="N315">INDEX(GMWQ!$A$2:$NF$60,MATCH(1,(GMWQ!$NE$2:$NE$60=N$3)*(GMWQ!$ND$2:$ND$60=N$4)*(GMWQ!$NF$2:$NF$60=N$1),0),$E315-1966)</f>
        <v>184.67959999999999</v>
      </c>
      <c r="O315" s="13" cm="1">
        <f t="array" ref="O315">INDEX(GMWQ!$A$2:$NF$60,MATCH(1,(GMWQ!$NE$2:$NE$60=O$3)*(GMWQ!$ND$2:$ND$60=O$4)*(GMWQ!$NF$2:$NF$60=O$1),0),$E315-1966)</f>
        <v>39147.410000000003</v>
      </c>
      <c r="P315" s="13" cm="1">
        <f t="array" ref="P315">INDEX(GMWQ!$A$2:$NF$60,MATCH(1,(GMWQ!$NE$2:$NE$60=P$3)*(GMWQ!$ND$2:$ND$60=P$4)*(GMWQ!$NF$2:$NF$60=P$1),0),$E315-1966)</f>
        <v>38586.339999999997</v>
      </c>
      <c r="Q315" s="13" cm="1">
        <f t="array" ref="Q315">INDEX(GMWQ!$A$2:$NF$60,MATCH(1,(GMWQ!$NE$2:$NE$60=Q$3)*(GMWQ!$ND$2:$ND$60=Q$4)*(GMWQ!$NF$2:$NF$60=Q$1),0),$E315-1966)</f>
        <v>35389.11</v>
      </c>
    </row>
    <row r="316" spans="1:17" x14ac:dyDescent="0.25">
      <c r="B316" s="13">
        <f t="shared" ref="B316:D331" si="26">+B312+1</f>
        <v>2050</v>
      </c>
      <c r="C316" s="13">
        <f t="shared" si="26"/>
        <v>2050</v>
      </c>
      <c r="E316" s="13">
        <f t="shared" si="25"/>
        <v>2282</v>
      </c>
      <c r="F316" s="13" cm="1">
        <f t="array" ref="F316">INDEX(GMWQ!$A$2:$NF$60,MATCH(1,(GMWQ!$NE$2:$NE$60=F$3)*(GMWQ!$ND$2:$ND$60=F$4)*(GMWQ!$NF$2:$NF$60=F$1),0),$E316-1966)</f>
        <v>258.7543</v>
      </c>
      <c r="G316" s="13" cm="1">
        <f t="array" ref="G316">INDEX(GMWQ!$A$2:$NF$60,MATCH(1,(GMWQ!$NE$2:$NE$60=G$3)*(GMWQ!$ND$2:$ND$60=G$4)*(GMWQ!$NF$2:$NF$60=G$1),0),$E316-1966)</f>
        <v>116747.8</v>
      </c>
      <c r="H316" s="13" cm="1">
        <f t="array" ref="H316">INDEX(GMWQ!$A$2:$NF$60,MATCH(1,(GMWQ!$NE$2:$NE$60=H$3)*(GMWQ!$ND$2:$ND$60=H$4)*(GMWQ!$NF$2:$NF$60=H$1),0),$E316-1966)</f>
        <v>1526.204</v>
      </c>
      <c r="I316" s="13" cm="1">
        <f t="array" ref="I316">INDEX(GMWQ!$A$2:$NF$60,MATCH(1,(GMWQ!$NE$2:$NE$60=I$3)*(GMWQ!$ND$2:$ND$60=I$4)*(GMWQ!$NF$2:$NF$60=I$1),0),$E316-1966)</f>
        <v>396681.1</v>
      </c>
      <c r="J316" s="13" cm="1">
        <f t="array" ref="J316">INDEX(GMWQ!$A$2:$NF$60,MATCH(1,(GMWQ!$NE$2:$NE$60=J$3)*(GMWQ!$ND$2:$ND$60=J$4)*(GMWQ!$NF$2:$NF$60=J$1),0),$E316-1966)</f>
        <v>1850998</v>
      </c>
      <c r="K316" s="13" cm="1">
        <f t="array" ref="K316">INDEX(GMWQ!$A$2:$NF$60,MATCH(1,(GMWQ!$NE$2:$NE$60=K$3)*(GMWQ!$ND$2:$ND$60=K$4)*(GMWQ!$NF$2:$NF$60=K$1),0),$E316-1966)</f>
        <v>737535.1</v>
      </c>
      <c r="L316" s="13" cm="1">
        <f t="array" ref="L316">INDEX(GMWQ!$A$2:$NF$60,MATCH(1,(GMWQ!$NE$2:$NE$60=L$3)*(GMWQ!$ND$2:$ND$60=L$4)*(GMWQ!$NF$2:$NF$60=L$1),0),$E316-1966)</f>
        <v>1154415</v>
      </c>
      <c r="M316" s="13" cm="1">
        <f t="array" ref="M316">INDEX(GMWQ!$A$2:$NF$60,MATCH(1,(GMWQ!$NE$2:$NE$60=M$3)*(GMWQ!$ND$2:$ND$60=M$4)*(GMWQ!$NF$2:$NF$60=M$1),0),$E316-1966)</f>
        <v>621886</v>
      </c>
      <c r="N316" s="13" cm="1">
        <f t="array" ref="N316">INDEX(GMWQ!$A$2:$NF$60,MATCH(1,(GMWQ!$NE$2:$NE$60=N$3)*(GMWQ!$ND$2:$ND$60=N$4)*(GMWQ!$NF$2:$NF$60=N$1),0),$E316-1966)</f>
        <v>185.596</v>
      </c>
      <c r="O316" s="13" cm="1">
        <f t="array" ref="O316">INDEX(GMWQ!$A$2:$NF$60,MATCH(1,(GMWQ!$NE$2:$NE$60=O$3)*(GMWQ!$ND$2:$ND$60=O$4)*(GMWQ!$NF$2:$NF$60=O$1),0),$E316-1966)</f>
        <v>39182.22</v>
      </c>
      <c r="P316" s="13" cm="1">
        <f t="array" ref="P316">INDEX(GMWQ!$A$2:$NF$60,MATCH(1,(GMWQ!$NE$2:$NE$60=P$3)*(GMWQ!$ND$2:$ND$60=P$4)*(GMWQ!$NF$2:$NF$60=P$1),0),$E316-1966)</f>
        <v>38620.74</v>
      </c>
      <c r="Q316" s="13" cm="1">
        <f t="array" ref="Q316">INDEX(GMWQ!$A$2:$NF$60,MATCH(1,(GMWQ!$NE$2:$NE$60=Q$3)*(GMWQ!$ND$2:$ND$60=Q$4)*(GMWQ!$NF$2:$NF$60=Q$1),0),$E316-1966)</f>
        <v>35395.25</v>
      </c>
    </row>
    <row r="317" spans="1:17" x14ac:dyDescent="0.25">
      <c r="B317" s="13">
        <f t="shared" si="26"/>
        <v>2050</v>
      </c>
      <c r="C317" s="13">
        <f t="shared" si="26"/>
        <v>2050</v>
      </c>
      <c r="E317" s="13">
        <f t="shared" si="25"/>
        <v>2283</v>
      </c>
      <c r="F317" s="13" cm="1">
        <f t="array" ref="F317">INDEX(GMWQ!$A$2:$NF$60,MATCH(1,(GMWQ!$NE$2:$NE$60=F$3)*(GMWQ!$ND$2:$ND$60=F$4)*(GMWQ!$NF$2:$NF$60=F$1),0),$E317-1966)</f>
        <v>260.06259999999997</v>
      </c>
      <c r="G317" s="13" cm="1">
        <f t="array" ref="G317">INDEX(GMWQ!$A$2:$NF$60,MATCH(1,(GMWQ!$NE$2:$NE$60=G$3)*(GMWQ!$ND$2:$ND$60=G$4)*(GMWQ!$NF$2:$NF$60=G$1),0),$E317-1966)</f>
        <v>117772.1</v>
      </c>
      <c r="H317" s="13" cm="1">
        <f t="array" ref="H317">INDEX(GMWQ!$A$2:$NF$60,MATCH(1,(GMWQ!$NE$2:$NE$60=H$3)*(GMWQ!$ND$2:$ND$60=H$4)*(GMWQ!$NF$2:$NF$60=H$1),0),$E317-1966)</f>
        <v>1538.223</v>
      </c>
      <c r="I317" s="13" cm="1">
        <f t="array" ref="I317">INDEX(GMWQ!$A$2:$NF$60,MATCH(1,(GMWQ!$NE$2:$NE$60=I$3)*(GMWQ!$ND$2:$ND$60=I$4)*(GMWQ!$NF$2:$NF$60=I$1),0),$E317-1966)</f>
        <v>400082.8</v>
      </c>
      <c r="J317" s="13" cm="1">
        <f t="array" ref="J317">INDEX(GMWQ!$A$2:$NF$60,MATCH(1,(GMWQ!$NE$2:$NE$60=J$3)*(GMWQ!$ND$2:$ND$60=J$4)*(GMWQ!$NF$2:$NF$60=J$1),0),$E317-1966)</f>
        <v>1867839</v>
      </c>
      <c r="K317" s="13" cm="1">
        <f t="array" ref="K317">INDEX(GMWQ!$A$2:$NF$60,MATCH(1,(GMWQ!$NE$2:$NE$60=K$3)*(GMWQ!$ND$2:$ND$60=K$4)*(GMWQ!$NF$2:$NF$60=K$1),0),$E317-1966)</f>
        <v>744006.1</v>
      </c>
      <c r="L317" s="13" cm="1">
        <f t="array" ref="L317">INDEX(GMWQ!$A$2:$NF$60,MATCH(1,(GMWQ!$NE$2:$NE$60=L$3)*(GMWQ!$ND$2:$ND$60=L$4)*(GMWQ!$NF$2:$NF$60=L$1),0),$E317-1966)</f>
        <v>1164370</v>
      </c>
      <c r="M317" s="13" cm="1">
        <f t="array" ref="M317">INDEX(GMWQ!$A$2:$NF$60,MATCH(1,(GMWQ!$NE$2:$NE$60=M$3)*(GMWQ!$ND$2:$ND$60=M$4)*(GMWQ!$NF$2:$NF$60=M$1),0),$E317-1966)</f>
        <v>624152.80000000005</v>
      </c>
      <c r="N317" s="13" cm="1">
        <f t="array" ref="N317">INDEX(GMWQ!$A$2:$NF$60,MATCH(1,(GMWQ!$NE$2:$NE$60=N$3)*(GMWQ!$ND$2:$ND$60=N$4)*(GMWQ!$NF$2:$NF$60=N$1),0),$E317-1966)</f>
        <v>186.51689999999999</v>
      </c>
      <c r="O317" s="13" cm="1">
        <f t="array" ref="O317">INDEX(GMWQ!$A$2:$NF$60,MATCH(1,(GMWQ!$NE$2:$NE$60=O$3)*(GMWQ!$ND$2:$ND$60=O$4)*(GMWQ!$NF$2:$NF$60=O$1),0),$E317-1966)</f>
        <v>39217.019999999997</v>
      </c>
      <c r="P317" s="13" cm="1">
        <f t="array" ref="P317">INDEX(GMWQ!$A$2:$NF$60,MATCH(1,(GMWQ!$NE$2:$NE$60=P$3)*(GMWQ!$ND$2:$ND$60=P$4)*(GMWQ!$NF$2:$NF$60=P$1),0),$E317-1966)</f>
        <v>38655.14</v>
      </c>
      <c r="Q317" s="13" cm="1">
        <f t="array" ref="Q317">INDEX(GMWQ!$A$2:$NF$60,MATCH(1,(GMWQ!$NE$2:$NE$60=Q$3)*(GMWQ!$ND$2:$ND$60=Q$4)*(GMWQ!$NF$2:$NF$60=Q$1),0),$E317-1966)</f>
        <v>35401.39</v>
      </c>
    </row>
    <row r="318" spans="1:17" x14ac:dyDescent="0.25">
      <c r="B318" s="13">
        <f t="shared" si="26"/>
        <v>2050</v>
      </c>
      <c r="C318" s="13">
        <f t="shared" si="26"/>
        <v>2050</v>
      </c>
      <c r="E318" s="13">
        <f t="shared" si="25"/>
        <v>2284</v>
      </c>
      <c r="F318" s="13" cm="1">
        <f t="array" ref="F318">INDEX(GMWQ!$A$2:$NF$60,MATCH(1,(GMWQ!$NE$2:$NE$60=F$3)*(GMWQ!$ND$2:$ND$60=F$4)*(GMWQ!$NF$2:$NF$60=F$1),0),$E318-1966)</f>
        <v>261.3777</v>
      </c>
      <c r="G318" s="13" cm="1">
        <f t="array" ref="G318">INDEX(GMWQ!$A$2:$NF$60,MATCH(1,(GMWQ!$NE$2:$NE$60=G$3)*(GMWQ!$ND$2:$ND$60=G$4)*(GMWQ!$NF$2:$NF$60=G$1),0),$E318-1966)</f>
        <v>118805</v>
      </c>
      <c r="H318" s="13" cm="1">
        <f t="array" ref="H318">INDEX(GMWQ!$A$2:$NF$60,MATCH(1,(GMWQ!$NE$2:$NE$60=H$3)*(GMWQ!$ND$2:$ND$60=H$4)*(GMWQ!$NF$2:$NF$60=H$1),0),$E318-1966)</f>
        <v>1550.3320000000001</v>
      </c>
      <c r="I318" s="13" cm="1">
        <f t="array" ref="I318">INDEX(GMWQ!$A$2:$NF$60,MATCH(1,(GMWQ!$NE$2:$NE$60=I$3)*(GMWQ!$ND$2:$ND$60=I$4)*(GMWQ!$NF$2:$NF$60=I$1),0),$E318-1966)</f>
        <v>403612.5</v>
      </c>
      <c r="J318" s="13" cm="1">
        <f t="array" ref="J318">INDEX(GMWQ!$A$2:$NF$60,MATCH(1,(GMWQ!$NE$2:$NE$60=J$3)*(GMWQ!$ND$2:$ND$60=J$4)*(GMWQ!$NF$2:$NF$60=J$1),0),$E318-1966)</f>
        <v>1884828</v>
      </c>
      <c r="K318" s="13" cm="1">
        <f t="array" ref="K318">INDEX(GMWQ!$A$2:$NF$60,MATCH(1,(GMWQ!$NE$2:$NE$60=K$3)*(GMWQ!$ND$2:$ND$60=K$4)*(GMWQ!$NF$2:$NF$60=K$1),0),$E318-1966)</f>
        <v>750531.4</v>
      </c>
      <c r="L318" s="13" cm="1">
        <f t="array" ref="L318">INDEX(GMWQ!$A$2:$NF$60,MATCH(1,(GMWQ!$NE$2:$NE$60=L$3)*(GMWQ!$ND$2:$ND$60=L$4)*(GMWQ!$NF$2:$NF$60=L$1),0),$E318-1966)</f>
        <v>1174406</v>
      </c>
      <c r="M318" s="13" cm="1">
        <f t="array" ref="M318">INDEX(GMWQ!$A$2:$NF$60,MATCH(1,(GMWQ!$NE$2:$NE$60=M$3)*(GMWQ!$ND$2:$ND$60=M$4)*(GMWQ!$NF$2:$NF$60=M$1),0),$E318-1966)</f>
        <v>626425.30000000005</v>
      </c>
      <c r="N318" s="13" cm="1">
        <f t="array" ref="N318">INDEX(GMWQ!$A$2:$NF$60,MATCH(1,(GMWQ!$NE$2:$NE$60=N$3)*(GMWQ!$ND$2:$ND$60=N$4)*(GMWQ!$NF$2:$NF$60=N$1),0),$E318-1966)</f>
        <v>187.44239999999999</v>
      </c>
      <c r="O318" s="13" cm="1">
        <f t="array" ref="O318">INDEX(GMWQ!$A$2:$NF$60,MATCH(1,(GMWQ!$NE$2:$NE$60=O$3)*(GMWQ!$ND$2:$ND$60=O$4)*(GMWQ!$NF$2:$NF$60=O$1),0),$E318-1966)</f>
        <v>39251.82</v>
      </c>
      <c r="P318" s="13" cm="1">
        <f t="array" ref="P318">INDEX(GMWQ!$A$2:$NF$60,MATCH(1,(GMWQ!$NE$2:$NE$60=P$3)*(GMWQ!$ND$2:$ND$60=P$4)*(GMWQ!$NF$2:$NF$60=P$1),0),$E318-1966)</f>
        <v>38689.550000000003</v>
      </c>
      <c r="Q318" s="13" cm="1">
        <f t="array" ref="Q318">INDEX(GMWQ!$A$2:$NF$60,MATCH(1,(GMWQ!$NE$2:$NE$60=Q$3)*(GMWQ!$ND$2:$ND$60=Q$4)*(GMWQ!$NF$2:$NF$60=Q$1),0),$E318-1966)</f>
        <v>35407.53</v>
      </c>
    </row>
    <row r="319" spans="1:17" x14ac:dyDescent="0.25">
      <c r="A319" s="13">
        <v>2051</v>
      </c>
      <c r="B319" s="13">
        <f t="shared" si="26"/>
        <v>2051</v>
      </c>
      <c r="C319" s="13">
        <f t="shared" si="26"/>
        <v>2050</v>
      </c>
      <c r="D319" s="13">
        <f t="shared" si="26"/>
        <v>2050</v>
      </c>
      <c r="E319" s="13">
        <f t="shared" si="25"/>
        <v>2285</v>
      </c>
      <c r="F319" s="13" cm="1">
        <f t="array" ref="F319">INDEX(GMWQ!$A$2:$NF$60,MATCH(1,(GMWQ!$NE$2:$NE$60=F$3)*(GMWQ!$ND$2:$ND$60=F$4)*(GMWQ!$NF$2:$NF$60=F$1),0),$E319-1966)</f>
        <v>262.67219999999998</v>
      </c>
      <c r="G319" s="13" cm="1">
        <f t="array" ref="G319">INDEX(GMWQ!$A$2:$NF$60,MATCH(1,(GMWQ!$NE$2:$NE$60=G$3)*(GMWQ!$ND$2:$ND$60=G$4)*(GMWQ!$NF$2:$NF$60=G$1),0),$E319-1966)</f>
        <v>119805.8</v>
      </c>
      <c r="H319" s="13" cm="1">
        <f t="array" ref="H319">INDEX(GMWQ!$A$2:$NF$60,MATCH(1,(GMWQ!$NE$2:$NE$60=H$3)*(GMWQ!$ND$2:$ND$60=H$4)*(GMWQ!$NF$2:$NF$60=H$1),0),$E319-1966)</f>
        <v>1562.5820000000001</v>
      </c>
      <c r="I319" s="13" cm="1">
        <f t="array" ref="I319">INDEX(GMWQ!$A$2:$NF$60,MATCH(1,(GMWQ!$NE$2:$NE$60=I$3)*(GMWQ!$ND$2:$ND$60=I$4)*(GMWQ!$NF$2:$NF$60=I$1),0),$E319-1966)</f>
        <v>407382.2</v>
      </c>
      <c r="J319" s="13" cm="1">
        <f t="array" ref="J319">INDEX(GMWQ!$A$2:$NF$60,MATCH(1,(GMWQ!$NE$2:$NE$60=J$3)*(GMWQ!$ND$2:$ND$60=J$4)*(GMWQ!$NF$2:$NF$60=J$1),0),$E319-1966)</f>
        <v>1901508</v>
      </c>
      <c r="K319" s="13" cm="1">
        <f t="array" ref="K319">INDEX(GMWQ!$A$2:$NF$60,MATCH(1,(GMWQ!$NE$2:$NE$60=K$3)*(GMWQ!$ND$2:$ND$60=K$4)*(GMWQ!$NF$2:$NF$60=K$1),0),$E319-1966)</f>
        <v>756853.8</v>
      </c>
      <c r="L319" s="13" cm="1">
        <f t="array" ref="L319">INDEX(GMWQ!$A$2:$NF$60,MATCH(1,(GMWQ!$NE$2:$NE$60=L$3)*(GMWQ!$ND$2:$ND$60=L$4)*(GMWQ!$NF$2:$NF$60=L$1),0),$E319-1966)</f>
        <v>1184524</v>
      </c>
      <c r="M319" s="13" cm="1">
        <f t="array" ref="M319">INDEX(GMWQ!$A$2:$NF$60,MATCH(1,(GMWQ!$NE$2:$NE$60=M$3)*(GMWQ!$ND$2:$ND$60=M$4)*(GMWQ!$NF$2:$NF$60=M$1),0),$E319-1966)</f>
        <v>628703.80000000005</v>
      </c>
      <c r="N319" s="13" cm="1">
        <f t="array" ref="N319">INDEX(GMWQ!$A$2:$NF$60,MATCH(1,(GMWQ!$NE$2:$NE$60=N$3)*(GMWQ!$ND$2:$ND$60=N$4)*(GMWQ!$NF$2:$NF$60=N$1),0),$E319-1966)</f>
        <v>188.3725</v>
      </c>
      <c r="O319" s="13" cm="1">
        <f t="array" ref="O319">INDEX(GMWQ!$A$2:$NF$60,MATCH(1,(GMWQ!$NE$2:$NE$60=O$3)*(GMWQ!$ND$2:$ND$60=O$4)*(GMWQ!$NF$2:$NF$60=O$1),0),$E319-1966)</f>
        <v>39272.080000000002</v>
      </c>
      <c r="P319" s="13" cm="1">
        <f t="array" ref="P319">INDEX(GMWQ!$A$2:$NF$60,MATCH(1,(GMWQ!$NE$2:$NE$60=P$3)*(GMWQ!$ND$2:$ND$60=P$4)*(GMWQ!$NF$2:$NF$60=P$1),0),$E319-1966)</f>
        <v>0</v>
      </c>
      <c r="Q319" s="13" cm="1">
        <f t="array" ref="Q319">INDEX(GMWQ!$A$2:$NF$60,MATCH(1,(GMWQ!$NE$2:$NE$60=Q$3)*(GMWQ!$ND$2:$ND$60=Q$4)*(GMWQ!$NF$2:$NF$60=Q$1),0),$E319-1966)</f>
        <v>0</v>
      </c>
    </row>
    <row r="320" spans="1:17" x14ac:dyDescent="0.25">
      <c r="B320" s="13">
        <f t="shared" si="26"/>
        <v>2051</v>
      </c>
      <c r="C320" s="13">
        <f t="shared" si="26"/>
        <v>2051</v>
      </c>
      <c r="E320" s="13">
        <f t="shared" si="25"/>
        <v>2286</v>
      </c>
      <c r="F320" s="13" cm="1">
        <f t="array" ref="F320">INDEX(GMWQ!$A$2:$NF$60,MATCH(1,(GMWQ!$NE$2:$NE$60=F$3)*(GMWQ!$ND$2:$ND$60=F$4)*(GMWQ!$NF$2:$NF$60=F$1),0),$E320-1966)</f>
        <v>263.9819</v>
      </c>
      <c r="G320" s="13" cm="1">
        <f t="array" ref="G320">INDEX(GMWQ!$A$2:$NF$60,MATCH(1,(GMWQ!$NE$2:$NE$60=G$3)*(GMWQ!$ND$2:$ND$60=G$4)*(GMWQ!$NF$2:$NF$60=G$1),0),$E320-1966)</f>
        <v>120818.4</v>
      </c>
      <c r="H320" s="13" cm="1">
        <f t="array" ref="H320">INDEX(GMWQ!$A$2:$NF$60,MATCH(1,(GMWQ!$NE$2:$NE$60=H$3)*(GMWQ!$ND$2:$ND$60=H$4)*(GMWQ!$NF$2:$NF$60=H$1),0),$E320-1966)</f>
        <v>1574.973</v>
      </c>
      <c r="I320" s="13" cm="1">
        <f t="array" ref="I320">INDEX(GMWQ!$A$2:$NF$60,MATCH(1,(GMWQ!$NE$2:$NE$60=I$3)*(GMWQ!$ND$2:$ND$60=I$4)*(GMWQ!$NF$2:$NF$60=I$1),0),$E320-1966)</f>
        <v>411215.4</v>
      </c>
      <c r="J320" s="13" cm="1">
        <f t="array" ref="J320">INDEX(GMWQ!$A$2:$NF$60,MATCH(1,(GMWQ!$NE$2:$NE$60=J$3)*(GMWQ!$ND$2:$ND$60=J$4)*(GMWQ!$NF$2:$NF$60=J$1),0),$E320-1966)</f>
        <v>1918327</v>
      </c>
      <c r="K320" s="13" cm="1">
        <f t="array" ref="K320">INDEX(GMWQ!$A$2:$NF$60,MATCH(1,(GMWQ!$NE$2:$NE$60=K$3)*(GMWQ!$ND$2:$ND$60=K$4)*(GMWQ!$NF$2:$NF$60=K$1),0),$E320-1966)</f>
        <v>763250.7</v>
      </c>
      <c r="L320" s="13" cm="1">
        <f t="array" ref="L320">INDEX(GMWQ!$A$2:$NF$60,MATCH(1,(GMWQ!$NE$2:$NE$60=L$3)*(GMWQ!$ND$2:$ND$60=L$4)*(GMWQ!$NF$2:$NF$60=L$1),0),$E320-1966)</f>
        <v>1194439</v>
      </c>
      <c r="M320" s="13" cm="1">
        <f t="array" ref="M320">INDEX(GMWQ!$A$2:$NF$60,MATCH(1,(GMWQ!$NE$2:$NE$60=M$3)*(GMWQ!$ND$2:$ND$60=M$4)*(GMWQ!$NF$2:$NF$60=M$1),0),$E320-1966)</f>
        <v>630836.80000000005</v>
      </c>
      <c r="N320" s="13" cm="1">
        <f t="array" ref="N320">INDEX(GMWQ!$A$2:$NF$60,MATCH(1,(GMWQ!$NE$2:$NE$60=N$3)*(GMWQ!$ND$2:$ND$60=N$4)*(GMWQ!$NF$2:$NF$60=N$1),0),$E320-1966)</f>
        <v>189.30719999999999</v>
      </c>
      <c r="O320" s="13" cm="1">
        <f t="array" ref="O320">INDEX(GMWQ!$A$2:$NF$60,MATCH(1,(GMWQ!$NE$2:$NE$60=O$3)*(GMWQ!$ND$2:$ND$60=O$4)*(GMWQ!$NF$2:$NF$60=O$1),0),$E320-1966)</f>
        <v>39292.339999999997</v>
      </c>
      <c r="P320" s="13" cm="1">
        <f t="array" ref="P320">INDEX(GMWQ!$A$2:$NF$60,MATCH(1,(GMWQ!$NE$2:$NE$60=P$3)*(GMWQ!$ND$2:$ND$60=P$4)*(GMWQ!$NF$2:$NF$60=P$1),0),$E320-1966)</f>
        <v>0</v>
      </c>
      <c r="Q320" s="13" cm="1">
        <f t="array" ref="Q320">INDEX(GMWQ!$A$2:$NF$60,MATCH(1,(GMWQ!$NE$2:$NE$60=Q$3)*(GMWQ!$ND$2:$ND$60=Q$4)*(GMWQ!$NF$2:$NF$60=Q$1),0),$E320-1966)</f>
        <v>0</v>
      </c>
    </row>
    <row r="321" spans="1:17" x14ac:dyDescent="0.25">
      <c r="B321" s="13">
        <f t="shared" si="26"/>
        <v>2051</v>
      </c>
      <c r="C321" s="13">
        <f t="shared" si="26"/>
        <v>2051</v>
      </c>
      <c r="E321" s="13">
        <f t="shared" si="25"/>
        <v>2287</v>
      </c>
      <c r="F321" s="13" cm="1">
        <f t="array" ref="F321">INDEX(GMWQ!$A$2:$NF$60,MATCH(1,(GMWQ!$NE$2:$NE$60=F$3)*(GMWQ!$ND$2:$ND$60=F$4)*(GMWQ!$NF$2:$NF$60=F$1),0),$E321-1966)</f>
        <v>265.30220000000003</v>
      </c>
      <c r="G321" s="13" cm="1">
        <f t="array" ref="G321">INDEX(GMWQ!$A$2:$NF$60,MATCH(1,(GMWQ!$NE$2:$NE$60=G$3)*(GMWQ!$ND$2:$ND$60=G$4)*(GMWQ!$NF$2:$NF$60=G$1),0),$E321-1966)</f>
        <v>121835.9</v>
      </c>
      <c r="H321" s="13" cm="1">
        <f t="array" ref="H321">INDEX(GMWQ!$A$2:$NF$60,MATCH(1,(GMWQ!$NE$2:$NE$60=H$3)*(GMWQ!$ND$2:$ND$60=H$4)*(GMWQ!$NF$2:$NF$60=H$1),0),$E321-1966)</f>
        <v>1587.5160000000001</v>
      </c>
      <c r="I321" s="13" cm="1">
        <f t="array" ref="I321">INDEX(GMWQ!$A$2:$NF$60,MATCH(1,(GMWQ!$NE$2:$NE$60=I$3)*(GMWQ!$ND$2:$ND$60=I$4)*(GMWQ!$NF$2:$NF$60=I$1),0),$E321-1966)</f>
        <v>414635.7</v>
      </c>
      <c r="J321" s="13" cm="1">
        <f t="array" ref="J321">INDEX(GMWQ!$A$2:$NF$60,MATCH(1,(GMWQ!$NE$2:$NE$60=J$3)*(GMWQ!$ND$2:$ND$60=J$4)*(GMWQ!$NF$2:$NF$60=J$1),0),$E321-1966)</f>
        <v>1935206</v>
      </c>
      <c r="K321" s="13" cm="1">
        <f t="array" ref="K321">INDEX(GMWQ!$A$2:$NF$60,MATCH(1,(GMWQ!$NE$2:$NE$60=K$3)*(GMWQ!$ND$2:$ND$60=K$4)*(GMWQ!$NF$2:$NF$60=K$1),0),$E321-1966)</f>
        <v>769678.9</v>
      </c>
      <c r="L321" s="13" cm="1">
        <f t="array" ref="L321">INDEX(GMWQ!$A$2:$NF$60,MATCH(1,(GMWQ!$NE$2:$NE$60=L$3)*(GMWQ!$ND$2:$ND$60=L$4)*(GMWQ!$NF$2:$NF$60=L$1),0),$E321-1966)</f>
        <v>1204431</v>
      </c>
      <c r="M321" s="13" cm="1">
        <f t="array" ref="M321">INDEX(GMWQ!$A$2:$NF$60,MATCH(1,(GMWQ!$NE$2:$NE$60=M$3)*(GMWQ!$ND$2:$ND$60=M$4)*(GMWQ!$NF$2:$NF$60=M$1),0),$E321-1966)</f>
        <v>632973.80000000005</v>
      </c>
      <c r="N321" s="13" cm="1">
        <f t="array" ref="N321">INDEX(GMWQ!$A$2:$NF$60,MATCH(1,(GMWQ!$NE$2:$NE$60=N$3)*(GMWQ!$ND$2:$ND$60=N$4)*(GMWQ!$NF$2:$NF$60=N$1),0),$E321-1966)</f>
        <v>190.2466</v>
      </c>
      <c r="O321" s="13" cm="1">
        <f t="array" ref="O321">INDEX(GMWQ!$A$2:$NF$60,MATCH(1,(GMWQ!$NE$2:$NE$60=O$3)*(GMWQ!$ND$2:$ND$60=O$4)*(GMWQ!$NF$2:$NF$60=O$1),0),$E321-1966)</f>
        <v>39310.14</v>
      </c>
      <c r="P321" s="13" cm="1">
        <f t="array" ref="P321">INDEX(GMWQ!$A$2:$NF$60,MATCH(1,(GMWQ!$NE$2:$NE$60=P$3)*(GMWQ!$ND$2:$ND$60=P$4)*(GMWQ!$NF$2:$NF$60=P$1),0),$E321-1966)</f>
        <v>0</v>
      </c>
      <c r="Q321" s="13" cm="1">
        <f t="array" ref="Q321">INDEX(GMWQ!$A$2:$NF$60,MATCH(1,(GMWQ!$NE$2:$NE$60=Q$3)*(GMWQ!$ND$2:$ND$60=Q$4)*(GMWQ!$NF$2:$NF$60=Q$1),0),$E321-1966)</f>
        <v>0</v>
      </c>
    </row>
    <row r="322" spans="1:17" x14ac:dyDescent="0.25">
      <c r="B322" s="13">
        <f t="shared" si="26"/>
        <v>2051</v>
      </c>
      <c r="C322" s="13">
        <f t="shared" si="26"/>
        <v>2051</v>
      </c>
      <c r="E322" s="13">
        <f t="shared" si="25"/>
        <v>2288</v>
      </c>
      <c r="F322" s="13" cm="1">
        <f t="array" ref="F322">INDEX(GMWQ!$A$2:$NF$60,MATCH(1,(GMWQ!$NE$2:$NE$60=F$3)*(GMWQ!$ND$2:$ND$60=F$4)*(GMWQ!$NF$2:$NF$60=F$1),0),$E322-1966)</f>
        <v>266.63929999999999</v>
      </c>
      <c r="G322" s="13" cm="1">
        <f t="array" ref="G322">INDEX(GMWQ!$A$2:$NF$60,MATCH(1,(GMWQ!$NE$2:$NE$60=G$3)*(GMWQ!$ND$2:$ND$60=G$4)*(GMWQ!$NF$2:$NF$60=G$1),0),$E322-1966)</f>
        <v>122866</v>
      </c>
      <c r="H322" s="13" cm="1">
        <f t="array" ref="H322">INDEX(GMWQ!$A$2:$NF$60,MATCH(1,(GMWQ!$NE$2:$NE$60=H$3)*(GMWQ!$ND$2:$ND$60=H$4)*(GMWQ!$NF$2:$NF$60=H$1),0),$E322-1966)</f>
        <v>1600.21</v>
      </c>
      <c r="I322" s="13" cm="1">
        <f t="array" ref="I322">INDEX(GMWQ!$A$2:$NF$60,MATCH(1,(GMWQ!$NE$2:$NE$60=I$3)*(GMWQ!$ND$2:$ND$60=I$4)*(GMWQ!$NF$2:$NF$60=I$1),0),$E322-1966)</f>
        <v>418169.5</v>
      </c>
      <c r="J322" s="13" cm="1">
        <f t="array" ref="J322">INDEX(GMWQ!$A$2:$NF$60,MATCH(1,(GMWQ!$NE$2:$NE$60=J$3)*(GMWQ!$ND$2:$ND$60=J$4)*(GMWQ!$NF$2:$NF$60=J$1),0),$E322-1966)</f>
        <v>1952224</v>
      </c>
      <c r="K322" s="13" cm="1">
        <f t="array" ref="K322">INDEX(GMWQ!$A$2:$NF$60,MATCH(1,(GMWQ!$NE$2:$NE$60=K$3)*(GMWQ!$ND$2:$ND$60=K$4)*(GMWQ!$NF$2:$NF$60=K$1),0),$E322-1966)</f>
        <v>776186.4</v>
      </c>
      <c r="L322" s="13" cm="1">
        <f t="array" ref="L322">INDEX(GMWQ!$A$2:$NF$60,MATCH(1,(GMWQ!$NE$2:$NE$60=L$3)*(GMWQ!$ND$2:$ND$60=L$4)*(GMWQ!$NF$2:$NF$60=L$1),0),$E322-1966)</f>
        <v>1214451</v>
      </c>
      <c r="M322" s="13" cm="1">
        <f t="array" ref="M322">INDEX(GMWQ!$A$2:$NF$60,MATCH(1,(GMWQ!$NE$2:$NE$60=M$3)*(GMWQ!$ND$2:$ND$60=M$4)*(GMWQ!$NF$2:$NF$60=M$1),0),$E322-1966)</f>
        <v>635089.6</v>
      </c>
      <c r="N322" s="13" cm="1">
        <f t="array" ref="N322">INDEX(GMWQ!$A$2:$NF$60,MATCH(1,(GMWQ!$NE$2:$NE$60=N$3)*(GMWQ!$ND$2:$ND$60=N$4)*(GMWQ!$NF$2:$NF$60=N$1),0),$E322-1966)</f>
        <v>191.19059999999999</v>
      </c>
      <c r="O322" s="13" cm="1">
        <f t="array" ref="O322">INDEX(GMWQ!$A$2:$NF$60,MATCH(1,(GMWQ!$NE$2:$NE$60=O$3)*(GMWQ!$ND$2:$ND$60=O$4)*(GMWQ!$NF$2:$NF$60=O$1),0),$E322-1966)</f>
        <v>39327.93</v>
      </c>
      <c r="P322" s="13" cm="1">
        <f t="array" ref="P322">INDEX(GMWQ!$A$2:$NF$60,MATCH(1,(GMWQ!$NE$2:$NE$60=P$3)*(GMWQ!$ND$2:$ND$60=P$4)*(GMWQ!$NF$2:$NF$60=P$1),0),$E322-1966)</f>
        <v>0</v>
      </c>
      <c r="Q322" s="13" cm="1">
        <f t="array" ref="Q322">INDEX(GMWQ!$A$2:$NF$60,MATCH(1,(GMWQ!$NE$2:$NE$60=Q$3)*(GMWQ!$ND$2:$ND$60=Q$4)*(GMWQ!$NF$2:$NF$60=Q$1),0),$E322-1966)</f>
        <v>0</v>
      </c>
    </row>
    <row r="323" spans="1:17" x14ac:dyDescent="0.25">
      <c r="A323" s="13">
        <v>2052</v>
      </c>
      <c r="B323" s="13">
        <f t="shared" si="26"/>
        <v>2052</v>
      </c>
      <c r="C323" s="13">
        <f t="shared" si="26"/>
        <v>2051</v>
      </c>
      <c r="D323" s="13">
        <f t="shared" si="26"/>
        <v>2051</v>
      </c>
      <c r="E323" s="13">
        <f t="shared" si="25"/>
        <v>2289</v>
      </c>
      <c r="F323" s="13" cm="1">
        <f t="array" ref="F323">INDEX(GMWQ!$A$2:$NF$60,MATCH(1,(GMWQ!$NE$2:$NE$60=F$3)*(GMWQ!$ND$2:$ND$60=F$4)*(GMWQ!$NF$2:$NF$60=F$1),0),$E323-1966)</f>
        <v>267.98469999999998</v>
      </c>
      <c r="G323" s="13" cm="1">
        <f t="array" ref="G323">INDEX(GMWQ!$A$2:$NF$60,MATCH(1,(GMWQ!$NE$2:$NE$60=G$3)*(GMWQ!$ND$2:$ND$60=G$4)*(GMWQ!$NF$2:$NF$60=G$1),0),$E323-1966)</f>
        <v>123904.9</v>
      </c>
      <c r="H323" s="13" cm="1">
        <f t="array" ref="H323">INDEX(GMWQ!$A$2:$NF$60,MATCH(1,(GMWQ!$NE$2:$NE$60=H$3)*(GMWQ!$ND$2:$ND$60=H$4)*(GMWQ!$NF$2:$NF$60=H$1),0),$E323-1966)</f>
        <v>1613.0070000000001</v>
      </c>
      <c r="I323" s="13" cm="1">
        <f t="array" ref="I323">INDEX(GMWQ!$A$2:$NF$60,MATCH(1,(GMWQ!$NE$2:$NE$60=I$3)*(GMWQ!$ND$2:$ND$60=I$4)*(GMWQ!$NF$2:$NF$60=I$1),0),$E323-1966)</f>
        <v>421948.8</v>
      </c>
      <c r="J323" s="13" cm="1">
        <f t="array" ref="J323">INDEX(GMWQ!$A$2:$NF$60,MATCH(1,(GMWQ!$NE$2:$NE$60=J$3)*(GMWQ!$ND$2:$ND$60=J$4)*(GMWQ!$NF$2:$NF$60=J$1),0),$E323-1966)</f>
        <v>1969380</v>
      </c>
      <c r="K323" s="13" cm="1">
        <f t="array" ref="K323">INDEX(GMWQ!$A$2:$NF$60,MATCH(1,(GMWQ!$NE$2:$NE$60=K$3)*(GMWQ!$ND$2:$ND$60=K$4)*(GMWQ!$NF$2:$NF$60=K$1),0),$E323-1966)</f>
        <v>782749.2</v>
      </c>
      <c r="L323" s="13" cm="1">
        <f t="array" ref="L323">INDEX(GMWQ!$A$2:$NF$60,MATCH(1,(GMWQ!$NE$2:$NE$60=L$3)*(GMWQ!$ND$2:$ND$60=L$4)*(GMWQ!$NF$2:$NF$60=L$1),0),$E323-1966)</f>
        <v>1224548</v>
      </c>
      <c r="M323" s="13" cm="1">
        <f t="array" ref="M323">INDEX(GMWQ!$A$2:$NF$60,MATCH(1,(GMWQ!$NE$2:$NE$60=M$3)*(GMWQ!$ND$2:$ND$60=M$4)*(GMWQ!$NF$2:$NF$60=M$1),0),$E323-1966)</f>
        <v>637208.6</v>
      </c>
      <c r="N323" s="13" cm="1">
        <f t="array" ref="N323">INDEX(GMWQ!$A$2:$NF$60,MATCH(1,(GMWQ!$NE$2:$NE$60=N$3)*(GMWQ!$ND$2:$ND$60=N$4)*(GMWQ!$NF$2:$NF$60=N$1),0),$E323-1966)</f>
        <v>192.13929999999999</v>
      </c>
      <c r="O323" s="13" cm="1">
        <f t="array" ref="O323">INDEX(GMWQ!$A$2:$NF$60,MATCH(1,(GMWQ!$NE$2:$NE$60=O$3)*(GMWQ!$ND$2:$ND$60=O$4)*(GMWQ!$NF$2:$NF$60=O$1),0),$E323-1966)</f>
        <v>39345.730000000003</v>
      </c>
      <c r="P323" s="13" cm="1">
        <f t="array" ref="P323">INDEX(GMWQ!$A$2:$NF$60,MATCH(1,(GMWQ!$NE$2:$NE$60=P$3)*(GMWQ!$ND$2:$ND$60=P$4)*(GMWQ!$NF$2:$NF$60=P$1),0),$E323-1966)</f>
        <v>0</v>
      </c>
      <c r="Q323" s="13" cm="1">
        <f t="array" ref="Q323">INDEX(GMWQ!$A$2:$NF$60,MATCH(1,(GMWQ!$NE$2:$NE$60=Q$3)*(GMWQ!$ND$2:$ND$60=Q$4)*(GMWQ!$NF$2:$NF$60=Q$1),0),$E323-1966)</f>
        <v>0</v>
      </c>
    </row>
    <row r="324" spans="1:17" x14ac:dyDescent="0.25">
      <c r="B324" s="13">
        <f t="shared" si="26"/>
        <v>2052</v>
      </c>
      <c r="C324" s="13">
        <f t="shared" si="26"/>
        <v>2052</v>
      </c>
      <c r="E324" s="13">
        <f t="shared" si="25"/>
        <v>2290</v>
      </c>
      <c r="F324" s="13" cm="1">
        <f t="array" ref="F324">INDEX(GMWQ!$A$2:$NF$60,MATCH(1,(GMWQ!$NE$2:$NE$60=F$3)*(GMWQ!$ND$2:$ND$60=F$4)*(GMWQ!$NF$2:$NF$60=F$1),0),$E324-1966)</f>
        <v>269.3383</v>
      </c>
      <c r="G324" s="13" cm="1">
        <f t="array" ref="G324">INDEX(GMWQ!$A$2:$NF$60,MATCH(1,(GMWQ!$NE$2:$NE$60=G$3)*(GMWQ!$ND$2:$ND$60=G$4)*(GMWQ!$NF$2:$NF$60=G$1),0),$E324-1966)</f>
        <v>124952.6</v>
      </c>
      <c r="H324" s="13" cm="1">
        <f t="array" ref="H324">INDEX(GMWQ!$A$2:$NF$60,MATCH(1,(GMWQ!$NE$2:$NE$60=H$3)*(GMWQ!$ND$2:$ND$60=H$4)*(GMWQ!$NF$2:$NF$60=H$1),0),$E324-1966)</f>
        <v>1625.9069999999999</v>
      </c>
      <c r="I324" s="13" cm="1">
        <f t="array" ref="I324">INDEX(GMWQ!$A$2:$NF$60,MATCH(1,(GMWQ!$NE$2:$NE$60=I$3)*(GMWQ!$ND$2:$ND$60=I$4)*(GMWQ!$NF$2:$NF$60=I$1),0),$E324-1966)</f>
        <v>425893.2</v>
      </c>
      <c r="J324" s="13" cm="1">
        <f t="array" ref="J324">INDEX(GMWQ!$A$2:$NF$60,MATCH(1,(GMWQ!$NE$2:$NE$60=J$3)*(GMWQ!$ND$2:$ND$60=J$4)*(GMWQ!$NF$2:$NF$60=J$1),0),$E324-1966)</f>
        <v>1986678</v>
      </c>
      <c r="K324" s="13" cm="1">
        <f t="array" ref="K324">INDEX(GMWQ!$A$2:$NF$60,MATCH(1,(GMWQ!$NE$2:$NE$60=K$3)*(GMWQ!$ND$2:$ND$60=K$4)*(GMWQ!$NF$2:$NF$60=K$1),0),$E324-1966)</f>
        <v>789367.6</v>
      </c>
      <c r="L324" s="13" cm="1">
        <f t="array" ref="L324">INDEX(GMWQ!$A$2:$NF$60,MATCH(1,(GMWQ!$NE$2:$NE$60=L$3)*(GMWQ!$ND$2:$ND$60=L$4)*(GMWQ!$NF$2:$NF$60=L$1),0),$E324-1966)</f>
        <v>1234723</v>
      </c>
      <c r="M324" s="13" cm="1">
        <f t="array" ref="M324">INDEX(GMWQ!$A$2:$NF$60,MATCH(1,(GMWQ!$NE$2:$NE$60=M$3)*(GMWQ!$ND$2:$ND$60=M$4)*(GMWQ!$NF$2:$NF$60=M$1),0),$E324-1966)</f>
        <v>639332</v>
      </c>
      <c r="N324" s="13" cm="1">
        <f t="array" ref="N324">INDEX(GMWQ!$A$2:$NF$60,MATCH(1,(GMWQ!$NE$2:$NE$60=N$3)*(GMWQ!$ND$2:$ND$60=N$4)*(GMWQ!$NF$2:$NF$60=N$1),0),$E324-1966)</f>
        <v>193.09270000000001</v>
      </c>
      <c r="O324" s="13" cm="1">
        <f t="array" ref="O324">INDEX(GMWQ!$A$2:$NF$60,MATCH(1,(GMWQ!$NE$2:$NE$60=O$3)*(GMWQ!$ND$2:$ND$60=O$4)*(GMWQ!$NF$2:$NF$60=O$1),0),$E324-1966)</f>
        <v>39363.519999999997</v>
      </c>
      <c r="P324" s="13" cm="1">
        <f t="array" ref="P324">INDEX(GMWQ!$A$2:$NF$60,MATCH(1,(GMWQ!$NE$2:$NE$60=P$3)*(GMWQ!$ND$2:$ND$60=P$4)*(GMWQ!$NF$2:$NF$60=P$1),0),$E324-1966)</f>
        <v>0</v>
      </c>
      <c r="Q324" s="13" cm="1">
        <f t="array" ref="Q324">INDEX(GMWQ!$A$2:$NF$60,MATCH(1,(GMWQ!$NE$2:$NE$60=Q$3)*(GMWQ!$ND$2:$ND$60=Q$4)*(GMWQ!$NF$2:$NF$60=Q$1),0),$E324-1966)</f>
        <v>0</v>
      </c>
    </row>
    <row r="325" spans="1:17" x14ac:dyDescent="0.25">
      <c r="B325" s="13">
        <f t="shared" si="26"/>
        <v>2052</v>
      </c>
      <c r="C325" s="13">
        <f t="shared" si="26"/>
        <v>2052</v>
      </c>
      <c r="E325" s="13">
        <f t="shared" si="25"/>
        <v>2291</v>
      </c>
      <c r="F325" s="13" cm="1">
        <f t="array" ref="F325">INDEX(GMWQ!$A$2:$NF$60,MATCH(1,(GMWQ!$NE$2:$NE$60=F$3)*(GMWQ!$ND$2:$ND$60=F$4)*(GMWQ!$NF$2:$NF$60=F$1),0),$E325-1966)</f>
        <v>270.69060000000002</v>
      </c>
      <c r="G325" s="13" cm="1">
        <f t="array" ref="G325">INDEX(GMWQ!$A$2:$NF$60,MATCH(1,(GMWQ!$NE$2:$NE$60=G$3)*(GMWQ!$ND$2:$ND$60=G$4)*(GMWQ!$NF$2:$NF$60=G$1),0),$E325-1966)</f>
        <v>125995.8</v>
      </c>
      <c r="H325" s="13" cm="1">
        <f t="array" ref="H325">INDEX(GMWQ!$A$2:$NF$60,MATCH(1,(GMWQ!$NE$2:$NE$60=H$3)*(GMWQ!$ND$2:$ND$60=H$4)*(GMWQ!$NF$2:$NF$60=H$1),0),$E325-1966)</f>
        <v>1638.9169999999999</v>
      </c>
      <c r="I325" s="13" cm="1">
        <f t="array" ref="I325">INDEX(GMWQ!$A$2:$NF$60,MATCH(1,(GMWQ!$NE$2:$NE$60=I$3)*(GMWQ!$ND$2:$ND$60=I$4)*(GMWQ!$NF$2:$NF$60=I$1),0),$E325-1966)</f>
        <v>429409.4</v>
      </c>
      <c r="J325" s="13" cm="1">
        <f t="array" ref="J325">INDEX(GMWQ!$A$2:$NF$60,MATCH(1,(GMWQ!$NE$2:$NE$60=J$3)*(GMWQ!$ND$2:$ND$60=J$4)*(GMWQ!$NF$2:$NF$60=J$1),0),$E325-1966)</f>
        <v>2003976</v>
      </c>
      <c r="K325" s="13" cm="1">
        <f t="array" ref="K325">INDEX(GMWQ!$A$2:$NF$60,MATCH(1,(GMWQ!$NE$2:$NE$60=K$3)*(GMWQ!$ND$2:$ND$60=K$4)*(GMWQ!$NF$2:$NF$60=K$1),0),$E325-1966)</f>
        <v>795958.4</v>
      </c>
      <c r="L325" s="13" cm="1">
        <f t="array" ref="L325">INDEX(GMWQ!$A$2:$NF$60,MATCH(1,(GMWQ!$NE$2:$NE$60=L$3)*(GMWQ!$ND$2:$ND$60=L$4)*(GMWQ!$NF$2:$NF$60=L$1),0),$E325-1966)</f>
        <v>1244976</v>
      </c>
      <c r="M325" s="13" cm="1">
        <f t="array" ref="M325">INDEX(GMWQ!$A$2:$NF$60,MATCH(1,(GMWQ!$NE$2:$NE$60=M$3)*(GMWQ!$ND$2:$ND$60=M$4)*(GMWQ!$NF$2:$NF$60=M$1),0),$E325-1966)</f>
        <v>641458.9</v>
      </c>
      <c r="N325" s="13" cm="1">
        <f t="array" ref="N325">INDEX(GMWQ!$A$2:$NF$60,MATCH(1,(GMWQ!$NE$2:$NE$60=N$3)*(GMWQ!$ND$2:$ND$60=N$4)*(GMWQ!$NF$2:$NF$60=N$1),0),$E325-1966)</f>
        <v>194.05080000000001</v>
      </c>
      <c r="O325" s="13" cm="1">
        <f t="array" ref="O325">INDEX(GMWQ!$A$2:$NF$60,MATCH(1,(GMWQ!$NE$2:$NE$60=O$3)*(GMWQ!$ND$2:$ND$60=O$4)*(GMWQ!$NF$2:$NF$60=O$1),0),$E325-1966)</f>
        <v>39377.050000000003</v>
      </c>
      <c r="P325" s="13" cm="1">
        <f t="array" ref="P325">INDEX(GMWQ!$A$2:$NF$60,MATCH(1,(GMWQ!$NE$2:$NE$60=P$3)*(GMWQ!$ND$2:$ND$60=P$4)*(GMWQ!$NF$2:$NF$60=P$1),0),$E325-1966)</f>
        <v>0</v>
      </c>
      <c r="Q325" s="13" cm="1">
        <f t="array" ref="Q325">INDEX(GMWQ!$A$2:$NF$60,MATCH(1,(GMWQ!$NE$2:$NE$60=Q$3)*(GMWQ!$ND$2:$ND$60=Q$4)*(GMWQ!$NF$2:$NF$60=Q$1),0),$E325-1966)</f>
        <v>0</v>
      </c>
    </row>
    <row r="326" spans="1:17" x14ac:dyDescent="0.25">
      <c r="B326" s="13">
        <f t="shared" si="26"/>
        <v>2052</v>
      </c>
      <c r="C326" s="13">
        <f t="shared" si="26"/>
        <v>2052</v>
      </c>
      <c r="E326" s="13">
        <f t="shared" si="25"/>
        <v>2292</v>
      </c>
      <c r="F326" s="13" cm="1">
        <f t="array" ref="F326">INDEX(GMWQ!$A$2:$NF$60,MATCH(1,(GMWQ!$NE$2:$NE$60=F$3)*(GMWQ!$ND$2:$ND$60=F$4)*(GMWQ!$NF$2:$NF$60=F$1),0),$E326-1966)</f>
        <v>272.05250000000001</v>
      </c>
      <c r="G326" s="13" cm="1">
        <f t="array" ref="G326">INDEX(GMWQ!$A$2:$NF$60,MATCH(1,(GMWQ!$NE$2:$NE$60=G$3)*(GMWQ!$ND$2:$ND$60=G$4)*(GMWQ!$NF$2:$NF$60=G$1),0),$E326-1966)</f>
        <v>127048.4</v>
      </c>
      <c r="H326" s="13" cm="1">
        <f t="array" ref="H326">INDEX(GMWQ!$A$2:$NF$60,MATCH(1,(GMWQ!$NE$2:$NE$60=H$3)*(GMWQ!$ND$2:$ND$60=H$4)*(GMWQ!$NF$2:$NF$60=H$1),0),$E326-1966)</f>
        <v>1652.038</v>
      </c>
      <c r="I326" s="13" cm="1">
        <f t="array" ref="I326">INDEX(GMWQ!$A$2:$NF$60,MATCH(1,(GMWQ!$NE$2:$NE$60=I$3)*(GMWQ!$ND$2:$ND$60=I$4)*(GMWQ!$NF$2:$NF$60=I$1),0),$E326-1966)</f>
        <v>433029.5</v>
      </c>
      <c r="J326" s="13" cm="1">
        <f t="array" ref="J326">INDEX(GMWQ!$A$2:$NF$60,MATCH(1,(GMWQ!$NE$2:$NE$60=J$3)*(GMWQ!$ND$2:$ND$60=J$4)*(GMWQ!$NF$2:$NF$60=J$1),0),$E326-1966)</f>
        <v>2021412</v>
      </c>
      <c r="K326" s="13" cm="1">
        <f t="array" ref="K326">INDEX(GMWQ!$A$2:$NF$60,MATCH(1,(GMWQ!$NE$2:$NE$60=K$3)*(GMWQ!$ND$2:$ND$60=K$4)*(GMWQ!$NF$2:$NF$60=K$1),0),$E326-1966)</f>
        <v>802607.6</v>
      </c>
      <c r="L326" s="13" cm="1">
        <f t="array" ref="L326">INDEX(GMWQ!$A$2:$NF$60,MATCH(1,(GMWQ!$NE$2:$NE$60=L$3)*(GMWQ!$ND$2:$ND$60=L$4)*(GMWQ!$NF$2:$NF$60=L$1),0),$E326-1966)</f>
        <v>1255218</v>
      </c>
      <c r="M326" s="13" cm="1">
        <f t="array" ref="M326">INDEX(GMWQ!$A$2:$NF$60,MATCH(1,(GMWQ!$NE$2:$NE$60=M$3)*(GMWQ!$ND$2:$ND$60=M$4)*(GMWQ!$NF$2:$NF$60=M$1),0),$E326-1966)</f>
        <v>643544</v>
      </c>
      <c r="N326" s="13" cm="1">
        <f t="array" ref="N326">INDEX(GMWQ!$A$2:$NF$60,MATCH(1,(GMWQ!$NE$2:$NE$60=N$3)*(GMWQ!$ND$2:$ND$60=N$4)*(GMWQ!$NF$2:$NF$60=N$1),0),$E326-1966)</f>
        <v>195.0137</v>
      </c>
      <c r="O326" s="13" cm="1">
        <f t="array" ref="O326">INDEX(GMWQ!$A$2:$NF$60,MATCH(1,(GMWQ!$NE$2:$NE$60=O$3)*(GMWQ!$ND$2:$ND$60=O$4)*(GMWQ!$NF$2:$NF$60=O$1),0),$E326-1966)</f>
        <v>39390.589999999997</v>
      </c>
      <c r="P326" s="13" cm="1">
        <f t="array" ref="P326">INDEX(GMWQ!$A$2:$NF$60,MATCH(1,(GMWQ!$NE$2:$NE$60=P$3)*(GMWQ!$ND$2:$ND$60=P$4)*(GMWQ!$NF$2:$NF$60=P$1),0),$E326-1966)</f>
        <v>0</v>
      </c>
      <c r="Q326" s="13" cm="1">
        <f t="array" ref="Q326">INDEX(GMWQ!$A$2:$NF$60,MATCH(1,(GMWQ!$NE$2:$NE$60=Q$3)*(GMWQ!$ND$2:$ND$60=Q$4)*(GMWQ!$NF$2:$NF$60=Q$1),0),$E326-1966)</f>
        <v>0</v>
      </c>
    </row>
    <row r="327" spans="1:17" x14ac:dyDescent="0.25">
      <c r="A327" s="13">
        <v>2053</v>
      </c>
      <c r="B327" s="13">
        <f t="shared" si="26"/>
        <v>2053</v>
      </c>
      <c r="C327" s="13">
        <f t="shared" si="26"/>
        <v>2052</v>
      </c>
      <c r="D327" s="13">
        <f t="shared" si="26"/>
        <v>2052</v>
      </c>
      <c r="E327" s="13">
        <f t="shared" si="25"/>
        <v>2293</v>
      </c>
      <c r="F327" s="13" cm="1">
        <f t="array" ref="F327">INDEX(GMWQ!$A$2:$NF$60,MATCH(1,(GMWQ!$NE$2:$NE$60=F$3)*(GMWQ!$ND$2:$ND$60=F$4)*(GMWQ!$NF$2:$NF$60=F$1),0),$E327-1966)</f>
        <v>273.4239</v>
      </c>
      <c r="G327" s="13" cm="1">
        <f t="array" ref="G327">INDEX(GMWQ!$A$2:$NF$60,MATCH(1,(GMWQ!$NE$2:$NE$60=G$3)*(GMWQ!$ND$2:$ND$60=G$4)*(GMWQ!$NF$2:$NF$60=G$1),0),$E327-1966)</f>
        <v>128110.2</v>
      </c>
      <c r="H327" s="13" cm="1">
        <f t="array" ref="H327">INDEX(GMWQ!$A$2:$NF$60,MATCH(1,(GMWQ!$NE$2:$NE$60=H$3)*(GMWQ!$ND$2:$ND$60=H$4)*(GMWQ!$NF$2:$NF$60=H$1),0),$E327-1966)</f>
        <v>1665.27</v>
      </c>
      <c r="I327" s="13" cm="1">
        <f t="array" ref="I327">INDEX(GMWQ!$A$2:$NF$60,MATCH(1,(GMWQ!$NE$2:$NE$60=I$3)*(GMWQ!$ND$2:$ND$60=I$4)*(GMWQ!$NF$2:$NF$60=I$1),0),$E327-1966)</f>
        <v>436903</v>
      </c>
      <c r="J327" s="13" cm="1">
        <f t="array" ref="J327">INDEX(GMWQ!$A$2:$NF$60,MATCH(1,(GMWQ!$NE$2:$NE$60=J$3)*(GMWQ!$ND$2:$ND$60=J$4)*(GMWQ!$NF$2:$NF$60=J$1),0),$E327-1966)</f>
        <v>2038987</v>
      </c>
      <c r="K327" s="13" cm="1">
        <f t="array" ref="K327">INDEX(GMWQ!$A$2:$NF$60,MATCH(1,(GMWQ!$NE$2:$NE$60=K$3)*(GMWQ!$ND$2:$ND$60=K$4)*(GMWQ!$NF$2:$NF$60=K$1),0),$E327-1966)</f>
        <v>809315.3</v>
      </c>
      <c r="L327" s="13" cm="1">
        <f t="array" ref="L327">INDEX(GMWQ!$A$2:$NF$60,MATCH(1,(GMWQ!$NE$2:$NE$60=L$3)*(GMWQ!$ND$2:$ND$60=L$4)*(GMWQ!$NF$2:$NF$60=L$1),0),$E327-1966)</f>
        <v>1265538</v>
      </c>
      <c r="M327" s="13" cm="1">
        <f t="array" ref="M327">INDEX(GMWQ!$A$2:$NF$60,MATCH(1,(GMWQ!$NE$2:$NE$60=M$3)*(GMWQ!$ND$2:$ND$60=M$4)*(GMWQ!$NF$2:$NF$60=M$1),0),$E327-1966)</f>
        <v>645632.4</v>
      </c>
      <c r="N327" s="13" cm="1">
        <f t="array" ref="N327">INDEX(GMWQ!$A$2:$NF$60,MATCH(1,(GMWQ!$NE$2:$NE$60=N$3)*(GMWQ!$ND$2:$ND$60=N$4)*(GMWQ!$NF$2:$NF$60=N$1),0),$E327-1966)</f>
        <v>195.9813</v>
      </c>
      <c r="O327" s="13" cm="1">
        <f t="array" ref="O327">INDEX(GMWQ!$A$2:$NF$60,MATCH(1,(GMWQ!$NE$2:$NE$60=O$3)*(GMWQ!$ND$2:$ND$60=O$4)*(GMWQ!$NF$2:$NF$60=O$1),0),$E327-1966)</f>
        <v>39404.120000000003</v>
      </c>
      <c r="P327" s="13" cm="1">
        <f t="array" ref="P327">INDEX(GMWQ!$A$2:$NF$60,MATCH(1,(GMWQ!$NE$2:$NE$60=P$3)*(GMWQ!$ND$2:$ND$60=P$4)*(GMWQ!$NF$2:$NF$60=P$1),0),$E327-1966)</f>
        <v>0</v>
      </c>
      <c r="Q327" s="13" cm="1">
        <f t="array" ref="Q327">INDEX(GMWQ!$A$2:$NF$60,MATCH(1,(GMWQ!$NE$2:$NE$60=Q$3)*(GMWQ!$ND$2:$ND$60=Q$4)*(GMWQ!$NF$2:$NF$60=Q$1),0),$E327-1966)</f>
        <v>0</v>
      </c>
    </row>
    <row r="328" spans="1:17" x14ac:dyDescent="0.25">
      <c r="B328" s="13">
        <f t="shared" si="26"/>
        <v>2053</v>
      </c>
      <c r="C328" s="13">
        <f t="shared" si="26"/>
        <v>2053</v>
      </c>
      <c r="E328" s="13">
        <f t="shared" si="25"/>
        <v>2294</v>
      </c>
      <c r="F328" s="13" cm="1">
        <f t="array" ref="F328">INDEX(GMWQ!$A$2:$NF$60,MATCH(1,(GMWQ!$NE$2:$NE$60=F$3)*(GMWQ!$ND$2:$ND$60=F$4)*(GMWQ!$NF$2:$NF$60=F$1),0),$E328-1966)</f>
        <v>274.80459999999999</v>
      </c>
      <c r="G328" s="13" cm="1">
        <f t="array" ref="G328">INDEX(GMWQ!$A$2:$NF$60,MATCH(1,(GMWQ!$NE$2:$NE$60=G$3)*(GMWQ!$ND$2:$ND$60=G$4)*(GMWQ!$NF$2:$NF$60=G$1),0),$E328-1966)</f>
        <v>129181.2</v>
      </c>
      <c r="H328" s="13" cm="1">
        <f t="array" ref="H328">INDEX(GMWQ!$A$2:$NF$60,MATCH(1,(GMWQ!$NE$2:$NE$60=H$3)*(GMWQ!$ND$2:$ND$60=H$4)*(GMWQ!$NF$2:$NF$60=H$1),0),$E328-1966)</f>
        <v>1678.614</v>
      </c>
      <c r="I328" s="13" cm="1">
        <f t="array" ref="I328">INDEX(GMWQ!$A$2:$NF$60,MATCH(1,(GMWQ!$NE$2:$NE$60=I$3)*(GMWQ!$ND$2:$ND$60=I$4)*(GMWQ!$NF$2:$NF$60=I$1),0),$E328-1966)</f>
        <v>440946.3</v>
      </c>
      <c r="J328" s="13" cm="1">
        <f t="array" ref="J328">INDEX(GMWQ!$A$2:$NF$60,MATCH(1,(GMWQ!$NE$2:$NE$60=J$3)*(GMWQ!$ND$2:$ND$60=J$4)*(GMWQ!$NF$2:$NF$60=J$1),0),$E328-1966)</f>
        <v>2056704</v>
      </c>
      <c r="K328" s="13" cm="1">
        <f t="array" ref="K328">INDEX(GMWQ!$A$2:$NF$60,MATCH(1,(GMWQ!$NE$2:$NE$60=K$3)*(GMWQ!$ND$2:$ND$60=K$4)*(GMWQ!$NF$2:$NF$60=K$1),0),$E328-1966)</f>
        <v>816081.2</v>
      </c>
      <c r="L328" s="13" cm="1">
        <f t="array" ref="L328">INDEX(GMWQ!$A$2:$NF$60,MATCH(1,(GMWQ!$NE$2:$NE$60=L$3)*(GMWQ!$ND$2:$ND$60=L$4)*(GMWQ!$NF$2:$NF$60=L$1),0),$E328-1966)</f>
        <v>1275935</v>
      </c>
      <c r="M328" s="13" cm="1">
        <f t="array" ref="M328">INDEX(GMWQ!$A$2:$NF$60,MATCH(1,(GMWQ!$NE$2:$NE$60=M$3)*(GMWQ!$ND$2:$ND$60=M$4)*(GMWQ!$NF$2:$NF$60=M$1),0),$E328-1966)</f>
        <v>647723.1</v>
      </c>
      <c r="N328" s="13" cm="1">
        <f t="array" ref="N328">INDEX(GMWQ!$A$2:$NF$60,MATCH(1,(GMWQ!$NE$2:$NE$60=N$3)*(GMWQ!$ND$2:$ND$60=N$4)*(GMWQ!$NF$2:$NF$60=N$1),0),$E328-1966)</f>
        <v>196.9538</v>
      </c>
      <c r="O328" s="13" cm="1">
        <f t="array" ref="O328">INDEX(GMWQ!$A$2:$NF$60,MATCH(1,(GMWQ!$NE$2:$NE$60=O$3)*(GMWQ!$ND$2:$ND$60=O$4)*(GMWQ!$NF$2:$NF$60=O$1),0),$E328-1966)</f>
        <v>39417.65</v>
      </c>
      <c r="P328" s="13" cm="1">
        <f t="array" ref="P328">INDEX(GMWQ!$A$2:$NF$60,MATCH(1,(GMWQ!$NE$2:$NE$60=P$3)*(GMWQ!$ND$2:$ND$60=P$4)*(GMWQ!$NF$2:$NF$60=P$1),0),$E328-1966)</f>
        <v>0</v>
      </c>
      <c r="Q328" s="13" cm="1">
        <f t="array" ref="Q328">INDEX(GMWQ!$A$2:$NF$60,MATCH(1,(GMWQ!$NE$2:$NE$60=Q$3)*(GMWQ!$ND$2:$ND$60=Q$4)*(GMWQ!$NF$2:$NF$60=Q$1),0),$E328-1966)</f>
        <v>0</v>
      </c>
    </row>
    <row r="329" spans="1:17" x14ac:dyDescent="0.25">
      <c r="B329" s="13">
        <f t="shared" si="26"/>
        <v>2053</v>
      </c>
      <c r="C329" s="13">
        <f t="shared" si="26"/>
        <v>2053</v>
      </c>
      <c r="E329" s="13">
        <f t="shared" si="25"/>
        <v>2295</v>
      </c>
      <c r="F329" s="13" cm="1">
        <f t="array" ref="F329">INDEX(GMWQ!$A$2:$NF$60,MATCH(1,(GMWQ!$NE$2:$NE$60=F$3)*(GMWQ!$ND$2:$ND$60=F$4)*(GMWQ!$NF$2:$NF$60=F$1),0),$E329-1966)</f>
        <v>276.19260000000003</v>
      </c>
      <c r="G329" s="13" cm="1">
        <f t="array" ref="G329">INDEX(GMWQ!$A$2:$NF$60,MATCH(1,(GMWQ!$NE$2:$NE$60=G$3)*(GMWQ!$ND$2:$ND$60=G$4)*(GMWQ!$NF$2:$NF$60=G$1),0),$E329-1966)</f>
        <v>130260.6</v>
      </c>
      <c r="H329" s="13" cm="1">
        <f t="array" ref="H329">INDEX(GMWQ!$A$2:$NF$60,MATCH(1,(GMWQ!$NE$2:$NE$60=H$3)*(GMWQ!$ND$2:$ND$60=H$4)*(GMWQ!$NF$2:$NF$60=H$1),0),$E329-1966)</f>
        <v>1692.0540000000001</v>
      </c>
      <c r="I329" s="13" cm="1">
        <f t="array" ref="I329">INDEX(GMWQ!$A$2:$NF$60,MATCH(1,(GMWQ!$NE$2:$NE$60=I$3)*(GMWQ!$ND$2:$ND$60=I$4)*(GMWQ!$NF$2:$NF$60=I$1),0),$E329-1966)</f>
        <v>444545</v>
      </c>
      <c r="J329" s="13" cm="1">
        <f t="array" ref="J329">INDEX(GMWQ!$A$2:$NF$60,MATCH(1,(GMWQ!$NE$2:$NE$60=J$3)*(GMWQ!$ND$2:$ND$60=J$4)*(GMWQ!$NF$2:$NF$60=J$1),0),$E329-1966)</f>
        <v>2074564</v>
      </c>
      <c r="K329" s="13" cm="1">
        <f t="array" ref="K329">INDEX(GMWQ!$A$2:$NF$60,MATCH(1,(GMWQ!$NE$2:$NE$60=K$3)*(GMWQ!$ND$2:$ND$60=K$4)*(GMWQ!$NF$2:$NF$60=K$1),0),$E329-1966)</f>
        <v>822900.4</v>
      </c>
      <c r="L329" s="13" cm="1">
        <f t="array" ref="L329">INDEX(GMWQ!$A$2:$NF$60,MATCH(1,(GMWQ!$NE$2:$NE$60=L$3)*(GMWQ!$ND$2:$ND$60=L$4)*(GMWQ!$NF$2:$NF$60=L$1),0),$E329-1966)</f>
        <v>1286409</v>
      </c>
      <c r="M329" s="13" cm="1">
        <f t="array" ref="M329">INDEX(GMWQ!$A$2:$NF$60,MATCH(1,(GMWQ!$NE$2:$NE$60=M$3)*(GMWQ!$ND$2:$ND$60=M$4)*(GMWQ!$NF$2:$NF$60=M$1),0),$E329-1966)</f>
        <v>649817</v>
      </c>
      <c r="N329" s="13" cm="1">
        <f t="array" ref="N329">INDEX(GMWQ!$A$2:$NF$60,MATCH(1,(GMWQ!$NE$2:$NE$60=N$3)*(GMWQ!$ND$2:$ND$60=N$4)*(GMWQ!$NF$2:$NF$60=N$1),0),$E329-1966)</f>
        <v>197.93109999999999</v>
      </c>
      <c r="O329" s="13" cm="1">
        <f t="array" ref="O329">INDEX(GMWQ!$A$2:$NF$60,MATCH(1,(GMWQ!$NE$2:$NE$60=O$3)*(GMWQ!$ND$2:$ND$60=O$4)*(GMWQ!$NF$2:$NF$60=O$1),0),$E329-1966)</f>
        <v>39431.24</v>
      </c>
      <c r="P329" s="13" cm="1">
        <f t="array" ref="P329">INDEX(GMWQ!$A$2:$NF$60,MATCH(1,(GMWQ!$NE$2:$NE$60=P$3)*(GMWQ!$ND$2:$ND$60=P$4)*(GMWQ!$NF$2:$NF$60=P$1),0),$E329-1966)</f>
        <v>0</v>
      </c>
      <c r="Q329" s="13" cm="1">
        <f t="array" ref="Q329">INDEX(GMWQ!$A$2:$NF$60,MATCH(1,(GMWQ!$NE$2:$NE$60=Q$3)*(GMWQ!$ND$2:$ND$60=Q$4)*(GMWQ!$NF$2:$NF$60=Q$1),0),$E329-1966)</f>
        <v>0</v>
      </c>
    </row>
    <row r="330" spans="1:17" x14ac:dyDescent="0.25">
      <c r="B330" s="13">
        <f t="shared" si="26"/>
        <v>2053</v>
      </c>
      <c r="C330" s="13">
        <f t="shared" si="26"/>
        <v>2053</v>
      </c>
      <c r="E330" s="13">
        <f t="shared" si="25"/>
        <v>2296</v>
      </c>
      <c r="F330" s="13" cm="1">
        <f t="array" ref="F330">INDEX(GMWQ!$A$2:$NF$60,MATCH(1,(GMWQ!$NE$2:$NE$60=F$3)*(GMWQ!$ND$2:$ND$60=F$4)*(GMWQ!$NF$2:$NF$60=F$1),0),$E330-1966)</f>
        <v>277.58749999999998</v>
      </c>
      <c r="G330" s="13" cm="1">
        <f t="array" ref="G330">INDEX(GMWQ!$A$2:$NF$60,MATCH(1,(GMWQ!$NE$2:$NE$60=G$3)*(GMWQ!$ND$2:$ND$60=G$4)*(GMWQ!$NF$2:$NF$60=G$1),0),$E330-1966)</f>
        <v>131348.29999999999</v>
      </c>
      <c r="H330" s="13" cm="1">
        <f t="array" ref="H330">INDEX(GMWQ!$A$2:$NF$60,MATCH(1,(GMWQ!$NE$2:$NE$60=H$3)*(GMWQ!$ND$2:$ND$60=H$4)*(GMWQ!$NF$2:$NF$60=H$1),0),$E330-1966)</f>
        <v>1705.5909999999999</v>
      </c>
      <c r="I330" s="13" cm="1">
        <f t="array" ref="I330">INDEX(GMWQ!$A$2:$NF$60,MATCH(1,(GMWQ!$NE$2:$NE$60=I$3)*(GMWQ!$ND$2:$ND$60=I$4)*(GMWQ!$NF$2:$NF$60=I$1),0),$E330-1966)</f>
        <v>448282.5</v>
      </c>
      <c r="J330" s="13" cm="1">
        <f t="array" ref="J330">INDEX(GMWQ!$A$2:$NF$60,MATCH(1,(GMWQ!$NE$2:$NE$60=J$3)*(GMWQ!$ND$2:$ND$60=J$4)*(GMWQ!$NF$2:$NF$60=J$1),0),$E330-1966)</f>
        <v>2092567</v>
      </c>
      <c r="K330" s="13" cm="1">
        <f t="array" ref="K330">INDEX(GMWQ!$A$2:$NF$60,MATCH(1,(GMWQ!$NE$2:$NE$60=K$3)*(GMWQ!$ND$2:$ND$60=K$4)*(GMWQ!$NF$2:$NF$60=K$1),0),$E330-1966)</f>
        <v>829771.6</v>
      </c>
      <c r="L330" s="13" cm="1">
        <f t="array" ref="L330">INDEX(GMWQ!$A$2:$NF$60,MATCH(1,(GMWQ!$NE$2:$NE$60=L$3)*(GMWQ!$ND$2:$ND$60=L$4)*(GMWQ!$NF$2:$NF$60=L$1),0),$E330-1966)</f>
        <v>1296964</v>
      </c>
      <c r="M330" s="13" cm="1">
        <f t="array" ref="M330">INDEX(GMWQ!$A$2:$NF$60,MATCH(1,(GMWQ!$NE$2:$NE$60=M$3)*(GMWQ!$ND$2:$ND$60=M$4)*(GMWQ!$NF$2:$NF$60=M$1),0),$E330-1966)</f>
        <v>651914.69999999995</v>
      </c>
      <c r="N330" s="13" cm="1">
        <f t="array" ref="N330">INDEX(GMWQ!$A$2:$NF$60,MATCH(1,(GMWQ!$NE$2:$NE$60=N$3)*(GMWQ!$ND$2:$ND$60=N$4)*(GMWQ!$NF$2:$NF$60=N$1),0),$E330-1966)</f>
        <v>198.91319999999999</v>
      </c>
      <c r="O330" s="13" cm="1">
        <f t="array" ref="O330">INDEX(GMWQ!$A$2:$NF$60,MATCH(1,(GMWQ!$NE$2:$NE$60=O$3)*(GMWQ!$ND$2:$ND$60=O$4)*(GMWQ!$NF$2:$NF$60=O$1),0),$E330-1966)</f>
        <v>39444.839999999997</v>
      </c>
      <c r="P330" s="13" cm="1">
        <f t="array" ref="P330">INDEX(GMWQ!$A$2:$NF$60,MATCH(1,(GMWQ!$NE$2:$NE$60=P$3)*(GMWQ!$ND$2:$ND$60=P$4)*(GMWQ!$NF$2:$NF$60=P$1),0),$E330-1966)</f>
        <v>0</v>
      </c>
      <c r="Q330" s="13" cm="1">
        <f t="array" ref="Q330">INDEX(GMWQ!$A$2:$NF$60,MATCH(1,(GMWQ!$NE$2:$NE$60=Q$3)*(GMWQ!$ND$2:$ND$60=Q$4)*(GMWQ!$NF$2:$NF$60=Q$1),0),$E330-1966)</f>
        <v>0</v>
      </c>
    </row>
    <row r="331" spans="1:17" x14ac:dyDescent="0.25">
      <c r="A331" s="13">
        <v>2054</v>
      </c>
      <c r="B331" s="13">
        <f t="shared" si="26"/>
        <v>2054</v>
      </c>
      <c r="C331" s="13">
        <f t="shared" si="26"/>
        <v>2053</v>
      </c>
      <c r="D331" s="13">
        <f t="shared" si="26"/>
        <v>2053</v>
      </c>
      <c r="E331" s="13">
        <f t="shared" si="25"/>
        <v>2297</v>
      </c>
      <c r="F331" s="13" cm="1">
        <f t="array" ref="F331">INDEX(GMWQ!$A$2:$NF$60,MATCH(1,(GMWQ!$NE$2:$NE$60=F$3)*(GMWQ!$ND$2:$ND$60=F$4)*(GMWQ!$NF$2:$NF$60=F$1),0),$E331-1966)</f>
        <v>278.98930000000001</v>
      </c>
      <c r="G331" s="13" cm="1">
        <f t="array" ref="G331">INDEX(GMWQ!$A$2:$NF$60,MATCH(1,(GMWQ!$NE$2:$NE$60=G$3)*(GMWQ!$ND$2:$ND$60=G$4)*(GMWQ!$NF$2:$NF$60=G$1),0),$E331-1966)</f>
        <v>132444.20000000001</v>
      </c>
      <c r="H331" s="13" cm="1">
        <f t="array" ref="H331">INDEX(GMWQ!$A$2:$NF$60,MATCH(1,(GMWQ!$NE$2:$NE$60=H$3)*(GMWQ!$ND$2:$ND$60=H$4)*(GMWQ!$NF$2:$NF$60=H$1),0),$E331-1966)</f>
        <v>1719.2270000000001</v>
      </c>
      <c r="I331" s="13" cm="1">
        <f t="array" ref="I331">INDEX(GMWQ!$A$2:$NF$60,MATCH(1,(GMWQ!$NE$2:$NE$60=I$3)*(GMWQ!$ND$2:$ND$60=I$4)*(GMWQ!$NF$2:$NF$60=I$1),0),$E331-1966)</f>
        <v>452282.3</v>
      </c>
      <c r="J331" s="13" cm="1">
        <f t="array" ref="J331">INDEX(GMWQ!$A$2:$NF$60,MATCH(1,(GMWQ!$NE$2:$NE$60=J$3)*(GMWQ!$ND$2:$ND$60=J$4)*(GMWQ!$NF$2:$NF$60=J$1),0),$E331-1966)</f>
        <v>2110714</v>
      </c>
      <c r="K331" s="13" cm="1">
        <f t="array" ref="K331">INDEX(GMWQ!$A$2:$NF$60,MATCH(1,(GMWQ!$NE$2:$NE$60=K$3)*(GMWQ!$ND$2:$ND$60=K$4)*(GMWQ!$NF$2:$NF$60=K$1),0),$E331-1966)</f>
        <v>836695.1</v>
      </c>
      <c r="L331" s="13" cm="1">
        <f t="array" ref="L331">INDEX(GMWQ!$A$2:$NF$60,MATCH(1,(GMWQ!$NE$2:$NE$60=L$3)*(GMWQ!$ND$2:$ND$60=L$4)*(GMWQ!$NF$2:$NF$60=L$1),0),$E331-1966)</f>
        <v>1307597</v>
      </c>
      <c r="M331" s="13" cm="1">
        <f t="array" ref="M331">INDEX(GMWQ!$A$2:$NF$60,MATCH(1,(GMWQ!$NE$2:$NE$60=M$3)*(GMWQ!$ND$2:$ND$60=M$4)*(GMWQ!$NF$2:$NF$60=M$1),0),$E331-1966)</f>
        <v>654014.9</v>
      </c>
      <c r="N331" s="13" cm="1">
        <f t="array" ref="N331">INDEX(GMWQ!$A$2:$NF$60,MATCH(1,(GMWQ!$NE$2:$NE$60=N$3)*(GMWQ!$ND$2:$ND$60=N$4)*(GMWQ!$NF$2:$NF$60=N$1),0),$E331-1966)</f>
        <v>199.90020000000001</v>
      </c>
      <c r="O331" s="13" cm="1">
        <f t="array" ref="O331">INDEX(GMWQ!$A$2:$NF$60,MATCH(1,(GMWQ!$NE$2:$NE$60=O$3)*(GMWQ!$ND$2:$ND$60=O$4)*(GMWQ!$NF$2:$NF$60=O$1),0),$E331-1966)</f>
        <v>39458.43</v>
      </c>
      <c r="P331" s="13" cm="1">
        <f t="array" ref="P331">INDEX(GMWQ!$A$2:$NF$60,MATCH(1,(GMWQ!$NE$2:$NE$60=P$3)*(GMWQ!$ND$2:$ND$60=P$4)*(GMWQ!$NF$2:$NF$60=P$1),0),$E331-1966)</f>
        <v>0</v>
      </c>
      <c r="Q331" s="13" cm="1">
        <f t="array" ref="Q331">INDEX(GMWQ!$A$2:$NF$60,MATCH(1,(GMWQ!$NE$2:$NE$60=Q$3)*(GMWQ!$ND$2:$ND$60=Q$4)*(GMWQ!$NF$2:$NF$60=Q$1),0),$E331-1966)</f>
        <v>0</v>
      </c>
    </row>
    <row r="332" spans="1:17" x14ac:dyDescent="0.25">
      <c r="B332" s="13">
        <f t="shared" ref="B332:D347" si="27">+B328+1</f>
        <v>2054</v>
      </c>
      <c r="C332" s="13">
        <f t="shared" si="27"/>
        <v>2054</v>
      </c>
      <c r="E332" s="13">
        <f t="shared" si="25"/>
        <v>2298</v>
      </c>
      <c r="F332" s="13" cm="1">
        <f t="array" ref="F332">INDEX(GMWQ!$A$2:$NF$60,MATCH(1,(GMWQ!$NE$2:$NE$60=F$3)*(GMWQ!$ND$2:$ND$60=F$4)*(GMWQ!$NF$2:$NF$60=F$1),0),$E332-1966)</f>
        <v>280.3981</v>
      </c>
      <c r="G332" s="13" cm="1">
        <f t="array" ref="G332">INDEX(GMWQ!$A$2:$NF$60,MATCH(1,(GMWQ!$NE$2:$NE$60=G$3)*(GMWQ!$ND$2:$ND$60=G$4)*(GMWQ!$NF$2:$NF$60=G$1),0),$E332-1966)</f>
        <v>133548.5</v>
      </c>
      <c r="H332" s="13" cm="1">
        <f t="array" ref="H332">INDEX(GMWQ!$A$2:$NF$60,MATCH(1,(GMWQ!$NE$2:$NE$60=H$3)*(GMWQ!$ND$2:$ND$60=H$4)*(GMWQ!$NF$2:$NF$60=H$1),0),$E332-1966)</f>
        <v>1732.963</v>
      </c>
      <c r="I332" s="13" cm="1">
        <f t="array" ref="I332">INDEX(GMWQ!$A$2:$NF$60,MATCH(1,(GMWQ!$NE$2:$NE$60=I$3)*(GMWQ!$ND$2:$ND$60=I$4)*(GMWQ!$NF$2:$NF$60=I$1),0),$E332-1966)</f>
        <v>456457.7</v>
      </c>
      <c r="J332" s="13" cm="1">
        <f t="array" ref="J332">INDEX(GMWQ!$A$2:$NF$60,MATCH(1,(GMWQ!$NE$2:$NE$60=J$3)*(GMWQ!$ND$2:$ND$60=J$4)*(GMWQ!$NF$2:$NF$60=J$1),0),$E332-1966)</f>
        <v>2129007</v>
      </c>
      <c r="K332" s="13" cm="1">
        <f t="array" ref="K332">INDEX(GMWQ!$A$2:$NF$60,MATCH(1,(GMWQ!$NE$2:$NE$60=K$3)*(GMWQ!$ND$2:$ND$60=K$4)*(GMWQ!$NF$2:$NF$60=K$1),0),$E332-1966)</f>
        <v>843671.3</v>
      </c>
      <c r="L332" s="13" cm="1">
        <f t="array" ref="L332">INDEX(GMWQ!$A$2:$NF$60,MATCH(1,(GMWQ!$NE$2:$NE$60=L$3)*(GMWQ!$ND$2:$ND$60=L$4)*(GMWQ!$NF$2:$NF$60=L$1),0),$E332-1966)</f>
        <v>1318310</v>
      </c>
      <c r="M332" s="13" cm="1">
        <f t="array" ref="M332">INDEX(GMWQ!$A$2:$NF$60,MATCH(1,(GMWQ!$NE$2:$NE$60=M$3)*(GMWQ!$ND$2:$ND$60=M$4)*(GMWQ!$NF$2:$NF$60=M$1),0),$E332-1966)</f>
        <v>656118.69999999995</v>
      </c>
      <c r="N332" s="13" cm="1">
        <f t="array" ref="N332">INDEX(GMWQ!$A$2:$NF$60,MATCH(1,(GMWQ!$NE$2:$NE$60=N$3)*(GMWQ!$ND$2:$ND$60=N$4)*(GMWQ!$NF$2:$NF$60=N$1),0),$E332-1966)</f>
        <v>200.8921</v>
      </c>
      <c r="O332" s="13" cm="1">
        <f t="array" ref="O332">INDEX(GMWQ!$A$2:$NF$60,MATCH(1,(GMWQ!$NE$2:$NE$60=O$3)*(GMWQ!$ND$2:$ND$60=O$4)*(GMWQ!$NF$2:$NF$60=O$1),0),$E332-1966)</f>
        <v>39472.03</v>
      </c>
      <c r="P332" s="13" cm="1">
        <f t="array" ref="P332">INDEX(GMWQ!$A$2:$NF$60,MATCH(1,(GMWQ!$NE$2:$NE$60=P$3)*(GMWQ!$ND$2:$ND$60=P$4)*(GMWQ!$NF$2:$NF$60=P$1),0),$E332-1966)</f>
        <v>0</v>
      </c>
      <c r="Q332" s="13" cm="1">
        <f t="array" ref="Q332">INDEX(GMWQ!$A$2:$NF$60,MATCH(1,(GMWQ!$NE$2:$NE$60=Q$3)*(GMWQ!$ND$2:$ND$60=Q$4)*(GMWQ!$NF$2:$NF$60=Q$1),0),$E332-1966)</f>
        <v>0</v>
      </c>
    </row>
    <row r="333" spans="1:17" x14ac:dyDescent="0.25">
      <c r="B333" s="13">
        <f t="shared" si="27"/>
        <v>2054</v>
      </c>
      <c r="C333" s="13">
        <f t="shared" si="27"/>
        <v>2054</v>
      </c>
      <c r="E333" s="13">
        <f t="shared" si="25"/>
        <v>2299</v>
      </c>
      <c r="F333" s="13" cm="1">
        <f t="array" ref="F333">INDEX(GMWQ!$A$2:$NF$60,MATCH(1,(GMWQ!$NE$2:$NE$60=F$3)*(GMWQ!$ND$2:$ND$60=F$4)*(GMWQ!$NF$2:$NF$60=F$1),0),$E333-1966)</f>
        <v>281.81020000000001</v>
      </c>
      <c r="G333" s="13" cm="1">
        <f t="array" ref="G333">INDEX(GMWQ!$A$2:$NF$60,MATCH(1,(GMWQ!$NE$2:$NE$60=G$3)*(GMWQ!$ND$2:$ND$60=G$4)*(GMWQ!$NF$2:$NF$60=G$1),0),$E333-1966)</f>
        <v>134655</v>
      </c>
      <c r="H333" s="13" cm="1">
        <f t="array" ref="H333">INDEX(GMWQ!$A$2:$NF$60,MATCH(1,(GMWQ!$NE$2:$NE$60=H$3)*(GMWQ!$ND$2:$ND$60=H$4)*(GMWQ!$NF$2:$NF$60=H$1),0),$E333-1966)</f>
        <v>1746.806</v>
      </c>
      <c r="I333" s="13" cm="1">
        <f t="array" ref="I333">INDEX(GMWQ!$A$2:$NF$60,MATCH(1,(GMWQ!$NE$2:$NE$60=I$3)*(GMWQ!$ND$2:$ND$60=I$4)*(GMWQ!$NF$2:$NF$60=I$1),0),$E333-1966)</f>
        <v>460172.9</v>
      </c>
      <c r="J333" s="13" cm="1">
        <f t="array" ref="J333">INDEX(GMWQ!$A$2:$NF$60,MATCH(1,(GMWQ!$NE$2:$NE$60=J$3)*(GMWQ!$ND$2:$ND$60=J$4)*(GMWQ!$NF$2:$NF$60=J$1),0),$E333-1966)</f>
        <v>2147375</v>
      </c>
      <c r="K333" s="13" cm="1">
        <f t="array" ref="K333">INDEX(GMWQ!$A$2:$NF$60,MATCH(1,(GMWQ!$NE$2:$NE$60=K$3)*(GMWQ!$ND$2:$ND$60=K$4)*(GMWQ!$NF$2:$NF$60=K$1),0),$E333-1966)</f>
        <v>850661.4</v>
      </c>
      <c r="L333" s="13" cm="1">
        <f t="array" ref="L333">INDEX(GMWQ!$A$2:$NF$60,MATCH(1,(GMWQ!$NE$2:$NE$60=L$3)*(GMWQ!$ND$2:$ND$60=L$4)*(GMWQ!$NF$2:$NF$60=L$1),0),$E333-1966)</f>
        <v>1329104</v>
      </c>
      <c r="M333" s="13" cm="1">
        <f t="array" ref="M333">INDEX(GMWQ!$A$2:$NF$60,MATCH(1,(GMWQ!$NE$2:$NE$60=M$3)*(GMWQ!$ND$2:$ND$60=M$4)*(GMWQ!$NF$2:$NF$60=M$1),0),$E333-1966)</f>
        <v>658225.5</v>
      </c>
      <c r="N333" s="13" cm="1">
        <f t="array" ref="N333">INDEX(GMWQ!$A$2:$NF$60,MATCH(1,(GMWQ!$NE$2:$NE$60=N$3)*(GMWQ!$ND$2:$ND$60=N$4)*(GMWQ!$NF$2:$NF$60=N$1),0),$E333-1966)</f>
        <v>201.88890000000001</v>
      </c>
      <c r="O333" s="13" cm="1">
        <f t="array" ref="O333">INDEX(GMWQ!$A$2:$NF$60,MATCH(1,(GMWQ!$NE$2:$NE$60=O$3)*(GMWQ!$ND$2:$ND$60=O$4)*(GMWQ!$NF$2:$NF$60=O$1),0),$E333-1966)</f>
        <v>39483.620000000003</v>
      </c>
      <c r="P333" s="13" cm="1">
        <f t="array" ref="P333">INDEX(GMWQ!$A$2:$NF$60,MATCH(1,(GMWQ!$NE$2:$NE$60=P$3)*(GMWQ!$ND$2:$ND$60=P$4)*(GMWQ!$NF$2:$NF$60=P$1),0),$E333-1966)</f>
        <v>0</v>
      </c>
      <c r="Q333" s="13" cm="1">
        <f t="array" ref="Q333">INDEX(GMWQ!$A$2:$NF$60,MATCH(1,(GMWQ!$NE$2:$NE$60=Q$3)*(GMWQ!$ND$2:$ND$60=Q$4)*(GMWQ!$NF$2:$NF$60=Q$1),0),$E333-1966)</f>
        <v>0</v>
      </c>
    </row>
    <row r="334" spans="1:17" x14ac:dyDescent="0.25">
      <c r="B334" s="13">
        <f t="shared" si="27"/>
        <v>2054</v>
      </c>
      <c r="C334" s="13">
        <f t="shared" si="27"/>
        <v>2054</v>
      </c>
      <c r="E334" s="13">
        <f t="shared" si="25"/>
        <v>2300</v>
      </c>
      <c r="F334" s="13" cm="1">
        <f t="array" ref="F334">INDEX(GMWQ!$A$2:$NF$60,MATCH(1,(GMWQ!$NE$2:$NE$60=F$3)*(GMWQ!$ND$2:$ND$60=F$4)*(GMWQ!$NF$2:$NF$60=F$1),0),$E334-1966)</f>
        <v>283.23050000000001</v>
      </c>
      <c r="G334" s="13" cm="1">
        <f t="array" ref="G334">INDEX(GMWQ!$A$2:$NF$60,MATCH(1,(GMWQ!$NE$2:$NE$60=G$3)*(GMWQ!$ND$2:$ND$60=G$4)*(GMWQ!$NF$2:$NF$60=G$1),0),$E334-1966)</f>
        <v>135770.5</v>
      </c>
      <c r="H334" s="13" cm="1">
        <f t="array" ref="H334">INDEX(GMWQ!$A$2:$NF$60,MATCH(1,(GMWQ!$NE$2:$NE$60=H$3)*(GMWQ!$ND$2:$ND$60=H$4)*(GMWQ!$NF$2:$NF$60=H$1),0),$E334-1966)</f>
        <v>1760.7560000000001</v>
      </c>
      <c r="I334" s="13" cm="1">
        <f t="array" ref="I334">INDEX(GMWQ!$A$2:$NF$60,MATCH(1,(GMWQ!$NE$2:$NE$60=I$3)*(GMWQ!$ND$2:$ND$60=I$4)*(GMWQ!$NF$2:$NF$60=I$1),0),$E334-1966)</f>
        <v>464015.8</v>
      </c>
      <c r="J334" s="13" cm="1">
        <f t="array" ref="J334">INDEX(GMWQ!$A$2:$NF$60,MATCH(1,(GMWQ!$NE$2:$NE$60=J$3)*(GMWQ!$ND$2:$ND$60=J$4)*(GMWQ!$NF$2:$NF$60=J$1),0),$E334-1966)</f>
        <v>2165889</v>
      </c>
      <c r="K334" s="13" cm="1">
        <f t="array" ref="K334">INDEX(GMWQ!$A$2:$NF$60,MATCH(1,(GMWQ!$NE$2:$NE$60=K$3)*(GMWQ!$ND$2:$ND$60=K$4)*(GMWQ!$NF$2:$NF$60=K$1),0),$E334-1966)</f>
        <v>857708.1</v>
      </c>
      <c r="L334" s="13" cm="1">
        <f t="array" ref="L334">INDEX(GMWQ!$A$2:$NF$60,MATCH(1,(GMWQ!$NE$2:$NE$60=L$3)*(GMWQ!$ND$2:$ND$60=L$4)*(GMWQ!$NF$2:$NF$60=L$1),0),$E334-1966)</f>
        <v>1339933</v>
      </c>
      <c r="M334" s="13" cm="1">
        <f t="array" ref="M334">INDEX(GMWQ!$A$2:$NF$60,MATCH(1,(GMWQ!$NE$2:$NE$60=M$3)*(GMWQ!$ND$2:$ND$60=M$4)*(GMWQ!$NF$2:$NF$60=M$1),0),$E334-1966)</f>
        <v>660313</v>
      </c>
      <c r="N334" s="13" cm="1">
        <f t="array" ref="N334">INDEX(GMWQ!$A$2:$NF$60,MATCH(1,(GMWQ!$NE$2:$NE$60=N$3)*(GMWQ!$ND$2:$ND$60=N$4)*(GMWQ!$NF$2:$NF$60=N$1),0),$E334-1966)</f>
        <v>202.89070000000001</v>
      </c>
      <c r="O334" s="13" cm="1">
        <f t="array" ref="O334">INDEX(GMWQ!$A$2:$NF$60,MATCH(1,(GMWQ!$NE$2:$NE$60=O$3)*(GMWQ!$ND$2:$ND$60=O$4)*(GMWQ!$NF$2:$NF$60=O$1),0),$E334-1966)</f>
        <v>39495.21</v>
      </c>
      <c r="P334" s="13" cm="1">
        <f t="array" ref="P334">INDEX(GMWQ!$A$2:$NF$60,MATCH(1,(GMWQ!$NE$2:$NE$60=P$3)*(GMWQ!$ND$2:$ND$60=P$4)*(GMWQ!$NF$2:$NF$60=P$1),0),$E334-1966)</f>
        <v>0</v>
      </c>
      <c r="Q334" s="13" cm="1">
        <f t="array" ref="Q334">INDEX(GMWQ!$A$2:$NF$60,MATCH(1,(GMWQ!$NE$2:$NE$60=Q$3)*(GMWQ!$ND$2:$ND$60=Q$4)*(GMWQ!$NF$2:$NF$60=Q$1),0),$E334-1966)</f>
        <v>0</v>
      </c>
    </row>
    <row r="335" spans="1:17" x14ac:dyDescent="0.25">
      <c r="A335" s="13">
        <v>2055</v>
      </c>
      <c r="B335" s="13">
        <f t="shared" si="27"/>
        <v>2055</v>
      </c>
      <c r="C335" s="13">
        <f t="shared" si="27"/>
        <v>2054</v>
      </c>
      <c r="D335" s="13">
        <f t="shared" si="27"/>
        <v>2054</v>
      </c>
      <c r="E335" s="13">
        <f t="shared" si="25"/>
        <v>2301</v>
      </c>
      <c r="F335" s="13" cm="1">
        <f t="array" ref="F335">INDEX(GMWQ!$A$2:$NF$60,MATCH(1,(GMWQ!$NE$2:$NE$60=F$3)*(GMWQ!$ND$2:$ND$60=F$4)*(GMWQ!$NF$2:$NF$60=F$1),0),$E335-1966)</f>
        <v>284.65929999999997</v>
      </c>
      <c r="G335" s="13" cm="1">
        <f t="array" ref="G335">INDEX(GMWQ!$A$2:$NF$60,MATCH(1,(GMWQ!$NE$2:$NE$60=G$3)*(GMWQ!$ND$2:$ND$60=G$4)*(GMWQ!$NF$2:$NF$60=G$1),0),$E335-1966)</f>
        <v>136894.9</v>
      </c>
      <c r="H335" s="13" cm="1">
        <f t="array" ref="H335">INDEX(GMWQ!$A$2:$NF$60,MATCH(1,(GMWQ!$NE$2:$NE$60=H$3)*(GMWQ!$ND$2:$ND$60=H$4)*(GMWQ!$NF$2:$NF$60=H$1),0),$E335-1966)</f>
        <v>1774.817</v>
      </c>
      <c r="I335" s="13" cm="1">
        <f t="array" ref="I335">INDEX(GMWQ!$A$2:$NF$60,MATCH(1,(GMWQ!$NE$2:$NE$60=I$3)*(GMWQ!$ND$2:$ND$60=I$4)*(GMWQ!$NF$2:$NF$60=I$1),0),$E335-1966)</f>
        <v>468130</v>
      </c>
      <c r="J335" s="13" cm="1">
        <f t="array" ref="J335">INDEX(GMWQ!$A$2:$NF$60,MATCH(1,(GMWQ!$NE$2:$NE$60=J$3)*(GMWQ!$ND$2:$ND$60=J$4)*(GMWQ!$NF$2:$NF$60=J$1),0),$E335-1966)</f>
        <v>2184549</v>
      </c>
      <c r="K335" s="13" cm="1">
        <f t="array" ref="K335">INDEX(GMWQ!$A$2:$NF$60,MATCH(1,(GMWQ!$NE$2:$NE$60=K$3)*(GMWQ!$ND$2:$ND$60=K$4)*(GMWQ!$NF$2:$NF$60=K$1),0),$E335-1966)</f>
        <v>864811.6</v>
      </c>
      <c r="L335" s="13" cm="1">
        <f t="array" ref="L335">INDEX(GMWQ!$A$2:$NF$60,MATCH(1,(GMWQ!$NE$2:$NE$60=L$3)*(GMWQ!$ND$2:$ND$60=L$4)*(GMWQ!$NF$2:$NF$60=L$1),0),$E335-1966)</f>
        <v>1350843</v>
      </c>
      <c r="M335" s="13" cm="1">
        <f t="array" ref="M335">INDEX(GMWQ!$A$2:$NF$60,MATCH(1,(GMWQ!$NE$2:$NE$60=M$3)*(GMWQ!$ND$2:$ND$60=M$4)*(GMWQ!$NF$2:$NF$60=M$1),0),$E335-1966)</f>
        <v>662403.30000000005</v>
      </c>
      <c r="N335" s="13" cm="1">
        <f t="array" ref="N335">INDEX(GMWQ!$A$2:$NF$60,MATCH(1,(GMWQ!$NE$2:$NE$60=N$3)*(GMWQ!$ND$2:$ND$60=N$4)*(GMWQ!$NF$2:$NF$60=N$1),0),$E335-1966)</f>
        <v>203.89750000000001</v>
      </c>
      <c r="O335" s="13" cm="1">
        <f t="array" ref="O335">INDEX(GMWQ!$A$2:$NF$60,MATCH(1,(GMWQ!$NE$2:$NE$60=O$3)*(GMWQ!$ND$2:$ND$60=O$4)*(GMWQ!$NF$2:$NF$60=O$1),0),$E335-1966)</f>
        <v>39506.81</v>
      </c>
      <c r="P335" s="13" cm="1">
        <f t="array" ref="P335">INDEX(GMWQ!$A$2:$NF$60,MATCH(1,(GMWQ!$NE$2:$NE$60=P$3)*(GMWQ!$ND$2:$ND$60=P$4)*(GMWQ!$NF$2:$NF$60=P$1),0),$E335-1966)</f>
        <v>0</v>
      </c>
      <c r="Q335" s="13" cm="1">
        <f t="array" ref="Q335">INDEX(GMWQ!$A$2:$NF$60,MATCH(1,(GMWQ!$NE$2:$NE$60=Q$3)*(GMWQ!$ND$2:$ND$60=Q$4)*(GMWQ!$NF$2:$NF$60=Q$1),0),$E335-1966)</f>
        <v>0</v>
      </c>
    </row>
    <row r="336" spans="1:17" x14ac:dyDescent="0.25">
      <c r="B336" s="13">
        <f t="shared" si="27"/>
        <v>2055</v>
      </c>
      <c r="C336" s="13">
        <f t="shared" si="27"/>
        <v>2055</v>
      </c>
      <c r="E336" s="13">
        <f t="shared" si="25"/>
        <v>2302</v>
      </c>
      <c r="F336" s="13" cm="1">
        <f t="array" ref="F336">INDEX(GMWQ!$A$2:$NF$60,MATCH(1,(GMWQ!$NE$2:$NE$60=F$3)*(GMWQ!$ND$2:$ND$60=F$4)*(GMWQ!$NF$2:$NF$60=F$1),0),$E336-1966)</f>
        <v>286.09690000000001</v>
      </c>
      <c r="G336" s="13" cm="1">
        <f t="array" ref="G336">INDEX(GMWQ!$A$2:$NF$60,MATCH(1,(GMWQ!$NE$2:$NE$60=G$3)*(GMWQ!$ND$2:$ND$60=G$4)*(GMWQ!$NF$2:$NF$60=G$1),0),$E336-1966)</f>
        <v>138028.5</v>
      </c>
      <c r="H336" s="13" cm="1">
        <f t="array" ref="H336">INDEX(GMWQ!$A$2:$NF$60,MATCH(1,(GMWQ!$NE$2:$NE$60=H$3)*(GMWQ!$ND$2:$ND$60=H$4)*(GMWQ!$NF$2:$NF$60=H$1),0),$E336-1966)</f>
        <v>1788.9839999999999</v>
      </c>
      <c r="I336" s="13" cm="1">
        <f t="array" ref="I336">INDEX(GMWQ!$A$2:$NF$60,MATCH(1,(GMWQ!$NE$2:$NE$60=I$3)*(GMWQ!$ND$2:$ND$60=I$4)*(GMWQ!$NF$2:$NF$60=I$1),0),$E336-1966)</f>
        <v>472425.1</v>
      </c>
      <c r="J336" s="13" cm="1">
        <f t="array" ref="J336">INDEX(GMWQ!$A$2:$NF$60,MATCH(1,(GMWQ!$NE$2:$NE$60=J$3)*(GMWQ!$ND$2:$ND$60=J$4)*(GMWQ!$NF$2:$NF$60=J$1),0),$E336-1966)</f>
        <v>2203355</v>
      </c>
      <c r="K336" s="13" cm="1">
        <f t="array" ref="K336">INDEX(GMWQ!$A$2:$NF$60,MATCH(1,(GMWQ!$NE$2:$NE$60=K$3)*(GMWQ!$ND$2:$ND$60=K$4)*(GMWQ!$NF$2:$NF$60=K$1),0),$E336-1966)</f>
        <v>871972.5</v>
      </c>
      <c r="L336" s="13" cm="1">
        <f t="array" ref="L336">INDEX(GMWQ!$A$2:$NF$60,MATCH(1,(GMWQ!$NE$2:$NE$60=L$3)*(GMWQ!$ND$2:$ND$60=L$4)*(GMWQ!$NF$2:$NF$60=L$1),0),$E336-1966)</f>
        <v>1361834</v>
      </c>
      <c r="M336" s="13" cm="1">
        <f t="array" ref="M336">INDEX(GMWQ!$A$2:$NF$60,MATCH(1,(GMWQ!$NE$2:$NE$60=M$3)*(GMWQ!$ND$2:$ND$60=M$4)*(GMWQ!$NF$2:$NF$60=M$1),0),$E336-1966)</f>
        <v>664496.80000000005</v>
      </c>
      <c r="N336" s="13" cm="1">
        <f t="array" ref="N336">INDEX(GMWQ!$A$2:$NF$60,MATCH(1,(GMWQ!$NE$2:$NE$60=N$3)*(GMWQ!$ND$2:$ND$60=N$4)*(GMWQ!$NF$2:$NF$60=N$1),0),$E336-1966)</f>
        <v>204.9092</v>
      </c>
      <c r="O336" s="13" cm="1">
        <f t="array" ref="O336">INDEX(GMWQ!$A$2:$NF$60,MATCH(1,(GMWQ!$NE$2:$NE$60=O$3)*(GMWQ!$ND$2:$ND$60=O$4)*(GMWQ!$NF$2:$NF$60=O$1),0),$E336-1966)</f>
        <v>39518.400000000001</v>
      </c>
      <c r="P336" s="13" cm="1">
        <f t="array" ref="P336">INDEX(GMWQ!$A$2:$NF$60,MATCH(1,(GMWQ!$NE$2:$NE$60=P$3)*(GMWQ!$ND$2:$ND$60=P$4)*(GMWQ!$NF$2:$NF$60=P$1),0),$E336-1966)</f>
        <v>0</v>
      </c>
      <c r="Q336" s="13" cm="1">
        <f t="array" ref="Q336">INDEX(GMWQ!$A$2:$NF$60,MATCH(1,(GMWQ!$NE$2:$NE$60=Q$3)*(GMWQ!$ND$2:$ND$60=Q$4)*(GMWQ!$NF$2:$NF$60=Q$1),0),$E336-1966)</f>
        <v>0</v>
      </c>
    </row>
    <row r="337" spans="1:17" x14ac:dyDescent="0.25">
      <c r="B337" s="13">
        <f t="shared" si="27"/>
        <v>2055</v>
      </c>
      <c r="C337" s="13">
        <f t="shared" si="27"/>
        <v>2055</v>
      </c>
      <c r="E337" s="13">
        <f t="shared" si="25"/>
        <v>2303</v>
      </c>
      <c r="F337" s="13" cm="1">
        <f t="array" ref="F337">INDEX(GMWQ!$A$2:$NF$60,MATCH(1,(GMWQ!$NE$2:$NE$60=F$3)*(GMWQ!$ND$2:$ND$60=F$4)*(GMWQ!$NF$2:$NF$60=F$1),0),$E337-1966)</f>
        <v>287.53809999999999</v>
      </c>
      <c r="G337" s="13" cm="1">
        <f t="array" ref="G337">INDEX(GMWQ!$A$2:$NF$60,MATCH(1,(GMWQ!$NE$2:$NE$60=G$3)*(GMWQ!$ND$2:$ND$60=G$4)*(GMWQ!$NF$2:$NF$60=G$1),0),$E337-1966)</f>
        <v>139165.4</v>
      </c>
      <c r="H337" s="13" cm="1">
        <f t="array" ref="H337">INDEX(GMWQ!$A$2:$NF$60,MATCH(1,(GMWQ!$NE$2:$NE$60=H$3)*(GMWQ!$ND$2:$ND$60=H$4)*(GMWQ!$NF$2:$NF$60=H$1),0),$E337-1966)</f>
        <v>1803.2629999999999</v>
      </c>
      <c r="I337" s="13" cm="1">
        <f t="array" ref="I337">INDEX(GMWQ!$A$2:$NF$60,MATCH(1,(GMWQ!$NE$2:$NE$60=I$3)*(GMWQ!$ND$2:$ND$60=I$4)*(GMWQ!$NF$2:$NF$60=I$1),0),$E337-1966)</f>
        <v>476242.8</v>
      </c>
      <c r="J337" s="13" cm="1">
        <f t="array" ref="J337">INDEX(GMWQ!$A$2:$NF$60,MATCH(1,(GMWQ!$NE$2:$NE$60=J$3)*(GMWQ!$ND$2:$ND$60=J$4)*(GMWQ!$NF$2:$NF$60=J$1),0),$E337-1966)</f>
        <v>2222254</v>
      </c>
      <c r="K337" s="13" cm="1">
        <f t="array" ref="K337">INDEX(GMWQ!$A$2:$NF$60,MATCH(1,(GMWQ!$NE$2:$NE$60=K$3)*(GMWQ!$ND$2:$ND$60=K$4)*(GMWQ!$NF$2:$NF$60=K$1),0),$E337-1966)</f>
        <v>879154.9</v>
      </c>
      <c r="L337" s="13" cm="1">
        <f t="array" ref="L337">INDEX(GMWQ!$A$2:$NF$60,MATCH(1,(GMWQ!$NE$2:$NE$60=L$3)*(GMWQ!$ND$2:$ND$60=L$4)*(GMWQ!$NF$2:$NF$60=L$1),0),$E337-1966)</f>
        <v>1372906</v>
      </c>
      <c r="M337" s="13" cm="1">
        <f t="array" ref="M337">INDEX(GMWQ!$A$2:$NF$60,MATCH(1,(GMWQ!$NE$2:$NE$60=M$3)*(GMWQ!$ND$2:$ND$60=M$4)*(GMWQ!$NF$2:$NF$60=M$1),0),$E337-1966)</f>
        <v>666592.1</v>
      </c>
      <c r="N337" s="13" cm="1">
        <f t="array" ref="N337">INDEX(GMWQ!$A$2:$NF$60,MATCH(1,(GMWQ!$NE$2:$NE$60=N$3)*(GMWQ!$ND$2:$ND$60=N$4)*(GMWQ!$NF$2:$NF$60=N$1),0),$E337-1966)</f>
        <v>205.92599999999999</v>
      </c>
      <c r="O337" s="13" cm="1">
        <f t="array" ref="O337">INDEX(GMWQ!$A$2:$NF$60,MATCH(1,(GMWQ!$NE$2:$NE$60=O$3)*(GMWQ!$ND$2:$ND$60=O$4)*(GMWQ!$NF$2:$NF$60=O$1),0),$E337-1966)</f>
        <v>39528.400000000001</v>
      </c>
      <c r="P337" s="13" cm="1">
        <f t="array" ref="P337">INDEX(GMWQ!$A$2:$NF$60,MATCH(1,(GMWQ!$NE$2:$NE$60=P$3)*(GMWQ!$ND$2:$ND$60=P$4)*(GMWQ!$NF$2:$NF$60=P$1),0),$E337-1966)</f>
        <v>0</v>
      </c>
      <c r="Q337" s="13" cm="1">
        <f t="array" ref="Q337">INDEX(GMWQ!$A$2:$NF$60,MATCH(1,(GMWQ!$NE$2:$NE$60=Q$3)*(GMWQ!$ND$2:$ND$60=Q$4)*(GMWQ!$NF$2:$NF$60=Q$1),0),$E337-1966)</f>
        <v>0</v>
      </c>
    </row>
    <row r="338" spans="1:17" x14ac:dyDescent="0.25">
      <c r="B338" s="13">
        <f t="shared" si="27"/>
        <v>2055</v>
      </c>
      <c r="C338" s="13">
        <f t="shared" si="27"/>
        <v>2055</v>
      </c>
      <c r="E338" s="13">
        <f t="shared" si="25"/>
        <v>2304</v>
      </c>
      <c r="F338" s="13" cm="1">
        <f t="array" ref="F338">INDEX(GMWQ!$A$2:$NF$60,MATCH(1,(GMWQ!$NE$2:$NE$60=F$3)*(GMWQ!$ND$2:$ND$60=F$4)*(GMWQ!$NF$2:$NF$60=F$1),0),$E338-1966)</f>
        <v>288.98770000000002</v>
      </c>
      <c r="G338" s="13" cm="1">
        <f t="array" ref="G338">INDEX(GMWQ!$A$2:$NF$60,MATCH(1,(GMWQ!$NE$2:$NE$60=G$3)*(GMWQ!$ND$2:$ND$60=G$4)*(GMWQ!$NF$2:$NF$60=G$1),0),$E338-1966)</f>
        <v>140311.29999999999</v>
      </c>
      <c r="H338" s="13" cm="1">
        <f t="array" ref="H338">INDEX(GMWQ!$A$2:$NF$60,MATCH(1,(GMWQ!$NE$2:$NE$60=H$3)*(GMWQ!$ND$2:$ND$60=H$4)*(GMWQ!$NF$2:$NF$60=H$1),0),$E338-1966)</f>
        <v>1817.6489999999999</v>
      </c>
      <c r="I338" s="13" cm="1">
        <f t="array" ref="I338">INDEX(GMWQ!$A$2:$NF$60,MATCH(1,(GMWQ!$NE$2:$NE$60=I$3)*(GMWQ!$ND$2:$ND$60=I$4)*(GMWQ!$NF$2:$NF$60=I$1),0),$E338-1966)</f>
        <v>480196.1</v>
      </c>
      <c r="J338" s="13" cm="1">
        <f t="array" ref="J338">INDEX(GMWQ!$A$2:$NF$60,MATCH(1,(GMWQ!$NE$2:$NE$60=J$3)*(GMWQ!$ND$2:$ND$60=J$4)*(GMWQ!$NF$2:$NF$60=J$1),0),$E338-1966)</f>
        <v>2241301</v>
      </c>
      <c r="K338" s="13" cm="1">
        <f t="array" ref="K338">INDEX(GMWQ!$A$2:$NF$60,MATCH(1,(GMWQ!$NE$2:$NE$60=K$3)*(GMWQ!$ND$2:$ND$60=K$4)*(GMWQ!$NF$2:$NF$60=K$1),0),$E338-1966)</f>
        <v>886394.2</v>
      </c>
      <c r="L338" s="13" cm="1">
        <f t="array" ref="L338">INDEX(GMWQ!$A$2:$NF$60,MATCH(1,(GMWQ!$NE$2:$NE$60=L$3)*(GMWQ!$ND$2:$ND$60=L$4)*(GMWQ!$NF$2:$NF$60=L$1),0),$E338-1966)</f>
        <v>1384023</v>
      </c>
      <c r="M338" s="13" cm="1">
        <f t="array" ref="M338">INDEX(GMWQ!$A$2:$NF$60,MATCH(1,(GMWQ!$NE$2:$NE$60=M$3)*(GMWQ!$ND$2:$ND$60=M$4)*(GMWQ!$NF$2:$NF$60=M$1),0),$E338-1966)</f>
        <v>668672.80000000005</v>
      </c>
      <c r="N338" s="13" cm="1">
        <f t="array" ref="N338">INDEX(GMWQ!$A$2:$NF$60,MATCH(1,(GMWQ!$NE$2:$NE$60=N$3)*(GMWQ!$ND$2:$ND$60=N$4)*(GMWQ!$NF$2:$NF$60=N$1),0),$E338-1966)</f>
        <v>206.9478</v>
      </c>
      <c r="O338" s="13" cm="1">
        <f t="array" ref="O338">INDEX(GMWQ!$A$2:$NF$60,MATCH(1,(GMWQ!$NE$2:$NE$60=O$3)*(GMWQ!$ND$2:$ND$60=O$4)*(GMWQ!$NF$2:$NF$60=O$1),0),$E338-1966)</f>
        <v>39538.410000000003</v>
      </c>
      <c r="P338" s="13" cm="1">
        <f t="array" ref="P338">INDEX(GMWQ!$A$2:$NF$60,MATCH(1,(GMWQ!$NE$2:$NE$60=P$3)*(GMWQ!$ND$2:$ND$60=P$4)*(GMWQ!$NF$2:$NF$60=P$1),0),$E338-1966)</f>
        <v>0</v>
      </c>
      <c r="Q338" s="13" cm="1">
        <f t="array" ref="Q338">INDEX(GMWQ!$A$2:$NF$60,MATCH(1,(GMWQ!$NE$2:$NE$60=Q$3)*(GMWQ!$ND$2:$ND$60=Q$4)*(GMWQ!$NF$2:$NF$60=Q$1),0),$E338-1966)</f>
        <v>0</v>
      </c>
    </row>
    <row r="339" spans="1:17" x14ac:dyDescent="0.25">
      <c r="A339" s="13">
        <v>2056</v>
      </c>
      <c r="B339" s="13">
        <f t="shared" si="27"/>
        <v>2056</v>
      </c>
      <c r="C339" s="13">
        <f t="shared" si="27"/>
        <v>2055</v>
      </c>
      <c r="D339" s="13">
        <f t="shared" si="27"/>
        <v>2055</v>
      </c>
      <c r="E339" s="13">
        <f t="shared" si="25"/>
        <v>2305</v>
      </c>
      <c r="F339" s="13" cm="1">
        <f t="array" ref="F339">INDEX(GMWQ!$A$2:$NF$60,MATCH(1,(GMWQ!$NE$2:$NE$60=F$3)*(GMWQ!$ND$2:$ND$60=F$4)*(GMWQ!$NF$2:$NF$60=F$1),0),$E339-1966)</f>
        <v>290.44580000000002</v>
      </c>
      <c r="G339" s="13" cm="1">
        <f t="array" ref="G339">INDEX(GMWQ!$A$2:$NF$60,MATCH(1,(GMWQ!$NE$2:$NE$60=G$3)*(GMWQ!$ND$2:$ND$60=G$4)*(GMWQ!$NF$2:$NF$60=G$1),0),$E339-1966)</f>
        <v>141466.20000000001</v>
      </c>
      <c r="H339" s="13" cm="1">
        <f t="array" ref="H339">INDEX(GMWQ!$A$2:$NF$60,MATCH(1,(GMWQ!$NE$2:$NE$60=H$3)*(GMWQ!$ND$2:$ND$60=H$4)*(GMWQ!$NF$2:$NF$60=H$1),0),$E339-1966)</f>
        <v>1832.144</v>
      </c>
      <c r="I339" s="13" cm="1">
        <f t="array" ref="I339">INDEX(GMWQ!$A$2:$NF$60,MATCH(1,(GMWQ!$NE$2:$NE$60=I$3)*(GMWQ!$ND$2:$ND$60=I$4)*(GMWQ!$NF$2:$NF$60=I$1),0),$E339-1966)</f>
        <v>484429.3</v>
      </c>
      <c r="J339" s="13" cm="1">
        <f t="array" ref="J339">INDEX(GMWQ!$A$2:$NF$60,MATCH(1,(GMWQ!$NE$2:$NE$60=J$3)*(GMWQ!$ND$2:$ND$60=J$4)*(GMWQ!$NF$2:$NF$60=J$1),0),$E339-1966)</f>
        <v>2260493</v>
      </c>
      <c r="K339" s="13" cm="1">
        <f t="array" ref="K339">INDEX(GMWQ!$A$2:$NF$60,MATCH(1,(GMWQ!$NE$2:$NE$60=K$3)*(GMWQ!$ND$2:$ND$60=K$4)*(GMWQ!$NF$2:$NF$60=K$1),0),$E339-1966)</f>
        <v>893690.1</v>
      </c>
      <c r="L339" s="13" cm="1">
        <f t="array" ref="L339">INDEX(GMWQ!$A$2:$NF$60,MATCH(1,(GMWQ!$NE$2:$NE$60=L$3)*(GMWQ!$ND$2:$ND$60=L$4)*(GMWQ!$NF$2:$NF$60=L$1),0),$E339-1966)</f>
        <v>1395222</v>
      </c>
      <c r="M339" s="13" cm="1">
        <f t="array" ref="M339">INDEX(GMWQ!$A$2:$NF$60,MATCH(1,(GMWQ!$NE$2:$NE$60=M$3)*(GMWQ!$ND$2:$ND$60=M$4)*(GMWQ!$NF$2:$NF$60=M$1),0),$E339-1966)</f>
        <v>670756.1</v>
      </c>
      <c r="N339" s="13" cm="1">
        <f t="array" ref="N339">INDEX(GMWQ!$A$2:$NF$60,MATCH(1,(GMWQ!$NE$2:$NE$60=N$3)*(GMWQ!$ND$2:$ND$60=N$4)*(GMWQ!$NF$2:$NF$60=N$1),0),$E339-1966)</f>
        <v>207.97460000000001</v>
      </c>
      <c r="O339" s="13" cm="1">
        <f t="array" ref="O339">INDEX(GMWQ!$A$2:$NF$60,MATCH(1,(GMWQ!$NE$2:$NE$60=O$3)*(GMWQ!$ND$2:$ND$60=O$4)*(GMWQ!$NF$2:$NF$60=O$1),0),$E339-1966)</f>
        <v>39548.410000000003</v>
      </c>
      <c r="P339" s="13" cm="1">
        <f t="array" ref="P339">INDEX(GMWQ!$A$2:$NF$60,MATCH(1,(GMWQ!$NE$2:$NE$60=P$3)*(GMWQ!$ND$2:$ND$60=P$4)*(GMWQ!$NF$2:$NF$60=P$1),0),$E339-1966)</f>
        <v>0</v>
      </c>
      <c r="Q339" s="13" cm="1">
        <f t="array" ref="Q339">INDEX(GMWQ!$A$2:$NF$60,MATCH(1,(GMWQ!$NE$2:$NE$60=Q$3)*(GMWQ!$ND$2:$ND$60=Q$4)*(GMWQ!$NF$2:$NF$60=Q$1),0),$E339-1966)</f>
        <v>0</v>
      </c>
    </row>
    <row r="340" spans="1:17" x14ac:dyDescent="0.25">
      <c r="B340" s="13">
        <f t="shared" si="27"/>
        <v>2056</v>
      </c>
      <c r="C340" s="13">
        <f t="shared" si="27"/>
        <v>2056</v>
      </c>
      <c r="E340" s="13">
        <f t="shared" si="25"/>
        <v>2306</v>
      </c>
      <c r="F340" s="13" cm="1">
        <f t="array" ref="F340">INDEX(GMWQ!$A$2:$NF$60,MATCH(1,(GMWQ!$NE$2:$NE$60=F$3)*(GMWQ!$ND$2:$ND$60=F$4)*(GMWQ!$NF$2:$NF$60=F$1),0),$E340-1966)</f>
        <v>291.91210000000001</v>
      </c>
      <c r="G340" s="13" cm="1">
        <f t="array" ref="G340">INDEX(GMWQ!$A$2:$NF$60,MATCH(1,(GMWQ!$NE$2:$NE$60=G$3)*(GMWQ!$ND$2:$ND$60=G$4)*(GMWQ!$NF$2:$NF$60=G$1),0),$E340-1966)</f>
        <v>142630.29999999999</v>
      </c>
      <c r="H340" s="13" cm="1">
        <f t="array" ref="H340">INDEX(GMWQ!$A$2:$NF$60,MATCH(1,(GMWQ!$NE$2:$NE$60=H$3)*(GMWQ!$ND$2:$ND$60=H$4)*(GMWQ!$NF$2:$NF$60=H$1),0),$E340-1966)</f>
        <v>1846.752</v>
      </c>
      <c r="I340" s="13" cm="1">
        <f t="array" ref="I340">INDEX(GMWQ!$A$2:$NF$60,MATCH(1,(GMWQ!$NE$2:$NE$60=I$3)*(GMWQ!$ND$2:$ND$60=I$4)*(GMWQ!$NF$2:$NF$60=I$1),0),$E340-1966)</f>
        <v>488848.5</v>
      </c>
      <c r="J340" s="13" cm="1">
        <f t="array" ref="J340">INDEX(GMWQ!$A$2:$NF$60,MATCH(1,(GMWQ!$NE$2:$NE$60=J$3)*(GMWQ!$ND$2:$ND$60=J$4)*(GMWQ!$NF$2:$NF$60=J$1),0),$E340-1966)</f>
        <v>2279839</v>
      </c>
      <c r="K340" s="13" cm="1">
        <f t="array" ref="K340">INDEX(GMWQ!$A$2:$NF$60,MATCH(1,(GMWQ!$NE$2:$NE$60=K$3)*(GMWQ!$ND$2:$ND$60=K$4)*(GMWQ!$NF$2:$NF$60=K$1),0),$E340-1966)</f>
        <v>901043.8</v>
      </c>
      <c r="L340" s="13" cm="1">
        <f t="array" ref="L340">INDEX(GMWQ!$A$2:$NF$60,MATCH(1,(GMWQ!$NE$2:$NE$60=L$3)*(GMWQ!$ND$2:$ND$60=L$4)*(GMWQ!$NF$2:$NF$60=L$1),0),$E340-1966)</f>
        <v>1406502</v>
      </c>
      <c r="M340" s="13" cm="1">
        <f t="array" ref="M340">INDEX(GMWQ!$A$2:$NF$60,MATCH(1,(GMWQ!$NE$2:$NE$60=M$3)*(GMWQ!$ND$2:$ND$60=M$4)*(GMWQ!$NF$2:$NF$60=M$1),0),$E340-1966)</f>
        <v>672841</v>
      </c>
      <c r="N340" s="13" cm="1">
        <f t="array" ref="N340">INDEX(GMWQ!$A$2:$NF$60,MATCH(1,(GMWQ!$NE$2:$NE$60=N$3)*(GMWQ!$ND$2:$ND$60=N$4)*(GMWQ!$NF$2:$NF$60=N$1),0),$E340-1966)</f>
        <v>209.00659999999999</v>
      </c>
      <c r="O340" s="13" cm="1">
        <f t="array" ref="O340">INDEX(GMWQ!$A$2:$NF$60,MATCH(1,(GMWQ!$NE$2:$NE$60=O$3)*(GMWQ!$ND$2:$ND$60=O$4)*(GMWQ!$NF$2:$NF$60=O$1),0),$E340-1966)</f>
        <v>39558.410000000003</v>
      </c>
      <c r="P340" s="13" cm="1">
        <f t="array" ref="P340">INDEX(GMWQ!$A$2:$NF$60,MATCH(1,(GMWQ!$NE$2:$NE$60=P$3)*(GMWQ!$ND$2:$ND$60=P$4)*(GMWQ!$NF$2:$NF$60=P$1),0),$E340-1966)</f>
        <v>0</v>
      </c>
      <c r="Q340" s="13" cm="1">
        <f t="array" ref="Q340">INDEX(GMWQ!$A$2:$NF$60,MATCH(1,(GMWQ!$NE$2:$NE$60=Q$3)*(GMWQ!$ND$2:$ND$60=Q$4)*(GMWQ!$NF$2:$NF$60=Q$1),0),$E340-1966)</f>
        <v>0</v>
      </c>
    </row>
    <row r="341" spans="1:17" x14ac:dyDescent="0.25">
      <c r="B341" s="13">
        <f t="shared" si="27"/>
        <v>2056</v>
      </c>
      <c r="C341" s="13">
        <f t="shared" si="27"/>
        <v>2056</v>
      </c>
      <c r="E341" s="13">
        <f t="shared" si="25"/>
        <v>2307</v>
      </c>
      <c r="F341" s="13" cm="1">
        <f t="array" ref="F341">INDEX(GMWQ!$A$2:$NF$60,MATCH(1,(GMWQ!$NE$2:$NE$60=F$3)*(GMWQ!$ND$2:$ND$60=F$4)*(GMWQ!$NF$2:$NF$60=F$1),0),$E341-1966)</f>
        <v>293.38589999999999</v>
      </c>
      <c r="G341" s="13" cm="1">
        <f t="array" ref="G341">INDEX(GMWQ!$A$2:$NF$60,MATCH(1,(GMWQ!$NE$2:$NE$60=G$3)*(GMWQ!$ND$2:$ND$60=G$4)*(GMWQ!$NF$2:$NF$60=G$1),0),$E341-1966)</f>
        <v>143803.29999999999</v>
      </c>
      <c r="H341" s="13" cm="1">
        <f t="array" ref="H341">INDEX(GMWQ!$A$2:$NF$60,MATCH(1,(GMWQ!$NE$2:$NE$60=H$3)*(GMWQ!$ND$2:$ND$60=H$4)*(GMWQ!$NF$2:$NF$60=H$1),0),$E341-1966)</f>
        <v>1861.463</v>
      </c>
      <c r="I341" s="13" cm="1">
        <f t="array" ref="I341">INDEX(GMWQ!$A$2:$NF$60,MATCH(1,(GMWQ!$NE$2:$NE$60=I$3)*(GMWQ!$ND$2:$ND$60=I$4)*(GMWQ!$NF$2:$NF$60=I$1),0),$E341-1966)</f>
        <v>492774.40000000002</v>
      </c>
      <c r="J341" s="13" cm="1">
        <f t="array" ref="J341">INDEX(GMWQ!$A$2:$NF$60,MATCH(1,(GMWQ!$NE$2:$NE$60=J$3)*(GMWQ!$ND$2:$ND$60=J$4)*(GMWQ!$NF$2:$NF$60=J$1),0),$E341-1966)</f>
        <v>2299340</v>
      </c>
      <c r="K341" s="13" cm="1">
        <f t="array" ref="K341">INDEX(GMWQ!$A$2:$NF$60,MATCH(1,(GMWQ!$NE$2:$NE$60=K$3)*(GMWQ!$ND$2:$ND$60=K$4)*(GMWQ!$NF$2:$NF$60=K$1),0),$E341-1966)</f>
        <v>908454.40000000002</v>
      </c>
      <c r="L341" s="13" cm="1">
        <f t="array" ref="L341">INDEX(GMWQ!$A$2:$NF$60,MATCH(1,(GMWQ!$NE$2:$NE$60=L$3)*(GMWQ!$ND$2:$ND$60=L$4)*(GMWQ!$NF$2:$NF$60=L$1),0),$E341-1966)</f>
        <v>1417865</v>
      </c>
      <c r="M341" s="13" cm="1">
        <f t="array" ref="M341">INDEX(GMWQ!$A$2:$NF$60,MATCH(1,(GMWQ!$NE$2:$NE$60=M$3)*(GMWQ!$ND$2:$ND$60=M$4)*(GMWQ!$NF$2:$NF$60=M$1),0),$E341-1966)</f>
        <v>674928.7</v>
      </c>
      <c r="N341" s="13" cm="1">
        <f t="array" ref="N341">INDEX(GMWQ!$A$2:$NF$60,MATCH(1,(GMWQ!$NE$2:$NE$60=N$3)*(GMWQ!$ND$2:$ND$60=N$4)*(GMWQ!$NF$2:$NF$60=N$1),0),$E341-1966)</f>
        <v>210.0437</v>
      </c>
      <c r="O341" s="13" cm="1">
        <f t="array" ref="O341">INDEX(GMWQ!$A$2:$NF$60,MATCH(1,(GMWQ!$NE$2:$NE$60=O$3)*(GMWQ!$ND$2:$ND$60=O$4)*(GMWQ!$NF$2:$NF$60=O$1),0),$E341-1966)</f>
        <v>39568.5</v>
      </c>
      <c r="P341" s="13" cm="1">
        <f t="array" ref="P341">INDEX(GMWQ!$A$2:$NF$60,MATCH(1,(GMWQ!$NE$2:$NE$60=P$3)*(GMWQ!$ND$2:$ND$60=P$4)*(GMWQ!$NF$2:$NF$60=P$1),0),$E341-1966)</f>
        <v>0</v>
      </c>
      <c r="Q341" s="13" cm="1">
        <f t="array" ref="Q341">INDEX(GMWQ!$A$2:$NF$60,MATCH(1,(GMWQ!$NE$2:$NE$60=Q$3)*(GMWQ!$ND$2:$ND$60=Q$4)*(GMWQ!$NF$2:$NF$60=Q$1),0),$E341-1966)</f>
        <v>0</v>
      </c>
    </row>
    <row r="342" spans="1:17" x14ac:dyDescent="0.25">
      <c r="B342" s="13">
        <f t="shared" si="27"/>
        <v>2056</v>
      </c>
      <c r="C342" s="13">
        <f t="shared" si="27"/>
        <v>2056</v>
      </c>
      <c r="E342" s="13">
        <f t="shared" si="25"/>
        <v>2308</v>
      </c>
      <c r="F342" s="13" cm="1">
        <f t="array" ref="F342">INDEX(GMWQ!$A$2:$NF$60,MATCH(1,(GMWQ!$NE$2:$NE$60=F$3)*(GMWQ!$ND$2:$ND$60=F$4)*(GMWQ!$NF$2:$NF$60=F$1),0),$E342-1966)</f>
        <v>294.86709999999999</v>
      </c>
      <c r="G342" s="13" cm="1">
        <f t="array" ref="G342">INDEX(GMWQ!$A$2:$NF$60,MATCH(1,(GMWQ!$NE$2:$NE$60=G$3)*(GMWQ!$ND$2:$ND$60=G$4)*(GMWQ!$NF$2:$NF$60=G$1),0),$E342-1966)</f>
        <v>144985</v>
      </c>
      <c r="H342" s="13" cm="1">
        <f t="array" ref="H342">INDEX(GMWQ!$A$2:$NF$60,MATCH(1,(GMWQ!$NE$2:$NE$60=H$3)*(GMWQ!$ND$2:$ND$60=H$4)*(GMWQ!$NF$2:$NF$60=H$1),0),$E342-1966)</f>
        <v>1876.279</v>
      </c>
      <c r="I342" s="13" cm="1">
        <f t="array" ref="I342">INDEX(GMWQ!$A$2:$NF$60,MATCH(1,(GMWQ!$NE$2:$NE$60=I$3)*(GMWQ!$ND$2:$ND$60=I$4)*(GMWQ!$NF$2:$NF$60=I$1),0),$E342-1966)</f>
        <v>496853.2</v>
      </c>
      <c r="J342" s="13" cm="1">
        <f t="array" ref="J342">INDEX(GMWQ!$A$2:$NF$60,MATCH(1,(GMWQ!$NE$2:$NE$60=J$3)*(GMWQ!$ND$2:$ND$60=J$4)*(GMWQ!$NF$2:$NF$60=J$1),0),$E342-1966)</f>
        <v>2318992</v>
      </c>
      <c r="K342" s="13" cm="1">
        <f t="array" ref="K342">INDEX(GMWQ!$A$2:$NF$60,MATCH(1,(GMWQ!$NE$2:$NE$60=K$3)*(GMWQ!$ND$2:$ND$60=K$4)*(GMWQ!$NF$2:$NF$60=K$1),0),$E342-1966)</f>
        <v>915919.7</v>
      </c>
      <c r="L342" s="13" cm="1">
        <f t="array" ref="L342">INDEX(GMWQ!$A$2:$NF$60,MATCH(1,(GMWQ!$NE$2:$NE$60=L$3)*(GMWQ!$ND$2:$ND$60=L$4)*(GMWQ!$NF$2:$NF$60=L$1),0),$E342-1966)</f>
        <v>1429312</v>
      </c>
      <c r="M342" s="13" cm="1">
        <f t="array" ref="M342">INDEX(GMWQ!$A$2:$NF$60,MATCH(1,(GMWQ!$NE$2:$NE$60=M$3)*(GMWQ!$ND$2:$ND$60=M$4)*(GMWQ!$NF$2:$NF$60=M$1),0),$E342-1966)</f>
        <v>677019.6</v>
      </c>
      <c r="N342" s="13" cm="1">
        <f t="array" ref="N342">INDEX(GMWQ!$A$2:$NF$60,MATCH(1,(GMWQ!$NE$2:$NE$60=N$3)*(GMWQ!$ND$2:$ND$60=N$4)*(GMWQ!$NF$2:$NF$60=N$1),0),$E342-1966)</f>
        <v>211.08590000000001</v>
      </c>
      <c r="O342" s="13" cm="1">
        <f t="array" ref="O342">INDEX(GMWQ!$A$2:$NF$60,MATCH(1,(GMWQ!$NE$2:$NE$60=O$3)*(GMWQ!$ND$2:$ND$60=O$4)*(GMWQ!$NF$2:$NF$60=O$1),0),$E342-1966)</f>
        <v>39578.58</v>
      </c>
      <c r="P342" s="13" cm="1">
        <f t="array" ref="P342">INDEX(GMWQ!$A$2:$NF$60,MATCH(1,(GMWQ!$NE$2:$NE$60=P$3)*(GMWQ!$ND$2:$ND$60=P$4)*(GMWQ!$NF$2:$NF$60=P$1),0),$E342-1966)</f>
        <v>0</v>
      </c>
      <c r="Q342" s="13" cm="1">
        <f t="array" ref="Q342">INDEX(GMWQ!$A$2:$NF$60,MATCH(1,(GMWQ!$NE$2:$NE$60=Q$3)*(GMWQ!$ND$2:$ND$60=Q$4)*(GMWQ!$NF$2:$NF$60=Q$1),0),$E342-1966)</f>
        <v>0</v>
      </c>
    </row>
    <row r="343" spans="1:17" x14ac:dyDescent="0.25">
      <c r="A343" s="13">
        <v>2057</v>
      </c>
      <c r="B343" s="13">
        <f t="shared" si="27"/>
        <v>2057</v>
      </c>
      <c r="C343" s="13">
        <f t="shared" si="27"/>
        <v>2056</v>
      </c>
      <c r="D343" s="13">
        <f t="shared" si="27"/>
        <v>2056</v>
      </c>
      <c r="E343" s="13">
        <f t="shared" si="25"/>
        <v>2309</v>
      </c>
      <c r="F343" s="13" cm="1">
        <f t="array" ref="F343">INDEX(GMWQ!$A$2:$NF$60,MATCH(1,(GMWQ!$NE$2:$NE$60=F$3)*(GMWQ!$ND$2:$ND$60=F$4)*(GMWQ!$NF$2:$NF$60=F$1),0),$E343-1966)</f>
        <v>296.35570000000001</v>
      </c>
      <c r="G343" s="13" cm="1">
        <f t="array" ref="G343">INDEX(GMWQ!$A$2:$NF$60,MATCH(1,(GMWQ!$NE$2:$NE$60=G$3)*(GMWQ!$ND$2:$ND$60=G$4)*(GMWQ!$NF$2:$NF$60=G$1),0),$E343-1966)</f>
        <v>146175.70000000001</v>
      </c>
      <c r="H343" s="13" cm="1">
        <f t="array" ref="H343">INDEX(GMWQ!$A$2:$NF$60,MATCH(1,(GMWQ!$NE$2:$NE$60=H$3)*(GMWQ!$ND$2:$ND$60=H$4)*(GMWQ!$NF$2:$NF$60=H$1),0),$E343-1966)</f>
        <v>1891.204</v>
      </c>
      <c r="I343" s="13" cm="1">
        <f t="array" ref="I343">INDEX(GMWQ!$A$2:$NF$60,MATCH(1,(GMWQ!$NE$2:$NE$60=I$3)*(GMWQ!$ND$2:$ND$60=I$4)*(GMWQ!$NF$2:$NF$60=I$1),0),$E343-1966)</f>
        <v>501221.4</v>
      </c>
      <c r="J343" s="13" cm="1">
        <f t="array" ref="J343">INDEX(GMWQ!$A$2:$NF$60,MATCH(1,(GMWQ!$NE$2:$NE$60=J$3)*(GMWQ!$ND$2:$ND$60=J$4)*(GMWQ!$NF$2:$NF$60=J$1),0),$E343-1966)</f>
        <v>2338801</v>
      </c>
      <c r="K343" s="13" cm="1">
        <f t="array" ref="K343">INDEX(GMWQ!$A$2:$NF$60,MATCH(1,(GMWQ!$NE$2:$NE$60=K$3)*(GMWQ!$ND$2:$ND$60=K$4)*(GMWQ!$NF$2:$NF$60=K$1),0),$E343-1966)</f>
        <v>923441.4</v>
      </c>
      <c r="L343" s="13" cm="1">
        <f t="array" ref="L343">INDEX(GMWQ!$A$2:$NF$60,MATCH(1,(GMWQ!$NE$2:$NE$60=L$3)*(GMWQ!$ND$2:$ND$60=L$4)*(GMWQ!$NF$2:$NF$60=L$1),0),$E343-1966)</f>
        <v>1440844</v>
      </c>
      <c r="M343" s="13" cm="1">
        <f t="array" ref="M343">INDEX(GMWQ!$A$2:$NF$60,MATCH(1,(GMWQ!$NE$2:$NE$60=M$3)*(GMWQ!$ND$2:$ND$60=M$4)*(GMWQ!$NF$2:$NF$60=M$1),0),$E343-1966)</f>
        <v>679113</v>
      </c>
      <c r="N343" s="13" cm="1">
        <f t="array" ref="N343">INDEX(GMWQ!$A$2:$NF$60,MATCH(1,(GMWQ!$NE$2:$NE$60=N$3)*(GMWQ!$ND$2:$ND$60=N$4)*(GMWQ!$NF$2:$NF$60=N$1),0),$E343-1966)</f>
        <v>212.13329999999999</v>
      </c>
      <c r="O343" s="13" cm="1">
        <f t="array" ref="O343">INDEX(GMWQ!$A$2:$NF$60,MATCH(1,(GMWQ!$NE$2:$NE$60=O$3)*(GMWQ!$ND$2:$ND$60=O$4)*(GMWQ!$NF$2:$NF$60=O$1),0),$E343-1966)</f>
        <v>39588.660000000003</v>
      </c>
      <c r="P343" s="13" cm="1">
        <f t="array" ref="P343">INDEX(GMWQ!$A$2:$NF$60,MATCH(1,(GMWQ!$NE$2:$NE$60=P$3)*(GMWQ!$ND$2:$ND$60=P$4)*(GMWQ!$NF$2:$NF$60=P$1),0),$E343-1966)</f>
        <v>0</v>
      </c>
      <c r="Q343" s="13" cm="1">
        <f t="array" ref="Q343">INDEX(GMWQ!$A$2:$NF$60,MATCH(1,(GMWQ!$NE$2:$NE$60=Q$3)*(GMWQ!$ND$2:$ND$60=Q$4)*(GMWQ!$NF$2:$NF$60=Q$1),0),$E343-1966)</f>
        <v>0</v>
      </c>
    </row>
    <row r="344" spans="1:17" x14ac:dyDescent="0.25">
      <c r="B344" s="13">
        <f t="shared" si="27"/>
        <v>2057</v>
      </c>
      <c r="C344" s="13">
        <f t="shared" si="27"/>
        <v>2057</v>
      </c>
      <c r="E344" s="13">
        <f t="shared" si="25"/>
        <v>2310</v>
      </c>
      <c r="F344" s="13" cm="1">
        <f t="array" ref="F344">INDEX(GMWQ!$A$2:$NF$60,MATCH(1,(GMWQ!$NE$2:$NE$60=F$3)*(GMWQ!$ND$2:$ND$60=F$4)*(GMWQ!$NF$2:$NF$60=F$1),0),$E344-1966)</f>
        <v>297.85169999999999</v>
      </c>
      <c r="G344" s="13" cm="1">
        <f t="array" ref="G344">INDEX(GMWQ!$A$2:$NF$60,MATCH(1,(GMWQ!$NE$2:$NE$60=G$3)*(GMWQ!$ND$2:$ND$60=G$4)*(GMWQ!$NF$2:$NF$60=G$1),0),$E344-1966)</f>
        <v>147375.20000000001</v>
      </c>
      <c r="H344" s="13" cm="1">
        <f t="array" ref="H344">INDEX(GMWQ!$A$2:$NF$60,MATCH(1,(GMWQ!$NE$2:$NE$60=H$3)*(GMWQ!$ND$2:$ND$60=H$4)*(GMWQ!$NF$2:$NF$60=H$1),0),$E344-1966)</f>
        <v>1906.2349999999999</v>
      </c>
      <c r="I344" s="13" cm="1">
        <f t="array" ref="I344">INDEX(GMWQ!$A$2:$NF$60,MATCH(1,(GMWQ!$NE$2:$NE$60=I$3)*(GMWQ!$ND$2:$ND$60=I$4)*(GMWQ!$NF$2:$NF$60=I$1),0),$E344-1966)</f>
        <v>505783.2</v>
      </c>
      <c r="J344" s="13" cm="1">
        <f t="array" ref="J344">INDEX(GMWQ!$A$2:$NF$60,MATCH(1,(GMWQ!$NE$2:$NE$60=J$3)*(GMWQ!$ND$2:$ND$60=J$4)*(GMWQ!$NF$2:$NF$60=J$1),0),$E344-1966)</f>
        <v>2358764</v>
      </c>
      <c r="K344" s="13" cm="1">
        <f t="array" ref="K344">INDEX(GMWQ!$A$2:$NF$60,MATCH(1,(GMWQ!$NE$2:$NE$60=K$3)*(GMWQ!$ND$2:$ND$60=K$4)*(GMWQ!$NF$2:$NF$60=K$1),0),$E344-1966)</f>
        <v>931018.8</v>
      </c>
      <c r="L344" s="13" cm="1">
        <f t="array" ref="L344">INDEX(GMWQ!$A$2:$NF$60,MATCH(1,(GMWQ!$NE$2:$NE$60=L$3)*(GMWQ!$ND$2:$ND$60=L$4)*(GMWQ!$NF$2:$NF$60=L$1),0),$E344-1966)</f>
        <v>1452461</v>
      </c>
      <c r="M344" s="13" cm="1">
        <f t="array" ref="M344">INDEX(GMWQ!$A$2:$NF$60,MATCH(1,(GMWQ!$NE$2:$NE$60=M$3)*(GMWQ!$ND$2:$ND$60=M$4)*(GMWQ!$NF$2:$NF$60=M$1),0),$E344-1966)</f>
        <v>681208.9</v>
      </c>
      <c r="N344" s="13" cm="1">
        <f t="array" ref="N344">INDEX(GMWQ!$A$2:$NF$60,MATCH(1,(GMWQ!$NE$2:$NE$60=N$3)*(GMWQ!$ND$2:$ND$60=N$4)*(GMWQ!$NF$2:$NF$60=N$1),0),$E344-1966)</f>
        <v>213.1859</v>
      </c>
      <c r="O344" s="13" cm="1">
        <f t="array" ref="O344">INDEX(GMWQ!$A$2:$NF$60,MATCH(1,(GMWQ!$NE$2:$NE$60=O$3)*(GMWQ!$ND$2:$ND$60=O$4)*(GMWQ!$NF$2:$NF$60=O$1),0),$E344-1966)</f>
        <v>39598.75</v>
      </c>
      <c r="P344" s="13" cm="1">
        <f t="array" ref="P344">INDEX(GMWQ!$A$2:$NF$60,MATCH(1,(GMWQ!$NE$2:$NE$60=P$3)*(GMWQ!$ND$2:$ND$60=P$4)*(GMWQ!$NF$2:$NF$60=P$1),0),$E344-1966)</f>
        <v>0</v>
      </c>
      <c r="Q344" s="13" cm="1">
        <f t="array" ref="Q344">INDEX(GMWQ!$A$2:$NF$60,MATCH(1,(GMWQ!$NE$2:$NE$60=Q$3)*(GMWQ!$ND$2:$ND$60=Q$4)*(GMWQ!$NF$2:$NF$60=Q$1),0),$E344-1966)</f>
        <v>0</v>
      </c>
    </row>
    <row r="345" spans="1:17" x14ac:dyDescent="0.25">
      <c r="B345" s="13">
        <f t="shared" si="27"/>
        <v>2057</v>
      </c>
      <c r="C345" s="13">
        <f t="shared" si="27"/>
        <v>2057</v>
      </c>
      <c r="E345" s="13">
        <f t="shared" si="25"/>
        <v>2311</v>
      </c>
      <c r="F345" s="13" cm="1">
        <f t="array" ref="F345">INDEX(GMWQ!$A$2:$NF$60,MATCH(1,(GMWQ!$NE$2:$NE$60=F$3)*(GMWQ!$ND$2:$ND$60=F$4)*(GMWQ!$NF$2:$NF$60=F$1),0),$E345-1966)</f>
        <v>299.35939999999999</v>
      </c>
      <c r="G345" s="13" cm="1">
        <f t="array" ref="G345">INDEX(GMWQ!$A$2:$NF$60,MATCH(1,(GMWQ!$NE$2:$NE$60=G$3)*(GMWQ!$ND$2:$ND$60=G$4)*(GMWQ!$NF$2:$NF$60=G$1),0),$E345-1966)</f>
        <v>148590.5</v>
      </c>
      <c r="H345" s="13" cm="1">
        <f t="array" ref="H345">INDEX(GMWQ!$A$2:$NF$60,MATCH(1,(GMWQ!$NE$2:$NE$60=H$3)*(GMWQ!$ND$2:$ND$60=H$4)*(GMWQ!$NF$2:$NF$60=H$1),0),$E345-1966)</f>
        <v>1921.366</v>
      </c>
      <c r="I345" s="13" cm="1">
        <f t="array" ref="I345">INDEX(GMWQ!$A$2:$NF$60,MATCH(1,(GMWQ!$NE$2:$NE$60=I$3)*(GMWQ!$ND$2:$ND$60=I$4)*(GMWQ!$NF$2:$NF$60=I$1),0),$E345-1966)</f>
        <v>509833.7</v>
      </c>
      <c r="J345" s="13" cm="1">
        <f t="array" ref="J345">INDEX(GMWQ!$A$2:$NF$60,MATCH(1,(GMWQ!$NE$2:$NE$60=J$3)*(GMWQ!$ND$2:$ND$60=J$4)*(GMWQ!$NF$2:$NF$60=J$1),0),$E345-1966)</f>
        <v>2378962</v>
      </c>
      <c r="K345" s="13" cm="1">
        <f t="array" ref="K345">INDEX(GMWQ!$A$2:$NF$60,MATCH(1,(GMWQ!$NE$2:$NE$60=K$3)*(GMWQ!$ND$2:$ND$60=K$4)*(GMWQ!$NF$2:$NF$60=K$1),0),$E345-1966)</f>
        <v>938696.4</v>
      </c>
      <c r="L345" s="13" cm="1">
        <f t="array" ref="L345">INDEX(GMWQ!$A$2:$NF$60,MATCH(1,(GMWQ!$NE$2:$NE$60=L$3)*(GMWQ!$ND$2:$ND$60=L$4)*(GMWQ!$NF$2:$NF$60=L$1),0),$E345-1966)</f>
        <v>1464163</v>
      </c>
      <c r="M345" s="13" cm="1">
        <f t="array" ref="M345">INDEX(GMWQ!$A$2:$NF$60,MATCH(1,(GMWQ!$NE$2:$NE$60=M$3)*(GMWQ!$ND$2:$ND$60=M$4)*(GMWQ!$NF$2:$NF$60=M$1),0),$E345-1966)</f>
        <v>683307.3</v>
      </c>
      <c r="N345" s="13" cm="1">
        <f t="array" ref="N345">INDEX(GMWQ!$A$2:$NF$60,MATCH(1,(GMWQ!$NE$2:$NE$60=N$3)*(GMWQ!$ND$2:$ND$60=N$4)*(GMWQ!$NF$2:$NF$60=N$1),0),$E345-1966)</f>
        <v>214.24379999999999</v>
      </c>
      <c r="O345" s="13" cm="1">
        <f t="array" ref="O345">INDEX(GMWQ!$A$2:$NF$60,MATCH(1,(GMWQ!$NE$2:$NE$60=O$3)*(GMWQ!$ND$2:$ND$60=O$4)*(GMWQ!$NF$2:$NF$60=O$1),0),$E345-1966)</f>
        <v>39610.83</v>
      </c>
      <c r="P345" s="13" cm="1">
        <f t="array" ref="P345">INDEX(GMWQ!$A$2:$NF$60,MATCH(1,(GMWQ!$NE$2:$NE$60=P$3)*(GMWQ!$ND$2:$ND$60=P$4)*(GMWQ!$NF$2:$NF$60=P$1),0),$E345-1966)</f>
        <v>0</v>
      </c>
      <c r="Q345" s="13" cm="1">
        <f t="array" ref="Q345">INDEX(GMWQ!$A$2:$NF$60,MATCH(1,(GMWQ!$NE$2:$NE$60=Q$3)*(GMWQ!$ND$2:$ND$60=Q$4)*(GMWQ!$NF$2:$NF$60=Q$1),0),$E345-1966)</f>
        <v>0</v>
      </c>
    </row>
    <row r="346" spans="1:17" x14ac:dyDescent="0.25">
      <c r="B346" s="13">
        <f t="shared" si="27"/>
        <v>2057</v>
      </c>
      <c r="C346" s="13">
        <f t="shared" si="27"/>
        <v>2057</v>
      </c>
      <c r="E346" s="13">
        <f t="shared" si="25"/>
        <v>2312</v>
      </c>
      <c r="F346" s="13" cm="1">
        <f t="array" ref="F346">INDEX(GMWQ!$A$2:$NF$60,MATCH(1,(GMWQ!$NE$2:$NE$60=F$3)*(GMWQ!$ND$2:$ND$60=F$4)*(GMWQ!$NF$2:$NF$60=F$1),0),$E346-1966)</f>
        <v>300.8734</v>
      </c>
      <c r="G346" s="13" cm="1">
        <f t="array" ref="G346">INDEX(GMWQ!$A$2:$NF$60,MATCH(1,(GMWQ!$NE$2:$NE$60=G$3)*(GMWQ!$ND$2:$ND$60=G$4)*(GMWQ!$NF$2:$NF$60=G$1),0),$E346-1966)</f>
        <v>149814.29999999999</v>
      </c>
      <c r="H346" s="13" cm="1">
        <f t="array" ref="H346">INDEX(GMWQ!$A$2:$NF$60,MATCH(1,(GMWQ!$NE$2:$NE$60=H$3)*(GMWQ!$ND$2:$ND$60=H$4)*(GMWQ!$NF$2:$NF$60=H$1),0),$E346-1966)</f>
        <v>1936.598</v>
      </c>
      <c r="I346" s="13" cm="1">
        <f t="array" ref="I346">INDEX(GMWQ!$A$2:$NF$60,MATCH(1,(GMWQ!$NE$2:$NE$60=I$3)*(GMWQ!$ND$2:$ND$60=I$4)*(GMWQ!$NF$2:$NF$60=I$1),0),$E346-1966)</f>
        <v>514058.4</v>
      </c>
      <c r="J346" s="13" cm="1">
        <f t="array" ref="J346">INDEX(GMWQ!$A$2:$NF$60,MATCH(1,(GMWQ!$NE$2:$NE$60=J$3)*(GMWQ!$ND$2:$ND$60=J$4)*(GMWQ!$NF$2:$NF$60=J$1),0),$E346-1966)</f>
        <v>2399320</v>
      </c>
      <c r="K346" s="13" cm="1">
        <f t="array" ref="K346">INDEX(GMWQ!$A$2:$NF$60,MATCH(1,(GMWQ!$NE$2:$NE$60=K$3)*(GMWQ!$ND$2:$ND$60=K$4)*(GMWQ!$NF$2:$NF$60=K$1),0),$E346-1966)</f>
        <v>946428</v>
      </c>
      <c r="L346" s="13" cm="1">
        <f t="array" ref="L346">INDEX(GMWQ!$A$2:$NF$60,MATCH(1,(GMWQ!$NE$2:$NE$60=L$3)*(GMWQ!$ND$2:$ND$60=L$4)*(GMWQ!$NF$2:$NF$60=L$1),0),$E346-1966)</f>
        <v>1475999</v>
      </c>
      <c r="M346" s="13" cm="1">
        <f t="array" ref="M346">INDEX(GMWQ!$A$2:$NF$60,MATCH(1,(GMWQ!$NE$2:$NE$60=M$3)*(GMWQ!$ND$2:$ND$60=M$4)*(GMWQ!$NF$2:$NF$60=M$1),0),$E346-1966)</f>
        <v>685430.8</v>
      </c>
      <c r="N346" s="13" cm="1">
        <f t="array" ref="N346">INDEX(GMWQ!$A$2:$NF$60,MATCH(1,(GMWQ!$NE$2:$NE$60=N$3)*(GMWQ!$ND$2:$ND$60=N$4)*(GMWQ!$NF$2:$NF$60=N$1),0),$E346-1966)</f>
        <v>215.30690000000001</v>
      </c>
      <c r="O346" s="13" cm="1">
        <f t="array" ref="O346">INDEX(GMWQ!$A$2:$NF$60,MATCH(1,(GMWQ!$NE$2:$NE$60=O$3)*(GMWQ!$ND$2:$ND$60=O$4)*(GMWQ!$NF$2:$NF$60=O$1),0),$E346-1966)</f>
        <v>39622.910000000003</v>
      </c>
      <c r="P346" s="13" cm="1">
        <f t="array" ref="P346">INDEX(GMWQ!$A$2:$NF$60,MATCH(1,(GMWQ!$NE$2:$NE$60=P$3)*(GMWQ!$ND$2:$ND$60=P$4)*(GMWQ!$NF$2:$NF$60=P$1),0),$E346-1966)</f>
        <v>0</v>
      </c>
      <c r="Q346" s="13" cm="1">
        <f t="array" ref="Q346">INDEX(GMWQ!$A$2:$NF$60,MATCH(1,(GMWQ!$NE$2:$NE$60=Q$3)*(GMWQ!$ND$2:$ND$60=Q$4)*(GMWQ!$NF$2:$NF$60=Q$1),0),$E346-1966)</f>
        <v>0</v>
      </c>
    </row>
    <row r="347" spans="1:17" x14ac:dyDescent="0.25">
      <c r="A347" s="13">
        <v>2058</v>
      </c>
      <c r="B347" s="13">
        <f t="shared" si="27"/>
        <v>2058</v>
      </c>
      <c r="C347" s="13">
        <f t="shared" si="27"/>
        <v>2057</v>
      </c>
      <c r="D347" s="13">
        <f t="shared" si="27"/>
        <v>2057</v>
      </c>
      <c r="E347" s="13">
        <f t="shared" si="25"/>
        <v>2313</v>
      </c>
      <c r="F347" s="13" cm="1">
        <f t="array" ref="F347">INDEX(GMWQ!$A$2:$NF$60,MATCH(1,(GMWQ!$NE$2:$NE$60=F$3)*(GMWQ!$ND$2:$ND$60=F$4)*(GMWQ!$NF$2:$NF$60=F$1),0),$E347-1966)</f>
        <v>302.39339999999999</v>
      </c>
      <c r="G347" s="13" cm="1">
        <f t="array" ref="G347">INDEX(GMWQ!$A$2:$NF$60,MATCH(1,(GMWQ!$NE$2:$NE$60=G$3)*(GMWQ!$ND$2:$ND$60=G$4)*(GMWQ!$NF$2:$NF$60=G$1),0),$E347-1966)</f>
        <v>151046.79999999999</v>
      </c>
      <c r="H347" s="13" cm="1">
        <f t="array" ref="H347">INDEX(GMWQ!$A$2:$NF$60,MATCH(1,(GMWQ!$NE$2:$NE$60=H$3)*(GMWQ!$ND$2:$ND$60=H$4)*(GMWQ!$NF$2:$NF$60=H$1),0),$E347-1966)</f>
        <v>1951.932</v>
      </c>
      <c r="I347" s="13" cm="1">
        <f t="array" ref="I347">INDEX(GMWQ!$A$2:$NF$60,MATCH(1,(GMWQ!$NE$2:$NE$60=I$3)*(GMWQ!$ND$2:$ND$60=I$4)*(GMWQ!$NF$2:$NF$60=I$1),0),$E347-1966)</f>
        <v>518583.2</v>
      </c>
      <c r="J347" s="13" cm="1">
        <f t="array" ref="J347">INDEX(GMWQ!$A$2:$NF$60,MATCH(1,(GMWQ!$NE$2:$NE$60=J$3)*(GMWQ!$ND$2:$ND$60=J$4)*(GMWQ!$NF$2:$NF$60=J$1),0),$E347-1966)</f>
        <v>2419841</v>
      </c>
      <c r="K347" s="13" cm="1">
        <f t="array" ref="K347">INDEX(GMWQ!$A$2:$NF$60,MATCH(1,(GMWQ!$NE$2:$NE$60=K$3)*(GMWQ!$ND$2:$ND$60=K$4)*(GMWQ!$NF$2:$NF$60=K$1),0),$E347-1966)</f>
        <v>954213.8</v>
      </c>
      <c r="L347" s="13" cm="1">
        <f t="array" ref="L347">INDEX(GMWQ!$A$2:$NF$60,MATCH(1,(GMWQ!$NE$2:$NE$60=L$3)*(GMWQ!$ND$2:$ND$60=L$4)*(GMWQ!$NF$2:$NF$60=L$1),0),$E347-1966)</f>
        <v>1487924</v>
      </c>
      <c r="M347" s="13" cm="1">
        <f t="array" ref="M347">INDEX(GMWQ!$A$2:$NF$60,MATCH(1,(GMWQ!$NE$2:$NE$60=M$3)*(GMWQ!$ND$2:$ND$60=M$4)*(GMWQ!$NF$2:$NF$60=M$1),0),$E347-1966)</f>
        <v>687557.6</v>
      </c>
      <c r="N347" s="13" cm="1">
        <f t="array" ref="N347">INDEX(GMWQ!$A$2:$NF$60,MATCH(1,(GMWQ!$NE$2:$NE$60=N$3)*(GMWQ!$ND$2:$ND$60=N$4)*(GMWQ!$NF$2:$NF$60=N$1),0),$E347-1966)</f>
        <v>216.37520000000001</v>
      </c>
      <c r="O347" s="13" cm="1">
        <f t="array" ref="O347">INDEX(GMWQ!$A$2:$NF$60,MATCH(1,(GMWQ!$NE$2:$NE$60=O$3)*(GMWQ!$ND$2:$ND$60=O$4)*(GMWQ!$NF$2:$NF$60=O$1),0),$E347-1966)</f>
        <v>39635</v>
      </c>
      <c r="P347" s="13" cm="1">
        <f t="array" ref="P347">INDEX(GMWQ!$A$2:$NF$60,MATCH(1,(GMWQ!$NE$2:$NE$60=P$3)*(GMWQ!$ND$2:$ND$60=P$4)*(GMWQ!$NF$2:$NF$60=P$1),0),$E347-1966)</f>
        <v>0</v>
      </c>
      <c r="Q347" s="13" cm="1">
        <f t="array" ref="Q347">INDEX(GMWQ!$A$2:$NF$60,MATCH(1,(GMWQ!$NE$2:$NE$60=Q$3)*(GMWQ!$ND$2:$ND$60=Q$4)*(GMWQ!$NF$2:$NF$60=Q$1),0),$E347-1966)</f>
        <v>0</v>
      </c>
    </row>
    <row r="348" spans="1:17" x14ac:dyDescent="0.25">
      <c r="B348" s="13">
        <f t="shared" ref="B348:D359" si="28">+B344+1</f>
        <v>2058</v>
      </c>
      <c r="C348" s="13">
        <f t="shared" si="28"/>
        <v>2058</v>
      </c>
      <c r="E348" s="13">
        <f t="shared" si="25"/>
        <v>2314</v>
      </c>
      <c r="F348" s="13" cm="1">
        <f t="array" ref="F348">INDEX(GMWQ!$A$2:$NF$60,MATCH(1,(GMWQ!$NE$2:$NE$60=F$3)*(GMWQ!$ND$2:$ND$60=F$4)*(GMWQ!$NF$2:$NF$60=F$1),0),$E348-1966)</f>
        <v>303.91989999999998</v>
      </c>
      <c r="G348" s="13" cm="1">
        <f t="array" ref="G348">INDEX(GMWQ!$A$2:$NF$60,MATCH(1,(GMWQ!$NE$2:$NE$60=G$3)*(GMWQ!$ND$2:$ND$60=G$4)*(GMWQ!$NF$2:$NF$60=G$1),0),$E348-1966)</f>
        <v>152287.9</v>
      </c>
      <c r="H348" s="13" cm="1">
        <f t="array" ref="H348">INDEX(GMWQ!$A$2:$NF$60,MATCH(1,(GMWQ!$NE$2:$NE$60=H$3)*(GMWQ!$ND$2:$ND$60=H$4)*(GMWQ!$NF$2:$NF$60=H$1),0),$E348-1966)</f>
        <v>1967.3689999999999</v>
      </c>
      <c r="I348" s="13" cm="1">
        <f t="array" ref="I348">INDEX(GMWQ!$A$2:$NF$60,MATCH(1,(GMWQ!$NE$2:$NE$60=I$3)*(GMWQ!$ND$2:$ND$60=I$4)*(GMWQ!$NF$2:$NF$60=I$1),0),$E348-1966)</f>
        <v>523308.6</v>
      </c>
      <c r="J348" s="13" cm="1">
        <f t="array" ref="J348">INDEX(GMWQ!$A$2:$NF$60,MATCH(1,(GMWQ!$NE$2:$NE$60=J$3)*(GMWQ!$ND$2:$ND$60=J$4)*(GMWQ!$NF$2:$NF$60=J$1),0),$E348-1966)</f>
        <v>2440524</v>
      </c>
      <c r="K348" s="13" cm="1">
        <f t="array" ref="K348">INDEX(GMWQ!$A$2:$NF$60,MATCH(1,(GMWQ!$NE$2:$NE$60=K$3)*(GMWQ!$ND$2:$ND$60=K$4)*(GMWQ!$NF$2:$NF$60=K$1),0),$E348-1966)</f>
        <v>962054.5</v>
      </c>
      <c r="L348" s="13" cm="1">
        <f t="array" ref="L348">INDEX(GMWQ!$A$2:$NF$60,MATCH(1,(GMWQ!$NE$2:$NE$60=L$3)*(GMWQ!$ND$2:$ND$60=L$4)*(GMWQ!$NF$2:$NF$60=L$1),0),$E348-1966)</f>
        <v>1499936</v>
      </c>
      <c r="M348" s="13" cm="1">
        <f t="array" ref="M348">INDEX(GMWQ!$A$2:$NF$60,MATCH(1,(GMWQ!$NE$2:$NE$60=M$3)*(GMWQ!$ND$2:$ND$60=M$4)*(GMWQ!$NF$2:$NF$60=M$1),0),$E348-1966)</f>
        <v>689686.8</v>
      </c>
      <c r="N348" s="13" cm="1">
        <f t="array" ref="N348">INDEX(GMWQ!$A$2:$NF$60,MATCH(1,(GMWQ!$NE$2:$NE$60=N$3)*(GMWQ!$ND$2:$ND$60=N$4)*(GMWQ!$NF$2:$NF$60=N$1),0),$E348-1966)</f>
        <v>217.44890000000001</v>
      </c>
      <c r="O348" s="13" cm="1">
        <f t="array" ref="O348">INDEX(GMWQ!$A$2:$NF$60,MATCH(1,(GMWQ!$NE$2:$NE$60=O$3)*(GMWQ!$ND$2:$ND$60=O$4)*(GMWQ!$NF$2:$NF$60=O$1),0),$E348-1966)</f>
        <v>39647.08</v>
      </c>
      <c r="P348" s="13" cm="1">
        <f t="array" ref="P348">INDEX(GMWQ!$A$2:$NF$60,MATCH(1,(GMWQ!$NE$2:$NE$60=P$3)*(GMWQ!$ND$2:$ND$60=P$4)*(GMWQ!$NF$2:$NF$60=P$1),0),$E348-1966)</f>
        <v>0</v>
      </c>
      <c r="Q348" s="13" cm="1">
        <f t="array" ref="Q348">INDEX(GMWQ!$A$2:$NF$60,MATCH(1,(GMWQ!$NE$2:$NE$60=Q$3)*(GMWQ!$ND$2:$ND$60=Q$4)*(GMWQ!$NF$2:$NF$60=Q$1),0),$E348-1966)</f>
        <v>0</v>
      </c>
    </row>
    <row r="349" spans="1:17" x14ac:dyDescent="0.25">
      <c r="B349" s="13">
        <f t="shared" si="28"/>
        <v>2058</v>
      </c>
      <c r="C349" s="13">
        <f t="shared" si="28"/>
        <v>2058</v>
      </c>
      <c r="E349" s="13">
        <f t="shared" si="25"/>
        <v>2315</v>
      </c>
      <c r="F349" s="13" cm="1">
        <f t="array" ref="F349">INDEX(GMWQ!$A$2:$NF$60,MATCH(1,(GMWQ!$NE$2:$NE$60=F$3)*(GMWQ!$ND$2:$ND$60=F$4)*(GMWQ!$NF$2:$NF$60=F$1),0),$E349-1966)</f>
        <v>305.4529</v>
      </c>
      <c r="G349" s="13" cm="1">
        <f t="array" ref="G349">INDEX(GMWQ!$A$2:$NF$60,MATCH(1,(GMWQ!$NE$2:$NE$60=G$3)*(GMWQ!$ND$2:$ND$60=G$4)*(GMWQ!$NF$2:$NF$60=G$1),0),$E349-1966)</f>
        <v>153536.5</v>
      </c>
      <c r="H349" s="13" cm="1">
        <f t="array" ref="H349">INDEX(GMWQ!$A$2:$NF$60,MATCH(1,(GMWQ!$NE$2:$NE$60=H$3)*(GMWQ!$ND$2:$ND$60=H$4)*(GMWQ!$NF$2:$NF$60=H$1),0),$E349-1966)</f>
        <v>1982.92</v>
      </c>
      <c r="I349" s="13" cm="1">
        <f t="array" ref="I349">INDEX(GMWQ!$A$2:$NF$60,MATCH(1,(GMWQ!$NE$2:$NE$60=I$3)*(GMWQ!$ND$2:$ND$60=I$4)*(GMWQ!$NF$2:$NF$60=I$1),0),$E349-1966)</f>
        <v>527505.6</v>
      </c>
      <c r="J349" s="13" cm="1">
        <f t="array" ref="J349">INDEX(GMWQ!$A$2:$NF$60,MATCH(1,(GMWQ!$NE$2:$NE$60=J$3)*(GMWQ!$ND$2:$ND$60=J$4)*(GMWQ!$NF$2:$NF$60=J$1),0),$E349-1966)</f>
        <v>2461347</v>
      </c>
      <c r="K349" s="13" cm="1">
        <f t="array" ref="K349">INDEX(GMWQ!$A$2:$NF$60,MATCH(1,(GMWQ!$NE$2:$NE$60=K$3)*(GMWQ!$ND$2:$ND$60=K$4)*(GMWQ!$NF$2:$NF$60=K$1),0),$E349-1966)</f>
        <v>969941.8</v>
      </c>
      <c r="L349" s="13" cm="1">
        <f t="array" ref="L349">INDEX(GMWQ!$A$2:$NF$60,MATCH(1,(GMWQ!$NE$2:$NE$60=L$3)*(GMWQ!$ND$2:$ND$60=L$4)*(GMWQ!$NF$2:$NF$60=L$1),0),$E349-1966)</f>
        <v>1512038</v>
      </c>
      <c r="M349" s="13" cm="1">
        <f t="array" ref="M349">INDEX(GMWQ!$A$2:$NF$60,MATCH(1,(GMWQ!$NE$2:$NE$60=M$3)*(GMWQ!$ND$2:$ND$60=M$4)*(GMWQ!$NF$2:$NF$60=M$1),0),$E349-1966)</f>
        <v>691819.6</v>
      </c>
      <c r="N349" s="13" cm="1">
        <f t="array" ref="N349">INDEX(GMWQ!$A$2:$NF$60,MATCH(1,(GMWQ!$NE$2:$NE$60=N$3)*(GMWQ!$ND$2:$ND$60=N$4)*(GMWQ!$NF$2:$NF$60=N$1),0),$E349-1966)</f>
        <v>218.52780000000001</v>
      </c>
      <c r="O349" s="13" cm="1">
        <f t="array" ref="O349">INDEX(GMWQ!$A$2:$NF$60,MATCH(1,(GMWQ!$NE$2:$NE$60=O$3)*(GMWQ!$ND$2:$ND$60=O$4)*(GMWQ!$NF$2:$NF$60=O$1),0),$E349-1966)</f>
        <v>39658.6</v>
      </c>
      <c r="P349" s="13" cm="1">
        <f t="array" ref="P349">INDEX(GMWQ!$A$2:$NF$60,MATCH(1,(GMWQ!$NE$2:$NE$60=P$3)*(GMWQ!$ND$2:$ND$60=P$4)*(GMWQ!$NF$2:$NF$60=P$1),0),$E349-1966)</f>
        <v>0</v>
      </c>
      <c r="Q349" s="13" cm="1">
        <f t="array" ref="Q349">INDEX(GMWQ!$A$2:$NF$60,MATCH(1,(GMWQ!$NE$2:$NE$60=Q$3)*(GMWQ!$ND$2:$ND$60=Q$4)*(GMWQ!$NF$2:$NF$60=Q$1),0),$E349-1966)</f>
        <v>0</v>
      </c>
    </row>
    <row r="350" spans="1:17" x14ac:dyDescent="0.25">
      <c r="B350" s="13">
        <f t="shared" si="28"/>
        <v>2058</v>
      </c>
      <c r="C350" s="13">
        <f t="shared" si="28"/>
        <v>2058</v>
      </c>
      <c r="E350" s="13">
        <f t="shared" si="25"/>
        <v>2316</v>
      </c>
      <c r="F350" s="13" cm="1">
        <f t="array" ref="F350">INDEX(GMWQ!$A$2:$NF$60,MATCH(1,(GMWQ!$NE$2:$NE$60=F$3)*(GMWQ!$ND$2:$ND$60=F$4)*(GMWQ!$NF$2:$NF$60=F$1),0),$E350-1966)</f>
        <v>306.99380000000002</v>
      </c>
      <c r="G350" s="13" cm="1">
        <f t="array" ref="G350">INDEX(GMWQ!$A$2:$NF$60,MATCH(1,(GMWQ!$NE$2:$NE$60=G$3)*(GMWQ!$ND$2:$ND$60=G$4)*(GMWQ!$NF$2:$NF$60=G$1),0),$E350-1966)</f>
        <v>154794.5</v>
      </c>
      <c r="H350" s="13" cm="1">
        <f t="array" ref="H350">INDEX(GMWQ!$A$2:$NF$60,MATCH(1,(GMWQ!$NE$2:$NE$60=H$3)*(GMWQ!$ND$2:$ND$60=H$4)*(GMWQ!$NF$2:$NF$60=H$1),0),$E350-1966)</f>
        <v>1998.5840000000001</v>
      </c>
      <c r="I350" s="13" cm="1">
        <f t="array" ref="I350">INDEX(GMWQ!$A$2:$NF$60,MATCH(1,(GMWQ!$NE$2:$NE$60=I$3)*(GMWQ!$ND$2:$ND$60=I$4)*(GMWQ!$NF$2:$NF$60=I$1),0),$E350-1966)</f>
        <v>531860.6</v>
      </c>
      <c r="J350" s="13" cm="1">
        <f t="array" ref="J350">INDEX(GMWQ!$A$2:$NF$60,MATCH(1,(GMWQ!$NE$2:$NE$60=J$3)*(GMWQ!$ND$2:$ND$60=J$4)*(GMWQ!$NF$2:$NF$60=J$1),0),$E350-1966)</f>
        <v>2482336</v>
      </c>
      <c r="K350" s="13" cm="1">
        <f t="array" ref="K350">INDEX(GMWQ!$A$2:$NF$60,MATCH(1,(GMWQ!$NE$2:$NE$60=K$3)*(GMWQ!$ND$2:$ND$60=K$4)*(GMWQ!$NF$2:$NF$60=K$1),0),$E350-1966)</f>
        <v>977889.4</v>
      </c>
      <c r="L350" s="13" cm="1">
        <f t="array" ref="L350">INDEX(GMWQ!$A$2:$NF$60,MATCH(1,(GMWQ!$NE$2:$NE$60=L$3)*(GMWQ!$ND$2:$ND$60=L$4)*(GMWQ!$NF$2:$NF$60=L$1),0),$E350-1966)</f>
        <v>1524214</v>
      </c>
      <c r="M350" s="13" cm="1">
        <f t="array" ref="M350">INDEX(GMWQ!$A$2:$NF$60,MATCH(1,(GMWQ!$NE$2:$NE$60=M$3)*(GMWQ!$ND$2:$ND$60=M$4)*(GMWQ!$NF$2:$NF$60=M$1),0),$E350-1966)</f>
        <v>693948.1</v>
      </c>
      <c r="N350" s="13" cm="1">
        <f t="array" ref="N350">INDEX(GMWQ!$A$2:$NF$60,MATCH(1,(GMWQ!$NE$2:$NE$60=N$3)*(GMWQ!$ND$2:$ND$60=N$4)*(GMWQ!$NF$2:$NF$60=N$1),0),$E350-1966)</f>
        <v>219.6122</v>
      </c>
      <c r="O350" s="13" cm="1">
        <f t="array" ref="O350">INDEX(GMWQ!$A$2:$NF$60,MATCH(1,(GMWQ!$NE$2:$NE$60=O$3)*(GMWQ!$ND$2:$ND$60=O$4)*(GMWQ!$NF$2:$NF$60=O$1),0),$E350-1966)</f>
        <v>39670.11</v>
      </c>
      <c r="P350" s="13" cm="1">
        <f t="array" ref="P350">INDEX(GMWQ!$A$2:$NF$60,MATCH(1,(GMWQ!$NE$2:$NE$60=P$3)*(GMWQ!$ND$2:$ND$60=P$4)*(GMWQ!$NF$2:$NF$60=P$1),0),$E350-1966)</f>
        <v>0</v>
      </c>
      <c r="Q350" s="13" cm="1">
        <f t="array" ref="Q350">INDEX(GMWQ!$A$2:$NF$60,MATCH(1,(GMWQ!$NE$2:$NE$60=Q$3)*(GMWQ!$ND$2:$ND$60=Q$4)*(GMWQ!$NF$2:$NF$60=Q$1),0),$E350-1966)</f>
        <v>0</v>
      </c>
    </row>
    <row r="351" spans="1:17" x14ac:dyDescent="0.25">
      <c r="A351" s="13">
        <v>2059</v>
      </c>
      <c r="B351" s="13">
        <f t="shared" si="28"/>
        <v>2059</v>
      </c>
      <c r="C351" s="13">
        <f t="shared" si="28"/>
        <v>2058</v>
      </c>
      <c r="D351" s="13">
        <f t="shared" si="28"/>
        <v>2058</v>
      </c>
      <c r="E351" s="13">
        <f t="shared" si="25"/>
        <v>2317</v>
      </c>
      <c r="F351" s="13" cm="1">
        <f t="array" ref="F351">INDEX(GMWQ!$A$2:$NF$60,MATCH(1,(GMWQ!$NE$2:$NE$60=F$3)*(GMWQ!$ND$2:$ND$60=F$4)*(GMWQ!$NF$2:$NF$60=F$1),0),$E351-1966)</f>
        <v>308.54300000000001</v>
      </c>
      <c r="G351" s="13" cm="1">
        <f t="array" ref="G351">INDEX(GMWQ!$A$2:$NF$60,MATCH(1,(GMWQ!$NE$2:$NE$60=G$3)*(GMWQ!$ND$2:$ND$60=G$4)*(GMWQ!$NF$2:$NF$60=G$1),0),$E351-1966)</f>
        <v>156062.39999999999</v>
      </c>
      <c r="H351" s="13" cm="1">
        <f t="array" ref="H351">INDEX(GMWQ!$A$2:$NF$60,MATCH(1,(GMWQ!$NE$2:$NE$60=H$3)*(GMWQ!$ND$2:$ND$60=H$4)*(GMWQ!$NF$2:$NF$60=H$1),0),$E351-1966)</f>
        <v>2014.367</v>
      </c>
      <c r="I351" s="13" cm="1">
        <f t="array" ref="I351">INDEX(GMWQ!$A$2:$NF$60,MATCH(1,(GMWQ!$NE$2:$NE$60=I$3)*(GMWQ!$ND$2:$ND$60=I$4)*(GMWQ!$NF$2:$NF$60=I$1),0),$E351-1966)</f>
        <v>536526.1</v>
      </c>
      <c r="J351" s="13" cm="1">
        <f t="array" ref="J351">INDEX(GMWQ!$A$2:$NF$60,MATCH(1,(GMWQ!$NE$2:$NE$60=J$3)*(GMWQ!$ND$2:$ND$60=J$4)*(GMWQ!$NF$2:$NF$60=J$1),0),$E351-1966)</f>
        <v>2503516</v>
      </c>
      <c r="K351" s="13" cm="1">
        <f t="array" ref="K351">INDEX(GMWQ!$A$2:$NF$60,MATCH(1,(GMWQ!$NE$2:$NE$60=K$3)*(GMWQ!$ND$2:$ND$60=K$4)*(GMWQ!$NF$2:$NF$60=K$1),0),$E351-1966)</f>
        <v>985898.9</v>
      </c>
      <c r="L351" s="13" cm="1">
        <f t="array" ref="L351">INDEX(GMWQ!$A$2:$NF$60,MATCH(1,(GMWQ!$NE$2:$NE$60=L$3)*(GMWQ!$ND$2:$ND$60=L$4)*(GMWQ!$NF$2:$NF$60=L$1),0),$E351-1966)</f>
        <v>1536482</v>
      </c>
      <c r="M351" s="13" cm="1">
        <f t="array" ref="M351">INDEX(GMWQ!$A$2:$NF$60,MATCH(1,(GMWQ!$NE$2:$NE$60=M$3)*(GMWQ!$ND$2:$ND$60=M$4)*(GMWQ!$NF$2:$NF$60=M$1),0),$E351-1966)</f>
        <v>696080.4</v>
      </c>
      <c r="N351" s="13" cm="1">
        <f t="array" ref="N351">INDEX(GMWQ!$A$2:$NF$60,MATCH(1,(GMWQ!$NE$2:$NE$60=N$3)*(GMWQ!$ND$2:$ND$60=N$4)*(GMWQ!$NF$2:$NF$60=N$1),0),$E351-1966)</f>
        <v>220.70189999999999</v>
      </c>
      <c r="O351" s="13" cm="1">
        <f t="array" ref="O351">INDEX(GMWQ!$A$2:$NF$60,MATCH(1,(GMWQ!$NE$2:$NE$60=O$3)*(GMWQ!$ND$2:$ND$60=O$4)*(GMWQ!$NF$2:$NF$60=O$1),0),$E351-1966)</f>
        <v>39681.629999999997</v>
      </c>
      <c r="P351" s="13" cm="1">
        <f t="array" ref="P351">INDEX(GMWQ!$A$2:$NF$60,MATCH(1,(GMWQ!$NE$2:$NE$60=P$3)*(GMWQ!$ND$2:$ND$60=P$4)*(GMWQ!$NF$2:$NF$60=P$1),0),$E351-1966)</f>
        <v>0</v>
      </c>
      <c r="Q351" s="13" cm="1">
        <f t="array" ref="Q351">INDEX(GMWQ!$A$2:$NF$60,MATCH(1,(GMWQ!$NE$2:$NE$60=Q$3)*(GMWQ!$ND$2:$ND$60=Q$4)*(GMWQ!$NF$2:$NF$60=Q$1),0),$E351-1966)</f>
        <v>0</v>
      </c>
    </row>
    <row r="352" spans="1:17" x14ac:dyDescent="0.25">
      <c r="B352" s="13">
        <f t="shared" si="28"/>
        <v>2059</v>
      </c>
      <c r="C352" s="13">
        <f t="shared" si="28"/>
        <v>2059</v>
      </c>
      <c r="E352" s="13">
        <f t="shared" si="25"/>
        <v>2318</v>
      </c>
      <c r="F352" s="13" cm="1">
        <f t="array" ref="F352">INDEX(GMWQ!$A$2:$NF$60,MATCH(1,(GMWQ!$NE$2:$NE$60=F$3)*(GMWQ!$ND$2:$ND$60=F$4)*(GMWQ!$NF$2:$NF$60=F$1),0),$E352-1966)</f>
        <v>310.10019999999997</v>
      </c>
      <c r="G352" s="13" cm="1">
        <f t="array" ref="G352">INDEX(GMWQ!$A$2:$NF$60,MATCH(1,(GMWQ!$NE$2:$NE$60=G$3)*(GMWQ!$ND$2:$ND$60=G$4)*(GMWQ!$NF$2:$NF$60=G$1),0),$E352-1966)</f>
        <v>157339.9</v>
      </c>
      <c r="H352" s="13" cm="1">
        <f t="array" ref="H352">INDEX(GMWQ!$A$2:$NF$60,MATCH(1,(GMWQ!$NE$2:$NE$60=H$3)*(GMWQ!$ND$2:$ND$60=H$4)*(GMWQ!$NF$2:$NF$60=H$1),0),$E352-1966)</f>
        <v>2030.2650000000001</v>
      </c>
      <c r="I352" s="13" cm="1">
        <f t="array" ref="I352">INDEX(GMWQ!$A$2:$NF$60,MATCH(1,(GMWQ!$NE$2:$NE$60=I$3)*(GMWQ!$ND$2:$ND$60=I$4)*(GMWQ!$NF$2:$NF$60=I$1),0),$E352-1966)</f>
        <v>541404.1</v>
      </c>
      <c r="J352" s="13" cm="1">
        <f t="array" ref="J352">INDEX(GMWQ!$A$2:$NF$60,MATCH(1,(GMWQ!$NE$2:$NE$60=J$3)*(GMWQ!$ND$2:$ND$60=J$4)*(GMWQ!$NF$2:$NF$60=J$1),0),$E352-1966)</f>
        <v>2524865</v>
      </c>
      <c r="K352" s="13" cm="1">
        <f t="array" ref="K352">INDEX(GMWQ!$A$2:$NF$60,MATCH(1,(GMWQ!$NE$2:$NE$60=K$3)*(GMWQ!$ND$2:$ND$60=K$4)*(GMWQ!$NF$2:$NF$60=K$1),0),$E352-1966)</f>
        <v>993969.5</v>
      </c>
      <c r="L352" s="13" cm="1">
        <f t="array" ref="L352">INDEX(GMWQ!$A$2:$NF$60,MATCH(1,(GMWQ!$NE$2:$NE$60=L$3)*(GMWQ!$ND$2:$ND$60=L$4)*(GMWQ!$NF$2:$NF$60=L$1),0),$E352-1966)</f>
        <v>1548840</v>
      </c>
      <c r="M352" s="13" cm="1">
        <f t="array" ref="M352">INDEX(GMWQ!$A$2:$NF$60,MATCH(1,(GMWQ!$NE$2:$NE$60=M$3)*(GMWQ!$ND$2:$ND$60=M$4)*(GMWQ!$NF$2:$NF$60=M$1),0),$E352-1966)</f>
        <v>698215.2</v>
      </c>
      <c r="N352" s="13" cm="1">
        <f t="array" ref="N352">INDEX(GMWQ!$A$2:$NF$60,MATCH(1,(GMWQ!$NE$2:$NE$60=N$3)*(GMWQ!$ND$2:$ND$60=N$4)*(GMWQ!$NF$2:$NF$60=N$1),0),$E352-1966)</f>
        <v>221.797</v>
      </c>
      <c r="O352" s="13" cm="1">
        <f t="array" ref="O352">INDEX(GMWQ!$A$2:$NF$60,MATCH(1,(GMWQ!$NE$2:$NE$60=O$3)*(GMWQ!$ND$2:$ND$60=O$4)*(GMWQ!$NF$2:$NF$60=O$1),0),$E352-1966)</f>
        <v>39693.14</v>
      </c>
      <c r="P352" s="13" cm="1">
        <f t="array" ref="P352">INDEX(GMWQ!$A$2:$NF$60,MATCH(1,(GMWQ!$NE$2:$NE$60=P$3)*(GMWQ!$ND$2:$ND$60=P$4)*(GMWQ!$NF$2:$NF$60=P$1),0),$E352-1966)</f>
        <v>0</v>
      </c>
      <c r="Q352" s="13" cm="1">
        <f t="array" ref="Q352">INDEX(GMWQ!$A$2:$NF$60,MATCH(1,(GMWQ!$NE$2:$NE$60=Q$3)*(GMWQ!$ND$2:$ND$60=Q$4)*(GMWQ!$NF$2:$NF$60=Q$1),0),$E352-1966)</f>
        <v>0</v>
      </c>
    </row>
    <row r="353" spans="1:17" x14ac:dyDescent="0.25">
      <c r="B353" s="13">
        <f t="shared" si="28"/>
        <v>2059</v>
      </c>
      <c r="C353" s="13">
        <f t="shared" si="28"/>
        <v>2059</v>
      </c>
      <c r="E353" s="13">
        <f t="shared" si="25"/>
        <v>2319</v>
      </c>
      <c r="F353" s="13" cm="1">
        <f t="array" ref="F353">INDEX(GMWQ!$A$2:$NF$60,MATCH(1,(GMWQ!$NE$2:$NE$60=F$3)*(GMWQ!$ND$2:$ND$60=F$4)*(GMWQ!$NF$2:$NF$60=F$1),0),$E353-1966)</f>
        <v>311.66989999999998</v>
      </c>
      <c r="G353" s="13" cm="1">
        <f t="array" ref="G353">INDEX(GMWQ!$A$2:$NF$60,MATCH(1,(GMWQ!$NE$2:$NE$60=G$3)*(GMWQ!$ND$2:$ND$60=G$4)*(GMWQ!$NF$2:$NF$60=G$1),0),$E353-1966)</f>
        <v>158634.70000000001</v>
      </c>
      <c r="H353" s="13" cm="1">
        <f t="array" ref="H353">INDEX(GMWQ!$A$2:$NF$60,MATCH(1,(GMWQ!$NE$2:$NE$60=H$3)*(GMWQ!$ND$2:$ND$60=H$4)*(GMWQ!$NF$2:$NF$60=H$1),0),$E353-1966)</f>
        <v>2046.27</v>
      </c>
      <c r="I353" s="13" cm="1">
        <f t="array" ref="I353">INDEX(GMWQ!$A$2:$NF$60,MATCH(1,(GMWQ!$NE$2:$NE$60=I$3)*(GMWQ!$ND$2:$ND$60=I$4)*(GMWQ!$NF$2:$NF$60=I$1),0),$E353-1966)</f>
        <v>545735.4</v>
      </c>
      <c r="J353" s="13" cm="1">
        <f t="array" ref="J353">INDEX(GMWQ!$A$2:$NF$60,MATCH(1,(GMWQ!$NE$2:$NE$60=J$3)*(GMWQ!$ND$2:$ND$60=J$4)*(GMWQ!$NF$2:$NF$60=J$1),0),$E353-1966)</f>
        <v>2546468</v>
      </c>
      <c r="K353" s="13" cm="1">
        <f t="array" ref="K353">INDEX(GMWQ!$A$2:$NF$60,MATCH(1,(GMWQ!$NE$2:$NE$60=K$3)*(GMWQ!$ND$2:$ND$60=K$4)*(GMWQ!$NF$2:$NF$60=K$1),0),$E353-1966)</f>
        <v>1002149</v>
      </c>
      <c r="L353" s="13" cm="1">
        <f t="array" ref="L353">INDEX(GMWQ!$A$2:$NF$60,MATCH(1,(GMWQ!$NE$2:$NE$60=L$3)*(GMWQ!$ND$2:$ND$60=L$4)*(GMWQ!$NF$2:$NF$60=L$1),0),$E353-1966)</f>
        <v>1561289</v>
      </c>
      <c r="M353" s="13" cm="1">
        <f t="array" ref="M353">INDEX(GMWQ!$A$2:$NF$60,MATCH(1,(GMWQ!$NE$2:$NE$60=M$3)*(GMWQ!$ND$2:$ND$60=M$4)*(GMWQ!$NF$2:$NF$60=M$1),0),$E353-1966)</f>
        <v>700352.9</v>
      </c>
      <c r="N353" s="13" cm="1">
        <f t="array" ref="N353">INDEX(GMWQ!$A$2:$NF$60,MATCH(1,(GMWQ!$NE$2:$NE$60=N$3)*(GMWQ!$ND$2:$ND$60=N$4)*(GMWQ!$NF$2:$NF$60=N$1),0),$E353-1966)</f>
        <v>222.89760000000001</v>
      </c>
      <c r="O353" s="13" cm="1">
        <f t="array" ref="O353">INDEX(GMWQ!$A$2:$NF$60,MATCH(1,(GMWQ!$NE$2:$NE$60=O$3)*(GMWQ!$ND$2:$ND$60=O$4)*(GMWQ!$NF$2:$NF$60=O$1),0),$E353-1966)</f>
        <v>39706.71</v>
      </c>
      <c r="P353" s="13" cm="1">
        <f t="array" ref="P353">INDEX(GMWQ!$A$2:$NF$60,MATCH(1,(GMWQ!$NE$2:$NE$60=P$3)*(GMWQ!$ND$2:$ND$60=P$4)*(GMWQ!$NF$2:$NF$60=P$1),0),$E353-1966)</f>
        <v>0</v>
      </c>
      <c r="Q353" s="13" cm="1">
        <f t="array" ref="Q353">INDEX(GMWQ!$A$2:$NF$60,MATCH(1,(GMWQ!$NE$2:$NE$60=Q$3)*(GMWQ!$ND$2:$ND$60=Q$4)*(GMWQ!$NF$2:$NF$60=Q$1),0),$E353-1966)</f>
        <v>0</v>
      </c>
    </row>
    <row r="354" spans="1:17" x14ac:dyDescent="0.25">
      <c r="B354" s="13">
        <f t="shared" si="28"/>
        <v>2059</v>
      </c>
      <c r="C354" s="13">
        <f t="shared" si="28"/>
        <v>2059</v>
      </c>
      <c r="E354" s="13">
        <f t="shared" si="25"/>
        <v>2320</v>
      </c>
      <c r="F354" s="13" cm="1">
        <f t="array" ref="F354">INDEX(GMWQ!$A$2:$NF$60,MATCH(1,(GMWQ!$NE$2:$NE$60=F$3)*(GMWQ!$ND$2:$ND$60=F$4)*(GMWQ!$NF$2:$NF$60=F$1),0),$E354-1966)</f>
        <v>313.24610000000001</v>
      </c>
      <c r="G354" s="13" cm="1">
        <f t="array" ref="G354">INDEX(GMWQ!$A$2:$NF$60,MATCH(1,(GMWQ!$NE$2:$NE$60=G$3)*(GMWQ!$ND$2:$ND$60=G$4)*(GMWQ!$NF$2:$NF$60=G$1),0),$E354-1966)</f>
        <v>159938.70000000001</v>
      </c>
      <c r="H354" s="13" cm="1">
        <f t="array" ref="H354">INDEX(GMWQ!$A$2:$NF$60,MATCH(1,(GMWQ!$NE$2:$NE$60=H$3)*(GMWQ!$ND$2:$ND$60=H$4)*(GMWQ!$NF$2:$NF$60=H$1),0),$E354-1966)</f>
        <v>2062.3820000000001</v>
      </c>
      <c r="I354" s="13" cm="1">
        <f t="array" ref="I354">INDEX(GMWQ!$A$2:$NF$60,MATCH(1,(GMWQ!$NE$2:$NE$60=I$3)*(GMWQ!$ND$2:$ND$60=I$4)*(GMWQ!$NF$2:$NF$60=I$1),0),$E354-1966)</f>
        <v>550253.9</v>
      </c>
      <c r="J354" s="13" cm="1">
        <f t="array" ref="J354">INDEX(GMWQ!$A$2:$NF$60,MATCH(1,(GMWQ!$NE$2:$NE$60=J$3)*(GMWQ!$ND$2:$ND$60=J$4)*(GMWQ!$NF$2:$NF$60=J$1),0),$E354-1966)</f>
        <v>2568243</v>
      </c>
      <c r="K354" s="13" cm="1">
        <f t="array" ref="K354">INDEX(GMWQ!$A$2:$NF$60,MATCH(1,(GMWQ!$NE$2:$NE$60=K$3)*(GMWQ!$ND$2:$ND$60=K$4)*(GMWQ!$NF$2:$NF$60=K$1),0),$E354-1966)</f>
        <v>1010387</v>
      </c>
      <c r="L354" s="13" cm="1">
        <f t="array" ref="L354">INDEX(GMWQ!$A$2:$NF$60,MATCH(1,(GMWQ!$NE$2:$NE$60=L$3)*(GMWQ!$ND$2:$ND$60=L$4)*(GMWQ!$NF$2:$NF$60=L$1),0),$E354-1966)</f>
        <v>1573885</v>
      </c>
      <c r="M354" s="13" cm="1">
        <f t="array" ref="M354">INDEX(GMWQ!$A$2:$NF$60,MATCH(1,(GMWQ!$NE$2:$NE$60=M$3)*(GMWQ!$ND$2:$ND$60=M$4)*(GMWQ!$NF$2:$NF$60=M$1),0),$E354-1966)</f>
        <v>702517.8</v>
      </c>
      <c r="N354" s="13" cm="1">
        <f t="array" ref="N354">INDEX(GMWQ!$A$2:$NF$60,MATCH(1,(GMWQ!$NE$2:$NE$60=N$3)*(GMWQ!$ND$2:$ND$60=N$4)*(GMWQ!$NF$2:$NF$60=N$1),0),$E354-1966)</f>
        <v>224.00360000000001</v>
      </c>
      <c r="O354" s="13" cm="1">
        <f t="array" ref="O354">INDEX(GMWQ!$A$2:$NF$60,MATCH(1,(GMWQ!$NE$2:$NE$60=O$3)*(GMWQ!$ND$2:$ND$60=O$4)*(GMWQ!$NF$2:$NF$60=O$1),0),$E354-1966)</f>
        <v>39720.29</v>
      </c>
      <c r="P354" s="13" cm="1">
        <f t="array" ref="P354">INDEX(GMWQ!$A$2:$NF$60,MATCH(1,(GMWQ!$NE$2:$NE$60=P$3)*(GMWQ!$ND$2:$ND$60=P$4)*(GMWQ!$NF$2:$NF$60=P$1),0),$E354-1966)</f>
        <v>0</v>
      </c>
      <c r="Q354" s="13" cm="1">
        <f t="array" ref="Q354">INDEX(GMWQ!$A$2:$NF$60,MATCH(1,(GMWQ!$NE$2:$NE$60=Q$3)*(GMWQ!$ND$2:$ND$60=Q$4)*(GMWQ!$NF$2:$NF$60=Q$1),0),$E354-1966)</f>
        <v>0</v>
      </c>
    </row>
    <row r="355" spans="1:17" x14ac:dyDescent="0.25">
      <c r="A355" s="13">
        <v>2060</v>
      </c>
      <c r="B355" s="13">
        <f t="shared" si="28"/>
        <v>2060</v>
      </c>
      <c r="C355" s="13">
        <f t="shared" si="28"/>
        <v>2059</v>
      </c>
      <c r="D355" s="13">
        <f t="shared" si="28"/>
        <v>2059</v>
      </c>
      <c r="E355" s="13">
        <f t="shared" si="25"/>
        <v>2321</v>
      </c>
      <c r="F355" s="13" cm="1">
        <f t="array" ref="F355">INDEX(GMWQ!$A$2:$NF$60,MATCH(1,(GMWQ!$NE$2:$NE$60=F$3)*(GMWQ!$ND$2:$ND$60=F$4)*(GMWQ!$NF$2:$NF$60=F$1),0),$E355-1966)</f>
        <v>314.82859999999999</v>
      </c>
      <c r="G355" s="13" cm="1">
        <f t="array" ref="G355">INDEX(GMWQ!$A$2:$NF$60,MATCH(1,(GMWQ!$NE$2:$NE$60=G$3)*(GMWQ!$ND$2:$ND$60=G$4)*(GMWQ!$NF$2:$NF$60=G$1),0),$E355-1966)</f>
        <v>161251.79999999999</v>
      </c>
      <c r="H355" s="13" cm="1">
        <f t="array" ref="H355">INDEX(GMWQ!$A$2:$NF$60,MATCH(1,(GMWQ!$NE$2:$NE$60=H$3)*(GMWQ!$ND$2:$ND$60=H$4)*(GMWQ!$NF$2:$NF$60=H$1),0),$E355-1966)</f>
        <v>2078.6010000000001</v>
      </c>
      <c r="I355" s="13" cm="1">
        <f t="array" ref="I355">INDEX(GMWQ!$A$2:$NF$60,MATCH(1,(GMWQ!$NE$2:$NE$60=I$3)*(GMWQ!$ND$2:$ND$60=I$4)*(GMWQ!$NF$2:$NF$60=I$1),0),$E355-1966)</f>
        <v>555093.69999999995</v>
      </c>
      <c r="J355" s="13" cm="1">
        <f t="array" ref="J355">INDEX(GMWQ!$A$2:$NF$60,MATCH(1,(GMWQ!$NE$2:$NE$60=J$3)*(GMWQ!$ND$2:$ND$60=J$4)*(GMWQ!$NF$2:$NF$60=J$1),0),$E355-1966)</f>
        <v>2590193</v>
      </c>
      <c r="K355" s="13" cm="1">
        <f t="array" ref="K355">INDEX(GMWQ!$A$2:$NF$60,MATCH(1,(GMWQ!$NE$2:$NE$60=K$3)*(GMWQ!$ND$2:$ND$60=K$4)*(GMWQ!$NF$2:$NF$60=K$1),0),$E355-1966)</f>
        <v>1018682</v>
      </c>
      <c r="L355" s="13" cm="1">
        <f t="array" ref="L355">INDEX(GMWQ!$A$2:$NF$60,MATCH(1,(GMWQ!$NE$2:$NE$60=L$3)*(GMWQ!$ND$2:$ND$60=L$4)*(GMWQ!$NF$2:$NF$60=L$1),0),$E355-1966)</f>
        <v>1586574</v>
      </c>
      <c r="M355" s="13" cm="1">
        <f t="array" ref="M355">INDEX(GMWQ!$A$2:$NF$60,MATCH(1,(GMWQ!$NE$2:$NE$60=M$3)*(GMWQ!$ND$2:$ND$60=M$4)*(GMWQ!$NF$2:$NF$60=M$1),0),$E355-1966)</f>
        <v>704685.8</v>
      </c>
      <c r="N355" s="13" cm="1">
        <f t="array" ref="N355">INDEX(GMWQ!$A$2:$NF$60,MATCH(1,(GMWQ!$NE$2:$NE$60=N$3)*(GMWQ!$ND$2:$ND$60=N$4)*(GMWQ!$NF$2:$NF$60=N$1),0),$E355-1966)</f>
        <v>225.11510000000001</v>
      </c>
      <c r="O355" s="13" cm="1">
        <f t="array" ref="O355">INDEX(GMWQ!$A$2:$NF$60,MATCH(1,(GMWQ!$NE$2:$NE$60=O$3)*(GMWQ!$ND$2:$ND$60=O$4)*(GMWQ!$NF$2:$NF$60=O$1),0),$E355-1966)</f>
        <v>39733.870000000003</v>
      </c>
      <c r="P355" s="13" cm="1">
        <f t="array" ref="P355">INDEX(GMWQ!$A$2:$NF$60,MATCH(1,(GMWQ!$NE$2:$NE$60=P$3)*(GMWQ!$ND$2:$ND$60=P$4)*(GMWQ!$NF$2:$NF$60=P$1),0),$E355-1966)</f>
        <v>0</v>
      </c>
      <c r="Q355" s="13" cm="1">
        <f t="array" ref="Q355">INDEX(GMWQ!$A$2:$NF$60,MATCH(1,(GMWQ!$NE$2:$NE$60=Q$3)*(GMWQ!$ND$2:$ND$60=Q$4)*(GMWQ!$NF$2:$NF$60=Q$1),0),$E355-1966)</f>
        <v>0</v>
      </c>
    </row>
    <row r="356" spans="1:17" x14ac:dyDescent="0.25">
      <c r="B356" s="13">
        <f t="shared" si="28"/>
        <v>2060</v>
      </c>
      <c r="C356" s="13">
        <f t="shared" si="28"/>
        <v>2060</v>
      </c>
      <c r="E356" s="13">
        <f t="shared" si="25"/>
        <v>2322</v>
      </c>
      <c r="F356" s="13" cm="1">
        <f t="array" ref="F356">INDEX(GMWQ!$A$2:$NF$60,MATCH(1,(GMWQ!$NE$2:$NE$60=F$3)*(GMWQ!$ND$2:$ND$60=F$4)*(GMWQ!$NF$2:$NF$60=F$1),0),$E356-1966)</f>
        <v>316.41770000000002</v>
      </c>
      <c r="G356" s="13" cm="1">
        <f t="array" ref="G356">INDEX(GMWQ!$A$2:$NF$60,MATCH(1,(GMWQ!$NE$2:$NE$60=G$3)*(GMWQ!$ND$2:$ND$60=G$4)*(GMWQ!$NF$2:$NF$60=G$1),0),$E356-1966)</f>
        <v>162574.20000000001</v>
      </c>
      <c r="H356" s="13" cm="1">
        <f t="array" ref="H356">INDEX(GMWQ!$A$2:$NF$60,MATCH(1,(GMWQ!$NE$2:$NE$60=H$3)*(GMWQ!$ND$2:$ND$60=H$4)*(GMWQ!$NF$2:$NF$60=H$1),0),$E356-1966)</f>
        <v>2094.9279999999999</v>
      </c>
      <c r="I356" s="13" cm="1">
        <f t="array" ref="I356">INDEX(GMWQ!$A$2:$NF$60,MATCH(1,(GMWQ!$NE$2:$NE$60=I$3)*(GMWQ!$ND$2:$ND$60=I$4)*(GMWQ!$NF$2:$NF$60=I$1),0),$E356-1966)</f>
        <v>560148.5</v>
      </c>
      <c r="J356" s="13" cm="1">
        <f t="array" ref="J356">INDEX(GMWQ!$A$2:$NF$60,MATCH(1,(GMWQ!$NE$2:$NE$60=J$3)*(GMWQ!$ND$2:$ND$60=J$4)*(GMWQ!$NF$2:$NF$60=J$1),0),$E356-1966)</f>
        <v>2612318</v>
      </c>
      <c r="K356" s="13" cm="1">
        <f t="array" ref="K356">INDEX(GMWQ!$A$2:$NF$60,MATCH(1,(GMWQ!$NE$2:$NE$60=K$3)*(GMWQ!$ND$2:$ND$60=K$4)*(GMWQ!$NF$2:$NF$60=K$1),0),$E356-1966)</f>
        <v>1027037</v>
      </c>
      <c r="L356" s="13" cm="1">
        <f t="array" ref="L356">INDEX(GMWQ!$A$2:$NF$60,MATCH(1,(GMWQ!$NE$2:$NE$60=L$3)*(GMWQ!$ND$2:$ND$60=L$4)*(GMWQ!$NF$2:$NF$60=L$1),0),$E356-1966)</f>
        <v>1599357</v>
      </c>
      <c r="M356" s="13" cm="1">
        <f t="array" ref="M356">INDEX(GMWQ!$A$2:$NF$60,MATCH(1,(GMWQ!$NE$2:$NE$60=M$3)*(GMWQ!$ND$2:$ND$60=M$4)*(GMWQ!$NF$2:$NF$60=M$1),0),$E356-1966)</f>
        <v>706857.1</v>
      </c>
      <c r="N356" s="13" cm="1">
        <f t="array" ref="N356">INDEX(GMWQ!$A$2:$NF$60,MATCH(1,(GMWQ!$NE$2:$NE$60=N$3)*(GMWQ!$ND$2:$ND$60=N$4)*(GMWQ!$NF$2:$NF$60=N$1),0),$E356-1966)</f>
        <v>226.2321</v>
      </c>
      <c r="O356" s="13" cm="1">
        <f t="array" ref="O356">INDEX(GMWQ!$A$2:$NF$60,MATCH(1,(GMWQ!$NE$2:$NE$60=O$3)*(GMWQ!$ND$2:$ND$60=O$4)*(GMWQ!$NF$2:$NF$60=O$1),0),$E356-1966)</f>
        <v>39747.449999999997</v>
      </c>
      <c r="P356" s="13" cm="1">
        <f t="array" ref="P356">INDEX(GMWQ!$A$2:$NF$60,MATCH(1,(GMWQ!$NE$2:$NE$60=P$3)*(GMWQ!$ND$2:$ND$60=P$4)*(GMWQ!$NF$2:$NF$60=P$1),0),$E356-1966)</f>
        <v>0</v>
      </c>
      <c r="Q356" s="13" cm="1">
        <f t="array" ref="Q356">INDEX(GMWQ!$A$2:$NF$60,MATCH(1,(GMWQ!$NE$2:$NE$60=Q$3)*(GMWQ!$ND$2:$ND$60=Q$4)*(GMWQ!$NF$2:$NF$60=Q$1),0),$E356-1966)</f>
        <v>0</v>
      </c>
    </row>
    <row r="357" spans="1:17" x14ac:dyDescent="0.25">
      <c r="B357" s="13">
        <f t="shared" si="28"/>
        <v>2060</v>
      </c>
      <c r="C357" s="13">
        <f t="shared" si="28"/>
        <v>2060</v>
      </c>
      <c r="E357" s="13">
        <f t="shared" si="25"/>
        <v>2323</v>
      </c>
      <c r="F357" s="13" cm="1">
        <f t="array" ref="F357">INDEX(GMWQ!$A$2:$NF$60,MATCH(1,(GMWQ!$NE$2:$NE$60=F$3)*(GMWQ!$ND$2:$ND$60=F$4)*(GMWQ!$NF$2:$NF$60=F$1),0),$E357-1966)</f>
        <v>318.01490000000001</v>
      </c>
      <c r="G357" s="13" cm="1">
        <f t="array" ref="G357">INDEX(GMWQ!$A$2:$NF$60,MATCH(1,(GMWQ!$NE$2:$NE$60=G$3)*(GMWQ!$ND$2:$ND$60=G$4)*(GMWQ!$NF$2:$NF$60=G$1),0),$E357-1966)</f>
        <v>163906.70000000001</v>
      </c>
      <c r="H357" s="13" cm="1">
        <f t="array" ref="H357">INDEX(GMWQ!$A$2:$NF$60,MATCH(1,(GMWQ!$NE$2:$NE$60=H$3)*(GMWQ!$ND$2:$ND$60=H$4)*(GMWQ!$NF$2:$NF$60=H$1),0),$E357-1966)</f>
        <v>2111.373</v>
      </c>
      <c r="I357" s="13" cm="1">
        <f t="array" ref="I357">INDEX(GMWQ!$A$2:$NF$60,MATCH(1,(GMWQ!$NE$2:$NE$60=I$3)*(GMWQ!$ND$2:$ND$60=I$4)*(GMWQ!$NF$2:$NF$60=I$1),0),$E357-1966)</f>
        <v>564637.9</v>
      </c>
      <c r="J357" s="13" cm="1">
        <f t="array" ref="J357">INDEX(GMWQ!$A$2:$NF$60,MATCH(1,(GMWQ!$NE$2:$NE$60=J$3)*(GMWQ!$ND$2:$ND$60=J$4)*(GMWQ!$NF$2:$NF$60=J$1),0),$E357-1966)</f>
        <v>2634618</v>
      </c>
      <c r="K357" s="13" cm="1">
        <f t="array" ref="K357">INDEX(GMWQ!$A$2:$NF$60,MATCH(1,(GMWQ!$NE$2:$NE$60=K$3)*(GMWQ!$ND$2:$ND$60=K$4)*(GMWQ!$NF$2:$NF$60=K$1),0),$E357-1966)</f>
        <v>1035454</v>
      </c>
      <c r="L357" s="13" cm="1">
        <f t="array" ref="L357">INDEX(GMWQ!$A$2:$NF$60,MATCH(1,(GMWQ!$NE$2:$NE$60=L$3)*(GMWQ!$ND$2:$ND$60=L$4)*(GMWQ!$NF$2:$NF$60=L$1),0),$E357-1966)</f>
        <v>1612237</v>
      </c>
      <c r="M357" s="13" cm="1">
        <f t="array" ref="M357">INDEX(GMWQ!$A$2:$NF$60,MATCH(1,(GMWQ!$NE$2:$NE$60=M$3)*(GMWQ!$ND$2:$ND$60=M$4)*(GMWQ!$NF$2:$NF$60=M$1),0),$E357-1966)</f>
        <v>709031.7</v>
      </c>
      <c r="N357" s="13" cm="1">
        <f t="array" ref="N357">INDEX(GMWQ!$A$2:$NF$60,MATCH(1,(GMWQ!$NE$2:$NE$60=N$3)*(GMWQ!$ND$2:$ND$60=N$4)*(GMWQ!$NF$2:$NF$60=N$1),0),$E357-1966)</f>
        <v>227.35470000000001</v>
      </c>
      <c r="O357" s="13" cm="1">
        <f t="array" ref="O357">INDEX(GMWQ!$A$2:$NF$60,MATCH(1,(GMWQ!$NE$2:$NE$60=O$3)*(GMWQ!$ND$2:$ND$60=O$4)*(GMWQ!$NF$2:$NF$60=O$1),0),$E357-1966)</f>
        <v>39761.040000000001</v>
      </c>
      <c r="P357" s="13" cm="1">
        <f t="array" ref="P357">INDEX(GMWQ!$A$2:$NF$60,MATCH(1,(GMWQ!$NE$2:$NE$60=P$3)*(GMWQ!$ND$2:$ND$60=P$4)*(GMWQ!$NF$2:$NF$60=P$1),0),$E357-1966)</f>
        <v>0</v>
      </c>
      <c r="Q357" s="13" cm="1">
        <f t="array" ref="Q357">INDEX(GMWQ!$A$2:$NF$60,MATCH(1,(GMWQ!$NE$2:$NE$60=Q$3)*(GMWQ!$ND$2:$ND$60=Q$4)*(GMWQ!$NF$2:$NF$60=Q$1),0),$E357-1966)</f>
        <v>0</v>
      </c>
    </row>
    <row r="358" spans="1:17" x14ac:dyDescent="0.25">
      <c r="B358" s="13">
        <f t="shared" si="28"/>
        <v>2060</v>
      </c>
      <c r="C358" s="13">
        <f t="shared" si="28"/>
        <v>2060</v>
      </c>
      <c r="E358" s="13">
        <f t="shared" si="25"/>
        <v>2324</v>
      </c>
      <c r="F358" s="13" cm="1">
        <f t="array" ref="F358">INDEX(GMWQ!$A$2:$NF$60,MATCH(1,(GMWQ!$NE$2:$NE$60=F$3)*(GMWQ!$ND$2:$ND$60=F$4)*(GMWQ!$NF$2:$NF$60=F$1),0),$E358-1966)</f>
        <v>319.61989999999997</v>
      </c>
      <c r="G358" s="13" cm="1">
        <f t="array" ref="G358">INDEX(GMWQ!$A$2:$NF$60,MATCH(1,(GMWQ!$NE$2:$NE$60=G$3)*(GMWQ!$ND$2:$ND$60=G$4)*(GMWQ!$NF$2:$NF$60=G$1),0),$E358-1966)</f>
        <v>165249.29999999999</v>
      </c>
      <c r="H358" s="13" cm="1">
        <f t="array" ref="H358">INDEX(GMWQ!$A$2:$NF$60,MATCH(1,(GMWQ!$NE$2:$NE$60=H$3)*(GMWQ!$ND$2:$ND$60=H$4)*(GMWQ!$NF$2:$NF$60=H$1),0),$E358-1966)</f>
        <v>2127.9389999999999</v>
      </c>
      <c r="I358" s="13" cm="1">
        <f t="array" ref="I358">INDEX(GMWQ!$A$2:$NF$60,MATCH(1,(GMWQ!$NE$2:$NE$60=I$3)*(GMWQ!$ND$2:$ND$60=I$4)*(GMWQ!$NF$2:$NF$60=I$1),0),$E358-1966)</f>
        <v>569301.9</v>
      </c>
      <c r="J358" s="13" cm="1">
        <f t="array" ref="J358">INDEX(GMWQ!$A$2:$NF$60,MATCH(1,(GMWQ!$NE$2:$NE$60=J$3)*(GMWQ!$ND$2:$ND$60=J$4)*(GMWQ!$NF$2:$NF$60=J$1),0),$E358-1966)</f>
        <v>2657099</v>
      </c>
      <c r="K358" s="13" cm="1">
        <f t="array" ref="K358">INDEX(GMWQ!$A$2:$NF$60,MATCH(1,(GMWQ!$NE$2:$NE$60=K$3)*(GMWQ!$ND$2:$ND$60=K$4)*(GMWQ!$NF$2:$NF$60=K$1),0),$E358-1966)</f>
        <v>1043936</v>
      </c>
      <c r="L358" s="13" cm="1">
        <f t="array" ref="L358">INDEX(GMWQ!$A$2:$NF$60,MATCH(1,(GMWQ!$NE$2:$NE$60=L$3)*(GMWQ!$ND$2:$ND$60=L$4)*(GMWQ!$NF$2:$NF$60=L$1),0),$E358-1966)</f>
        <v>1625213</v>
      </c>
      <c r="M358" s="13" cm="1">
        <f t="array" ref="M358">INDEX(GMWQ!$A$2:$NF$60,MATCH(1,(GMWQ!$NE$2:$NE$60=M$3)*(GMWQ!$ND$2:$ND$60=M$4)*(GMWQ!$NF$2:$NF$60=M$1),0),$E358-1966)</f>
        <v>711210.2</v>
      </c>
      <c r="N358" s="13" cm="1">
        <f t="array" ref="N358">INDEX(GMWQ!$A$2:$NF$60,MATCH(1,(GMWQ!$NE$2:$NE$60=N$3)*(GMWQ!$ND$2:$ND$60=N$4)*(GMWQ!$NF$2:$NF$60=N$1),0),$E358-1966)</f>
        <v>228.4828</v>
      </c>
      <c r="O358" s="13" cm="1">
        <f t="array" ref="O358">INDEX(GMWQ!$A$2:$NF$60,MATCH(1,(GMWQ!$NE$2:$NE$60=O$3)*(GMWQ!$ND$2:$ND$60=O$4)*(GMWQ!$NF$2:$NF$60=O$1),0),$E358-1966)</f>
        <v>39774.620000000003</v>
      </c>
      <c r="P358" s="13" cm="1">
        <f t="array" ref="P358">INDEX(GMWQ!$A$2:$NF$60,MATCH(1,(GMWQ!$NE$2:$NE$60=P$3)*(GMWQ!$ND$2:$ND$60=P$4)*(GMWQ!$NF$2:$NF$60=P$1),0),$E358-1966)</f>
        <v>0</v>
      </c>
      <c r="Q358" s="13" cm="1">
        <f t="array" ref="Q358">INDEX(GMWQ!$A$2:$NF$60,MATCH(1,(GMWQ!$NE$2:$NE$60=Q$3)*(GMWQ!$ND$2:$ND$60=Q$4)*(GMWQ!$NF$2:$NF$60=Q$1),0),$E358-1966)</f>
        <v>0</v>
      </c>
    </row>
    <row r="359" spans="1:17" x14ac:dyDescent="0.25">
      <c r="C359" s="13">
        <f t="shared" si="28"/>
        <v>2060</v>
      </c>
      <c r="D359" s="13">
        <f t="shared" si="28"/>
        <v>2060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A0E3-B724-49EF-B8B5-91554EDA8FFB}">
  <sheetPr codeName="Sheet12"/>
  <dimension ref="A1:NF19"/>
  <sheetViews>
    <sheetView workbookViewId="0">
      <pane xSplit="6" ySplit="1" topLeftCell="MX2" activePane="bottomRight" state="frozen"/>
      <selection pane="topRight" activeCell="G1" sqref="G1"/>
      <selection pane="bottomLeft" activeCell="A2" sqref="A2"/>
      <selection pane="bottomRight" activeCell="NF17" sqref="NF17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44" t="s">
        <v>823</v>
      </c>
      <c r="B1" s="44" t="s">
        <v>824</v>
      </c>
      <c r="C1" s="44" t="s">
        <v>825</v>
      </c>
      <c r="D1" s="44" t="s">
        <v>826</v>
      </c>
      <c r="E1" s="44" t="s">
        <v>827</v>
      </c>
      <c r="F1" s="44" t="s">
        <v>828</v>
      </c>
      <c r="G1" s="44" t="s">
        <v>829</v>
      </c>
      <c r="H1" s="44" t="s">
        <v>830</v>
      </c>
      <c r="I1" s="44" t="s">
        <v>831</v>
      </c>
      <c r="J1" s="44" t="s">
        <v>832</v>
      </c>
      <c r="K1" s="44" t="s">
        <v>833</v>
      </c>
      <c r="L1" s="44" t="s">
        <v>834</v>
      </c>
      <c r="M1" s="44" t="s">
        <v>835</v>
      </c>
      <c r="N1" s="44" t="s">
        <v>836</v>
      </c>
      <c r="O1" s="44" t="s">
        <v>837</v>
      </c>
      <c r="P1" s="44" t="s">
        <v>838</v>
      </c>
      <c r="Q1" s="44" t="s">
        <v>839</v>
      </c>
      <c r="R1" s="44" t="s">
        <v>840</v>
      </c>
      <c r="S1" s="44" t="s">
        <v>841</v>
      </c>
      <c r="T1" s="44" t="s">
        <v>842</v>
      </c>
      <c r="U1" s="44" t="s">
        <v>843</v>
      </c>
      <c r="V1" s="44" t="s">
        <v>844</v>
      </c>
      <c r="W1" s="44" t="s">
        <v>845</v>
      </c>
      <c r="X1" s="44" t="s">
        <v>846</v>
      </c>
      <c r="Y1" s="44" t="s">
        <v>847</v>
      </c>
      <c r="Z1" s="44" t="s">
        <v>848</v>
      </c>
      <c r="AA1" s="44" t="s">
        <v>849</v>
      </c>
      <c r="AB1" s="44" t="s">
        <v>850</v>
      </c>
      <c r="AC1" s="44" t="s">
        <v>851</v>
      </c>
      <c r="AD1" s="44" t="s">
        <v>852</v>
      </c>
      <c r="AE1" s="44" t="s">
        <v>853</v>
      </c>
      <c r="AF1" s="44" t="s">
        <v>854</v>
      </c>
      <c r="AG1" s="44" t="s">
        <v>855</v>
      </c>
      <c r="AH1" s="44" t="s">
        <v>856</v>
      </c>
      <c r="AI1" s="44" t="s">
        <v>857</v>
      </c>
      <c r="AJ1" s="44" t="s">
        <v>858</v>
      </c>
      <c r="AK1" s="44" t="s">
        <v>859</v>
      </c>
      <c r="AL1" s="44" t="s">
        <v>860</v>
      </c>
      <c r="AM1" s="44" t="s">
        <v>861</v>
      </c>
      <c r="AN1" s="44" t="s">
        <v>862</v>
      </c>
      <c r="AO1" s="44" t="s">
        <v>863</v>
      </c>
      <c r="AP1" s="44" t="s">
        <v>864</v>
      </c>
      <c r="AQ1" s="44" t="s">
        <v>865</v>
      </c>
      <c r="AR1" s="44" t="s">
        <v>866</v>
      </c>
      <c r="AS1" s="44" t="s">
        <v>867</v>
      </c>
      <c r="AT1" s="44" t="s">
        <v>868</v>
      </c>
      <c r="AU1" s="44" t="s">
        <v>869</v>
      </c>
      <c r="AV1" s="44" t="s">
        <v>870</v>
      </c>
      <c r="AW1" s="44" t="s">
        <v>871</v>
      </c>
      <c r="AX1" s="44" t="s">
        <v>872</v>
      </c>
      <c r="AY1" s="44" t="s">
        <v>873</v>
      </c>
      <c r="AZ1" s="44" t="s">
        <v>874</v>
      </c>
      <c r="BA1" s="44" t="s">
        <v>875</v>
      </c>
      <c r="BB1" s="44" t="s">
        <v>876</v>
      </c>
      <c r="BC1" s="44" t="s">
        <v>877</v>
      </c>
      <c r="BD1" s="44" t="s">
        <v>878</v>
      </c>
      <c r="BE1" s="44" t="s">
        <v>879</v>
      </c>
      <c r="BF1" s="44" t="s">
        <v>880</v>
      </c>
      <c r="BG1" s="44" t="s">
        <v>881</v>
      </c>
      <c r="BH1" s="44" t="s">
        <v>882</v>
      </c>
      <c r="BI1" s="44" t="s">
        <v>883</v>
      </c>
      <c r="BJ1" s="44" t="s">
        <v>884</v>
      </c>
      <c r="BK1" s="44" t="s">
        <v>885</v>
      </c>
      <c r="BL1" s="44" t="s">
        <v>886</v>
      </c>
      <c r="BM1" s="44" t="s">
        <v>887</v>
      </c>
      <c r="BN1" s="44" t="s">
        <v>888</v>
      </c>
      <c r="BO1" s="44" t="s">
        <v>889</v>
      </c>
      <c r="BP1" s="44" t="s">
        <v>890</v>
      </c>
      <c r="BQ1" s="44" t="s">
        <v>891</v>
      </c>
      <c r="BR1" s="44" t="s">
        <v>892</v>
      </c>
      <c r="BS1" s="44" t="s">
        <v>893</v>
      </c>
      <c r="BT1" s="44" t="s">
        <v>894</v>
      </c>
      <c r="BU1" s="44" t="s">
        <v>895</v>
      </c>
      <c r="BV1" s="44" t="s">
        <v>896</v>
      </c>
      <c r="BW1" s="44" t="s">
        <v>897</v>
      </c>
      <c r="BX1" s="44" t="s">
        <v>898</v>
      </c>
      <c r="BY1" s="44" t="s">
        <v>899</v>
      </c>
      <c r="BZ1" s="44" t="s">
        <v>900</v>
      </c>
      <c r="CA1" s="44" t="s">
        <v>901</v>
      </c>
      <c r="CB1" s="44" t="s">
        <v>902</v>
      </c>
      <c r="CC1" s="44" t="s">
        <v>903</v>
      </c>
      <c r="CD1" s="44" t="s">
        <v>904</v>
      </c>
      <c r="CE1" s="44" t="s">
        <v>905</v>
      </c>
      <c r="CF1" s="44" t="s">
        <v>906</v>
      </c>
      <c r="CG1" s="44" t="s">
        <v>907</v>
      </c>
      <c r="CH1" s="44" t="s">
        <v>908</v>
      </c>
      <c r="CI1" s="44" t="s">
        <v>909</v>
      </c>
      <c r="CJ1" s="44" t="s">
        <v>910</v>
      </c>
      <c r="CK1" s="44" t="s">
        <v>911</v>
      </c>
      <c r="CL1" s="44" t="s">
        <v>912</v>
      </c>
      <c r="CM1" s="44" t="s">
        <v>913</v>
      </c>
      <c r="CN1" s="44" t="s">
        <v>914</v>
      </c>
      <c r="CO1" s="44" t="s">
        <v>915</v>
      </c>
      <c r="CP1" s="44" t="s">
        <v>916</v>
      </c>
      <c r="CQ1" s="44" t="s">
        <v>917</v>
      </c>
      <c r="CR1" s="44" t="s">
        <v>918</v>
      </c>
      <c r="CS1" s="44" t="s">
        <v>919</v>
      </c>
      <c r="CT1" s="44" t="s">
        <v>920</v>
      </c>
      <c r="CU1" s="44" t="s">
        <v>921</v>
      </c>
      <c r="CV1" s="44" t="s">
        <v>922</v>
      </c>
      <c r="CW1" s="44" t="s">
        <v>923</v>
      </c>
      <c r="CX1" s="44" t="s">
        <v>924</v>
      </c>
      <c r="CY1" s="44" t="s">
        <v>925</v>
      </c>
      <c r="CZ1" s="44" t="s">
        <v>926</v>
      </c>
      <c r="DA1" s="44" t="s">
        <v>927</v>
      </c>
      <c r="DB1" s="44" t="s">
        <v>928</v>
      </c>
      <c r="DC1" s="44" t="s">
        <v>929</v>
      </c>
      <c r="DD1" s="44" t="s">
        <v>930</v>
      </c>
      <c r="DE1" s="44" t="s">
        <v>931</v>
      </c>
      <c r="DF1" s="44" t="s">
        <v>932</v>
      </c>
      <c r="DG1" s="44" t="s">
        <v>933</v>
      </c>
      <c r="DH1" s="44" t="s">
        <v>934</v>
      </c>
      <c r="DI1" s="44" t="s">
        <v>935</v>
      </c>
      <c r="DJ1" s="44" t="s">
        <v>936</v>
      </c>
      <c r="DK1" s="44" t="s">
        <v>937</v>
      </c>
      <c r="DL1" s="44" t="s">
        <v>938</v>
      </c>
      <c r="DM1" s="44" t="s">
        <v>939</v>
      </c>
      <c r="DN1" s="44" t="s">
        <v>940</v>
      </c>
      <c r="DO1" s="44" t="s">
        <v>941</v>
      </c>
      <c r="DP1" s="44" t="s">
        <v>942</v>
      </c>
      <c r="DQ1" s="44" t="s">
        <v>943</v>
      </c>
      <c r="DR1" s="44" t="s">
        <v>944</v>
      </c>
      <c r="DS1" s="44" t="s">
        <v>945</v>
      </c>
      <c r="DT1" s="44" t="s">
        <v>946</v>
      </c>
      <c r="DU1" s="44" t="s">
        <v>947</v>
      </c>
      <c r="DV1" s="44" t="s">
        <v>948</v>
      </c>
      <c r="DW1" s="44" t="s">
        <v>949</v>
      </c>
      <c r="DX1" s="44" t="s">
        <v>950</v>
      </c>
      <c r="DY1" s="44" t="s">
        <v>951</v>
      </c>
      <c r="DZ1" s="44" t="s">
        <v>952</v>
      </c>
      <c r="EA1" s="44" t="s">
        <v>953</v>
      </c>
      <c r="EB1" s="44" t="s">
        <v>954</v>
      </c>
      <c r="EC1" s="44" t="s">
        <v>955</v>
      </c>
      <c r="ED1" s="44" t="s">
        <v>956</v>
      </c>
      <c r="EE1" s="44" t="s">
        <v>957</v>
      </c>
      <c r="EF1" s="44" t="s">
        <v>958</v>
      </c>
      <c r="EG1" s="44" t="s">
        <v>959</v>
      </c>
      <c r="EH1" s="44" t="s">
        <v>960</v>
      </c>
      <c r="EI1" s="44" t="s">
        <v>961</v>
      </c>
      <c r="EJ1" s="44" t="s">
        <v>962</v>
      </c>
      <c r="EK1" s="44" t="s">
        <v>963</v>
      </c>
      <c r="EL1" s="44" t="s">
        <v>964</v>
      </c>
      <c r="EM1" s="44" t="s">
        <v>965</v>
      </c>
      <c r="EN1" s="44" t="s">
        <v>966</v>
      </c>
      <c r="EO1" s="44" t="s">
        <v>967</v>
      </c>
      <c r="EP1" s="44" t="s">
        <v>968</v>
      </c>
      <c r="EQ1" s="44" t="s">
        <v>969</v>
      </c>
      <c r="ER1" s="44" t="s">
        <v>970</v>
      </c>
      <c r="ES1" s="44" t="s">
        <v>971</v>
      </c>
      <c r="ET1" s="44" t="s">
        <v>972</v>
      </c>
      <c r="EU1" s="44" t="s">
        <v>973</v>
      </c>
      <c r="EV1" s="44" t="s">
        <v>974</v>
      </c>
      <c r="EW1" s="44" t="s">
        <v>975</v>
      </c>
      <c r="EX1" s="44" t="s">
        <v>976</v>
      </c>
      <c r="EY1" s="44" t="s">
        <v>977</v>
      </c>
      <c r="EZ1" s="44" t="s">
        <v>978</v>
      </c>
      <c r="FA1" s="44" t="s">
        <v>979</v>
      </c>
      <c r="FB1" s="44" t="s">
        <v>980</v>
      </c>
      <c r="FC1" s="44" t="s">
        <v>981</v>
      </c>
      <c r="FD1" s="44" t="s">
        <v>982</v>
      </c>
      <c r="FE1" s="44" t="s">
        <v>983</v>
      </c>
      <c r="FF1" s="44" t="s">
        <v>984</v>
      </c>
      <c r="FG1" s="44" t="s">
        <v>985</v>
      </c>
      <c r="FH1" s="44" t="s">
        <v>986</v>
      </c>
      <c r="FI1" s="44" t="s">
        <v>987</v>
      </c>
      <c r="FJ1" s="44" t="s">
        <v>988</v>
      </c>
      <c r="FK1" s="44" t="s">
        <v>989</v>
      </c>
      <c r="FL1" s="44" t="s">
        <v>990</v>
      </c>
      <c r="FM1" s="44" t="s">
        <v>991</v>
      </c>
      <c r="FN1" s="44" t="s">
        <v>992</v>
      </c>
      <c r="FO1" s="44" t="s">
        <v>993</v>
      </c>
      <c r="FP1" s="44" t="s">
        <v>994</v>
      </c>
      <c r="FQ1" s="44" t="s">
        <v>995</v>
      </c>
      <c r="FR1" s="44" t="s">
        <v>996</v>
      </c>
      <c r="FS1" s="44" t="s">
        <v>997</v>
      </c>
      <c r="FT1" s="44" t="s">
        <v>998</v>
      </c>
      <c r="FU1" s="44" t="s">
        <v>999</v>
      </c>
      <c r="FV1" s="44" t="s">
        <v>1000</v>
      </c>
      <c r="FW1" s="44" t="s">
        <v>1001</v>
      </c>
      <c r="FX1" s="44" t="s">
        <v>1002</v>
      </c>
      <c r="FY1" s="44" t="s">
        <v>1003</v>
      </c>
      <c r="FZ1" s="44" t="s">
        <v>1004</v>
      </c>
      <c r="GA1" s="44" t="s">
        <v>1005</v>
      </c>
      <c r="GB1" s="44" t="s">
        <v>1006</v>
      </c>
      <c r="GC1" s="44" t="s">
        <v>1007</v>
      </c>
      <c r="GD1" s="44" t="s">
        <v>1008</v>
      </c>
      <c r="GE1" s="44" t="s">
        <v>1009</v>
      </c>
      <c r="GF1" s="44" t="s">
        <v>1010</v>
      </c>
      <c r="GG1" s="44" t="s">
        <v>1011</v>
      </c>
      <c r="GH1" s="44" t="s">
        <v>1012</v>
      </c>
      <c r="GI1" s="44" t="s">
        <v>1013</v>
      </c>
      <c r="GJ1" s="44" t="s">
        <v>1014</v>
      </c>
      <c r="GK1" s="44" t="s">
        <v>1015</v>
      </c>
      <c r="GL1" s="44" t="s">
        <v>1016</v>
      </c>
      <c r="GM1" s="44" t="s">
        <v>1017</v>
      </c>
      <c r="GN1" s="44" t="s">
        <v>1018</v>
      </c>
      <c r="GO1" s="44" t="s">
        <v>1019</v>
      </c>
      <c r="GP1" s="44" t="s">
        <v>1020</v>
      </c>
      <c r="GQ1" s="44" t="s">
        <v>1021</v>
      </c>
      <c r="GR1" s="44" t="s">
        <v>1022</v>
      </c>
      <c r="GS1" s="44" t="s">
        <v>1023</v>
      </c>
      <c r="GT1" s="44" t="s">
        <v>1024</v>
      </c>
      <c r="GU1" s="44" t="s">
        <v>1025</v>
      </c>
      <c r="GV1" s="44" t="s">
        <v>1026</v>
      </c>
      <c r="GW1" s="44" t="s">
        <v>1027</v>
      </c>
      <c r="GX1" s="44" t="s">
        <v>1028</v>
      </c>
      <c r="GY1" s="44" t="s">
        <v>1029</v>
      </c>
      <c r="GZ1" s="44" t="s">
        <v>1030</v>
      </c>
      <c r="HA1" s="44" t="s">
        <v>1031</v>
      </c>
      <c r="HB1" s="44" t="s">
        <v>1032</v>
      </c>
      <c r="HC1" s="44" t="s">
        <v>1033</v>
      </c>
      <c r="HD1" s="44" t="s">
        <v>1034</v>
      </c>
      <c r="HE1" s="44" t="s">
        <v>1035</v>
      </c>
      <c r="HF1" s="44" t="s">
        <v>1036</v>
      </c>
      <c r="HG1" s="44" t="s">
        <v>1037</v>
      </c>
      <c r="HH1" s="44" t="s">
        <v>1038</v>
      </c>
      <c r="HI1" s="44" t="s">
        <v>1039</v>
      </c>
      <c r="HJ1" s="44" t="s">
        <v>1040</v>
      </c>
      <c r="HK1" s="44" t="s">
        <v>1041</v>
      </c>
      <c r="HL1" s="44" t="s">
        <v>1042</v>
      </c>
      <c r="HM1" s="44" t="s">
        <v>1043</v>
      </c>
      <c r="HN1" s="44" t="s">
        <v>1044</v>
      </c>
      <c r="HO1" s="44" t="s">
        <v>1045</v>
      </c>
      <c r="HP1" s="44" t="s">
        <v>1046</v>
      </c>
      <c r="HQ1" s="44" t="s">
        <v>1047</v>
      </c>
      <c r="HR1" s="44" t="s">
        <v>1048</v>
      </c>
      <c r="HS1" s="44" t="s">
        <v>1049</v>
      </c>
      <c r="HT1" s="44" t="s">
        <v>1050</v>
      </c>
      <c r="HU1" s="44" t="s">
        <v>1051</v>
      </c>
      <c r="HV1" s="44" t="s">
        <v>1052</v>
      </c>
      <c r="HW1" s="44" t="s">
        <v>1053</v>
      </c>
      <c r="HX1" s="44" t="s">
        <v>1054</v>
      </c>
      <c r="HY1" s="44" t="s">
        <v>1055</v>
      </c>
      <c r="HZ1" s="44" t="s">
        <v>1056</v>
      </c>
      <c r="IA1" s="44" t="s">
        <v>1057</v>
      </c>
      <c r="IB1" s="44" t="s">
        <v>1058</v>
      </c>
      <c r="IC1" s="44" t="s">
        <v>1059</v>
      </c>
      <c r="ID1" s="44" t="s">
        <v>1060</v>
      </c>
      <c r="IE1" s="44" t="s">
        <v>1061</v>
      </c>
      <c r="IF1" s="44" t="s">
        <v>1062</v>
      </c>
      <c r="IG1" s="44" t="s">
        <v>1063</v>
      </c>
      <c r="IH1" s="44" t="s">
        <v>1064</v>
      </c>
      <c r="II1" s="44" t="s">
        <v>1065</v>
      </c>
      <c r="IJ1" s="44" t="s">
        <v>1066</v>
      </c>
      <c r="IK1" s="44" t="s">
        <v>1067</v>
      </c>
      <c r="IL1" s="44" t="s">
        <v>1068</v>
      </c>
      <c r="IM1" s="44" t="s">
        <v>1069</v>
      </c>
      <c r="IN1" s="44" t="s">
        <v>1070</v>
      </c>
      <c r="IO1" s="44" t="s">
        <v>1071</v>
      </c>
      <c r="IP1" s="44" t="s">
        <v>1072</v>
      </c>
      <c r="IQ1" s="44" t="s">
        <v>1073</v>
      </c>
      <c r="IR1" s="44" t="s">
        <v>1074</v>
      </c>
      <c r="IS1" s="44" t="s">
        <v>1075</v>
      </c>
      <c r="IT1" s="44" t="s">
        <v>1076</v>
      </c>
      <c r="IU1" s="44" t="s">
        <v>1077</v>
      </c>
      <c r="IV1" s="44" t="s">
        <v>1078</v>
      </c>
      <c r="IW1" s="44" t="s">
        <v>1079</v>
      </c>
      <c r="IX1" s="44" t="s">
        <v>1080</v>
      </c>
      <c r="IY1" s="44" t="s">
        <v>1081</v>
      </c>
      <c r="IZ1" s="44" t="s">
        <v>1082</v>
      </c>
      <c r="JA1" s="44" t="s">
        <v>1083</v>
      </c>
      <c r="JB1" s="44" t="s">
        <v>1084</v>
      </c>
      <c r="JC1" s="44" t="s">
        <v>1085</v>
      </c>
      <c r="JD1" s="44" t="s">
        <v>1086</v>
      </c>
      <c r="JE1" s="44" t="s">
        <v>1087</v>
      </c>
      <c r="JF1" s="44" t="s">
        <v>1088</v>
      </c>
      <c r="JG1" s="44" t="s">
        <v>1089</v>
      </c>
      <c r="JH1" s="44" t="s">
        <v>1090</v>
      </c>
      <c r="JI1" s="44" t="s">
        <v>1091</v>
      </c>
      <c r="JJ1" s="44" t="s">
        <v>1092</v>
      </c>
      <c r="JK1" s="44" t="s">
        <v>1093</v>
      </c>
      <c r="JL1" s="44" t="s">
        <v>1094</v>
      </c>
      <c r="JM1" s="44" t="s">
        <v>1095</v>
      </c>
      <c r="JN1" s="44" t="s">
        <v>1096</v>
      </c>
      <c r="JO1" s="44" t="s">
        <v>1097</v>
      </c>
      <c r="JP1" s="44" t="s">
        <v>1098</v>
      </c>
      <c r="JQ1" s="44" t="s">
        <v>1099</v>
      </c>
      <c r="JR1" s="44" t="s">
        <v>1100</v>
      </c>
      <c r="JS1" s="44" t="s">
        <v>1101</v>
      </c>
      <c r="JT1" s="44" t="s">
        <v>1102</v>
      </c>
      <c r="JU1" s="44" t="s">
        <v>1103</v>
      </c>
      <c r="JV1" s="44" t="s">
        <v>1104</v>
      </c>
      <c r="JW1" s="44" t="s">
        <v>1105</v>
      </c>
      <c r="JX1" s="44" t="s">
        <v>1106</v>
      </c>
      <c r="JY1" s="44" t="s">
        <v>1107</v>
      </c>
      <c r="JZ1" s="44" t="s">
        <v>1108</v>
      </c>
      <c r="KA1" s="44" t="s">
        <v>1109</v>
      </c>
      <c r="KB1" s="44" t="s">
        <v>1110</v>
      </c>
      <c r="KC1" s="44" t="s">
        <v>1111</v>
      </c>
      <c r="KD1" s="44" t="s">
        <v>1112</v>
      </c>
      <c r="KE1" s="44" t="s">
        <v>1113</v>
      </c>
      <c r="KF1" s="44" t="s">
        <v>1114</v>
      </c>
      <c r="KG1" s="44" t="s">
        <v>1115</v>
      </c>
      <c r="KH1" s="44" t="s">
        <v>1116</v>
      </c>
      <c r="KI1" s="44" t="s">
        <v>1117</v>
      </c>
      <c r="KJ1" s="44" t="s">
        <v>1118</v>
      </c>
      <c r="KK1" s="44" t="s">
        <v>1119</v>
      </c>
      <c r="KL1" s="44" t="s">
        <v>1120</v>
      </c>
      <c r="KM1" s="44" t="s">
        <v>1121</v>
      </c>
      <c r="KN1" s="44" t="s">
        <v>1122</v>
      </c>
      <c r="KO1" s="44" t="s">
        <v>1123</v>
      </c>
      <c r="KP1" s="44" t="s">
        <v>1124</v>
      </c>
      <c r="KQ1" s="44" t="s">
        <v>1125</v>
      </c>
      <c r="KR1" s="44" t="s">
        <v>1126</v>
      </c>
      <c r="KS1" s="44" t="s">
        <v>1127</v>
      </c>
      <c r="KT1" s="44" t="s">
        <v>1128</v>
      </c>
      <c r="KU1" s="44" t="s">
        <v>1129</v>
      </c>
      <c r="KV1" s="44" t="s">
        <v>1130</v>
      </c>
      <c r="KW1" s="44" t="s">
        <v>1131</v>
      </c>
      <c r="KX1" s="44" t="s">
        <v>1132</v>
      </c>
      <c r="KY1" s="44" t="s">
        <v>1133</v>
      </c>
      <c r="KZ1" s="44" t="s">
        <v>1134</v>
      </c>
      <c r="LA1" s="44" t="s">
        <v>1135</v>
      </c>
      <c r="LB1" s="44" t="s">
        <v>1136</v>
      </c>
      <c r="LC1" s="44" t="s">
        <v>1137</v>
      </c>
      <c r="LD1" s="44" t="s">
        <v>1138</v>
      </c>
      <c r="LE1" s="44" t="s">
        <v>1139</v>
      </c>
      <c r="LF1" s="44" t="s">
        <v>1140</v>
      </c>
      <c r="LG1" s="44" t="s">
        <v>1141</v>
      </c>
      <c r="LH1" s="44" t="s">
        <v>1142</v>
      </c>
      <c r="LI1" s="44" t="s">
        <v>1143</v>
      </c>
      <c r="LJ1" s="44" t="s">
        <v>1144</v>
      </c>
      <c r="LK1" s="44" t="s">
        <v>1145</v>
      </c>
      <c r="LL1" s="44" t="s">
        <v>1146</v>
      </c>
      <c r="LM1" s="44" t="s">
        <v>1147</v>
      </c>
      <c r="LN1" s="44" t="s">
        <v>1148</v>
      </c>
      <c r="LO1" s="44" t="s">
        <v>1149</v>
      </c>
      <c r="LP1" s="44" t="s">
        <v>1150</v>
      </c>
      <c r="LQ1" s="44" t="s">
        <v>1151</v>
      </c>
      <c r="LR1" s="44" t="s">
        <v>1152</v>
      </c>
      <c r="LS1" s="44" t="s">
        <v>1153</v>
      </c>
      <c r="LT1" s="44" t="s">
        <v>1154</v>
      </c>
      <c r="LU1" s="44" t="s">
        <v>1155</v>
      </c>
      <c r="LV1" s="44" t="s">
        <v>1156</v>
      </c>
      <c r="LW1" s="44" t="s">
        <v>1157</v>
      </c>
      <c r="LX1" s="44" t="s">
        <v>1158</v>
      </c>
      <c r="LY1" s="44" t="s">
        <v>1159</v>
      </c>
      <c r="LZ1" s="44" t="s">
        <v>1160</v>
      </c>
      <c r="MA1" s="44" t="s">
        <v>1161</v>
      </c>
      <c r="MB1" s="44" t="s">
        <v>1162</v>
      </c>
      <c r="MC1" s="44" t="s">
        <v>1163</v>
      </c>
      <c r="MD1" s="44" t="s">
        <v>1164</v>
      </c>
      <c r="ME1" s="44" t="s">
        <v>1165</v>
      </c>
      <c r="MF1" s="44" t="s">
        <v>1166</v>
      </c>
      <c r="MG1" s="44" t="s">
        <v>1167</v>
      </c>
      <c r="MH1" s="44" t="s">
        <v>1168</v>
      </c>
      <c r="MI1" s="44" t="s">
        <v>1169</v>
      </c>
      <c r="MJ1" s="44" t="s">
        <v>1170</v>
      </c>
      <c r="MK1" s="44" t="s">
        <v>1171</v>
      </c>
      <c r="ML1" s="44" t="s">
        <v>1172</v>
      </c>
      <c r="MM1" s="44" t="s">
        <v>1173</v>
      </c>
      <c r="MN1" s="44" t="s">
        <v>1174</v>
      </c>
      <c r="MO1" s="44" t="s">
        <v>1175</v>
      </c>
      <c r="MP1" s="44" t="s">
        <v>1176</v>
      </c>
      <c r="MQ1" s="44" t="s">
        <v>1177</v>
      </c>
      <c r="MR1" s="44" t="s">
        <v>1178</v>
      </c>
      <c r="MS1" s="44" t="s">
        <v>1179</v>
      </c>
      <c r="MT1" s="44" t="s">
        <v>1180</v>
      </c>
      <c r="MU1" s="44" t="s">
        <v>1181</v>
      </c>
      <c r="MV1" s="44" t="s">
        <v>1182</v>
      </c>
      <c r="MW1" s="44" t="s">
        <v>1183</v>
      </c>
      <c r="MX1" s="44" t="s">
        <v>1184</v>
      </c>
      <c r="MY1" s="44" t="s">
        <v>1185</v>
      </c>
      <c r="MZ1" s="44" t="s">
        <v>1186</v>
      </c>
      <c r="NA1" s="44" t="s">
        <v>1187</v>
      </c>
      <c r="NB1" s="44" t="s">
        <v>1188</v>
      </c>
      <c r="NC1" s="44" t="s">
        <v>1189</v>
      </c>
      <c r="ND1" s="44" t="s">
        <v>1190</v>
      </c>
      <c r="NE1" s="44" t="s">
        <v>1191</v>
      </c>
      <c r="NF1" s="44" t="s">
        <v>1192</v>
      </c>
    </row>
    <row r="2" spans="1:370" x14ac:dyDescent="0.25">
      <c r="A2" t="s">
        <v>1193</v>
      </c>
      <c r="B2" t="s">
        <v>1194</v>
      </c>
      <c r="C2" s="1" t="s">
        <v>1433</v>
      </c>
      <c r="D2" t="s">
        <v>1195</v>
      </c>
      <c r="E2" t="s">
        <v>1196</v>
      </c>
      <c r="F2" t="s">
        <v>1197</v>
      </c>
      <c r="G2" s="11">
        <v>11.31073</v>
      </c>
      <c r="H2" s="11">
        <v>11.68304</v>
      </c>
      <c r="I2" s="11">
        <v>12.17741</v>
      </c>
      <c r="J2" s="11">
        <v>12.711510000000001</v>
      </c>
      <c r="K2" s="11">
        <v>13.40424</v>
      </c>
      <c r="L2" s="11">
        <v>13.850160000000001</v>
      </c>
      <c r="M2" s="11">
        <v>15.049390000000001</v>
      </c>
      <c r="N2" s="11">
        <v>16.370239999999999</v>
      </c>
      <c r="O2" s="11">
        <v>18.178339999999999</v>
      </c>
      <c r="P2" s="11">
        <v>19.014800000000001</v>
      </c>
      <c r="Q2" s="11">
        <v>20.264759999999999</v>
      </c>
      <c r="R2" s="11">
        <v>20.490079999999999</v>
      </c>
      <c r="S2" s="11">
        <v>20.755050000000001</v>
      </c>
      <c r="T2" s="11">
        <v>21.472860000000001</v>
      </c>
      <c r="U2" s="11">
        <v>21.82996</v>
      </c>
      <c r="V2" s="11">
        <v>21.986699999999999</v>
      </c>
      <c r="W2" s="11">
        <v>22.594069999999999</v>
      </c>
      <c r="X2" s="11">
        <v>23.132210000000001</v>
      </c>
      <c r="Y2" s="11">
        <v>23.4834</v>
      </c>
      <c r="Z2" s="11">
        <v>23.903269999999999</v>
      </c>
      <c r="AA2" s="11">
        <v>24.66358</v>
      </c>
      <c r="AB2" s="11">
        <v>25.338439999999999</v>
      </c>
      <c r="AC2" s="11">
        <v>25.691469999999999</v>
      </c>
      <c r="AD2" s="11">
        <v>26.299160000000001</v>
      </c>
      <c r="AE2" s="11">
        <v>27.45561</v>
      </c>
      <c r="AF2" s="11">
        <v>27.490459999999999</v>
      </c>
      <c r="AG2" s="11">
        <v>29.598659999999999</v>
      </c>
      <c r="AH2" s="11">
        <v>30.8156</v>
      </c>
      <c r="AI2" s="11">
        <v>32.540550000000003</v>
      </c>
      <c r="AJ2" s="11">
        <v>34.726950000000002</v>
      </c>
      <c r="AK2" s="11">
        <v>35.928190000000001</v>
      </c>
      <c r="AL2" s="11">
        <v>37.0792</v>
      </c>
      <c r="AM2" s="11">
        <v>37.69285</v>
      </c>
      <c r="AN2" s="11">
        <v>38.15502</v>
      </c>
      <c r="AO2" s="11">
        <v>38.569020000000002</v>
      </c>
      <c r="AP2" s="11">
        <v>39.219499999999996</v>
      </c>
      <c r="AQ2" s="11">
        <v>39.838569999999997</v>
      </c>
      <c r="AR2" s="11">
        <v>39.87285</v>
      </c>
      <c r="AS2" s="11">
        <v>40.107120000000002</v>
      </c>
      <c r="AT2" s="11">
        <v>40.315269999999998</v>
      </c>
      <c r="AU2" s="11">
        <v>40.524909999999998</v>
      </c>
      <c r="AV2" s="11">
        <v>40.86721</v>
      </c>
      <c r="AW2" s="11">
        <v>41.293210000000002</v>
      </c>
      <c r="AX2" s="11">
        <v>41.64593</v>
      </c>
      <c r="AY2" s="11">
        <v>41.877119999999998</v>
      </c>
      <c r="AZ2" s="11">
        <v>42.863860000000003</v>
      </c>
      <c r="BA2" s="11">
        <v>43.386560000000003</v>
      </c>
      <c r="BB2" s="11">
        <v>43.714590000000001</v>
      </c>
      <c r="BC2" s="11">
        <v>43.859360000000002</v>
      </c>
      <c r="BD2" s="11">
        <v>43.822589999999998</v>
      </c>
      <c r="BE2" s="11">
        <v>44.954189999999997</v>
      </c>
      <c r="BF2" s="11">
        <v>45.39808</v>
      </c>
      <c r="BG2" s="11">
        <v>45.991010000000003</v>
      </c>
      <c r="BH2" s="11">
        <v>46.486730000000001</v>
      </c>
      <c r="BI2" s="11">
        <v>46.848269999999999</v>
      </c>
      <c r="BJ2" s="11">
        <v>46.625970000000002</v>
      </c>
      <c r="BK2" s="11">
        <v>46.734940000000002</v>
      </c>
      <c r="BL2" s="11">
        <v>47.143540000000002</v>
      </c>
      <c r="BM2" s="11">
        <v>47.220829999999999</v>
      </c>
      <c r="BN2" s="11">
        <v>47.960340000000002</v>
      </c>
      <c r="BO2" s="11">
        <v>48.486249999999998</v>
      </c>
      <c r="BP2" s="11">
        <v>49.414969999999997</v>
      </c>
      <c r="BQ2" s="11">
        <v>50.342970000000001</v>
      </c>
      <c r="BR2" s="11">
        <v>51.531849999999999</v>
      </c>
      <c r="BS2" s="11">
        <v>52.552460000000004</v>
      </c>
      <c r="BT2" s="11">
        <v>53.574669999999998</v>
      </c>
      <c r="BU2" s="11">
        <v>54.88494</v>
      </c>
      <c r="BV2" s="11">
        <v>56.612250000000003</v>
      </c>
      <c r="BW2" s="11">
        <v>57.932279999999999</v>
      </c>
      <c r="BX2" s="11">
        <v>58.926490000000001</v>
      </c>
      <c r="BY2" s="11">
        <v>60.597549999999998</v>
      </c>
      <c r="BZ2" s="11">
        <v>61.549779999999998</v>
      </c>
      <c r="CA2" s="11">
        <v>62.954430000000002</v>
      </c>
      <c r="CB2" s="11">
        <v>64.018299999999996</v>
      </c>
      <c r="CC2" s="11">
        <v>65.249420000000001</v>
      </c>
      <c r="CD2" s="11">
        <v>66.141959999999997</v>
      </c>
      <c r="CE2" s="11">
        <v>66.781809999999993</v>
      </c>
      <c r="CF2" s="11">
        <v>66.674689999999998</v>
      </c>
      <c r="CG2" s="11">
        <v>66.449650000000005</v>
      </c>
      <c r="CH2" s="11">
        <v>66.484099999999998</v>
      </c>
      <c r="CI2" s="11">
        <v>66.488950000000003</v>
      </c>
      <c r="CJ2" s="11">
        <v>67.052409999999995</v>
      </c>
      <c r="CK2" s="11">
        <v>67.312259999999995</v>
      </c>
      <c r="CL2" s="11">
        <v>67.660259999999994</v>
      </c>
      <c r="CM2" s="11">
        <v>67.295590000000004</v>
      </c>
      <c r="CN2" s="11">
        <v>66.660129999999995</v>
      </c>
      <c r="CO2" s="11">
        <v>67.098290000000006</v>
      </c>
      <c r="CP2" s="11">
        <v>67.555109999999999</v>
      </c>
      <c r="CQ2" s="11">
        <v>67.762289999999993</v>
      </c>
      <c r="CR2" s="11">
        <v>68.626689999999996</v>
      </c>
      <c r="CS2" s="11">
        <v>68.505549999999999</v>
      </c>
      <c r="CT2" s="11">
        <v>69.301109999999994</v>
      </c>
      <c r="CU2" s="11">
        <v>69.588480000000004</v>
      </c>
      <c r="CV2" s="11">
        <v>70.225399999999993</v>
      </c>
      <c r="CW2" s="11">
        <v>70.571240000000003</v>
      </c>
      <c r="CX2" s="11">
        <v>70.170429999999996</v>
      </c>
      <c r="CY2" s="11">
        <v>71.376000000000005</v>
      </c>
      <c r="CZ2" s="11">
        <v>72.359440000000006</v>
      </c>
      <c r="DA2" s="11">
        <v>73.215940000000003</v>
      </c>
      <c r="DB2" s="11">
        <v>72.752009999999999</v>
      </c>
      <c r="DC2" s="11">
        <v>72.372510000000005</v>
      </c>
      <c r="DD2" s="11">
        <v>73.19435</v>
      </c>
      <c r="DE2" s="11">
        <v>74.333060000000003</v>
      </c>
      <c r="DF2" s="11">
        <v>74.287930000000003</v>
      </c>
      <c r="DG2" s="11">
        <v>76.114940000000004</v>
      </c>
      <c r="DH2" s="11">
        <v>77.443020000000004</v>
      </c>
      <c r="DI2" s="11">
        <v>77.584969999999998</v>
      </c>
      <c r="DJ2" s="11">
        <v>77.568190000000001</v>
      </c>
      <c r="DK2" s="11">
        <v>77.594200000000001</v>
      </c>
      <c r="DL2" s="11">
        <v>78.701040000000006</v>
      </c>
      <c r="DM2" s="11">
        <v>79.935569999999998</v>
      </c>
      <c r="DN2" s="11">
        <v>81.523009999999999</v>
      </c>
      <c r="DO2" s="11">
        <v>82.72627</v>
      </c>
      <c r="DP2" s="11">
        <v>82.110759999999999</v>
      </c>
      <c r="DQ2" s="11">
        <v>82.220650000000006</v>
      </c>
      <c r="DR2" s="11">
        <v>82.690380000000005</v>
      </c>
      <c r="DS2" s="11">
        <v>82.958079999999995</v>
      </c>
      <c r="DT2" s="11">
        <v>82.72851</v>
      </c>
      <c r="DU2" s="11">
        <v>82.795910000000006</v>
      </c>
      <c r="DV2" s="11">
        <v>83.353229999999996</v>
      </c>
      <c r="DW2" s="11">
        <v>83.9208</v>
      </c>
      <c r="DX2" s="11">
        <v>83.920559999999995</v>
      </c>
      <c r="DY2" s="11">
        <v>85.274410000000003</v>
      </c>
      <c r="DZ2" s="11">
        <v>85.869309999999999</v>
      </c>
      <c r="EA2" s="11">
        <v>87.352059999999994</v>
      </c>
      <c r="EB2" s="11">
        <v>87.178790000000006</v>
      </c>
      <c r="EC2" s="11">
        <v>88.723380000000006</v>
      </c>
      <c r="ED2" s="11">
        <v>90.059650000000005</v>
      </c>
      <c r="EE2" s="11">
        <v>91.265820000000005</v>
      </c>
      <c r="EF2" s="11">
        <v>90.49091</v>
      </c>
      <c r="EG2" s="11">
        <v>91.347210000000004</v>
      </c>
      <c r="EH2" s="11">
        <v>90.819419999999994</v>
      </c>
      <c r="EI2" s="11">
        <v>93.32159</v>
      </c>
      <c r="EJ2" s="11">
        <v>92.744410000000002</v>
      </c>
      <c r="EK2" s="11">
        <v>93.980130000000003</v>
      </c>
      <c r="EL2" s="11">
        <v>95.982370000000003</v>
      </c>
      <c r="EM2" s="11">
        <v>97.296390000000002</v>
      </c>
      <c r="EN2" s="11">
        <v>97.197559999999996</v>
      </c>
      <c r="EO2" s="11">
        <v>98.634910000000005</v>
      </c>
      <c r="EP2" s="11">
        <v>97.96114</v>
      </c>
      <c r="EQ2" s="11">
        <v>99.501630000000006</v>
      </c>
      <c r="ER2" s="11">
        <v>98.887450000000001</v>
      </c>
      <c r="ES2" s="11">
        <v>100.008</v>
      </c>
      <c r="ET2" s="11">
        <v>101.60299999999999</v>
      </c>
      <c r="EU2" s="11">
        <v>102.3583</v>
      </c>
      <c r="EV2" s="11">
        <v>104.1228</v>
      </c>
      <c r="EW2" s="11">
        <v>103.6772</v>
      </c>
      <c r="EX2" s="11">
        <v>104.8081</v>
      </c>
      <c r="EY2" s="11">
        <v>104.5424</v>
      </c>
      <c r="EZ2" s="11">
        <v>103.5501</v>
      </c>
      <c r="FA2" s="11">
        <v>103.9633</v>
      </c>
      <c r="FB2" s="11">
        <v>103.9308</v>
      </c>
      <c r="FC2" s="11">
        <v>106.2204</v>
      </c>
      <c r="FD2" s="11">
        <v>105.1857</v>
      </c>
      <c r="FE2" s="11">
        <v>104.4241</v>
      </c>
      <c r="FF2" s="11">
        <v>104.49979999999999</v>
      </c>
      <c r="FG2" s="11">
        <v>105.1093</v>
      </c>
      <c r="FH2" s="11">
        <v>105.9355</v>
      </c>
      <c r="FI2" s="11">
        <v>105.08540000000001</v>
      </c>
      <c r="FJ2" s="11">
        <v>105.78</v>
      </c>
      <c r="FK2" s="11">
        <v>105.813</v>
      </c>
      <c r="FL2" s="11">
        <v>108.6726</v>
      </c>
      <c r="FM2" s="11">
        <v>108.0243</v>
      </c>
      <c r="FN2" s="11">
        <v>108.1934</v>
      </c>
      <c r="FO2" s="11">
        <v>108.4132</v>
      </c>
      <c r="FP2" s="11">
        <v>107.0247</v>
      </c>
      <c r="FQ2" s="11">
        <v>105.9806</v>
      </c>
      <c r="FR2" s="11">
        <v>106.4263</v>
      </c>
      <c r="FS2" s="11">
        <v>107.6554</v>
      </c>
      <c r="FT2" s="11">
        <v>107.7436</v>
      </c>
      <c r="FU2" s="11">
        <v>108.6159</v>
      </c>
      <c r="FV2" s="11">
        <v>108.54730000000001</v>
      </c>
      <c r="FW2" s="11">
        <v>109.2957</v>
      </c>
      <c r="FX2" s="11">
        <v>110.5784</v>
      </c>
      <c r="FY2" s="11">
        <v>111.0078</v>
      </c>
      <c r="FZ2" s="11">
        <v>110.4295</v>
      </c>
      <c r="GA2" s="11">
        <v>111.2424</v>
      </c>
      <c r="GB2" s="11">
        <v>112.0501</v>
      </c>
      <c r="GC2" s="11">
        <v>111.80800000000001</v>
      </c>
      <c r="GD2" s="11">
        <v>111.70650000000001</v>
      </c>
      <c r="GE2" s="11">
        <v>114.07389999999999</v>
      </c>
      <c r="GF2" s="11">
        <v>113.6866</v>
      </c>
      <c r="GG2" s="11">
        <v>115.17919999999999</v>
      </c>
      <c r="GH2" s="11">
        <v>116.4156</v>
      </c>
      <c r="GI2" s="11">
        <v>116.8866</v>
      </c>
      <c r="GJ2" s="11">
        <v>118.69540000000001</v>
      </c>
      <c r="GK2" s="11">
        <v>118.1284</v>
      </c>
      <c r="GL2" s="11">
        <v>118.05759999999999</v>
      </c>
      <c r="GM2" s="11">
        <v>121.4135</v>
      </c>
      <c r="GN2" s="11">
        <v>148.0633</v>
      </c>
      <c r="GO2" s="11">
        <v>130.36799999999999</v>
      </c>
      <c r="GP2" s="11">
        <v>131.90299999999999</v>
      </c>
      <c r="GQ2" s="11">
        <v>133.5222</v>
      </c>
      <c r="GR2" s="11">
        <v>127.8947</v>
      </c>
      <c r="GS2" s="11">
        <v>127.1511</v>
      </c>
      <c r="GT2" s="11">
        <v>126.23139999999999</v>
      </c>
      <c r="GU2" s="11">
        <v>128.774</v>
      </c>
      <c r="GV2" s="11">
        <v>130.8664</v>
      </c>
      <c r="GW2" s="11">
        <v>133.08009999999999</v>
      </c>
      <c r="GX2" s="11">
        <v>135.47059999999999</v>
      </c>
      <c r="GY2" s="11">
        <v>138.5436</v>
      </c>
      <c r="GZ2" s="11">
        <v>141.43100000000001</v>
      </c>
      <c r="HA2" s="11">
        <v>142.7002</v>
      </c>
      <c r="HB2" s="11">
        <v>144.6448</v>
      </c>
      <c r="HC2" s="11">
        <v>146.21080000000001</v>
      </c>
      <c r="HD2" s="11">
        <v>148.0625</v>
      </c>
      <c r="HE2" s="11">
        <v>149.06039999999999</v>
      </c>
      <c r="HF2" s="12">
        <v>151.52619999999999</v>
      </c>
      <c r="HG2" s="12">
        <v>152.41929999999999</v>
      </c>
      <c r="HH2" s="12">
        <v>156.24039999999999</v>
      </c>
      <c r="HI2" s="12">
        <v>157.3201</v>
      </c>
      <c r="HJ2" s="12">
        <v>158.30940000000001</v>
      </c>
      <c r="HK2" s="12">
        <v>159.12799999999999</v>
      </c>
      <c r="HL2" s="12">
        <v>159.905</v>
      </c>
      <c r="HM2" s="12">
        <v>160.6525</v>
      </c>
      <c r="HN2" s="12">
        <v>161.40700000000001</v>
      </c>
      <c r="HO2" s="12">
        <v>162.15979999999999</v>
      </c>
      <c r="HP2" s="12">
        <v>162.8638</v>
      </c>
      <c r="HQ2" s="12">
        <v>163.56870000000001</v>
      </c>
      <c r="HR2" s="12">
        <v>164.2876</v>
      </c>
      <c r="HS2" s="12">
        <v>165.03870000000001</v>
      </c>
      <c r="HT2" s="12">
        <v>165.869</v>
      </c>
      <c r="HU2" s="12">
        <v>166.72110000000001</v>
      </c>
      <c r="HV2" s="12">
        <v>167.63419999999999</v>
      </c>
      <c r="HW2" s="12">
        <v>168.55520000000001</v>
      </c>
      <c r="HX2" s="12">
        <v>169.44110000000001</v>
      </c>
      <c r="HY2" s="12">
        <v>170.3372</v>
      </c>
      <c r="HZ2" s="12">
        <v>171.23570000000001</v>
      </c>
      <c r="IA2" s="12">
        <v>172.13740000000001</v>
      </c>
      <c r="IB2" s="12">
        <v>173.0316</v>
      </c>
      <c r="IC2" s="12">
        <v>173.9144</v>
      </c>
      <c r="ID2" s="12">
        <v>174.7988</v>
      </c>
      <c r="IE2" s="12">
        <v>175.69110000000001</v>
      </c>
      <c r="IF2" s="12">
        <v>176.5926</v>
      </c>
      <c r="IG2" s="12">
        <v>177.49860000000001</v>
      </c>
      <c r="IH2" s="12">
        <v>178.4093</v>
      </c>
      <c r="II2" s="12">
        <v>179.32470000000001</v>
      </c>
      <c r="IJ2" s="12">
        <v>180.2313</v>
      </c>
      <c r="IK2" s="12">
        <v>181.1337</v>
      </c>
      <c r="IL2" s="12">
        <v>182.03559999999999</v>
      </c>
      <c r="IM2" s="12">
        <v>182.94290000000001</v>
      </c>
      <c r="IN2" s="12">
        <v>183.8545</v>
      </c>
      <c r="IO2" s="12">
        <v>184.78450000000001</v>
      </c>
      <c r="IP2" s="12">
        <v>185.7124</v>
      </c>
      <c r="IQ2" s="12">
        <v>186.6455</v>
      </c>
      <c r="IR2" s="12">
        <v>187.58250000000001</v>
      </c>
      <c r="IS2" s="12">
        <v>188.51509999999999</v>
      </c>
      <c r="IT2" s="12">
        <v>189.45859999999999</v>
      </c>
      <c r="IU2" s="12">
        <v>190.40690000000001</v>
      </c>
      <c r="IV2" s="12">
        <v>191.36170000000001</v>
      </c>
      <c r="IW2" s="12">
        <v>192.32329999999999</v>
      </c>
      <c r="IX2" s="12">
        <v>193.29220000000001</v>
      </c>
      <c r="IY2" s="12">
        <v>194.2535</v>
      </c>
      <c r="IZ2" s="12">
        <v>195.2235</v>
      </c>
      <c r="JA2" s="12">
        <v>196.20249999999999</v>
      </c>
      <c r="JB2" s="12">
        <v>197.19059999999999</v>
      </c>
      <c r="JC2" s="12">
        <v>198.18389999999999</v>
      </c>
      <c r="JD2" s="12">
        <v>199.18219999999999</v>
      </c>
      <c r="JE2" s="12">
        <v>200.1857</v>
      </c>
      <c r="JF2" s="12">
        <v>201.1943</v>
      </c>
      <c r="JG2" s="12">
        <v>202.19560000000001</v>
      </c>
      <c r="JH2" s="12">
        <v>203.2062</v>
      </c>
      <c r="JI2" s="12">
        <v>204.2261</v>
      </c>
      <c r="JJ2" s="12">
        <v>205.25559999999999</v>
      </c>
      <c r="JK2" s="12">
        <v>206.2903</v>
      </c>
      <c r="JL2" s="12">
        <v>207.3304</v>
      </c>
      <c r="JM2" s="12">
        <v>208.37549999999999</v>
      </c>
      <c r="JN2" s="12">
        <v>209.42619999999999</v>
      </c>
      <c r="JO2" s="12">
        <v>210.48230000000001</v>
      </c>
      <c r="JP2" s="12">
        <v>211.54409999999999</v>
      </c>
      <c r="JQ2" s="12">
        <v>212.61160000000001</v>
      </c>
      <c r="JR2" s="12">
        <v>213.68450000000001</v>
      </c>
      <c r="JS2" s="12">
        <v>214.75299999999999</v>
      </c>
      <c r="JT2" s="12">
        <v>215.83</v>
      </c>
      <c r="JU2" s="12">
        <v>216.91589999999999</v>
      </c>
      <c r="JV2" s="12">
        <v>218.01070000000001</v>
      </c>
      <c r="JW2" s="12">
        <v>219.11080000000001</v>
      </c>
      <c r="JX2" s="12">
        <v>220.21680000000001</v>
      </c>
      <c r="JY2" s="12">
        <v>221.32830000000001</v>
      </c>
      <c r="JZ2" s="12">
        <v>222.44569999999999</v>
      </c>
      <c r="KA2" s="12">
        <v>223.56880000000001</v>
      </c>
      <c r="KB2" s="12">
        <v>224.69739999999999</v>
      </c>
      <c r="KC2" s="12">
        <v>225.8321</v>
      </c>
      <c r="KD2" s="12">
        <v>226.9726</v>
      </c>
      <c r="KE2" s="12">
        <v>228.11879999999999</v>
      </c>
      <c r="KF2" s="12">
        <v>229.27099999999999</v>
      </c>
      <c r="KG2" s="12">
        <v>230.42920000000001</v>
      </c>
      <c r="KH2" s="12">
        <v>231.5932</v>
      </c>
      <c r="KI2" s="12">
        <v>232.76320000000001</v>
      </c>
      <c r="KJ2" s="12">
        <v>233.9391</v>
      </c>
      <c r="KK2" s="12">
        <v>235.12090000000001</v>
      </c>
      <c r="KL2" s="12">
        <v>236.30889999999999</v>
      </c>
      <c r="KM2" s="12">
        <v>237.5027</v>
      </c>
      <c r="KN2" s="12">
        <v>238.7029</v>
      </c>
      <c r="KO2" s="12">
        <v>239.90899999999999</v>
      </c>
      <c r="KP2" s="12">
        <v>241.12119999999999</v>
      </c>
      <c r="KQ2" s="12">
        <v>242.33959999999999</v>
      </c>
      <c r="KR2" s="12">
        <v>243.5643</v>
      </c>
      <c r="KS2" s="12">
        <v>244.79509999999999</v>
      </c>
      <c r="KT2" s="12">
        <v>246.03210000000001</v>
      </c>
      <c r="KU2" s="12">
        <v>247.27539999999999</v>
      </c>
      <c r="KV2" s="12">
        <v>248.52510000000001</v>
      </c>
      <c r="KW2" s="12">
        <v>249.78110000000001</v>
      </c>
      <c r="KX2" s="12">
        <v>251.04349999999999</v>
      </c>
      <c r="KY2" s="12">
        <v>252.3124</v>
      </c>
      <c r="KZ2" s="12">
        <v>253.58760000000001</v>
      </c>
      <c r="LA2" s="12">
        <v>254.86940000000001</v>
      </c>
      <c r="LB2" s="12">
        <v>256.15769999999998</v>
      </c>
      <c r="LC2" s="12">
        <v>257.45260000000002</v>
      </c>
      <c r="LD2" s="12">
        <v>258.7543</v>
      </c>
      <c r="LE2" s="12">
        <v>260.06259999999997</v>
      </c>
      <c r="LF2" s="12">
        <v>261.3777</v>
      </c>
      <c r="LG2" s="12">
        <v>262.67219999999998</v>
      </c>
      <c r="LH2" s="12">
        <v>263.9819</v>
      </c>
      <c r="LI2" s="12">
        <v>265.30220000000003</v>
      </c>
      <c r="LJ2" s="12">
        <v>266.63929999999999</v>
      </c>
      <c r="LK2" s="12">
        <v>267.98469999999998</v>
      </c>
      <c r="LL2" s="12">
        <v>269.3383</v>
      </c>
      <c r="LM2" s="12">
        <v>270.69060000000002</v>
      </c>
      <c r="LN2" s="12">
        <v>272.05250000000001</v>
      </c>
      <c r="LO2" s="12">
        <v>273.4239</v>
      </c>
      <c r="LP2" s="12">
        <v>274.80459999999999</v>
      </c>
      <c r="LQ2" s="12">
        <v>276.19260000000003</v>
      </c>
      <c r="LR2" s="12">
        <v>277.58749999999998</v>
      </c>
      <c r="LS2" s="12">
        <v>278.98930000000001</v>
      </c>
      <c r="LT2" s="12">
        <v>280.3981</v>
      </c>
      <c r="LU2" s="12">
        <v>281.81020000000001</v>
      </c>
      <c r="LV2" s="12">
        <v>283.23050000000001</v>
      </c>
      <c r="LW2" s="12">
        <v>284.65929999999997</v>
      </c>
      <c r="LX2" s="12">
        <v>286.09690000000001</v>
      </c>
      <c r="LY2" s="12">
        <v>287.53809999999999</v>
      </c>
      <c r="LZ2" s="12">
        <v>288.98770000000002</v>
      </c>
      <c r="MA2" s="12">
        <v>290.44580000000002</v>
      </c>
      <c r="MB2" s="12">
        <v>291.91210000000001</v>
      </c>
      <c r="MC2" s="12">
        <v>293.38589999999999</v>
      </c>
      <c r="MD2" s="12">
        <v>294.86709999999999</v>
      </c>
      <c r="ME2" s="12">
        <v>296.35570000000001</v>
      </c>
      <c r="MF2" s="12">
        <v>297.85169999999999</v>
      </c>
      <c r="MG2" s="12">
        <v>299.35939999999999</v>
      </c>
      <c r="MH2" s="12">
        <v>300.8734</v>
      </c>
      <c r="MI2" s="12">
        <v>302.39339999999999</v>
      </c>
      <c r="MJ2" s="12">
        <v>303.91989999999998</v>
      </c>
      <c r="MK2" s="12">
        <v>305.4529</v>
      </c>
      <c r="ML2" s="12">
        <v>306.99380000000002</v>
      </c>
      <c r="MM2" s="12">
        <v>308.54300000000001</v>
      </c>
      <c r="MN2" s="12">
        <v>310.10019999999997</v>
      </c>
      <c r="MO2" s="12">
        <v>311.66989999999998</v>
      </c>
      <c r="MP2" s="12">
        <v>313.24610000000001</v>
      </c>
      <c r="MQ2" s="12">
        <v>314.82859999999999</v>
      </c>
      <c r="MR2" s="12">
        <v>316.41770000000002</v>
      </c>
      <c r="MS2" s="12">
        <v>318.01490000000001</v>
      </c>
      <c r="MT2" s="12">
        <v>319.61989999999997</v>
      </c>
      <c r="MU2" t="s">
        <v>1198</v>
      </c>
      <c r="MV2" t="b">
        <v>0</v>
      </c>
      <c r="MW2" t="s">
        <v>1196</v>
      </c>
      <c r="MX2">
        <v>2008</v>
      </c>
      <c r="MY2">
        <v>2024</v>
      </c>
      <c r="MZ2">
        <v>3</v>
      </c>
      <c r="NA2" t="s">
        <v>1196</v>
      </c>
      <c r="NB2" t="s">
        <v>1198</v>
      </c>
      <c r="NC2" s="1" t="s">
        <v>1199</v>
      </c>
      <c r="ND2" t="s">
        <v>1200</v>
      </c>
      <c r="NE2" t="s">
        <v>1201</v>
      </c>
      <c r="NF2" s="1" t="s">
        <v>1434</v>
      </c>
    </row>
    <row r="3" spans="1:370" x14ac:dyDescent="0.25">
      <c r="A3" t="s">
        <v>1193</v>
      </c>
      <c r="B3" t="s">
        <v>1202</v>
      </c>
      <c r="C3" s="1" t="s">
        <v>1433</v>
      </c>
      <c r="D3" t="s">
        <v>1203</v>
      </c>
      <c r="E3" t="s">
        <v>1204</v>
      </c>
      <c r="F3" t="s">
        <v>1197</v>
      </c>
      <c r="G3" s="11">
        <v>552.03840000000002</v>
      </c>
      <c r="H3" s="11">
        <v>550.91409999999996</v>
      </c>
      <c r="I3" s="11">
        <v>576.77329999999995</v>
      </c>
      <c r="J3" s="11">
        <v>629.61609999999996</v>
      </c>
      <c r="K3" s="11">
        <v>677.96159999999998</v>
      </c>
      <c r="L3" s="11">
        <v>684.70749999999998</v>
      </c>
      <c r="M3" s="11">
        <v>843.23580000000004</v>
      </c>
      <c r="N3" s="11">
        <v>932.05669999999998</v>
      </c>
      <c r="O3" s="11">
        <v>1014.1319999999999</v>
      </c>
      <c r="P3" s="11">
        <v>1131.06</v>
      </c>
      <c r="Q3" s="11">
        <v>1191.7729999999999</v>
      </c>
      <c r="R3" s="11">
        <v>1236.7460000000001</v>
      </c>
      <c r="S3" s="11">
        <v>1310.951</v>
      </c>
      <c r="T3" s="11">
        <v>1421.133</v>
      </c>
      <c r="U3" s="11">
        <v>1454.8630000000001</v>
      </c>
      <c r="V3" s="11">
        <v>1508.83</v>
      </c>
      <c r="W3" s="11">
        <v>1574.04</v>
      </c>
      <c r="X3" s="11">
        <v>1571.7919999999999</v>
      </c>
      <c r="Y3" s="11">
        <v>1593.154</v>
      </c>
      <c r="Z3" s="11">
        <v>1662.8610000000001</v>
      </c>
      <c r="AA3" s="11">
        <v>1750.558</v>
      </c>
      <c r="AB3" s="11">
        <v>1639.25</v>
      </c>
      <c r="AC3" s="11">
        <v>1683.0989999999999</v>
      </c>
      <c r="AD3" s="11">
        <v>1750.558</v>
      </c>
      <c r="AE3" s="11">
        <v>1848.373</v>
      </c>
      <c r="AF3" s="11">
        <v>1895.5940000000001</v>
      </c>
      <c r="AG3" s="11">
        <v>1949.5609999999999</v>
      </c>
      <c r="AH3" s="11">
        <v>2051.8739999999998</v>
      </c>
      <c r="AI3" s="11">
        <v>2203.6559999999999</v>
      </c>
      <c r="AJ3" s="11">
        <v>2273.364</v>
      </c>
      <c r="AK3" s="11">
        <v>2332.9520000000002</v>
      </c>
      <c r="AL3" s="11">
        <v>2420.6489999999999</v>
      </c>
      <c r="AM3" s="11">
        <v>2498.2269999999999</v>
      </c>
      <c r="AN3" s="11">
        <v>2399.2869999999998</v>
      </c>
      <c r="AO3" s="11">
        <v>2452.13</v>
      </c>
      <c r="AP3" s="11">
        <v>2560.0639999999999</v>
      </c>
      <c r="AQ3" s="11">
        <v>2665.75</v>
      </c>
      <c r="AR3" s="11">
        <v>2569.0590000000002</v>
      </c>
      <c r="AS3" s="11">
        <v>2582.5500000000002</v>
      </c>
      <c r="AT3" s="11">
        <v>2688.2359999999999</v>
      </c>
      <c r="AU3" s="11">
        <v>2872.623</v>
      </c>
      <c r="AV3" s="11">
        <v>2925.4659999999999</v>
      </c>
      <c r="AW3" s="11">
        <v>2987.3029999999999</v>
      </c>
      <c r="AX3" s="11">
        <v>3060.384</v>
      </c>
      <c r="AY3" s="11">
        <v>3088.4920000000002</v>
      </c>
      <c r="AZ3" s="11">
        <v>3128.9670000000001</v>
      </c>
      <c r="BA3" s="11">
        <v>3185.183</v>
      </c>
      <c r="BB3" s="11">
        <v>3267.2579999999998</v>
      </c>
      <c r="BC3" s="11">
        <v>3359.4520000000002</v>
      </c>
      <c r="BD3" s="11">
        <v>3403.3</v>
      </c>
      <c r="BE3" s="11">
        <v>3447.1480000000001</v>
      </c>
      <c r="BF3" s="11">
        <v>3557.3310000000001</v>
      </c>
      <c r="BG3" s="11">
        <v>3637.1570000000002</v>
      </c>
      <c r="BH3" s="11">
        <v>3792.3130000000001</v>
      </c>
      <c r="BI3" s="11">
        <v>3863.145</v>
      </c>
      <c r="BJ3" s="11">
        <v>3930.6030000000001</v>
      </c>
      <c r="BK3" s="11">
        <v>4305</v>
      </c>
      <c r="BL3" s="11">
        <v>4334</v>
      </c>
      <c r="BM3" s="11">
        <v>4487</v>
      </c>
      <c r="BN3" s="11">
        <v>4632</v>
      </c>
      <c r="BO3" s="11">
        <v>4640</v>
      </c>
      <c r="BP3" s="11">
        <v>4879</v>
      </c>
      <c r="BQ3" s="11">
        <v>5040</v>
      </c>
      <c r="BR3" s="11">
        <v>5234</v>
      </c>
      <c r="BS3" s="11">
        <v>5239</v>
      </c>
      <c r="BT3" s="11">
        <v>5247</v>
      </c>
      <c r="BU3" s="11">
        <v>5405</v>
      </c>
      <c r="BV3" s="11">
        <v>5609</v>
      </c>
      <c r="BW3" s="11">
        <v>5594</v>
      </c>
      <c r="BX3" s="11">
        <v>5782</v>
      </c>
      <c r="BY3" s="11">
        <v>5930</v>
      </c>
      <c r="BZ3" s="11">
        <v>6012</v>
      </c>
      <c r="CA3" s="11">
        <v>5974</v>
      </c>
      <c r="CB3" s="11">
        <v>6126</v>
      </c>
      <c r="CC3" s="11">
        <v>6125</v>
      </c>
      <c r="CD3" s="11">
        <v>6492</v>
      </c>
      <c r="CE3" s="11">
        <v>6453</v>
      </c>
      <c r="CF3" s="11">
        <v>6234</v>
      </c>
      <c r="CG3" s="11">
        <v>6198</v>
      </c>
      <c r="CH3" s="11">
        <v>6517</v>
      </c>
      <c r="CI3" s="11">
        <v>6477</v>
      </c>
      <c r="CJ3" s="11">
        <v>6646</v>
      </c>
      <c r="CK3" s="11">
        <v>6727</v>
      </c>
      <c r="CL3" s="11">
        <v>6997</v>
      </c>
      <c r="CM3" s="11">
        <v>6841</v>
      </c>
      <c r="CN3" s="11">
        <v>6602</v>
      </c>
      <c r="CO3" s="11">
        <v>6704</v>
      </c>
      <c r="CP3" s="11">
        <v>6891</v>
      </c>
      <c r="CQ3" s="11">
        <v>6872</v>
      </c>
      <c r="CR3" s="11">
        <v>6901</v>
      </c>
      <c r="CS3" s="11">
        <v>6999</v>
      </c>
      <c r="CT3" s="11">
        <v>7120</v>
      </c>
      <c r="CU3" s="11">
        <v>7100</v>
      </c>
      <c r="CV3" s="11">
        <v>7308</v>
      </c>
      <c r="CW3" s="11">
        <v>7377</v>
      </c>
      <c r="CX3" s="11">
        <v>7428</v>
      </c>
      <c r="CY3" s="11">
        <v>7219</v>
      </c>
      <c r="CZ3" s="11">
        <v>7704</v>
      </c>
      <c r="DA3" s="11">
        <v>8050</v>
      </c>
      <c r="DB3" s="11">
        <v>8065</v>
      </c>
      <c r="DC3" s="11">
        <v>7887</v>
      </c>
      <c r="DD3" s="11">
        <v>8048</v>
      </c>
      <c r="DE3" s="11">
        <v>8448</v>
      </c>
      <c r="DF3" s="11">
        <v>8468</v>
      </c>
      <c r="DG3" s="11">
        <v>8757</v>
      </c>
      <c r="DH3" s="11">
        <v>8818</v>
      </c>
      <c r="DI3" s="11">
        <v>9094</v>
      </c>
      <c r="DJ3" s="11">
        <v>9184</v>
      </c>
      <c r="DK3" s="11">
        <v>9313</v>
      </c>
      <c r="DL3" s="11">
        <v>9861</v>
      </c>
      <c r="DM3" s="11">
        <v>9826</v>
      </c>
      <c r="DN3" s="11">
        <v>10195</v>
      </c>
      <c r="DO3" s="11">
        <v>10811</v>
      </c>
      <c r="DP3" s="11">
        <v>9870</v>
      </c>
      <c r="DQ3" s="11">
        <v>10189</v>
      </c>
      <c r="DR3" s="11">
        <v>10298</v>
      </c>
      <c r="DS3" s="11">
        <v>10629</v>
      </c>
      <c r="DT3" s="11">
        <v>10379</v>
      </c>
      <c r="DU3" s="11">
        <v>10146</v>
      </c>
      <c r="DV3" s="11">
        <v>10703</v>
      </c>
      <c r="DW3" s="11">
        <v>10366</v>
      </c>
      <c r="DX3" s="11">
        <v>11989</v>
      </c>
      <c r="DY3" s="11">
        <v>12409</v>
      </c>
      <c r="DZ3" s="11">
        <v>12408</v>
      </c>
      <c r="EA3" s="11">
        <v>12662</v>
      </c>
      <c r="EB3" s="11">
        <v>12920</v>
      </c>
      <c r="EC3" s="11">
        <v>13279</v>
      </c>
      <c r="ED3" s="11">
        <v>13669</v>
      </c>
      <c r="EE3" s="11">
        <v>13668</v>
      </c>
      <c r="EF3" s="11">
        <v>14205</v>
      </c>
      <c r="EG3" s="11">
        <v>14681</v>
      </c>
      <c r="EH3" s="11">
        <v>14643</v>
      </c>
      <c r="EI3" s="11">
        <v>14713</v>
      </c>
      <c r="EJ3" s="11">
        <v>14863</v>
      </c>
      <c r="EK3" s="11">
        <v>15292</v>
      </c>
      <c r="EL3" s="11">
        <v>15652</v>
      </c>
      <c r="EM3" s="11">
        <v>15661</v>
      </c>
      <c r="EN3" s="11">
        <v>16295</v>
      </c>
      <c r="EO3" s="11">
        <v>16680</v>
      </c>
      <c r="EP3" s="11">
        <v>17084</v>
      </c>
      <c r="EQ3" s="11">
        <v>17891</v>
      </c>
      <c r="ER3" s="11">
        <v>17172</v>
      </c>
      <c r="ES3" s="11">
        <v>17328</v>
      </c>
      <c r="ET3" s="11">
        <v>17305</v>
      </c>
      <c r="EU3" s="11">
        <v>16825</v>
      </c>
      <c r="EV3" s="11">
        <v>17195</v>
      </c>
      <c r="EW3" s="11">
        <v>17157</v>
      </c>
      <c r="EX3" s="11">
        <v>17618</v>
      </c>
      <c r="EY3" s="11">
        <v>18831</v>
      </c>
      <c r="EZ3" s="11">
        <v>17422</v>
      </c>
      <c r="FA3" s="11">
        <v>17548</v>
      </c>
      <c r="FB3" s="11">
        <v>17762</v>
      </c>
      <c r="FC3" s="11">
        <v>18475</v>
      </c>
      <c r="FD3" s="11">
        <v>18242</v>
      </c>
      <c r="FE3" s="11">
        <v>18350</v>
      </c>
      <c r="FF3" s="11">
        <v>18382</v>
      </c>
      <c r="FG3" s="11">
        <v>18603</v>
      </c>
      <c r="FH3" s="11">
        <v>19029</v>
      </c>
      <c r="FI3" s="11">
        <v>19095</v>
      </c>
      <c r="FJ3" s="11">
        <v>18982</v>
      </c>
      <c r="FK3" s="11">
        <v>18597</v>
      </c>
      <c r="FL3" s="11">
        <v>19598</v>
      </c>
      <c r="FM3" s="11">
        <v>19195</v>
      </c>
      <c r="FN3" s="11">
        <v>19482</v>
      </c>
      <c r="FO3" s="11">
        <v>19571</v>
      </c>
      <c r="FP3" s="11">
        <v>19575</v>
      </c>
      <c r="FQ3" s="11">
        <v>19825</v>
      </c>
      <c r="FR3" s="11">
        <v>19993</v>
      </c>
      <c r="FS3" s="11">
        <v>20426</v>
      </c>
      <c r="FT3" s="11">
        <v>20839</v>
      </c>
      <c r="FU3" s="11">
        <v>20846</v>
      </c>
      <c r="FV3" s="11">
        <v>21129</v>
      </c>
      <c r="FW3" s="11">
        <v>20549</v>
      </c>
      <c r="FX3" s="11">
        <v>22462</v>
      </c>
      <c r="FY3" s="11">
        <v>22802</v>
      </c>
      <c r="FZ3" s="11">
        <v>23011</v>
      </c>
      <c r="GA3" s="11">
        <v>23425</v>
      </c>
      <c r="GB3" s="11">
        <v>23645</v>
      </c>
      <c r="GC3" s="11">
        <v>23594</v>
      </c>
      <c r="GD3" s="11">
        <v>23997</v>
      </c>
      <c r="GE3" s="11">
        <v>24296</v>
      </c>
      <c r="GF3" s="11">
        <v>24403</v>
      </c>
      <c r="GG3" s="11">
        <v>24535</v>
      </c>
      <c r="GH3" s="11">
        <v>24830</v>
      </c>
      <c r="GI3" s="11">
        <v>25806</v>
      </c>
      <c r="GJ3" s="11">
        <v>26406</v>
      </c>
      <c r="GK3" s="11">
        <v>27085</v>
      </c>
      <c r="GL3" s="11">
        <v>27639</v>
      </c>
      <c r="GM3" s="11">
        <v>27453</v>
      </c>
      <c r="GN3" s="11">
        <v>27064</v>
      </c>
      <c r="GO3" s="11">
        <v>27978</v>
      </c>
      <c r="GP3" s="11">
        <v>28812</v>
      </c>
      <c r="GQ3" s="11">
        <v>28828</v>
      </c>
      <c r="GR3" s="11">
        <v>29940</v>
      </c>
      <c r="GS3" s="11">
        <v>30764</v>
      </c>
      <c r="GT3" s="11">
        <v>31560</v>
      </c>
      <c r="GU3" s="11">
        <v>32437</v>
      </c>
      <c r="GV3" s="11">
        <v>35271</v>
      </c>
      <c r="GW3" s="11">
        <v>35446</v>
      </c>
      <c r="GX3" s="11">
        <v>34778</v>
      </c>
      <c r="GY3" s="11">
        <v>34843</v>
      </c>
      <c r="GZ3" s="11">
        <v>35199</v>
      </c>
      <c r="HA3" s="11">
        <v>35743</v>
      </c>
      <c r="HB3" s="11">
        <v>37307</v>
      </c>
      <c r="HC3" s="11">
        <v>39008</v>
      </c>
      <c r="HD3" s="11">
        <v>38725</v>
      </c>
      <c r="HE3" s="11">
        <v>39142</v>
      </c>
      <c r="HF3" s="12">
        <v>39903.57</v>
      </c>
      <c r="HG3" s="12">
        <v>40354.629999999997</v>
      </c>
      <c r="HH3" s="12">
        <v>47578.68</v>
      </c>
      <c r="HI3" s="12">
        <v>48100.63</v>
      </c>
      <c r="HJ3" s="12">
        <v>48610.87</v>
      </c>
      <c r="HK3" s="12">
        <v>49088.800000000003</v>
      </c>
      <c r="HL3" s="12">
        <v>49542.93</v>
      </c>
      <c r="HM3" s="12">
        <v>50003.32</v>
      </c>
      <c r="HN3" s="12">
        <v>50471.55</v>
      </c>
      <c r="HO3" s="12">
        <v>50945.72</v>
      </c>
      <c r="HP3" s="12">
        <v>51413.8</v>
      </c>
      <c r="HQ3" s="12">
        <v>51884.18</v>
      </c>
      <c r="HR3" s="12">
        <v>52354.61</v>
      </c>
      <c r="HS3" s="12">
        <v>52834.55</v>
      </c>
      <c r="HT3" s="12">
        <v>53354.16</v>
      </c>
      <c r="HU3" s="12">
        <v>53880.37</v>
      </c>
      <c r="HV3" s="12">
        <v>54429.9</v>
      </c>
      <c r="HW3" s="12">
        <v>54980.49</v>
      </c>
      <c r="HX3" s="12">
        <v>55487.44</v>
      </c>
      <c r="HY3" s="12">
        <v>55998.07</v>
      </c>
      <c r="HZ3" s="12">
        <v>56518.15</v>
      </c>
      <c r="IA3" s="12">
        <v>57042.49</v>
      </c>
      <c r="IB3" s="12">
        <v>57567.59</v>
      </c>
      <c r="IC3" s="12">
        <v>58092.24</v>
      </c>
      <c r="ID3" s="12">
        <v>58620.61</v>
      </c>
      <c r="IE3" s="12">
        <v>59154.91</v>
      </c>
      <c r="IF3" s="12">
        <v>59695.55</v>
      </c>
      <c r="IG3" s="12">
        <v>60238.080000000002</v>
      </c>
      <c r="IH3" s="12">
        <v>60782.54</v>
      </c>
      <c r="II3" s="12">
        <v>61331.85</v>
      </c>
      <c r="IJ3" s="12">
        <v>61881.51</v>
      </c>
      <c r="IK3" s="12">
        <v>62439.19</v>
      </c>
      <c r="IL3" s="12">
        <v>62993.95</v>
      </c>
      <c r="IM3" s="12">
        <v>63564.39</v>
      </c>
      <c r="IN3" s="12">
        <v>64136.959999999999</v>
      </c>
      <c r="IO3" s="12">
        <v>64714.03</v>
      </c>
      <c r="IP3" s="12">
        <v>65288.01</v>
      </c>
      <c r="IQ3" s="12">
        <v>65876.800000000003</v>
      </c>
      <c r="IR3" s="12">
        <v>66459.89</v>
      </c>
      <c r="IS3" s="12">
        <v>67041.05</v>
      </c>
      <c r="IT3" s="12">
        <v>67623.05</v>
      </c>
      <c r="IU3" s="12">
        <v>68215.92</v>
      </c>
      <c r="IV3" s="12">
        <v>68814.41</v>
      </c>
      <c r="IW3" s="12">
        <v>69418.64</v>
      </c>
      <c r="IX3" s="12">
        <v>70028.800000000003</v>
      </c>
      <c r="IY3" s="12">
        <v>70645.62</v>
      </c>
      <c r="IZ3" s="12">
        <v>71269.3</v>
      </c>
      <c r="JA3" s="12">
        <v>71900.009999999995</v>
      </c>
      <c r="JB3" s="12">
        <v>72537.8</v>
      </c>
      <c r="JC3" s="12">
        <v>73181.33</v>
      </c>
      <c r="JD3" s="12">
        <v>73830.59</v>
      </c>
      <c r="JE3" s="12">
        <v>74485.66</v>
      </c>
      <c r="JF3" s="12">
        <v>75146.570000000007</v>
      </c>
      <c r="JG3" s="12">
        <v>75815.02</v>
      </c>
      <c r="JH3" s="12">
        <v>76491.02</v>
      </c>
      <c r="JI3" s="12">
        <v>77174.740000000005</v>
      </c>
      <c r="JJ3" s="12">
        <v>77866.36</v>
      </c>
      <c r="JK3" s="12">
        <v>78564.28</v>
      </c>
      <c r="JL3" s="12">
        <v>79268.61</v>
      </c>
      <c r="JM3" s="12">
        <v>79979.34</v>
      </c>
      <c r="JN3" s="12">
        <v>80696.649999999994</v>
      </c>
      <c r="JO3" s="12">
        <v>81420.52</v>
      </c>
      <c r="JP3" s="12">
        <v>82151.02</v>
      </c>
      <c r="JQ3" s="12">
        <v>82888.14</v>
      </c>
      <c r="JR3" s="12">
        <v>83631.91</v>
      </c>
      <c r="JS3" s="12">
        <v>84368.52</v>
      </c>
      <c r="JT3" s="12">
        <v>85112.79</v>
      </c>
      <c r="JU3" s="12">
        <v>85864.81</v>
      </c>
      <c r="JV3" s="12">
        <v>86624.7</v>
      </c>
      <c r="JW3" s="12">
        <v>87391.18</v>
      </c>
      <c r="JX3" s="12">
        <v>88164.36</v>
      </c>
      <c r="JY3" s="12">
        <v>88944.23</v>
      </c>
      <c r="JZ3" s="12">
        <v>89730.94</v>
      </c>
      <c r="KA3" s="12">
        <v>90524.47</v>
      </c>
      <c r="KB3" s="12">
        <v>91324.83</v>
      </c>
      <c r="KC3" s="12">
        <v>92132.160000000003</v>
      </c>
      <c r="KD3" s="12">
        <v>92946.48</v>
      </c>
      <c r="KE3" s="12">
        <v>93767.74</v>
      </c>
      <c r="KF3" s="12">
        <v>94596.13</v>
      </c>
      <c r="KG3" s="12">
        <v>95431.64</v>
      </c>
      <c r="KH3" s="12">
        <v>96274.27</v>
      </c>
      <c r="KI3" s="12">
        <v>97124.15</v>
      </c>
      <c r="KJ3" s="12">
        <v>97981.27</v>
      </c>
      <c r="KK3" s="12">
        <v>98845.7</v>
      </c>
      <c r="KL3" s="12">
        <v>99717.62</v>
      </c>
      <c r="KM3" s="12">
        <v>100596.9</v>
      </c>
      <c r="KN3" s="12">
        <v>101483.8</v>
      </c>
      <c r="KO3" s="12">
        <v>102378.2</v>
      </c>
      <c r="KP3" s="12">
        <v>103280.2</v>
      </c>
      <c r="KQ3" s="12">
        <v>104190</v>
      </c>
      <c r="KR3" s="12">
        <v>105107.5</v>
      </c>
      <c r="KS3" s="12">
        <v>106032.9</v>
      </c>
      <c r="KT3" s="12">
        <v>106966.1</v>
      </c>
      <c r="KU3" s="12">
        <v>107907.3</v>
      </c>
      <c r="KV3" s="12">
        <v>108856.6</v>
      </c>
      <c r="KW3" s="12">
        <v>109814</v>
      </c>
      <c r="KX3" s="12">
        <v>110779.6</v>
      </c>
      <c r="KY3" s="12">
        <v>111753.3</v>
      </c>
      <c r="KZ3" s="12">
        <v>112735.4</v>
      </c>
      <c r="LA3" s="12">
        <v>113725.8</v>
      </c>
      <c r="LB3" s="12">
        <v>114724.6</v>
      </c>
      <c r="LC3" s="12">
        <v>115731.9</v>
      </c>
      <c r="LD3" s="12">
        <v>116747.8</v>
      </c>
      <c r="LE3" s="12">
        <v>117772.1</v>
      </c>
      <c r="LF3" s="12">
        <v>118805</v>
      </c>
      <c r="LG3" s="12">
        <v>119805.8</v>
      </c>
      <c r="LH3" s="12">
        <v>120818.4</v>
      </c>
      <c r="LI3" s="12">
        <v>121835.9</v>
      </c>
      <c r="LJ3" s="12">
        <v>122866</v>
      </c>
      <c r="LK3" s="12">
        <v>123904.9</v>
      </c>
      <c r="LL3" s="12">
        <v>124952.6</v>
      </c>
      <c r="LM3" s="12">
        <v>125995.8</v>
      </c>
      <c r="LN3" s="12">
        <v>127048.4</v>
      </c>
      <c r="LO3" s="12">
        <v>128110.2</v>
      </c>
      <c r="LP3" s="12">
        <v>129181.2</v>
      </c>
      <c r="LQ3" s="12">
        <v>130260.6</v>
      </c>
      <c r="LR3" s="12">
        <v>131348.29999999999</v>
      </c>
      <c r="LS3" s="12">
        <v>132444.20000000001</v>
      </c>
      <c r="LT3" s="12">
        <v>133548.5</v>
      </c>
      <c r="LU3" s="12">
        <v>134655</v>
      </c>
      <c r="LV3" s="12">
        <v>135770.5</v>
      </c>
      <c r="LW3" s="12">
        <v>136894.9</v>
      </c>
      <c r="LX3" s="12">
        <v>138028.5</v>
      </c>
      <c r="LY3" s="12">
        <v>139165.4</v>
      </c>
      <c r="LZ3" s="12">
        <v>140311.29999999999</v>
      </c>
      <c r="MA3" s="12">
        <v>141466.20000000001</v>
      </c>
      <c r="MB3" s="12">
        <v>142630.29999999999</v>
      </c>
      <c r="MC3" s="12">
        <v>143803.29999999999</v>
      </c>
      <c r="MD3" s="12">
        <v>144985</v>
      </c>
      <c r="ME3" s="12">
        <v>146175.70000000001</v>
      </c>
      <c r="MF3" s="12">
        <v>147375.20000000001</v>
      </c>
      <c r="MG3" s="12">
        <v>148590.5</v>
      </c>
      <c r="MH3" s="12">
        <v>149814.29999999999</v>
      </c>
      <c r="MI3" s="12">
        <v>151046.79999999999</v>
      </c>
      <c r="MJ3" s="12">
        <v>152287.9</v>
      </c>
      <c r="MK3" s="12">
        <v>153536.5</v>
      </c>
      <c r="ML3" s="12">
        <v>154794.5</v>
      </c>
      <c r="MM3" s="12">
        <v>156062.39999999999</v>
      </c>
      <c r="MN3" s="12">
        <v>157339.9</v>
      </c>
      <c r="MO3" s="12">
        <v>158634.70000000001</v>
      </c>
      <c r="MP3" s="12">
        <v>159938.70000000001</v>
      </c>
      <c r="MQ3" s="12">
        <v>161251.79999999999</v>
      </c>
      <c r="MR3" s="12">
        <v>162574.20000000001</v>
      </c>
      <c r="MS3" s="12">
        <v>163906.70000000001</v>
      </c>
      <c r="MT3" s="12">
        <v>165249.29999999999</v>
      </c>
      <c r="MU3" t="s">
        <v>1205</v>
      </c>
      <c r="MV3" t="b">
        <v>1</v>
      </c>
      <c r="MW3" t="s">
        <v>1196</v>
      </c>
      <c r="MX3" t="s">
        <v>1196</v>
      </c>
      <c r="MY3">
        <v>2024</v>
      </c>
      <c r="MZ3">
        <v>3</v>
      </c>
      <c r="NA3" t="s">
        <v>1196</v>
      </c>
      <c r="NB3" t="s">
        <v>1206</v>
      </c>
      <c r="NC3" t="s">
        <v>1207</v>
      </c>
      <c r="ND3" t="s">
        <v>1200</v>
      </c>
      <c r="NE3" t="s">
        <v>1208</v>
      </c>
      <c r="NF3" s="1" t="s">
        <v>1434</v>
      </c>
    </row>
    <row r="4" spans="1:370" x14ac:dyDescent="0.25">
      <c r="A4" t="s">
        <v>1193</v>
      </c>
      <c r="B4" t="s">
        <v>1209</v>
      </c>
      <c r="C4" s="1" t="s">
        <v>1433</v>
      </c>
      <c r="D4" t="s">
        <v>1203</v>
      </c>
      <c r="E4" t="s">
        <v>1204</v>
      </c>
      <c r="F4" t="s">
        <v>1197</v>
      </c>
      <c r="G4" s="11">
        <v>4698</v>
      </c>
      <c r="H4" s="11">
        <v>4424</v>
      </c>
      <c r="I4" s="11">
        <v>4297</v>
      </c>
      <c r="J4" s="11">
        <v>4489</v>
      </c>
      <c r="K4" s="11">
        <v>3797</v>
      </c>
      <c r="L4" s="11">
        <v>4283</v>
      </c>
      <c r="M4" s="11">
        <v>4318</v>
      </c>
      <c r="N4" s="11">
        <v>4226</v>
      </c>
      <c r="O4" s="11">
        <v>4199</v>
      </c>
      <c r="P4" s="11">
        <v>4286</v>
      </c>
      <c r="Q4" s="11">
        <v>4257</v>
      </c>
      <c r="R4" s="11">
        <v>4955</v>
      </c>
      <c r="S4" s="11">
        <v>5071</v>
      </c>
      <c r="T4" s="11">
        <v>5072</v>
      </c>
      <c r="U4" s="11">
        <v>5440</v>
      </c>
      <c r="V4" s="11">
        <v>6497</v>
      </c>
      <c r="W4" s="11">
        <v>7199</v>
      </c>
      <c r="X4" s="11">
        <v>7734</v>
      </c>
      <c r="Y4" s="11">
        <v>8119</v>
      </c>
      <c r="Z4" s="11">
        <v>8600</v>
      </c>
      <c r="AA4" s="11">
        <v>9233</v>
      </c>
      <c r="AB4" s="11">
        <v>9234</v>
      </c>
      <c r="AC4" s="11">
        <v>9737</v>
      </c>
      <c r="AD4" s="11">
        <v>9903</v>
      </c>
      <c r="AE4" s="11">
        <v>10109</v>
      </c>
      <c r="AF4" s="11">
        <v>11219</v>
      </c>
      <c r="AG4" s="11">
        <v>11435</v>
      </c>
      <c r="AH4" s="11">
        <v>12092</v>
      </c>
      <c r="AI4" s="11">
        <v>12467</v>
      </c>
      <c r="AJ4" s="11">
        <v>12391</v>
      </c>
      <c r="AK4" s="11">
        <v>11886</v>
      </c>
      <c r="AL4" s="11">
        <v>12891</v>
      </c>
      <c r="AM4" s="11">
        <v>12538</v>
      </c>
      <c r="AN4" s="11">
        <v>13239</v>
      </c>
      <c r="AO4" s="11">
        <v>14561</v>
      </c>
      <c r="AP4" s="11">
        <v>15234</v>
      </c>
      <c r="AQ4" s="11">
        <v>14539</v>
      </c>
      <c r="AR4" s="11">
        <v>16436</v>
      </c>
      <c r="AS4" s="11">
        <v>16844</v>
      </c>
      <c r="AT4" s="11">
        <v>17632</v>
      </c>
      <c r="AU4" s="11">
        <v>18610</v>
      </c>
      <c r="AV4" s="11">
        <v>18587</v>
      </c>
      <c r="AW4" s="11">
        <v>19902</v>
      </c>
      <c r="AX4" s="11">
        <v>20754</v>
      </c>
      <c r="AY4" s="11">
        <v>20091</v>
      </c>
      <c r="AZ4" s="11">
        <v>21011</v>
      </c>
      <c r="BA4" s="11">
        <v>20871</v>
      </c>
      <c r="BB4" s="11">
        <v>22765</v>
      </c>
      <c r="BC4" s="11">
        <v>22241</v>
      </c>
      <c r="BD4" s="11">
        <v>25638</v>
      </c>
      <c r="BE4" s="11">
        <v>25043</v>
      </c>
      <c r="BF4" s="11">
        <v>25785</v>
      </c>
      <c r="BG4" s="11">
        <v>25399</v>
      </c>
      <c r="BH4" s="11">
        <v>24729</v>
      </c>
      <c r="BI4" s="11">
        <v>25297</v>
      </c>
      <c r="BJ4" s="11">
        <v>27509</v>
      </c>
      <c r="BK4" s="11">
        <v>27991</v>
      </c>
      <c r="BL4" s="11">
        <v>29936</v>
      </c>
      <c r="BM4" s="11">
        <v>32609</v>
      </c>
      <c r="BN4" s="11">
        <v>32677</v>
      </c>
      <c r="BO4" s="11">
        <v>33698</v>
      </c>
      <c r="BP4" s="11">
        <v>34292</v>
      </c>
      <c r="BQ4" s="11">
        <v>35863</v>
      </c>
      <c r="BR4" s="11">
        <v>37039</v>
      </c>
      <c r="BS4" s="11">
        <v>38606</v>
      </c>
      <c r="BT4" s="11">
        <v>38243</v>
      </c>
      <c r="BU4" s="11">
        <v>39834</v>
      </c>
      <c r="BV4" s="11">
        <v>40680</v>
      </c>
      <c r="BW4" s="11">
        <v>40800</v>
      </c>
      <c r="BX4" s="11">
        <v>41606</v>
      </c>
      <c r="BY4" s="11">
        <v>42072</v>
      </c>
      <c r="BZ4" s="11">
        <v>42207</v>
      </c>
      <c r="CA4" s="11">
        <v>41614</v>
      </c>
      <c r="CB4" s="11">
        <v>41313</v>
      </c>
      <c r="CC4" s="11">
        <v>40056</v>
      </c>
      <c r="CD4" s="11">
        <v>40341</v>
      </c>
      <c r="CE4" s="11">
        <v>40279</v>
      </c>
      <c r="CF4" s="11">
        <v>41056</v>
      </c>
      <c r="CG4" s="11">
        <v>40289</v>
      </c>
      <c r="CH4" s="11">
        <v>41932</v>
      </c>
      <c r="CI4" s="11">
        <v>45549</v>
      </c>
      <c r="CJ4" s="11">
        <v>44417</v>
      </c>
      <c r="CK4" s="11">
        <v>45845</v>
      </c>
      <c r="CL4" s="11">
        <v>46796</v>
      </c>
      <c r="CM4" s="11">
        <v>49533</v>
      </c>
      <c r="CN4" s="11">
        <v>49608</v>
      </c>
      <c r="CO4" s="11">
        <v>49092</v>
      </c>
      <c r="CP4" s="11">
        <v>51164</v>
      </c>
      <c r="CQ4" s="11">
        <v>50799</v>
      </c>
      <c r="CR4" s="11">
        <v>49847</v>
      </c>
      <c r="CS4" s="11">
        <v>52286</v>
      </c>
      <c r="CT4" s="11">
        <v>53374</v>
      </c>
      <c r="CU4" s="11">
        <v>54595</v>
      </c>
      <c r="CV4" s="11">
        <v>57114</v>
      </c>
      <c r="CW4" s="11">
        <v>58848</v>
      </c>
      <c r="CX4" s="11">
        <v>60252</v>
      </c>
      <c r="CY4" s="11">
        <v>58562</v>
      </c>
      <c r="CZ4" s="11">
        <v>56887</v>
      </c>
      <c r="DA4" s="11">
        <v>61702</v>
      </c>
      <c r="DB4" s="11">
        <v>57396</v>
      </c>
      <c r="DC4" s="11">
        <v>61415</v>
      </c>
      <c r="DD4" s="11">
        <v>60315</v>
      </c>
      <c r="DE4" s="11">
        <v>59247</v>
      </c>
      <c r="DF4" s="11">
        <v>61018</v>
      </c>
      <c r="DG4" s="11">
        <v>58057</v>
      </c>
      <c r="DH4" s="11">
        <v>56566</v>
      </c>
      <c r="DI4" s="11">
        <v>55975</v>
      </c>
      <c r="DJ4" s="11">
        <v>59028</v>
      </c>
      <c r="DK4" s="11">
        <v>61022</v>
      </c>
      <c r="DL4" s="11">
        <v>58869</v>
      </c>
      <c r="DM4" s="11">
        <v>57825</v>
      </c>
      <c r="DN4" s="11">
        <v>56273</v>
      </c>
      <c r="DO4" s="11">
        <v>56614</v>
      </c>
      <c r="DP4" s="11">
        <v>59422</v>
      </c>
      <c r="DQ4" s="11">
        <v>59828</v>
      </c>
      <c r="DR4" s="11">
        <v>59188</v>
      </c>
      <c r="DS4" s="11">
        <v>60667</v>
      </c>
      <c r="DT4" s="11">
        <v>62293</v>
      </c>
      <c r="DU4" s="11">
        <v>64473</v>
      </c>
      <c r="DV4" s="11">
        <v>67224</v>
      </c>
      <c r="DW4" s="11">
        <v>67091</v>
      </c>
      <c r="DX4" s="11">
        <v>70002</v>
      </c>
      <c r="DY4" s="11">
        <v>71030</v>
      </c>
      <c r="DZ4" s="11">
        <v>69510</v>
      </c>
      <c r="EA4" s="11">
        <v>66971</v>
      </c>
      <c r="EB4" s="11">
        <v>72939</v>
      </c>
      <c r="EC4" s="11">
        <v>71100</v>
      </c>
      <c r="ED4" s="11">
        <v>73776</v>
      </c>
      <c r="EE4" s="11">
        <v>72678</v>
      </c>
      <c r="EF4" s="11">
        <v>78380</v>
      </c>
      <c r="EG4" s="11">
        <v>77251</v>
      </c>
      <c r="EH4" s="11">
        <v>81107</v>
      </c>
      <c r="EI4" s="11">
        <v>76934</v>
      </c>
      <c r="EJ4" s="11">
        <v>83060</v>
      </c>
      <c r="EK4" s="11">
        <v>82467</v>
      </c>
      <c r="EL4" s="11">
        <v>78146</v>
      </c>
      <c r="EM4" s="11">
        <v>76454</v>
      </c>
      <c r="EN4" s="11">
        <v>84643</v>
      </c>
      <c r="EO4" s="11">
        <v>82980</v>
      </c>
      <c r="EP4" s="11">
        <v>85474</v>
      </c>
      <c r="EQ4" s="11">
        <v>84691</v>
      </c>
      <c r="ER4" s="11">
        <v>87843</v>
      </c>
      <c r="ES4" s="11">
        <v>90586</v>
      </c>
      <c r="ET4" s="11">
        <v>87779</v>
      </c>
      <c r="EU4" s="11">
        <v>87453</v>
      </c>
      <c r="EV4" s="11">
        <v>84343</v>
      </c>
      <c r="EW4" s="11">
        <v>86567</v>
      </c>
      <c r="EX4" s="11">
        <v>81654</v>
      </c>
      <c r="EY4" s="11">
        <v>86382</v>
      </c>
      <c r="EZ4" s="11">
        <v>85496</v>
      </c>
      <c r="FA4" s="11">
        <v>90085</v>
      </c>
      <c r="FB4" s="11">
        <v>91218</v>
      </c>
      <c r="FC4" s="11">
        <v>89806</v>
      </c>
      <c r="FD4" s="11">
        <v>90019</v>
      </c>
      <c r="FE4" s="11">
        <v>91757</v>
      </c>
      <c r="FF4" s="11">
        <v>95118</v>
      </c>
      <c r="FG4" s="11">
        <v>93359</v>
      </c>
      <c r="FH4" s="11">
        <v>92968</v>
      </c>
      <c r="FI4" s="11">
        <v>98031</v>
      </c>
      <c r="FJ4" s="11">
        <v>98174</v>
      </c>
      <c r="FK4" s="11">
        <v>100765</v>
      </c>
      <c r="FL4" s="11">
        <v>96733</v>
      </c>
      <c r="FM4" s="11">
        <v>99537</v>
      </c>
      <c r="FN4" s="11">
        <v>99553</v>
      </c>
      <c r="FO4" s="11">
        <v>99297</v>
      </c>
      <c r="FP4" s="11">
        <v>103492</v>
      </c>
      <c r="FQ4" s="11">
        <v>111995</v>
      </c>
      <c r="FR4" s="11">
        <v>110568</v>
      </c>
      <c r="FS4" s="11">
        <v>108361</v>
      </c>
      <c r="FT4" s="11">
        <v>106717</v>
      </c>
      <c r="FU4" s="11">
        <v>103717</v>
      </c>
      <c r="FV4" s="11">
        <v>107050</v>
      </c>
      <c r="FW4" s="11">
        <v>107542</v>
      </c>
      <c r="FX4" s="11">
        <v>106640</v>
      </c>
      <c r="FY4" s="11">
        <v>110732</v>
      </c>
      <c r="FZ4" s="11">
        <v>114569</v>
      </c>
      <c r="GA4" s="11">
        <v>115888</v>
      </c>
      <c r="GB4" s="11">
        <v>114975</v>
      </c>
      <c r="GC4" s="11">
        <v>115131</v>
      </c>
      <c r="GD4" s="11">
        <v>120994</v>
      </c>
      <c r="GE4" s="11">
        <v>116160</v>
      </c>
      <c r="GF4" s="11">
        <v>117940</v>
      </c>
      <c r="GG4" s="11">
        <v>117461</v>
      </c>
      <c r="GH4" s="11">
        <v>117040</v>
      </c>
      <c r="GI4" s="11">
        <v>116521</v>
      </c>
      <c r="GJ4" s="11">
        <v>118367</v>
      </c>
      <c r="GK4" s="11">
        <v>124088</v>
      </c>
      <c r="GL4" s="11">
        <v>126032</v>
      </c>
      <c r="GM4" s="11">
        <v>120061</v>
      </c>
      <c r="GN4" s="11">
        <v>115664</v>
      </c>
      <c r="GO4" s="11">
        <v>125991</v>
      </c>
      <c r="GP4" s="11">
        <v>117012</v>
      </c>
      <c r="GQ4" s="11">
        <v>118117</v>
      </c>
      <c r="GR4" s="11">
        <v>128410</v>
      </c>
      <c r="GS4" s="11">
        <v>126311</v>
      </c>
      <c r="GT4" s="11">
        <v>128877</v>
      </c>
      <c r="GU4" s="11">
        <v>128748</v>
      </c>
      <c r="GV4" s="11">
        <v>133727</v>
      </c>
      <c r="GW4" s="11">
        <v>134606</v>
      </c>
      <c r="GX4" s="11">
        <v>148171</v>
      </c>
      <c r="GY4" s="11">
        <v>156930</v>
      </c>
      <c r="GZ4" s="11">
        <v>146974</v>
      </c>
      <c r="HA4" s="11">
        <v>143930</v>
      </c>
      <c r="HB4" s="11">
        <v>140900</v>
      </c>
      <c r="HC4" s="11">
        <v>143050</v>
      </c>
      <c r="HD4" s="11">
        <v>142660</v>
      </c>
      <c r="HE4" s="11">
        <v>143506</v>
      </c>
      <c r="HF4" s="12">
        <v>145121.4</v>
      </c>
      <c r="HG4" s="12">
        <v>148374.5</v>
      </c>
      <c r="HH4" s="12">
        <v>146467.1</v>
      </c>
      <c r="HI4" s="12">
        <v>150111.6</v>
      </c>
      <c r="HJ4" s="12">
        <v>152220.1</v>
      </c>
      <c r="HK4" s="12">
        <v>154424</v>
      </c>
      <c r="HL4" s="12">
        <v>156013.29999999999</v>
      </c>
      <c r="HM4" s="12">
        <v>157985.1</v>
      </c>
      <c r="HN4" s="12">
        <v>160106.5</v>
      </c>
      <c r="HO4" s="12">
        <v>163575.29999999999</v>
      </c>
      <c r="HP4" s="12">
        <v>164811.20000000001</v>
      </c>
      <c r="HQ4" s="12">
        <v>167820.1</v>
      </c>
      <c r="HR4" s="12">
        <v>169857.1</v>
      </c>
      <c r="HS4" s="12">
        <v>171178.6</v>
      </c>
      <c r="HT4" s="12">
        <v>172792.8</v>
      </c>
      <c r="HU4" s="12">
        <v>175279.7</v>
      </c>
      <c r="HV4" s="12">
        <v>176999.6</v>
      </c>
      <c r="HW4" s="12">
        <v>178940.5</v>
      </c>
      <c r="HX4" s="12">
        <v>180484.2</v>
      </c>
      <c r="HY4" s="12">
        <v>182188.2</v>
      </c>
      <c r="HZ4" s="12">
        <v>184331.8</v>
      </c>
      <c r="IA4" s="12">
        <v>186213.6</v>
      </c>
      <c r="IB4" s="12">
        <v>188604.2</v>
      </c>
      <c r="IC4" s="12">
        <v>190545.3</v>
      </c>
      <c r="ID4" s="12">
        <v>192292.8</v>
      </c>
      <c r="IE4" s="12">
        <v>194713.3</v>
      </c>
      <c r="IF4" s="12">
        <v>197126.8</v>
      </c>
      <c r="IG4" s="12">
        <v>200050</v>
      </c>
      <c r="IH4" s="12">
        <v>201772.3</v>
      </c>
      <c r="II4" s="12">
        <v>203235.20000000001</v>
      </c>
      <c r="IJ4" s="12">
        <v>205228.1</v>
      </c>
      <c r="IK4" s="12">
        <v>207017.3</v>
      </c>
      <c r="IL4" s="12">
        <v>208894.9</v>
      </c>
      <c r="IM4" s="12">
        <v>210877.4</v>
      </c>
      <c r="IN4" s="12">
        <v>212980.8</v>
      </c>
      <c r="IO4" s="12">
        <v>214863.6</v>
      </c>
      <c r="IP4" s="12">
        <v>216798.8</v>
      </c>
      <c r="IQ4" s="12">
        <v>218844.3</v>
      </c>
      <c r="IR4" s="12">
        <v>221010.7</v>
      </c>
      <c r="IS4" s="12">
        <v>222921.9</v>
      </c>
      <c r="IT4" s="12">
        <v>224892.5</v>
      </c>
      <c r="IU4" s="12">
        <v>226976</v>
      </c>
      <c r="IV4" s="12">
        <v>229173.5</v>
      </c>
      <c r="IW4" s="12">
        <v>231142.6</v>
      </c>
      <c r="IX4" s="12">
        <v>233186</v>
      </c>
      <c r="IY4" s="12">
        <v>235368.3</v>
      </c>
      <c r="IZ4" s="12">
        <v>237665</v>
      </c>
      <c r="JA4" s="12">
        <v>239725.8</v>
      </c>
      <c r="JB4" s="12">
        <v>241865</v>
      </c>
      <c r="JC4" s="12">
        <v>244149.4</v>
      </c>
      <c r="JD4" s="12">
        <v>246532.4</v>
      </c>
      <c r="JE4" s="12">
        <v>248670.7</v>
      </c>
      <c r="JF4" s="12">
        <v>250890.1</v>
      </c>
      <c r="JG4" s="12">
        <v>253260.5</v>
      </c>
      <c r="JH4" s="12">
        <v>255756.7</v>
      </c>
      <c r="JI4" s="12">
        <v>257999.8</v>
      </c>
      <c r="JJ4" s="12">
        <v>260327.9</v>
      </c>
      <c r="JK4" s="12">
        <v>262813.2</v>
      </c>
      <c r="JL4" s="12">
        <v>265405.40000000002</v>
      </c>
      <c r="JM4" s="12">
        <v>267734.8</v>
      </c>
      <c r="JN4" s="12">
        <v>270152.8</v>
      </c>
      <c r="JO4" s="12">
        <v>272733.8</v>
      </c>
      <c r="JP4" s="12">
        <v>275425.90000000002</v>
      </c>
      <c r="JQ4" s="12">
        <v>277845</v>
      </c>
      <c r="JR4" s="12">
        <v>280355.3</v>
      </c>
      <c r="JS4" s="12">
        <v>283034.2</v>
      </c>
      <c r="JT4" s="12">
        <v>285794</v>
      </c>
      <c r="JU4" s="12">
        <v>288269.5</v>
      </c>
      <c r="JV4" s="12">
        <v>290838.7</v>
      </c>
      <c r="JW4" s="12">
        <v>293581.90000000002</v>
      </c>
      <c r="JX4" s="12">
        <v>296443.2</v>
      </c>
      <c r="JY4" s="12">
        <v>299009.7</v>
      </c>
      <c r="JZ4" s="12">
        <v>301673</v>
      </c>
      <c r="KA4" s="12">
        <v>304517</v>
      </c>
      <c r="KB4" s="12">
        <v>307480.09999999998</v>
      </c>
      <c r="KC4" s="12">
        <v>310137.2</v>
      </c>
      <c r="KD4" s="12">
        <v>312894.5</v>
      </c>
      <c r="KE4" s="12">
        <v>315838.90000000002</v>
      </c>
      <c r="KF4" s="12">
        <v>318909.8</v>
      </c>
      <c r="KG4" s="12">
        <v>321663</v>
      </c>
      <c r="KH4" s="12">
        <v>324520</v>
      </c>
      <c r="KI4" s="12">
        <v>327570.7</v>
      </c>
      <c r="KJ4" s="12">
        <v>330752.7</v>
      </c>
      <c r="KK4" s="12">
        <v>333605</v>
      </c>
      <c r="KL4" s="12">
        <v>336565.1</v>
      </c>
      <c r="KM4" s="12">
        <v>339726</v>
      </c>
      <c r="KN4" s="12">
        <v>343023</v>
      </c>
      <c r="KO4" s="12">
        <v>345977.8</v>
      </c>
      <c r="KP4" s="12">
        <v>349044.5</v>
      </c>
      <c r="KQ4" s="12">
        <v>352319.1</v>
      </c>
      <c r="KR4" s="12">
        <v>355735</v>
      </c>
      <c r="KS4" s="12">
        <v>358796.2</v>
      </c>
      <c r="KT4" s="12">
        <v>361973</v>
      </c>
      <c r="KU4" s="12">
        <v>365365.9</v>
      </c>
      <c r="KV4" s="12">
        <v>368904.9</v>
      </c>
      <c r="KW4" s="12">
        <v>372076.1</v>
      </c>
      <c r="KX4" s="12">
        <v>375367.3</v>
      </c>
      <c r="KY4" s="12">
        <v>378882.2</v>
      </c>
      <c r="KZ4" s="12">
        <v>382548.4</v>
      </c>
      <c r="LA4" s="12">
        <v>385833.5</v>
      </c>
      <c r="LB4" s="12">
        <v>389242.4</v>
      </c>
      <c r="LC4" s="12">
        <v>392883.4</v>
      </c>
      <c r="LD4" s="12">
        <v>396681.1</v>
      </c>
      <c r="LE4" s="12">
        <v>400082.8</v>
      </c>
      <c r="LF4" s="12">
        <v>403612.5</v>
      </c>
      <c r="LG4" s="12">
        <v>407382.2</v>
      </c>
      <c r="LH4" s="12">
        <v>411215.4</v>
      </c>
      <c r="LI4" s="12">
        <v>414635.7</v>
      </c>
      <c r="LJ4" s="12">
        <v>418169.5</v>
      </c>
      <c r="LK4" s="12">
        <v>421948.8</v>
      </c>
      <c r="LL4" s="12">
        <v>425893.2</v>
      </c>
      <c r="LM4" s="12">
        <v>429409.4</v>
      </c>
      <c r="LN4" s="12">
        <v>433029.5</v>
      </c>
      <c r="LO4" s="12">
        <v>436903</v>
      </c>
      <c r="LP4" s="12">
        <v>440946.3</v>
      </c>
      <c r="LQ4" s="12">
        <v>444545</v>
      </c>
      <c r="LR4" s="12">
        <v>448282.5</v>
      </c>
      <c r="LS4" s="12">
        <v>452282.3</v>
      </c>
      <c r="LT4" s="12">
        <v>456457.7</v>
      </c>
      <c r="LU4" s="12">
        <v>460172.9</v>
      </c>
      <c r="LV4" s="12">
        <v>464015.8</v>
      </c>
      <c r="LW4" s="12">
        <v>468130</v>
      </c>
      <c r="LX4" s="12">
        <v>472425.1</v>
      </c>
      <c r="LY4" s="12">
        <v>476242.8</v>
      </c>
      <c r="LZ4" s="12">
        <v>480196.1</v>
      </c>
      <c r="MA4" s="12">
        <v>484429.3</v>
      </c>
      <c r="MB4" s="12">
        <v>488848.5</v>
      </c>
      <c r="MC4" s="12">
        <v>492774.40000000002</v>
      </c>
      <c r="MD4" s="12">
        <v>496853.2</v>
      </c>
      <c r="ME4" s="12">
        <v>501221.4</v>
      </c>
      <c r="MF4" s="12">
        <v>505783.2</v>
      </c>
      <c r="MG4" s="12">
        <v>509833.7</v>
      </c>
      <c r="MH4" s="12">
        <v>514058.4</v>
      </c>
      <c r="MI4" s="12">
        <v>518583.2</v>
      </c>
      <c r="MJ4" s="12">
        <v>523308.6</v>
      </c>
      <c r="MK4" s="12">
        <v>527505.6</v>
      </c>
      <c r="ML4" s="12">
        <v>531860.6</v>
      </c>
      <c r="MM4" s="12">
        <v>536526.1</v>
      </c>
      <c r="MN4" s="12">
        <v>541404.1</v>
      </c>
      <c r="MO4" s="12">
        <v>545735.4</v>
      </c>
      <c r="MP4" s="12">
        <v>550253.9</v>
      </c>
      <c r="MQ4" s="12">
        <v>555093.69999999995</v>
      </c>
      <c r="MR4" s="12">
        <v>560148.5</v>
      </c>
      <c r="MS4" s="12">
        <v>564637.9</v>
      </c>
      <c r="MT4" s="12">
        <v>569301.9</v>
      </c>
      <c r="MU4" t="s">
        <v>1205</v>
      </c>
      <c r="MV4" t="b">
        <v>1</v>
      </c>
      <c r="MW4" t="s">
        <v>1196</v>
      </c>
      <c r="MX4" t="s">
        <v>1196</v>
      </c>
      <c r="MY4">
        <v>2024</v>
      </c>
      <c r="MZ4">
        <v>3</v>
      </c>
      <c r="NA4" t="s">
        <v>1196</v>
      </c>
      <c r="NB4" t="s">
        <v>1210</v>
      </c>
      <c r="NC4" t="s">
        <v>1211</v>
      </c>
      <c r="ND4" t="s">
        <v>1200</v>
      </c>
      <c r="NE4" t="s">
        <v>1212</v>
      </c>
      <c r="NF4" s="1" t="s">
        <v>1434</v>
      </c>
    </row>
    <row r="5" spans="1:370" x14ac:dyDescent="0.25">
      <c r="A5" t="s">
        <v>1193</v>
      </c>
      <c r="B5" t="s">
        <v>1213</v>
      </c>
      <c r="C5" s="1" t="s">
        <v>1433</v>
      </c>
      <c r="D5" t="s">
        <v>1203</v>
      </c>
      <c r="E5" t="s">
        <v>1204</v>
      </c>
      <c r="F5" t="s">
        <v>1197</v>
      </c>
      <c r="G5" s="11">
        <v>20046</v>
      </c>
      <c r="H5" s="11">
        <v>19874</v>
      </c>
      <c r="I5" s="11">
        <v>20558</v>
      </c>
      <c r="J5" s="11">
        <v>21315</v>
      </c>
      <c r="K5" s="11">
        <v>21132</v>
      </c>
      <c r="L5" s="11">
        <v>22651</v>
      </c>
      <c r="M5" s="11">
        <v>23896</v>
      </c>
      <c r="N5" s="11">
        <v>24994</v>
      </c>
      <c r="O5" s="11">
        <v>26814</v>
      </c>
      <c r="P5" s="11">
        <v>28129</v>
      </c>
      <c r="Q5" s="11">
        <v>29260</v>
      </c>
      <c r="R5" s="11">
        <v>30890</v>
      </c>
      <c r="S5" s="11">
        <v>32449</v>
      </c>
      <c r="T5" s="11">
        <v>33322</v>
      </c>
      <c r="U5" s="11">
        <v>34550</v>
      </c>
      <c r="V5" s="11">
        <v>36678</v>
      </c>
      <c r="W5" s="11">
        <v>38038</v>
      </c>
      <c r="X5" s="11">
        <v>39244</v>
      </c>
      <c r="Y5" s="11">
        <v>40339</v>
      </c>
      <c r="Z5" s="11">
        <v>42165</v>
      </c>
      <c r="AA5" s="11">
        <v>44140</v>
      </c>
      <c r="AB5" s="11">
        <v>45905</v>
      </c>
      <c r="AC5" s="11">
        <v>47207</v>
      </c>
      <c r="AD5" s="11">
        <v>48906</v>
      </c>
      <c r="AE5" s="11">
        <v>50459</v>
      </c>
      <c r="AF5" s="11">
        <v>53966</v>
      </c>
      <c r="AG5" s="11">
        <v>56767</v>
      </c>
      <c r="AH5" s="11">
        <v>59789</v>
      </c>
      <c r="AI5" s="11">
        <v>62107</v>
      </c>
      <c r="AJ5" s="11">
        <v>63704</v>
      </c>
      <c r="AK5" s="11">
        <v>66021</v>
      </c>
      <c r="AL5" s="11">
        <v>68138</v>
      </c>
      <c r="AM5" s="11">
        <v>69940</v>
      </c>
      <c r="AN5" s="11">
        <v>71334</v>
      </c>
      <c r="AO5" s="11">
        <v>73310</v>
      </c>
      <c r="AP5" s="11">
        <v>75596</v>
      </c>
      <c r="AQ5" s="11">
        <v>77468</v>
      </c>
      <c r="AR5" s="11">
        <v>78993</v>
      </c>
      <c r="AS5" s="11">
        <v>80430</v>
      </c>
      <c r="AT5" s="11">
        <v>82667</v>
      </c>
      <c r="AU5" s="11">
        <v>85727</v>
      </c>
      <c r="AV5" s="11">
        <v>86288</v>
      </c>
      <c r="AW5" s="11">
        <v>88637</v>
      </c>
      <c r="AX5" s="11">
        <v>90695</v>
      </c>
      <c r="AY5" s="11">
        <v>91663</v>
      </c>
      <c r="AZ5" s="11">
        <v>93433</v>
      </c>
      <c r="BA5" s="11">
        <v>94862</v>
      </c>
      <c r="BB5" s="11">
        <v>97962</v>
      </c>
      <c r="BC5" s="11">
        <v>99412</v>
      </c>
      <c r="BD5" s="11">
        <v>103208</v>
      </c>
      <c r="BE5" s="11">
        <v>105169</v>
      </c>
      <c r="BF5" s="11">
        <v>106841</v>
      </c>
      <c r="BG5" s="11">
        <v>108753</v>
      </c>
      <c r="BH5" s="11">
        <v>110079</v>
      </c>
      <c r="BI5" s="11">
        <v>111989</v>
      </c>
      <c r="BJ5" s="11">
        <v>115779</v>
      </c>
      <c r="BK5" s="11">
        <v>118136</v>
      </c>
      <c r="BL5" s="11">
        <v>121739</v>
      </c>
      <c r="BM5" s="11">
        <v>127119</v>
      </c>
      <c r="BN5" s="11">
        <v>129815</v>
      </c>
      <c r="BO5" s="11">
        <v>133283</v>
      </c>
      <c r="BP5" s="11">
        <v>136630</v>
      </c>
      <c r="BQ5" s="11">
        <v>140801</v>
      </c>
      <c r="BR5" s="11">
        <v>144969</v>
      </c>
      <c r="BS5" s="11">
        <v>148623</v>
      </c>
      <c r="BT5" s="11">
        <v>151262</v>
      </c>
      <c r="BU5" s="11">
        <v>155370</v>
      </c>
      <c r="BV5" s="11">
        <v>159376</v>
      </c>
      <c r="BW5" s="11">
        <v>163056</v>
      </c>
      <c r="BX5" s="11">
        <v>166719</v>
      </c>
      <c r="BY5" s="11">
        <v>170068</v>
      </c>
      <c r="BZ5" s="11">
        <v>170954</v>
      </c>
      <c r="CA5" s="11">
        <v>173192</v>
      </c>
      <c r="CB5" s="11">
        <v>175822</v>
      </c>
      <c r="CC5" s="11">
        <v>177280</v>
      </c>
      <c r="CD5" s="11">
        <v>179590</v>
      </c>
      <c r="CE5" s="11">
        <v>181438</v>
      </c>
      <c r="CF5" s="11">
        <v>181889</v>
      </c>
      <c r="CG5" s="11">
        <v>182558</v>
      </c>
      <c r="CH5" s="11">
        <v>184989</v>
      </c>
      <c r="CI5" s="11">
        <v>189580</v>
      </c>
      <c r="CJ5" s="11">
        <v>189802</v>
      </c>
      <c r="CK5" s="11">
        <v>193552</v>
      </c>
      <c r="CL5" s="11">
        <v>196921</v>
      </c>
      <c r="CM5" s="11">
        <v>199796</v>
      </c>
      <c r="CN5" s="11">
        <v>200691</v>
      </c>
      <c r="CO5" s="11">
        <v>203292</v>
      </c>
      <c r="CP5" s="11">
        <v>207015</v>
      </c>
      <c r="CQ5" s="11">
        <v>208657</v>
      </c>
      <c r="CR5" s="11">
        <v>210748</v>
      </c>
      <c r="CS5" s="11">
        <v>214616</v>
      </c>
      <c r="CT5" s="11">
        <v>217824</v>
      </c>
      <c r="CU5" s="11">
        <v>221433</v>
      </c>
      <c r="CV5" s="11">
        <v>226187</v>
      </c>
      <c r="CW5" s="11">
        <v>229912</v>
      </c>
      <c r="CX5" s="11">
        <v>232461</v>
      </c>
      <c r="CY5" s="11">
        <v>232749</v>
      </c>
      <c r="CZ5" s="11">
        <v>235998</v>
      </c>
      <c r="DA5" s="11">
        <v>243388</v>
      </c>
      <c r="DB5" s="11">
        <v>241270</v>
      </c>
      <c r="DC5" s="11">
        <v>245958</v>
      </c>
      <c r="DD5" s="11">
        <v>248081</v>
      </c>
      <c r="DE5" s="11">
        <v>250560</v>
      </c>
      <c r="DF5" s="11">
        <v>253902</v>
      </c>
      <c r="DG5" s="11">
        <v>255903</v>
      </c>
      <c r="DH5" s="11">
        <v>258404</v>
      </c>
      <c r="DI5" s="11">
        <v>261604</v>
      </c>
      <c r="DJ5" s="11">
        <v>267337</v>
      </c>
      <c r="DK5" s="11">
        <v>272305</v>
      </c>
      <c r="DL5" s="11">
        <v>273916</v>
      </c>
      <c r="DM5" s="11">
        <v>276174</v>
      </c>
      <c r="DN5" s="11">
        <v>278357</v>
      </c>
      <c r="DO5" s="11">
        <v>282889</v>
      </c>
      <c r="DP5" s="11">
        <v>286728</v>
      </c>
      <c r="DQ5" s="11">
        <v>288166</v>
      </c>
      <c r="DR5" s="11">
        <v>288352</v>
      </c>
      <c r="DS5" s="11">
        <v>292486</v>
      </c>
      <c r="DT5" s="11">
        <v>295516</v>
      </c>
      <c r="DU5" s="11">
        <v>299230</v>
      </c>
      <c r="DV5" s="11">
        <v>304207</v>
      </c>
      <c r="DW5" s="11">
        <v>307485</v>
      </c>
      <c r="DX5" s="11">
        <v>312948</v>
      </c>
      <c r="DY5" s="11">
        <v>317463</v>
      </c>
      <c r="DZ5" s="11">
        <v>320438</v>
      </c>
      <c r="EA5" s="11">
        <v>322778</v>
      </c>
      <c r="EB5" s="11">
        <v>329732</v>
      </c>
      <c r="EC5" s="11">
        <v>331592</v>
      </c>
      <c r="ED5" s="11">
        <v>338535</v>
      </c>
      <c r="EE5" s="11">
        <v>341254</v>
      </c>
      <c r="EF5" s="11">
        <v>348491</v>
      </c>
      <c r="EG5" s="11">
        <v>352001</v>
      </c>
      <c r="EH5" s="11">
        <v>357003</v>
      </c>
      <c r="EI5" s="11">
        <v>361213</v>
      </c>
      <c r="EJ5" s="11">
        <v>367042</v>
      </c>
      <c r="EK5" s="11">
        <v>370883</v>
      </c>
      <c r="EL5" s="11">
        <v>372900</v>
      </c>
      <c r="EM5" s="11">
        <v>376958</v>
      </c>
      <c r="EN5" s="11">
        <v>386144</v>
      </c>
      <c r="EO5" s="11">
        <v>389291</v>
      </c>
      <c r="EP5" s="11">
        <v>392244</v>
      </c>
      <c r="EQ5" s="11">
        <v>397800</v>
      </c>
      <c r="ER5" s="11">
        <v>400685</v>
      </c>
      <c r="ES5" s="11">
        <v>399994</v>
      </c>
      <c r="ET5" s="11">
        <v>395121</v>
      </c>
      <c r="EU5" s="11">
        <v>386874</v>
      </c>
      <c r="EV5" s="11">
        <v>386553</v>
      </c>
      <c r="EW5" s="11">
        <v>388596</v>
      </c>
      <c r="EX5" s="11">
        <v>386779</v>
      </c>
      <c r="EY5" s="11">
        <v>396176</v>
      </c>
      <c r="EZ5" s="11">
        <v>401223</v>
      </c>
      <c r="FA5" s="11">
        <v>404365</v>
      </c>
      <c r="FB5" s="11">
        <v>406789</v>
      </c>
      <c r="FC5" s="11">
        <v>414806</v>
      </c>
      <c r="FD5" s="11">
        <v>412364</v>
      </c>
      <c r="FE5" s="11">
        <v>416115</v>
      </c>
      <c r="FF5" s="11">
        <v>419305</v>
      </c>
      <c r="FG5" s="11">
        <v>424540</v>
      </c>
      <c r="FH5" s="11">
        <v>424939</v>
      </c>
      <c r="FI5" s="11">
        <v>430964</v>
      </c>
      <c r="FJ5" s="11">
        <v>433272</v>
      </c>
      <c r="FK5" s="11">
        <v>438283</v>
      </c>
      <c r="FL5" s="11">
        <v>442095</v>
      </c>
      <c r="FM5" s="11">
        <v>448800</v>
      </c>
      <c r="FN5" s="11">
        <v>452183</v>
      </c>
      <c r="FO5" s="11">
        <v>457683</v>
      </c>
      <c r="FP5" s="11">
        <v>461549</v>
      </c>
      <c r="FQ5" s="11">
        <v>470624</v>
      </c>
      <c r="FR5" s="11">
        <v>472658</v>
      </c>
      <c r="FS5" s="11">
        <v>474680</v>
      </c>
      <c r="FT5" s="11">
        <v>476591</v>
      </c>
      <c r="FU5" s="11">
        <v>479924</v>
      </c>
      <c r="FV5" s="11">
        <v>485256</v>
      </c>
      <c r="FW5" s="11">
        <v>489683</v>
      </c>
      <c r="FX5" s="11">
        <v>493710</v>
      </c>
      <c r="FY5" s="11">
        <v>500801</v>
      </c>
      <c r="FZ5" s="11">
        <v>507451</v>
      </c>
      <c r="GA5" s="11">
        <v>513814</v>
      </c>
      <c r="GB5" s="11">
        <v>517656</v>
      </c>
      <c r="GC5" s="11">
        <v>521257</v>
      </c>
      <c r="GD5" s="11">
        <v>529755</v>
      </c>
      <c r="GE5" s="11">
        <v>531131</v>
      </c>
      <c r="GF5" s="11">
        <v>535707</v>
      </c>
      <c r="GG5" s="11">
        <v>540205</v>
      </c>
      <c r="GH5" s="11">
        <v>545261</v>
      </c>
      <c r="GI5" s="11">
        <v>549060</v>
      </c>
      <c r="GJ5" s="11">
        <v>556104</v>
      </c>
      <c r="GK5" s="11">
        <v>562999</v>
      </c>
      <c r="GL5" s="11">
        <v>565758</v>
      </c>
      <c r="GM5" s="11">
        <v>555891</v>
      </c>
      <c r="GN5" s="11">
        <v>476160</v>
      </c>
      <c r="GO5" s="11">
        <v>533806</v>
      </c>
      <c r="GP5" s="11">
        <v>537629</v>
      </c>
      <c r="GQ5" s="11">
        <v>537992</v>
      </c>
      <c r="GR5" s="11">
        <v>568521</v>
      </c>
      <c r="GS5" s="11">
        <v>581805</v>
      </c>
      <c r="GT5" s="11">
        <v>597082</v>
      </c>
      <c r="GU5" s="11">
        <v>610346</v>
      </c>
      <c r="GV5" s="11">
        <v>625467</v>
      </c>
      <c r="GW5" s="11">
        <v>636553</v>
      </c>
      <c r="GX5" s="11">
        <v>654062</v>
      </c>
      <c r="GY5" s="11">
        <v>667103</v>
      </c>
      <c r="GZ5" s="11">
        <v>679433</v>
      </c>
      <c r="HA5" s="11">
        <v>685035</v>
      </c>
      <c r="HB5" s="11">
        <v>685749</v>
      </c>
      <c r="HC5" s="11">
        <v>697617</v>
      </c>
      <c r="HD5" s="11">
        <v>704470</v>
      </c>
      <c r="HE5" s="11">
        <v>712652</v>
      </c>
      <c r="HF5" s="12">
        <v>719720.4</v>
      </c>
      <c r="HG5" s="12">
        <v>729288.2</v>
      </c>
      <c r="HH5" s="12">
        <v>737176.1</v>
      </c>
      <c r="HI5" s="12">
        <v>744686.1</v>
      </c>
      <c r="HJ5" s="12">
        <v>752089.5</v>
      </c>
      <c r="HK5" s="12">
        <v>759365.1</v>
      </c>
      <c r="HL5" s="12">
        <v>766253.6</v>
      </c>
      <c r="HM5" s="12">
        <v>773550.1</v>
      </c>
      <c r="HN5" s="12">
        <v>780877.1</v>
      </c>
      <c r="HO5" s="12">
        <v>788391.3</v>
      </c>
      <c r="HP5" s="12">
        <v>796057.8</v>
      </c>
      <c r="HQ5" s="12">
        <v>803837.6</v>
      </c>
      <c r="HR5" s="12">
        <v>811572.8</v>
      </c>
      <c r="HS5" s="12">
        <v>819300.7</v>
      </c>
      <c r="HT5" s="12">
        <v>827143.4</v>
      </c>
      <c r="HU5" s="12">
        <v>834895.3</v>
      </c>
      <c r="HV5" s="12">
        <v>842677.6</v>
      </c>
      <c r="HW5" s="12">
        <v>850447.9</v>
      </c>
      <c r="HX5" s="12">
        <v>858161.3</v>
      </c>
      <c r="HY5" s="12">
        <v>865815.8</v>
      </c>
      <c r="HZ5" s="12">
        <v>873538.4</v>
      </c>
      <c r="IA5" s="12">
        <v>881417.8</v>
      </c>
      <c r="IB5" s="12">
        <v>889457</v>
      </c>
      <c r="IC5" s="12">
        <v>897703</v>
      </c>
      <c r="ID5" s="12">
        <v>906092.9</v>
      </c>
      <c r="IE5" s="12">
        <v>914561.5</v>
      </c>
      <c r="IF5" s="12">
        <v>923109.6</v>
      </c>
      <c r="IG5" s="12">
        <v>931690.8</v>
      </c>
      <c r="IH5" s="12">
        <v>940304.7</v>
      </c>
      <c r="II5" s="12">
        <v>948998.8</v>
      </c>
      <c r="IJ5" s="12">
        <v>957773.3</v>
      </c>
      <c r="IK5" s="12">
        <v>966724.7</v>
      </c>
      <c r="IL5" s="12">
        <v>975662.8</v>
      </c>
      <c r="IM5" s="12">
        <v>984848.1</v>
      </c>
      <c r="IN5" s="12">
        <v>994074.5</v>
      </c>
      <c r="IO5" s="12">
        <v>1003302</v>
      </c>
      <c r="IP5" s="12">
        <v>1012523</v>
      </c>
      <c r="IQ5" s="12">
        <v>1021980</v>
      </c>
      <c r="IR5" s="12">
        <v>1031356</v>
      </c>
      <c r="IS5" s="12">
        <v>1040759</v>
      </c>
      <c r="IT5" s="12">
        <v>1050146</v>
      </c>
      <c r="IU5" s="12">
        <v>1059725</v>
      </c>
      <c r="IV5" s="12">
        <v>1069390</v>
      </c>
      <c r="IW5" s="12">
        <v>1079139</v>
      </c>
      <c r="IX5" s="12">
        <v>1088974</v>
      </c>
      <c r="IY5" s="12">
        <v>1098991</v>
      </c>
      <c r="IZ5" s="12">
        <v>1109100</v>
      </c>
      <c r="JA5" s="12">
        <v>1119304</v>
      </c>
      <c r="JB5" s="12">
        <v>1129602</v>
      </c>
      <c r="JC5" s="12">
        <v>1139995</v>
      </c>
      <c r="JD5" s="12">
        <v>1150484</v>
      </c>
      <c r="JE5" s="12">
        <v>1161070</v>
      </c>
      <c r="JF5" s="12">
        <v>1171756</v>
      </c>
      <c r="JG5" s="12">
        <v>1182649</v>
      </c>
      <c r="JH5" s="12">
        <v>1193646</v>
      </c>
      <c r="JI5" s="12">
        <v>1204747</v>
      </c>
      <c r="JJ5" s="12">
        <v>1215953</v>
      </c>
      <c r="JK5" s="12">
        <v>1227266</v>
      </c>
      <c r="JL5" s="12">
        <v>1238685</v>
      </c>
      <c r="JM5" s="12">
        <v>1250214</v>
      </c>
      <c r="JN5" s="12">
        <v>1261853</v>
      </c>
      <c r="JO5" s="12">
        <v>1273602</v>
      </c>
      <c r="JP5" s="12">
        <v>1285460</v>
      </c>
      <c r="JQ5" s="12">
        <v>1297429</v>
      </c>
      <c r="JR5" s="12">
        <v>1309510</v>
      </c>
      <c r="JS5" s="12">
        <v>1321545</v>
      </c>
      <c r="JT5" s="12">
        <v>1333689</v>
      </c>
      <c r="JU5" s="12">
        <v>1345945</v>
      </c>
      <c r="JV5" s="12">
        <v>1358310</v>
      </c>
      <c r="JW5" s="12">
        <v>1370788</v>
      </c>
      <c r="JX5" s="12">
        <v>1383379</v>
      </c>
      <c r="JY5" s="12">
        <v>1396083</v>
      </c>
      <c r="JZ5" s="12">
        <v>1408904</v>
      </c>
      <c r="KA5" s="12">
        <v>1421824</v>
      </c>
      <c r="KB5" s="12">
        <v>1434861</v>
      </c>
      <c r="KC5" s="12">
        <v>1448015</v>
      </c>
      <c r="KD5" s="12">
        <v>1461286</v>
      </c>
      <c r="KE5" s="12">
        <v>1474676</v>
      </c>
      <c r="KF5" s="12">
        <v>1488185</v>
      </c>
      <c r="KG5" s="12">
        <v>1501815</v>
      </c>
      <c r="KH5" s="12">
        <v>1515566</v>
      </c>
      <c r="KI5" s="12">
        <v>1529439</v>
      </c>
      <c r="KJ5" s="12">
        <v>1543436</v>
      </c>
      <c r="KK5" s="12">
        <v>1557558</v>
      </c>
      <c r="KL5" s="12">
        <v>1571805</v>
      </c>
      <c r="KM5" s="12">
        <v>1586179</v>
      </c>
      <c r="KN5" s="12">
        <v>1600679</v>
      </c>
      <c r="KO5" s="12">
        <v>1615309</v>
      </c>
      <c r="KP5" s="12">
        <v>1630069</v>
      </c>
      <c r="KQ5" s="12">
        <v>1644961</v>
      </c>
      <c r="KR5" s="12">
        <v>1659984</v>
      </c>
      <c r="KS5" s="12">
        <v>1675140</v>
      </c>
      <c r="KT5" s="12">
        <v>1690432</v>
      </c>
      <c r="KU5" s="12">
        <v>1705860</v>
      </c>
      <c r="KV5" s="12">
        <v>1721424</v>
      </c>
      <c r="KW5" s="12">
        <v>1737126</v>
      </c>
      <c r="KX5" s="12">
        <v>1752968</v>
      </c>
      <c r="KY5" s="12">
        <v>1768949</v>
      </c>
      <c r="KZ5" s="12">
        <v>1785073</v>
      </c>
      <c r="LA5" s="12">
        <v>1801338</v>
      </c>
      <c r="LB5" s="12">
        <v>1817747</v>
      </c>
      <c r="LC5" s="12">
        <v>1834300</v>
      </c>
      <c r="LD5" s="12">
        <v>1850998</v>
      </c>
      <c r="LE5" s="12">
        <v>1867839</v>
      </c>
      <c r="LF5" s="12">
        <v>1884828</v>
      </c>
      <c r="LG5" s="12">
        <v>1901508</v>
      </c>
      <c r="LH5" s="12">
        <v>1918327</v>
      </c>
      <c r="LI5" s="12">
        <v>1935206</v>
      </c>
      <c r="LJ5" s="12">
        <v>1952224</v>
      </c>
      <c r="LK5" s="12">
        <v>1969380</v>
      </c>
      <c r="LL5" s="12">
        <v>1986678</v>
      </c>
      <c r="LM5" s="12">
        <v>2003976</v>
      </c>
      <c r="LN5" s="12">
        <v>2021412</v>
      </c>
      <c r="LO5" s="12">
        <v>2038987</v>
      </c>
      <c r="LP5" s="12">
        <v>2056704</v>
      </c>
      <c r="LQ5" s="12">
        <v>2074564</v>
      </c>
      <c r="LR5" s="12">
        <v>2092567</v>
      </c>
      <c r="LS5" s="12">
        <v>2110714</v>
      </c>
      <c r="LT5" s="12">
        <v>2129007</v>
      </c>
      <c r="LU5" s="12">
        <v>2147375</v>
      </c>
      <c r="LV5" s="12">
        <v>2165889</v>
      </c>
      <c r="LW5" s="12">
        <v>2184549</v>
      </c>
      <c r="LX5" s="12">
        <v>2203355</v>
      </c>
      <c r="LY5" s="12">
        <v>2222254</v>
      </c>
      <c r="LZ5" s="12">
        <v>2241301</v>
      </c>
      <c r="MA5" s="12">
        <v>2260493</v>
      </c>
      <c r="MB5" s="12">
        <v>2279839</v>
      </c>
      <c r="MC5" s="12">
        <v>2299340</v>
      </c>
      <c r="MD5" s="12">
        <v>2318992</v>
      </c>
      <c r="ME5" s="12">
        <v>2338801</v>
      </c>
      <c r="MF5" s="12">
        <v>2358764</v>
      </c>
      <c r="MG5" s="12">
        <v>2378962</v>
      </c>
      <c r="MH5" s="12">
        <v>2399320</v>
      </c>
      <c r="MI5" s="12">
        <v>2419841</v>
      </c>
      <c r="MJ5" s="12">
        <v>2440524</v>
      </c>
      <c r="MK5" s="12">
        <v>2461347</v>
      </c>
      <c r="ML5" s="12">
        <v>2482336</v>
      </c>
      <c r="MM5" s="12">
        <v>2503516</v>
      </c>
      <c r="MN5" s="12">
        <v>2524865</v>
      </c>
      <c r="MO5" s="12">
        <v>2546468</v>
      </c>
      <c r="MP5" s="12">
        <v>2568243</v>
      </c>
      <c r="MQ5" s="12">
        <v>2590193</v>
      </c>
      <c r="MR5" s="12">
        <v>2612318</v>
      </c>
      <c r="MS5" s="12">
        <v>2634618</v>
      </c>
      <c r="MT5" s="12">
        <v>2657099</v>
      </c>
      <c r="MU5" t="s">
        <v>1205</v>
      </c>
      <c r="MV5" t="b">
        <v>1</v>
      </c>
      <c r="MW5" t="s">
        <v>1196</v>
      </c>
      <c r="MX5" t="s">
        <v>1196</v>
      </c>
      <c r="MY5">
        <v>2024</v>
      </c>
      <c r="MZ5">
        <v>3</v>
      </c>
      <c r="NA5" t="s">
        <v>1196</v>
      </c>
      <c r="NB5" t="s">
        <v>1214</v>
      </c>
      <c r="NC5" t="s">
        <v>1215</v>
      </c>
      <c r="ND5" t="s">
        <v>1200</v>
      </c>
      <c r="NE5" t="s">
        <v>1216</v>
      </c>
      <c r="NF5" s="1" t="s">
        <v>1434</v>
      </c>
    </row>
    <row r="6" spans="1:370" x14ac:dyDescent="0.25">
      <c r="A6" t="s">
        <v>1193</v>
      </c>
      <c r="B6" t="s">
        <v>1217</v>
      </c>
      <c r="C6" s="1" t="s">
        <v>1433</v>
      </c>
      <c r="D6" t="s">
        <v>1218</v>
      </c>
      <c r="E6" t="s">
        <v>1196</v>
      </c>
      <c r="F6" t="s">
        <v>1197</v>
      </c>
      <c r="G6" s="11">
        <v>14.851150000000001</v>
      </c>
      <c r="H6" s="11">
        <v>15.597429999999999</v>
      </c>
      <c r="I6" s="11">
        <v>16.407070000000001</v>
      </c>
      <c r="J6" s="11">
        <v>16.907609999999998</v>
      </c>
      <c r="K6" s="11">
        <v>16.780860000000001</v>
      </c>
      <c r="L6" s="11">
        <v>18.253409999999999</v>
      </c>
      <c r="M6" s="11">
        <v>20.242899999999999</v>
      </c>
      <c r="N6" s="11">
        <v>21.924240000000001</v>
      </c>
      <c r="O6" s="11">
        <v>23.39659</v>
      </c>
      <c r="P6" s="11">
        <v>24.964189999999999</v>
      </c>
      <c r="Q6" s="11">
        <v>27.02938</v>
      </c>
      <c r="R6" s="11">
        <v>28.37567</v>
      </c>
      <c r="S6" s="11">
        <v>29.357140000000001</v>
      </c>
      <c r="T6" s="11">
        <v>30.793579999999999</v>
      </c>
      <c r="U6" s="11">
        <v>32.301470000000002</v>
      </c>
      <c r="V6" s="11">
        <v>33.18535</v>
      </c>
      <c r="W6" s="11">
        <v>33.540489999999998</v>
      </c>
      <c r="X6" s="11">
        <v>34.543460000000003</v>
      </c>
      <c r="Y6" s="11">
        <v>35.597639999999998</v>
      </c>
      <c r="Z6" s="11">
        <v>36.685519999999997</v>
      </c>
      <c r="AA6" s="11">
        <v>37.643259999999998</v>
      </c>
      <c r="AB6" s="11">
        <v>39.864730000000002</v>
      </c>
      <c r="AC6" s="11">
        <v>42.09901</v>
      </c>
      <c r="AD6" s="11">
        <v>43.30621</v>
      </c>
      <c r="AE6" s="11">
        <v>43.965009999999999</v>
      </c>
      <c r="AF6" s="11">
        <v>46.838419999999999</v>
      </c>
      <c r="AG6" s="11">
        <v>50.12706</v>
      </c>
      <c r="AH6" s="11">
        <v>52.644150000000003</v>
      </c>
      <c r="AI6" s="11">
        <v>54.906700000000001</v>
      </c>
      <c r="AJ6" s="11">
        <v>59.170099999999998</v>
      </c>
      <c r="AK6" s="11">
        <v>63.642139999999998</v>
      </c>
      <c r="AL6" s="11">
        <v>66.771739999999994</v>
      </c>
      <c r="AM6" s="11">
        <v>67.327690000000004</v>
      </c>
      <c r="AN6" s="11">
        <v>69.614490000000004</v>
      </c>
      <c r="AO6" s="11">
        <v>73.352940000000004</v>
      </c>
      <c r="AP6" s="11">
        <v>76.177090000000007</v>
      </c>
      <c r="AQ6" s="11">
        <v>76.586519999999993</v>
      </c>
      <c r="AR6" s="11">
        <v>78.919120000000007</v>
      </c>
      <c r="AS6" s="11">
        <v>82.158659999999998</v>
      </c>
      <c r="AT6" s="11">
        <v>83.439229999999995</v>
      </c>
      <c r="AU6" s="11">
        <v>84.922520000000006</v>
      </c>
      <c r="AV6" s="11">
        <v>88.039339999999996</v>
      </c>
      <c r="AW6" s="11">
        <v>90.437579999999997</v>
      </c>
      <c r="AX6" s="11">
        <v>91.531840000000003</v>
      </c>
      <c r="AY6" s="11">
        <v>92.079539999999994</v>
      </c>
      <c r="AZ6" s="11">
        <v>94.127579999999995</v>
      </c>
      <c r="BA6" s="11">
        <v>96.732339999999994</v>
      </c>
      <c r="BB6" s="11">
        <v>99.446349999999995</v>
      </c>
      <c r="BC6" s="11">
        <v>100.12390000000001</v>
      </c>
      <c r="BD6" s="11">
        <v>104.4909</v>
      </c>
      <c r="BE6" s="11">
        <v>107.6677</v>
      </c>
      <c r="BF6" s="11">
        <v>109.6371</v>
      </c>
      <c r="BG6" s="11">
        <v>110.8912</v>
      </c>
      <c r="BH6" s="11">
        <v>115.3305</v>
      </c>
      <c r="BI6" s="11">
        <v>118.2911</v>
      </c>
      <c r="BJ6" s="11">
        <v>120.3198</v>
      </c>
      <c r="BK6" s="11">
        <v>121.41079999999999</v>
      </c>
      <c r="BL6" s="11">
        <v>125.7916</v>
      </c>
      <c r="BM6" s="11">
        <v>130.0642</v>
      </c>
      <c r="BN6" s="11">
        <v>132.7039</v>
      </c>
      <c r="BO6" s="11">
        <v>134.46860000000001</v>
      </c>
      <c r="BP6" s="11">
        <v>139.05330000000001</v>
      </c>
      <c r="BQ6" s="11">
        <v>144.16399999999999</v>
      </c>
      <c r="BR6" s="11">
        <v>148.042</v>
      </c>
      <c r="BS6" s="11">
        <v>150.62790000000001</v>
      </c>
      <c r="BT6" s="11">
        <v>155.5334</v>
      </c>
      <c r="BU6" s="11">
        <v>160.64189999999999</v>
      </c>
      <c r="BV6" s="11">
        <v>165.39500000000001</v>
      </c>
      <c r="BW6" s="11">
        <v>167.1534</v>
      </c>
      <c r="BX6" s="11">
        <v>174.4332</v>
      </c>
      <c r="BY6" s="11">
        <v>181.6447</v>
      </c>
      <c r="BZ6" s="11">
        <v>185.41390000000001</v>
      </c>
      <c r="CA6" s="11">
        <v>187.09540000000001</v>
      </c>
      <c r="CB6" s="11">
        <v>192.89080000000001</v>
      </c>
      <c r="CC6" s="11">
        <v>198.7286</v>
      </c>
      <c r="CD6" s="11">
        <v>202.2243</v>
      </c>
      <c r="CE6" s="11">
        <v>203.99180000000001</v>
      </c>
      <c r="CF6" s="11">
        <v>209.3937</v>
      </c>
      <c r="CG6" s="11">
        <v>213.14080000000001</v>
      </c>
      <c r="CH6" s="11">
        <v>215.0164</v>
      </c>
      <c r="CI6" s="11">
        <v>213.95429999999999</v>
      </c>
      <c r="CJ6" s="11">
        <v>217.78450000000001</v>
      </c>
      <c r="CK6" s="11">
        <v>221.5908</v>
      </c>
      <c r="CL6" s="11">
        <v>222.90620000000001</v>
      </c>
      <c r="CM6" s="11">
        <v>222.8023</v>
      </c>
      <c r="CN6" s="11">
        <v>227.5204</v>
      </c>
      <c r="CO6" s="11">
        <v>232.0582</v>
      </c>
      <c r="CP6" s="11">
        <v>233.2474</v>
      </c>
      <c r="CQ6" s="11">
        <v>232.66929999999999</v>
      </c>
      <c r="CR6" s="11">
        <v>237.69069999999999</v>
      </c>
      <c r="CS6" s="11">
        <v>240.27940000000001</v>
      </c>
      <c r="CT6" s="11">
        <v>241.90459999999999</v>
      </c>
      <c r="CU6" s="11">
        <v>241.40309999999999</v>
      </c>
      <c r="CV6" s="11">
        <v>247.31559999999999</v>
      </c>
      <c r="CW6" s="11">
        <v>251.52930000000001</v>
      </c>
      <c r="CX6" s="11">
        <v>253.94390000000001</v>
      </c>
      <c r="CY6" s="11">
        <v>253.93029999999999</v>
      </c>
      <c r="CZ6" s="11">
        <v>259.93700000000001</v>
      </c>
      <c r="DA6" s="11">
        <v>264.79160000000002</v>
      </c>
      <c r="DB6" s="11">
        <v>268.61829999999998</v>
      </c>
      <c r="DC6" s="11">
        <v>269.56689999999998</v>
      </c>
      <c r="DD6" s="11">
        <v>278.03019999999998</v>
      </c>
      <c r="DE6" s="11">
        <v>282.88189999999997</v>
      </c>
      <c r="DF6" s="11">
        <v>285.15710000000001</v>
      </c>
      <c r="DG6" s="11">
        <v>284.69069999999999</v>
      </c>
      <c r="DH6" s="11">
        <v>293.50729999999999</v>
      </c>
      <c r="DI6" s="11">
        <v>299.82389999999998</v>
      </c>
      <c r="DJ6" s="11">
        <v>303.68020000000001</v>
      </c>
      <c r="DK6" s="11">
        <v>305.33330000000001</v>
      </c>
      <c r="DL6" s="11">
        <v>310.33330000000001</v>
      </c>
      <c r="DM6" s="11">
        <v>315</v>
      </c>
      <c r="DN6" s="11">
        <v>320.33330000000001</v>
      </c>
      <c r="DO6" s="11">
        <v>324</v>
      </c>
      <c r="DP6" s="11">
        <v>327</v>
      </c>
      <c r="DQ6" s="11">
        <v>330</v>
      </c>
      <c r="DR6" s="11">
        <v>333.66669999999999</v>
      </c>
      <c r="DS6" s="11">
        <v>333.66669999999999</v>
      </c>
      <c r="DT6" s="11">
        <v>339</v>
      </c>
      <c r="DU6" s="11">
        <v>341.33330000000001</v>
      </c>
      <c r="DV6" s="11">
        <v>342.66669999999999</v>
      </c>
      <c r="DW6" s="11">
        <v>343</v>
      </c>
      <c r="DX6" s="11">
        <v>348</v>
      </c>
      <c r="DY6" s="11">
        <v>352.66669999999999</v>
      </c>
      <c r="DZ6" s="11">
        <v>357</v>
      </c>
      <c r="EA6" s="11">
        <v>359</v>
      </c>
      <c r="EB6" s="11">
        <v>363</v>
      </c>
      <c r="EC6" s="11">
        <v>367</v>
      </c>
      <c r="ED6" s="11">
        <v>372.33330000000001</v>
      </c>
      <c r="EE6" s="11">
        <v>375.33330000000001</v>
      </c>
      <c r="EF6" s="11">
        <v>379.66669999999999</v>
      </c>
      <c r="EG6" s="11">
        <v>385.33330000000001</v>
      </c>
      <c r="EH6" s="11">
        <v>389.33330000000001</v>
      </c>
      <c r="EI6" s="11">
        <v>393.66669999999999</v>
      </c>
      <c r="EJ6" s="11">
        <v>397.66669999999999</v>
      </c>
      <c r="EK6" s="11">
        <v>401.33330000000001</v>
      </c>
      <c r="EL6" s="11">
        <v>408</v>
      </c>
      <c r="EM6" s="11">
        <v>417</v>
      </c>
      <c r="EN6" s="11">
        <v>415.33330000000001</v>
      </c>
      <c r="EO6" s="11">
        <v>422</v>
      </c>
      <c r="EP6" s="11">
        <v>425</v>
      </c>
      <c r="EQ6" s="11">
        <v>433.66669999999999</v>
      </c>
      <c r="ER6" s="11">
        <v>433</v>
      </c>
      <c r="ES6" s="11">
        <v>434.66669999999999</v>
      </c>
      <c r="ET6" s="11">
        <v>436.33330000000001</v>
      </c>
      <c r="EU6" s="11">
        <v>421</v>
      </c>
      <c r="EV6" s="11">
        <v>437.66669999999999</v>
      </c>
      <c r="EW6" s="11">
        <v>438</v>
      </c>
      <c r="EX6" s="11">
        <v>439.66669999999999</v>
      </c>
      <c r="EY6" s="11">
        <v>442</v>
      </c>
      <c r="EZ6" s="11">
        <v>442</v>
      </c>
      <c r="FA6" s="11">
        <v>444.66669999999999</v>
      </c>
      <c r="FB6" s="11">
        <v>448</v>
      </c>
      <c r="FC6" s="11">
        <v>454.66669999999999</v>
      </c>
      <c r="FD6" s="11">
        <v>453.33330000000001</v>
      </c>
      <c r="FE6" s="11">
        <v>454.66669999999999</v>
      </c>
      <c r="FF6" s="11">
        <v>456.66669999999999</v>
      </c>
      <c r="FG6" s="11">
        <v>457</v>
      </c>
      <c r="FH6" s="11">
        <v>460.66669999999999</v>
      </c>
      <c r="FI6" s="11">
        <v>463</v>
      </c>
      <c r="FJ6" s="11">
        <v>462</v>
      </c>
      <c r="FK6" s="11">
        <v>459.33330000000001</v>
      </c>
      <c r="FL6" s="11">
        <v>470.33330000000001</v>
      </c>
      <c r="FM6" s="11">
        <v>466</v>
      </c>
      <c r="FN6" s="11">
        <v>466.66669999999999</v>
      </c>
      <c r="FO6" s="11">
        <v>467.33330000000001</v>
      </c>
      <c r="FP6" s="11">
        <v>469.33330000000001</v>
      </c>
      <c r="FQ6" s="11">
        <v>470</v>
      </c>
      <c r="FR6" s="11">
        <v>476</v>
      </c>
      <c r="FS6" s="11">
        <v>478</v>
      </c>
      <c r="FT6" s="11">
        <v>481.33330000000001</v>
      </c>
      <c r="FU6" s="11">
        <v>483.66669999999999</v>
      </c>
      <c r="FV6" s="11">
        <v>485</v>
      </c>
      <c r="FW6" s="11">
        <v>488.33330000000001</v>
      </c>
      <c r="FX6" s="11">
        <v>493.66669999999999</v>
      </c>
      <c r="FY6" s="11">
        <v>495</v>
      </c>
      <c r="FZ6" s="11">
        <v>497</v>
      </c>
      <c r="GA6" s="11">
        <v>499</v>
      </c>
      <c r="GB6" s="11">
        <v>504.33330000000001</v>
      </c>
      <c r="GC6" s="11">
        <v>506.66669999999999</v>
      </c>
      <c r="GD6" s="11">
        <v>510.33330000000001</v>
      </c>
      <c r="GE6" s="11">
        <v>512</v>
      </c>
      <c r="GF6" s="11">
        <v>516.66669999999999</v>
      </c>
      <c r="GG6" s="11">
        <v>522.33330000000001</v>
      </c>
      <c r="GH6" s="11">
        <v>528</v>
      </c>
      <c r="GI6" s="11">
        <v>528.66669999999999</v>
      </c>
      <c r="GJ6" s="11">
        <v>537</v>
      </c>
      <c r="GK6" s="11">
        <v>542.33330000000001</v>
      </c>
      <c r="GL6" s="11">
        <v>542.33330000000001</v>
      </c>
      <c r="GM6" s="11">
        <v>540.33330000000001</v>
      </c>
      <c r="GN6" s="11">
        <v>531</v>
      </c>
      <c r="GO6" s="11">
        <v>550.33330000000001</v>
      </c>
      <c r="GP6" s="11">
        <v>567</v>
      </c>
      <c r="GQ6" s="11">
        <v>563</v>
      </c>
      <c r="GR6" s="11">
        <v>578</v>
      </c>
      <c r="GS6" s="11">
        <v>583.66669999999999</v>
      </c>
      <c r="GT6" s="11">
        <v>592.66669999999999</v>
      </c>
      <c r="GU6" s="11">
        <v>602.33330000000001</v>
      </c>
      <c r="GV6" s="11">
        <v>607.66669999999999</v>
      </c>
      <c r="GW6" s="11">
        <v>618</v>
      </c>
      <c r="GX6" s="11">
        <v>630.33330000000001</v>
      </c>
      <c r="GY6" s="11">
        <v>640.33330000000001</v>
      </c>
      <c r="GZ6" s="11">
        <v>657.33330000000001</v>
      </c>
      <c r="HA6" s="11">
        <v>665.66669999999999</v>
      </c>
      <c r="HB6" s="11">
        <v>666.66669999999999</v>
      </c>
      <c r="HC6" s="11">
        <v>678.33330000000001</v>
      </c>
      <c r="HD6" s="11">
        <v>687.33330000000001</v>
      </c>
      <c r="HE6" s="11">
        <v>694.66669999999999</v>
      </c>
      <c r="HF6" s="12">
        <v>707.74180000000001</v>
      </c>
      <c r="HG6" s="12">
        <v>713.572</v>
      </c>
      <c r="HH6" s="12">
        <v>719.99419999999998</v>
      </c>
      <c r="HI6" s="12">
        <v>726.47490000000005</v>
      </c>
      <c r="HJ6" s="12">
        <v>732.28579999999999</v>
      </c>
      <c r="HK6" s="12">
        <v>737.41219999999998</v>
      </c>
      <c r="HL6" s="12">
        <v>742.42650000000003</v>
      </c>
      <c r="HM6" s="12">
        <v>747.32659999999998</v>
      </c>
      <c r="HN6" s="12">
        <v>752.27700000000004</v>
      </c>
      <c r="HO6" s="12">
        <v>757.24649999999997</v>
      </c>
      <c r="HP6" s="12">
        <v>762.17819999999995</v>
      </c>
      <c r="HQ6" s="12">
        <v>767.15089999999998</v>
      </c>
      <c r="HR6" s="12">
        <v>772.13319999999999</v>
      </c>
      <c r="HS6" s="12">
        <v>777.24940000000004</v>
      </c>
      <c r="HT6" s="12">
        <v>782.47860000000003</v>
      </c>
      <c r="HU6" s="12">
        <v>787.84059999999999</v>
      </c>
      <c r="HV6" s="12">
        <v>793.31730000000005</v>
      </c>
      <c r="HW6" s="12">
        <v>798.79470000000003</v>
      </c>
      <c r="HX6" s="12">
        <v>804.31700000000001</v>
      </c>
      <c r="HY6" s="12">
        <v>809.90279999999996</v>
      </c>
      <c r="HZ6" s="12">
        <v>815.51729999999998</v>
      </c>
      <c r="IA6" s="12">
        <v>821.16290000000004</v>
      </c>
      <c r="IB6" s="12">
        <v>826.81449999999995</v>
      </c>
      <c r="IC6" s="12">
        <v>832.51289999999995</v>
      </c>
      <c r="ID6" s="12">
        <v>838.23540000000003</v>
      </c>
      <c r="IE6" s="12">
        <v>844.01250000000005</v>
      </c>
      <c r="IF6" s="12">
        <v>849.85130000000004</v>
      </c>
      <c r="IG6" s="12">
        <v>855.72889999999995</v>
      </c>
      <c r="IH6" s="12">
        <v>861.64869999999996</v>
      </c>
      <c r="II6" s="12">
        <v>867.60879999999997</v>
      </c>
      <c r="IJ6" s="12">
        <v>873.63239999999996</v>
      </c>
      <c r="IK6" s="12">
        <v>879.74080000000004</v>
      </c>
      <c r="IL6" s="12">
        <v>885.95860000000005</v>
      </c>
      <c r="IM6" s="12">
        <v>892.30970000000002</v>
      </c>
      <c r="IN6" s="12">
        <v>898.79629999999997</v>
      </c>
      <c r="IO6" s="12">
        <v>905.39729999999997</v>
      </c>
      <c r="IP6" s="12">
        <v>912.10519999999997</v>
      </c>
      <c r="IQ6" s="12">
        <v>918.90840000000003</v>
      </c>
      <c r="IR6" s="12">
        <v>925.80899999999997</v>
      </c>
      <c r="IS6" s="12">
        <v>932.80690000000004</v>
      </c>
      <c r="IT6" s="12">
        <v>939.88900000000001</v>
      </c>
      <c r="IU6" s="12">
        <v>947.05740000000003</v>
      </c>
      <c r="IV6" s="12">
        <v>954.28689999999995</v>
      </c>
      <c r="IW6" s="12">
        <v>961.5806</v>
      </c>
      <c r="IX6" s="12">
        <v>968.93949999999995</v>
      </c>
      <c r="IY6" s="12">
        <v>976.3732</v>
      </c>
      <c r="IZ6" s="12">
        <v>983.88549999999998</v>
      </c>
      <c r="JA6" s="12">
        <v>991.47829999999999</v>
      </c>
      <c r="JB6" s="12">
        <v>999.1508</v>
      </c>
      <c r="JC6" s="12">
        <v>1006.885</v>
      </c>
      <c r="JD6" s="12">
        <v>1014.682</v>
      </c>
      <c r="JE6" s="12">
        <v>1022.54</v>
      </c>
      <c r="JF6" s="12">
        <v>1030.461</v>
      </c>
      <c r="JG6" s="12">
        <v>1038.4670000000001</v>
      </c>
      <c r="JH6" s="12">
        <v>1046.559</v>
      </c>
      <c r="JI6" s="12">
        <v>1054.739</v>
      </c>
      <c r="JJ6" s="12">
        <v>1063.008</v>
      </c>
      <c r="JK6" s="12">
        <v>1071.345</v>
      </c>
      <c r="JL6" s="12">
        <v>1079.75</v>
      </c>
      <c r="JM6" s="12">
        <v>1088.2239999999999</v>
      </c>
      <c r="JN6" s="12">
        <v>1096.769</v>
      </c>
      <c r="JO6" s="12">
        <v>1105.383</v>
      </c>
      <c r="JP6" s="12">
        <v>1114.069</v>
      </c>
      <c r="JQ6" s="12">
        <v>1122.826</v>
      </c>
      <c r="JR6" s="12">
        <v>1131.652</v>
      </c>
      <c r="JS6" s="12">
        <v>1140.567</v>
      </c>
      <c r="JT6" s="12">
        <v>1149.568</v>
      </c>
      <c r="JU6" s="12">
        <v>1158.6569999999999</v>
      </c>
      <c r="JV6" s="12">
        <v>1167.835</v>
      </c>
      <c r="JW6" s="12">
        <v>1177.086</v>
      </c>
      <c r="JX6" s="12">
        <v>1186.4100000000001</v>
      </c>
      <c r="JY6" s="12">
        <v>1195.806</v>
      </c>
      <c r="JZ6" s="12">
        <v>1205.277</v>
      </c>
      <c r="KA6" s="12">
        <v>1214.8230000000001</v>
      </c>
      <c r="KB6" s="12">
        <v>1224.442</v>
      </c>
      <c r="KC6" s="12">
        <v>1234.1369999999999</v>
      </c>
      <c r="KD6" s="12">
        <v>1243.9079999999999</v>
      </c>
      <c r="KE6" s="12">
        <v>1253.7550000000001</v>
      </c>
      <c r="KF6" s="12">
        <v>1263.6769999999999</v>
      </c>
      <c r="KG6" s="12">
        <v>1273.6780000000001</v>
      </c>
      <c r="KH6" s="12">
        <v>1283.7550000000001</v>
      </c>
      <c r="KI6" s="12">
        <v>1293.9100000000001</v>
      </c>
      <c r="KJ6" s="12">
        <v>1304.144</v>
      </c>
      <c r="KK6" s="12">
        <v>1314.4549999999999</v>
      </c>
      <c r="KL6" s="12">
        <v>1324.848</v>
      </c>
      <c r="KM6" s="12">
        <v>1335.319</v>
      </c>
      <c r="KN6" s="12">
        <v>1345.873</v>
      </c>
      <c r="KO6" s="12">
        <v>1356.5060000000001</v>
      </c>
      <c r="KP6" s="12">
        <v>1367.223</v>
      </c>
      <c r="KQ6" s="12">
        <v>1378.021</v>
      </c>
      <c r="KR6" s="12">
        <v>1388.903</v>
      </c>
      <c r="KS6" s="12">
        <v>1399.8679999999999</v>
      </c>
      <c r="KT6" s="12">
        <v>1410.9190000000001</v>
      </c>
      <c r="KU6" s="12">
        <v>1422.0540000000001</v>
      </c>
      <c r="KV6" s="12">
        <v>1433.2739999999999</v>
      </c>
      <c r="KW6" s="12">
        <v>1444.5830000000001</v>
      </c>
      <c r="KX6" s="12">
        <v>1455.9770000000001</v>
      </c>
      <c r="KY6" s="12">
        <v>1467.4590000000001</v>
      </c>
      <c r="KZ6" s="12">
        <v>1479.03</v>
      </c>
      <c r="LA6" s="12">
        <v>1490.6880000000001</v>
      </c>
      <c r="LB6" s="12">
        <v>1502.4369999999999</v>
      </c>
      <c r="LC6" s="12">
        <v>1514.2760000000001</v>
      </c>
      <c r="LD6" s="12">
        <v>1526.204</v>
      </c>
      <c r="LE6" s="12">
        <v>1538.223</v>
      </c>
      <c r="LF6" s="12">
        <v>1550.3320000000001</v>
      </c>
      <c r="LG6" s="12">
        <v>1562.5820000000001</v>
      </c>
      <c r="LH6" s="12">
        <v>1574.973</v>
      </c>
      <c r="LI6" s="12">
        <v>1587.5160000000001</v>
      </c>
      <c r="LJ6" s="12">
        <v>1600.21</v>
      </c>
      <c r="LK6" s="12">
        <v>1613.0070000000001</v>
      </c>
      <c r="LL6" s="12">
        <v>1625.9069999999999</v>
      </c>
      <c r="LM6" s="12">
        <v>1638.9169999999999</v>
      </c>
      <c r="LN6" s="12">
        <v>1652.038</v>
      </c>
      <c r="LO6" s="12">
        <v>1665.27</v>
      </c>
      <c r="LP6" s="12">
        <v>1678.614</v>
      </c>
      <c r="LQ6" s="12">
        <v>1692.0540000000001</v>
      </c>
      <c r="LR6" s="12">
        <v>1705.5909999999999</v>
      </c>
      <c r="LS6" s="12">
        <v>1719.2270000000001</v>
      </c>
      <c r="LT6" s="12">
        <v>1732.963</v>
      </c>
      <c r="LU6" s="12">
        <v>1746.806</v>
      </c>
      <c r="LV6" s="12">
        <v>1760.7560000000001</v>
      </c>
      <c r="LW6" s="12">
        <v>1774.817</v>
      </c>
      <c r="LX6" s="12">
        <v>1788.9839999999999</v>
      </c>
      <c r="LY6" s="12">
        <v>1803.2629999999999</v>
      </c>
      <c r="LZ6" s="12">
        <v>1817.6489999999999</v>
      </c>
      <c r="MA6" s="12">
        <v>1832.144</v>
      </c>
      <c r="MB6" s="12">
        <v>1846.752</v>
      </c>
      <c r="MC6" s="12">
        <v>1861.463</v>
      </c>
      <c r="MD6" s="12">
        <v>1876.279</v>
      </c>
      <c r="ME6" s="12">
        <v>1891.204</v>
      </c>
      <c r="MF6" s="12">
        <v>1906.2349999999999</v>
      </c>
      <c r="MG6" s="12">
        <v>1921.366</v>
      </c>
      <c r="MH6" s="12">
        <v>1936.598</v>
      </c>
      <c r="MI6" s="12">
        <v>1951.932</v>
      </c>
      <c r="MJ6" s="12">
        <v>1967.3689999999999</v>
      </c>
      <c r="MK6" s="12">
        <v>1982.92</v>
      </c>
      <c r="ML6" s="12">
        <v>1998.5840000000001</v>
      </c>
      <c r="MM6" s="12">
        <v>2014.367</v>
      </c>
      <c r="MN6" s="12">
        <v>2030.2650000000001</v>
      </c>
      <c r="MO6" s="12">
        <v>2046.27</v>
      </c>
      <c r="MP6" s="12">
        <v>2062.3820000000001</v>
      </c>
      <c r="MQ6" s="12">
        <v>2078.6010000000001</v>
      </c>
      <c r="MR6" s="12">
        <v>2094.9279999999999</v>
      </c>
      <c r="MS6" s="12">
        <v>2111.373</v>
      </c>
      <c r="MT6" s="12">
        <v>2127.9389999999999</v>
      </c>
      <c r="MU6" t="s">
        <v>1205</v>
      </c>
      <c r="MV6" t="b">
        <v>1</v>
      </c>
      <c r="MW6" t="s">
        <v>1196</v>
      </c>
      <c r="MX6" t="s">
        <v>1196</v>
      </c>
      <c r="MY6">
        <v>2024</v>
      </c>
      <c r="MZ6">
        <v>3</v>
      </c>
      <c r="NA6" t="s">
        <v>1196</v>
      </c>
      <c r="NB6" s="1" t="s">
        <v>1219</v>
      </c>
      <c r="NC6" t="s">
        <v>1220</v>
      </c>
      <c r="ND6" t="s">
        <v>1200</v>
      </c>
      <c r="NE6" t="s">
        <v>1221</v>
      </c>
      <c r="NF6" s="1" t="s">
        <v>1434</v>
      </c>
    </row>
    <row r="7" spans="1:370" x14ac:dyDescent="0.25">
      <c r="A7" t="s">
        <v>1193</v>
      </c>
      <c r="B7" t="s">
        <v>1227</v>
      </c>
      <c r="C7" s="1" t="s">
        <v>1433</v>
      </c>
      <c r="D7" t="s">
        <v>1203</v>
      </c>
      <c r="E7" t="s">
        <v>1204</v>
      </c>
      <c r="F7" t="s">
        <v>1197</v>
      </c>
      <c r="G7" s="11">
        <v>9375</v>
      </c>
      <c r="H7" s="11">
        <v>9711</v>
      </c>
      <c r="I7" s="11">
        <v>10012</v>
      </c>
      <c r="J7" s="11">
        <v>10380</v>
      </c>
      <c r="K7" s="11">
        <v>10596</v>
      </c>
      <c r="L7" s="11">
        <v>11121</v>
      </c>
      <c r="M7" s="11">
        <v>12083</v>
      </c>
      <c r="N7" s="11">
        <v>12912</v>
      </c>
      <c r="O7" s="11">
        <v>14391</v>
      </c>
      <c r="P7" s="11">
        <v>14659</v>
      </c>
      <c r="Q7" s="11">
        <v>15563</v>
      </c>
      <c r="R7" s="11">
        <v>15848</v>
      </c>
      <c r="S7" s="11">
        <v>16278</v>
      </c>
      <c r="T7" s="11">
        <v>16723</v>
      </c>
      <c r="U7" s="11">
        <v>17202</v>
      </c>
      <c r="V7" s="11">
        <v>17685</v>
      </c>
      <c r="W7" s="11">
        <v>18192</v>
      </c>
      <c r="X7" s="11">
        <v>18494</v>
      </c>
      <c r="Y7" s="11">
        <v>18884</v>
      </c>
      <c r="Z7" s="11">
        <v>19532</v>
      </c>
      <c r="AA7" s="11">
        <v>20334</v>
      </c>
      <c r="AB7" s="11">
        <v>21257</v>
      </c>
      <c r="AC7" s="11">
        <v>21798</v>
      </c>
      <c r="AD7" s="11">
        <v>22479</v>
      </c>
      <c r="AE7" s="11">
        <v>23365</v>
      </c>
      <c r="AF7" s="11">
        <v>24427</v>
      </c>
      <c r="AG7" s="11">
        <v>25749</v>
      </c>
      <c r="AH7" s="11">
        <v>27095</v>
      </c>
      <c r="AI7" s="11">
        <v>28290</v>
      </c>
      <c r="AJ7" s="11">
        <v>29578</v>
      </c>
      <c r="AK7" s="11">
        <v>30485</v>
      </c>
      <c r="AL7" s="11">
        <v>30980</v>
      </c>
      <c r="AM7" s="11">
        <v>31183</v>
      </c>
      <c r="AN7" s="11">
        <v>31633</v>
      </c>
      <c r="AO7" s="11">
        <v>32287</v>
      </c>
      <c r="AP7" s="11">
        <v>32870</v>
      </c>
      <c r="AQ7" s="11">
        <v>33383</v>
      </c>
      <c r="AR7" s="11">
        <v>33923</v>
      </c>
      <c r="AS7" s="11">
        <v>34218</v>
      </c>
      <c r="AT7" s="11">
        <v>34584</v>
      </c>
      <c r="AU7" s="11">
        <v>35662</v>
      </c>
      <c r="AV7" s="11">
        <v>36167</v>
      </c>
      <c r="AW7" s="11">
        <v>36728</v>
      </c>
      <c r="AX7" s="11">
        <v>37382</v>
      </c>
      <c r="AY7" s="11">
        <v>38028</v>
      </c>
      <c r="AZ7" s="11">
        <v>38664</v>
      </c>
      <c r="BA7" s="11">
        <v>39158</v>
      </c>
      <c r="BB7" s="11">
        <v>40507</v>
      </c>
      <c r="BC7" s="11">
        <v>41815</v>
      </c>
      <c r="BD7" s="11">
        <v>42291</v>
      </c>
      <c r="BE7" s="11">
        <v>42933</v>
      </c>
      <c r="BF7" s="11">
        <v>43938</v>
      </c>
      <c r="BG7" s="11">
        <v>44894</v>
      </c>
      <c r="BH7" s="11">
        <v>45788</v>
      </c>
      <c r="BI7" s="11">
        <v>46565</v>
      </c>
      <c r="BJ7" s="11">
        <v>47221</v>
      </c>
      <c r="BK7" s="11">
        <v>47918</v>
      </c>
      <c r="BL7" s="11">
        <v>49142</v>
      </c>
      <c r="BM7" s="11">
        <v>50573</v>
      </c>
      <c r="BN7" s="11">
        <v>52081</v>
      </c>
      <c r="BO7" s="11">
        <v>53600</v>
      </c>
      <c r="BP7" s="11">
        <v>54866</v>
      </c>
      <c r="BQ7" s="11">
        <v>56587</v>
      </c>
      <c r="BR7" s="11">
        <v>58368</v>
      </c>
      <c r="BS7" s="11">
        <v>59745</v>
      </c>
      <c r="BT7" s="11">
        <v>61400</v>
      </c>
      <c r="BU7" s="11">
        <v>63022</v>
      </c>
      <c r="BV7" s="11">
        <v>65073</v>
      </c>
      <c r="BW7" s="11">
        <v>67024</v>
      </c>
      <c r="BX7" s="11">
        <v>68633</v>
      </c>
      <c r="BY7" s="11">
        <v>69705</v>
      </c>
      <c r="BZ7" s="11">
        <v>70275</v>
      </c>
      <c r="CA7" s="11">
        <v>71362</v>
      </c>
      <c r="CB7" s="11">
        <v>72227</v>
      </c>
      <c r="CC7" s="11">
        <v>73567</v>
      </c>
      <c r="CD7" s="11">
        <v>74440</v>
      </c>
      <c r="CE7" s="11">
        <v>75209</v>
      </c>
      <c r="CF7" s="11">
        <v>75152</v>
      </c>
      <c r="CG7" s="11">
        <v>75133</v>
      </c>
      <c r="CH7" s="11">
        <v>75419</v>
      </c>
      <c r="CI7" s="11">
        <v>75569</v>
      </c>
      <c r="CJ7" s="11">
        <v>76688</v>
      </c>
      <c r="CK7" s="11">
        <v>77806</v>
      </c>
      <c r="CL7" s="11">
        <v>78382</v>
      </c>
      <c r="CM7" s="11">
        <v>78938</v>
      </c>
      <c r="CN7" s="11">
        <v>79168</v>
      </c>
      <c r="CO7" s="11">
        <v>80425</v>
      </c>
      <c r="CP7" s="11">
        <v>81329</v>
      </c>
      <c r="CQ7" s="11">
        <v>82018</v>
      </c>
      <c r="CR7" s="11">
        <v>83079</v>
      </c>
      <c r="CS7" s="11">
        <v>83880</v>
      </c>
      <c r="CT7" s="11">
        <v>85407</v>
      </c>
      <c r="CU7" s="11">
        <v>85835</v>
      </c>
      <c r="CV7" s="11">
        <v>86705</v>
      </c>
      <c r="CW7" s="11">
        <v>88031</v>
      </c>
      <c r="CX7" s="11">
        <v>88882</v>
      </c>
      <c r="CY7" s="11">
        <v>92102</v>
      </c>
      <c r="CZ7" s="11">
        <v>94136</v>
      </c>
      <c r="DA7" s="11">
        <v>95889</v>
      </c>
      <c r="DB7" s="11">
        <v>96781</v>
      </c>
      <c r="DC7" s="11">
        <v>97162</v>
      </c>
      <c r="DD7" s="11">
        <v>98670</v>
      </c>
      <c r="DE7" s="11">
        <v>100519</v>
      </c>
      <c r="DF7" s="11">
        <v>101058</v>
      </c>
      <c r="DG7" s="11">
        <v>103815</v>
      </c>
      <c r="DH7" s="11">
        <v>106514</v>
      </c>
      <c r="DI7" s="11">
        <v>108335</v>
      </c>
      <c r="DJ7" s="11">
        <v>109919</v>
      </c>
      <c r="DK7" s="11">
        <v>110532</v>
      </c>
      <c r="DL7" s="11">
        <v>112629</v>
      </c>
      <c r="DM7" s="11">
        <v>115403</v>
      </c>
      <c r="DN7" s="11">
        <v>117809</v>
      </c>
      <c r="DO7" s="11">
        <v>120543</v>
      </c>
      <c r="DP7" s="11">
        <v>121007</v>
      </c>
      <c r="DQ7" s="11">
        <v>121622</v>
      </c>
      <c r="DR7" s="11">
        <v>122776</v>
      </c>
      <c r="DS7" s="11">
        <v>123527</v>
      </c>
      <c r="DT7" s="11">
        <v>123778</v>
      </c>
      <c r="DU7" s="11">
        <v>125016</v>
      </c>
      <c r="DV7" s="11">
        <v>126386</v>
      </c>
      <c r="DW7" s="11">
        <v>127744</v>
      </c>
      <c r="DX7" s="11">
        <v>129189</v>
      </c>
      <c r="DY7" s="11">
        <v>131275</v>
      </c>
      <c r="DZ7" s="11">
        <v>133492</v>
      </c>
      <c r="EA7" s="11">
        <v>135940</v>
      </c>
      <c r="EB7" s="11">
        <v>136348</v>
      </c>
      <c r="EC7" s="11">
        <v>139004</v>
      </c>
      <c r="ED7" s="11">
        <v>141394</v>
      </c>
      <c r="EE7" s="11">
        <v>144176</v>
      </c>
      <c r="EF7" s="11">
        <v>143428</v>
      </c>
      <c r="EG7" s="11">
        <v>145595</v>
      </c>
      <c r="EH7" s="11">
        <v>145226</v>
      </c>
      <c r="EI7" s="11">
        <v>150695</v>
      </c>
      <c r="EJ7" s="11">
        <v>151290</v>
      </c>
      <c r="EK7" s="11">
        <v>152963</v>
      </c>
      <c r="EL7" s="11">
        <v>155495</v>
      </c>
      <c r="EM7" s="11">
        <v>161456</v>
      </c>
      <c r="EN7" s="11">
        <v>160452</v>
      </c>
      <c r="EO7" s="11">
        <v>164131</v>
      </c>
      <c r="EP7" s="11">
        <v>165275</v>
      </c>
      <c r="EQ7" s="11">
        <v>168351</v>
      </c>
      <c r="ER7" s="11">
        <v>166617</v>
      </c>
      <c r="ES7" s="11">
        <v>166080</v>
      </c>
      <c r="ET7" s="11">
        <v>164352</v>
      </c>
      <c r="EU7" s="11">
        <v>161431</v>
      </c>
      <c r="EV7" s="11">
        <v>164197</v>
      </c>
      <c r="EW7" s="11">
        <v>164164</v>
      </c>
      <c r="EX7" s="11">
        <v>164349</v>
      </c>
      <c r="EY7" s="11">
        <v>164017</v>
      </c>
      <c r="EZ7" s="11">
        <v>163805</v>
      </c>
      <c r="FA7" s="11">
        <v>165789</v>
      </c>
      <c r="FB7" s="11">
        <v>166084</v>
      </c>
      <c r="FC7" s="11">
        <v>170699</v>
      </c>
      <c r="FD7" s="11">
        <v>168973</v>
      </c>
      <c r="FE7" s="11">
        <v>168143</v>
      </c>
      <c r="FF7" s="11">
        <v>168220</v>
      </c>
      <c r="FG7" s="11">
        <v>170232</v>
      </c>
      <c r="FH7" s="11">
        <v>171221</v>
      </c>
      <c r="FI7" s="11">
        <v>171212</v>
      </c>
      <c r="FJ7" s="11">
        <v>172650</v>
      </c>
      <c r="FK7" s="11">
        <v>173499</v>
      </c>
      <c r="FL7" s="11">
        <v>179878</v>
      </c>
      <c r="FM7" s="11">
        <v>180937</v>
      </c>
      <c r="FN7" s="11">
        <v>183254</v>
      </c>
      <c r="FO7" s="11">
        <v>185644</v>
      </c>
      <c r="FP7" s="11">
        <v>185557</v>
      </c>
      <c r="FQ7" s="11">
        <v>185399</v>
      </c>
      <c r="FR7" s="11">
        <v>187477</v>
      </c>
      <c r="FS7" s="11">
        <v>190040</v>
      </c>
      <c r="FT7" s="11">
        <v>190920</v>
      </c>
      <c r="FU7" s="11">
        <v>193493</v>
      </c>
      <c r="FV7" s="11">
        <v>194472</v>
      </c>
      <c r="FW7" s="11">
        <v>196738</v>
      </c>
      <c r="FX7" s="11">
        <v>198487</v>
      </c>
      <c r="FY7" s="11">
        <v>199991</v>
      </c>
      <c r="FZ7" s="11">
        <v>200011</v>
      </c>
      <c r="GA7" s="11">
        <v>203434</v>
      </c>
      <c r="GB7" s="11">
        <v>206362</v>
      </c>
      <c r="GC7" s="11">
        <v>207984</v>
      </c>
      <c r="GD7" s="11">
        <v>209502</v>
      </c>
      <c r="GE7" s="11">
        <v>213466</v>
      </c>
      <c r="GF7" s="11">
        <v>212838</v>
      </c>
      <c r="GG7" s="11">
        <v>216683</v>
      </c>
      <c r="GH7" s="11">
        <v>219523</v>
      </c>
      <c r="GI7" s="11">
        <v>220691</v>
      </c>
      <c r="GJ7" s="11">
        <v>224186</v>
      </c>
      <c r="GK7" s="11">
        <v>223552</v>
      </c>
      <c r="GL7" s="11">
        <v>223933</v>
      </c>
      <c r="GM7" s="11">
        <v>224277</v>
      </c>
      <c r="GN7" s="11">
        <v>217448</v>
      </c>
      <c r="GO7" s="11">
        <v>222275</v>
      </c>
      <c r="GP7" s="11">
        <v>228380</v>
      </c>
      <c r="GQ7" s="11">
        <v>229592</v>
      </c>
      <c r="GR7" s="11">
        <v>237180</v>
      </c>
      <c r="GS7" s="11">
        <v>239455</v>
      </c>
      <c r="GT7" s="11">
        <v>242072</v>
      </c>
      <c r="GU7" s="11">
        <v>247496</v>
      </c>
      <c r="GV7" s="11">
        <v>251376</v>
      </c>
      <c r="GW7" s="11">
        <v>256000</v>
      </c>
      <c r="GX7" s="11">
        <v>263054</v>
      </c>
      <c r="GY7" s="11">
        <v>270338</v>
      </c>
      <c r="GZ7" s="11">
        <v>276258</v>
      </c>
      <c r="HA7" s="11">
        <v>278666</v>
      </c>
      <c r="HB7" s="11">
        <v>280114</v>
      </c>
      <c r="HC7" s="11">
        <v>284929</v>
      </c>
      <c r="HD7" s="11">
        <v>290306</v>
      </c>
      <c r="HE7" s="11">
        <v>291953</v>
      </c>
      <c r="HF7" s="12">
        <v>297079.5</v>
      </c>
      <c r="HG7" s="12">
        <v>299879.5</v>
      </c>
      <c r="HH7" s="12">
        <v>302914.8</v>
      </c>
      <c r="HI7" s="12">
        <v>306091.7</v>
      </c>
      <c r="HJ7" s="12">
        <v>309191.09999999998</v>
      </c>
      <c r="HK7" s="12">
        <v>312082.09999999998</v>
      </c>
      <c r="HL7" s="12">
        <v>314819.09999999998</v>
      </c>
      <c r="HM7" s="12">
        <v>317593.3</v>
      </c>
      <c r="HN7" s="12">
        <v>320414.59999999998</v>
      </c>
      <c r="HO7" s="12">
        <v>323270.90000000002</v>
      </c>
      <c r="HP7" s="12">
        <v>326085.90000000002</v>
      </c>
      <c r="HQ7" s="12">
        <v>328912.8</v>
      </c>
      <c r="HR7" s="12">
        <v>331737.3</v>
      </c>
      <c r="HS7" s="12">
        <v>334619.3</v>
      </c>
      <c r="HT7" s="12">
        <v>337696.3</v>
      </c>
      <c r="HU7" s="12">
        <v>340811.2</v>
      </c>
      <c r="HV7" s="12">
        <v>344069.5</v>
      </c>
      <c r="HW7" s="12">
        <v>347330.4</v>
      </c>
      <c r="HX7" s="12">
        <v>350532.9</v>
      </c>
      <c r="HY7" s="12">
        <v>353758.8</v>
      </c>
      <c r="HZ7" s="12">
        <v>357044.3</v>
      </c>
      <c r="IA7" s="12">
        <v>360356.8</v>
      </c>
      <c r="IB7" s="12">
        <v>363674</v>
      </c>
      <c r="IC7" s="12">
        <v>366988.4</v>
      </c>
      <c r="ID7" s="12">
        <v>370326.3</v>
      </c>
      <c r="IE7" s="12">
        <v>373701.6</v>
      </c>
      <c r="IF7" s="12">
        <v>377117</v>
      </c>
      <c r="IG7" s="12">
        <v>380544.3</v>
      </c>
      <c r="IH7" s="12">
        <v>383983.9</v>
      </c>
      <c r="II7" s="12">
        <v>387454.1</v>
      </c>
      <c r="IJ7" s="12">
        <v>390926.5</v>
      </c>
      <c r="IK7" s="12">
        <v>394449.5</v>
      </c>
      <c r="IL7" s="12">
        <v>397954.1</v>
      </c>
      <c r="IM7" s="12">
        <v>401557.8</v>
      </c>
      <c r="IN7" s="12">
        <v>405174.9</v>
      </c>
      <c r="IO7" s="12">
        <v>408820.5</v>
      </c>
      <c r="IP7" s="12">
        <v>412446.5</v>
      </c>
      <c r="IQ7" s="12">
        <v>416166.1</v>
      </c>
      <c r="IR7" s="12">
        <v>419849.7</v>
      </c>
      <c r="IS7" s="12">
        <v>423521</v>
      </c>
      <c r="IT7" s="12">
        <v>427197.7</v>
      </c>
      <c r="IU7" s="12">
        <v>430943.1</v>
      </c>
      <c r="IV7" s="12">
        <v>434724</v>
      </c>
      <c r="IW7" s="12">
        <v>438541.1</v>
      </c>
      <c r="IX7" s="12">
        <v>442395.6</v>
      </c>
      <c r="IY7" s="12">
        <v>446292.3</v>
      </c>
      <c r="IZ7" s="12">
        <v>450232.3</v>
      </c>
      <c r="JA7" s="12">
        <v>454216.7</v>
      </c>
      <c r="JB7" s="12">
        <v>458245.9</v>
      </c>
      <c r="JC7" s="12">
        <v>462311.3</v>
      </c>
      <c r="JD7" s="12">
        <v>466412.79999999999</v>
      </c>
      <c r="JE7" s="12">
        <v>470551.2</v>
      </c>
      <c r="JF7" s="12">
        <v>474726.40000000002</v>
      </c>
      <c r="JG7" s="12">
        <v>478949.2</v>
      </c>
      <c r="JH7" s="12">
        <v>483219.7</v>
      </c>
      <c r="JI7" s="12">
        <v>487539</v>
      </c>
      <c r="JJ7" s="12">
        <v>491908.2</v>
      </c>
      <c r="JK7" s="12">
        <v>496317.2</v>
      </c>
      <c r="JL7" s="12">
        <v>500766.7</v>
      </c>
      <c r="JM7" s="12">
        <v>505256.6</v>
      </c>
      <c r="JN7" s="12">
        <v>509788.1</v>
      </c>
      <c r="JO7" s="12">
        <v>514361</v>
      </c>
      <c r="JP7" s="12">
        <v>518975.8</v>
      </c>
      <c r="JQ7" s="12">
        <v>523632.5</v>
      </c>
      <c r="JR7" s="12">
        <v>528331.1</v>
      </c>
      <c r="JS7" s="12">
        <v>532984.6</v>
      </c>
      <c r="JT7" s="12">
        <v>537686.30000000005</v>
      </c>
      <c r="JU7" s="12">
        <v>542437.1</v>
      </c>
      <c r="JV7" s="12">
        <v>547237.6</v>
      </c>
      <c r="JW7" s="12">
        <v>552079.69999999995</v>
      </c>
      <c r="JX7" s="12">
        <v>556964.1</v>
      </c>
      <c r="JY7" s="12">
        <v>561890.80000000005</v>
      </c>
      <c r="JZ7" s="12">
        <v>566860.80000000005</v>
      </c>
      <c r="KA7" s="12">
        <v>571873.80000000005</v>
      </c>
      <c r="KB7" s="12">
        <v>576929.9</v>
      </c>
      <c r="KC7" s="12">
        <v>582030.1</v>
      </c>
      <c r="KD7" s="12">
        <v>587174.40000000002</v>
      </c>
      <c r="KE7" s="12">
        <v>592362.6</v>
      </c>
      <c r="KF7" s="12">
        <v>597595.80000000005</v>
      </c>
      <c r="KG7" s="12">
        <v>602874</v>
      </c>
      <c r="KH7" s="12">
        <v>608197.19999999995</v>
      </c>
      <c r="KI7" s="12">
        <v>613566.19999999995</v>
      </c>
      <c r="KJ7" s="12">
        <v>618980.9</v>
      </c>
      <c r="KK7" s="12">
        <v>624441.80000000005</v>
      </c>
      <c r="KL7" s="12">
        <v>629950</v>
      </c>
      <c r="KM7" s="12">
        <v>635504.6</v>
      </c>
      <c r="KN7" s="12">
        <v>641107.30000000005</v>
      </c>
      <c r="KO7" s="12">
        <v>646757.6</v>
      </c>
      <c r="KP7" s="12">
        <v>652456</v>
      </c>
      <c r="KQ7" s="12">
        <v>658203.30000000005</v>
      </c>
      <c r="KR7" s="12">
        <v>663999.80000000005</v>
      </c>
      <c r="KS7" s="12">
        <v>669845.4</v>
      </c>
      <c r="KT7" s="12">
        <v>675741.1</v>
      </c>
      <c r="KU7" s="12">
        <v>681687.3</v>
      </c>
      <c r="KV7" s="12">
        <v>687684.1</v>
      </c>
      <c r="KW7" s="12">
        <v>693732.4</v>
      </c>
      <c r="KX7" s="12">
        <v>699832</v>
      </c>
      <c r="KY7" s="12">
        <v>705983.7</v>
      </c>
      <c r="KZ7" s="12">
        <v>712187.5</v>
      </c>
      <c r="LA7" s="12">
        <v>718444.4</v>
      </c>
      <c r="LB7" s="12">
        <v>724754.4</v>
      </c>
      <c r="LC7" s="12">
        <v>731117.8</v>
      </c>
      <c r="LD7" s="12">
        <v>737535.1</v>
      </c>
      <c r="LE7" s="12">
        <v>744006.1</v>
      </c>
      <c r="LF7" s="12">
        <v>750531.4</v>
      </c>
      <c r="LG7" s="12">
        <v>756853.8</v>
      </c>
      <c r="LH7" s="12">
        <v>763250.7</v>
      </c>
      <c r="LI7" s="12">
        <v>769678.9</v>
      </c>
      <c r="LJ7" s="12">
        <v>776186.4</v>
      </c>
      <c r="LK7" s="12">
        <v>782749.2</v>
      </c>
      <c r="LL7" s="12">
        <v>789367.6</v>
      </c>
      <c r="LM7" s="12">
        <v>795958.4</v>
      </c>
      <c r="LN7" s="12">
        <v>802607.6</v>
      </c>
      <c r="LO7" s="12">
        <v>809315.3</v>
      </c>
      <c r="LP7" s="12">
        <v>816081.2</v>
      </c>
      <c r="LQ7" s="12">
        <v>822900.4</v>
      </c>
      <c r="LR7" s="12">
        <v>829771.6</v>
      </c>
      <c r="LS7" s="12">
        <v>836695.1</v>
      </c>
      <c r="LT7" s="12">
        <v>843671.3</v>
      </c>
      <c r="LU7" s="12">
        <v>850661.4</v>
      </c>
      <c r="LV7" s="12">
        <v>857708.1</v>
      </c>
      <c r="LW7" s="12">
        <v>864811.6</v>
      </c>
      <c r="LX7" s="12">
        <v>871972.5</v>
      </c>
      <c r="LY7" s="12">
        <v>879154.9</v>
      </c>
      <c r="LZ7" s="12">
        <v>886394.2</v>
      </c>
      <c r="MA7" s="12">
        <v>893690.1</v>
      </c>
      <c r="MB7" s="12">
        <v>901043.8</v>
      </c>
      <c r="MC7" s="12">
        <v>908454.40000000002</v>
      </c>
      <c r="MD7" s="12">
        <v>915919.7</v>
      </c>
      <c r="ME7" s="12">
        <v>923441.4</v>
      </c>
      <c r="MF7" s="12">
        <v>931018.8</v>
      </c>
      <c r="MG7" s="12">
        <v>938696.4</v>
      </c>
      <c r="MH7" s="12">
        <v>946428</v>
      </c>
      <c r="MI7" s="12">
        <v>954213.8</v>
      </c>
      <c r="MJ7" s="12">
        <v>962054.5</v>
      </c>
      <c r="MK7" s="12">
        <v>969941.8</v>
      </c>
      <c r="ML7" s="12">
        <v>977889.4</v>
      </c>
      <c r="MM7" s="12">
        <v>985898.9</v>
      </c>
      <c r="MN7" s="12">
        <v>993969.5</v>
      </c>
      <c r="MO7" s="12">
        <v>1002149</v>
      </c>
      <c r="MP7" s="12">
        <v>1010387</v>
      </c>
      <c r="MQ7" s="12">
        <v>1018682</v>
      </c>
      <c r="MR7" s="12">
        <v>1027037</v>
      </c>
      <c r="MS7" s="12">
        <v>1035454</v>
      </c>
      <c r="MT7" s="12">
        <v>1043936</v>
      </c>
      <c r="MU7" t="s">
        <v>1205</v>
      </c>
      <c r="MV7" t="b">
        <v>1</v>
      </c>
      <c r="MW7" t="s">
        <v>1196</v>
      </c>
      <c r="MX7" t="s">
        <v>1196</v>
      </c>
      <c r="MY7">
        <v>2024</v>
      </c>
      <c r="MZ7">
        <v>3</v>
      </c>
      <c r="NA7" t="s">
        <v>1196</v>
      </c>
      <c r="NB7" t="s">
        <v>1228</v>
      </c>
      <c r="NC7" t="s">
        <v>1229</v>
      </c>
      <c r="ND7" t="s">
        <v>1200</v>
      </c>
      <c r="NE7" t="s">
        <v>1230</v>
      </c>
      <c r="NF7" s="1" t="s">
        <v>1434</v>
      </c>
    </row>
    <row r="8" spans="1:370" x14ac:dyDescent="0.25">
      <c r="A8" t="s">
        <v>1193</v>
      </c>
      <c r="B8" t="s">
        <v>1231</v>
      </c>
      <c r="C8" s="1" t="s">
        <v>1433</v>
      </c>
      <c r="D8" t="s">
        <v>1203</v>
      </c>
      <c r="E8" t="s">
        <v>1204</v>
      </c>
      <c r="F8" t="s">
        <v>1197</v>
      </c>
      <c r="G8" s="11">
        <v>12419</v>
      </c>
      <c r="H8" s="11">
        <v>12849</v>
      </c>
      <c r="I8" s="11">
        <v>13247</v>
      </c>
      <c r="J8" s="11">
        <v>13917</v>
      </c>
      <c r="K8" s="11">
        <v>14267</v>
      </c>
      <c r="L8" s="11">
        <v>14694</v>
      </c>
      <c r="M8" s="11">
        <v>15881</v>
      </c>
      <c r="N8" s="11">
        <v>16728</v>
      </c>
      <c r="O8" s="11">
        <v>18231</v>
      </c>
      <c r="P8" s="11">
        <v>18613</v>
      </c>
      <c r="Q8" s="11">
        <v>19564</v>
      </c>
      <c r="R8" s="11">
        <v>20194</v>
      </c>
      <c r="S8" s="11">
        <v>21295</v>
      </c>
      <c r="T8" s="11">
        <v>21568</v>
      </c>
      <c r="U8" s="11">
        <v>22876</v>
      </c>
      <c r="V8" s="11">
        <v>23450</v>
      </c>
      <c r="W8" s="11">
        <v>23884</v>
      </c>
      <c r="X8" s="11">
        <v>24509</v>
      </c>
      <c r="Y8" s="11">
        <v>25439</v>
      </c>
      <c r="Z8" s="11">
        <v>26940</v>
      </c>
      <c r="AA8" s="11">
        <v>27797</v>
      </c>
      <c r="AB8" s="11">
        <v>29144</v>
      </c>
      <c r="AC8" s="11">
        <v>30465</v>
      </c>
      <c r="AD8" s="11">
        <v>31463</v>
      </c>
      <c r="AE8" s="11">
        <v>32879</v>
      </c>
      <c r="AF8" s="11">
        <v>34157</v>
      </c>
      <c r="AG8" s="11">
        <v>36483</v>
      </c>
      <c r="AH8" s="11">
        <v>39802</v>
      </c>
      <c r="AI8" s="11">
        <v>40290</v>
      </c>
      <c r="AJ8" s="11">
        <v>41818</v>
      </c>
      <c r="AK8" s="11">
        <v>43433</v>
      </c>
      <c r="AL8" s="11">
        <v>44864</v>
      </c>
      <c r="AM8" s="11">
        <v>46552</v>
      </c>
      <c r="AN8" s="11">
        <v>47036</v>
      </c>
      <c r="AO8" s="11">
        <v>47924</v>
      </c>
      <c r="AP8" s="11">
        <v>49843</v>
      </c>
      <c r="AQ8" s="11">
        <v>50837</v>
      </c>
      <c r="AR8" s="11">
        <v>52380</v>
      </c>
      <c r="AS8" s="11">
        <v>52615</v>
      </c>
      <c r="AT8" s="11">
        <v>53960</v>
      </c>
      <c r="AU8" s="11">
        <v>54514</v>
      </c>
      <c r="AV8" s="11">
        <v>57136</v>
      </c>
      <c r="AW8" s="11">
        <v>57119</v>
      </c>
      <c r="AX8" s="11">
        <v>58206</v>
      </c>
      <c r="AY8" s="11">
        <v>59961</v>
      </c>
      <c r="AZ8" s="11">
        <v>60260</v>
      </c>
      <c r="BA8" s="11">
        <v>62678</v>
      </c>
      <c r="BB8" s="11">
        <v>64883</v>
      </c>
      <c r="BC8" s="11">
        <v>65471</v>
      </c>
      <c r="BD8" s="11">
        <v>66622</v>
      </c>
      <c r="BE8" s="11">
        <v>67715</v>
      </c>
      <c r="BF8" s="11">
        <v>69185</v>
      </c>
      <c r="BG8" s="11">
        <v>70501</v>
      </c>
      <c r="BH8" s="11">
        <v>73909</v>
      </c>
      <c r="BI8" s="11">
        <v>73297</v>
      </c>
      <c r="BJ8" s="11">
        <v>74329</v>
      </c>
      <c r="BK8" s="11">
        <v>74158</v>
      </c>
      <c r="BL8" s="11">
        <v>76563</v>
      </c>
      <c r="BM8" s="11">
        <v>78295</v>
      </c>
      <c r="BN8" s="11">
        <v>79796</v>
      </c>
      <c r="BO8" s="11">
        <v>82285</v>
      </c>
      <c r="BP8" s="11">
        <v>84810</v>
      </c>
      <c r="BQ8" s="11">
        <v>86563</v>
      </c>
      <c r="BR8" s="11">
        <v>88240</v>
      </c>
      <c r="BS8" s="11">
        <v>90548</v>
      </c>
      <c r="BT8" s="11">
        <v>93363</v>
      </c>
      <c r="BU8" s="11">
        <v>97490</v>
      </c>
      <c r="BV8" s="11">
        <v>98361</v>
      </c>
      <c r="BW8" s="11">
        <v>102928</v>
      </c>
      <c r="BX8" s="11">
        <v>103890</v>
      </c>
      <c r="BY8" s="11">
        <v>107142</v>
      </c>
      <c r="BZ8" s="11">
        <v>110535</v>
      </c>
      <c r="CA8" s="11">
        <v>113229</v>
      </c>
      <c r="CB8" s="11">
        <v>113790</v>
      </c>
      <c r="CC8" s="11">
        <v>118607</v>
      </c>
      <c r="CD8" s="11">
        <v>119800</v>
      </c>
      <c r="CE8" s="11">
        <v>121876</v>
      </c>
      <c r="CF8" s="11">
        <v>123668</v>
      </c>
      <c r="CG8" s="11">
        <v>125292</v>
      </c>
      <c r="CH8" s="11">
        <v>126339</v>
      </c>
      <c r="CI8" s="11">
        <v>127313</v>
      </c>
      <c r="CJ8" s="11">
        <v>131724</v>
      </c>
      <c r="CK8" s="11">
        <v>133457</v>
      </c>
      <c r="CL8" s="11">
        <v>135003</v>
      </c>
      <c r="CM8" s="11">
        <v>134597</v>
      </c>
      <c r="CN8" s="11">
        <v>135173</v>
      </c>
      <c r="CO8" s="11">
        <v>138183</v>
      </c>
      <c r="CP8" s="11">
        <v>138391</v>
      </c>
      <c r="CQ8" s="11">
        <v>141861</v>
      </c>
      <c r="CR8" s="11">
        <v>143287</v>
      </c>
      <c r="CS8" s="11">
        <v>146426</v>
      </c>
      <c r="CT8" s="11">
        <v>147725</v>
      </c>
      <c r="CU8" s="11">
        <v>151630</v>
      </c>
      <c r="CV8" s="11">
        <v>153565</v>
      </c>
      <c r="CW8" s="11">
        <v>156382</v>
      </c>
      <c r="CX8" s="11">
        <v>154146</v>
      </c>
      <c r="CY8" s="11">
        <v>156641</v>
      </c>
      <c r="CZ8" s="11">
        <v>159690</v>
      </c>
      <c r="DA8" s="11">
        <v>162111</v>
      </c>
      <c r="DB8" s="11">
        <v>160529</v>
      </c>
      <c r="DC8" s="11">
        <v>161179</v>
      </c>
      <c r="DD8" s="11">
        <v>163132</v>
      </c>
      <c r="DE8" s="11">
        <v>163306</v>
      </c>
      <c r="DF8" s="11">
        <v>166168</v>
      </c>
      <c r="DG8" s="11">
        <v>165049</v>
      </c>
      <c r="DH8" s="11">
        <v>172636</v>
      </c>
      <c r="DI8" s="11">
        <v>172330</v>
      </c>
      <c r="DJ8" s="11">
        <v>177162</v>
      </c>
      <c r="DK8" s="11">
        <v>178102</v>
      </c>
      <c r="DL8" s="11">
        <v>179721</v>
      </c>
      <c r="DM8" s="11">
        <v>183528</v>
      </c>
      <c r="DN8" s="11">
        <v>186259</v>
      </c>
      <c r="DO8" s="11">
        <v>189667</v>
      </c>
      <c r="DP8" s="11">
        <v>188957</v>
      </c>
      <c r="DQ8" s="11">
        <v>190102</v>
      </c>
      <c r="DR8" s="11">
        <v>191388</v>
      </c>
      <c r="DS8" s="11">
        <v>194378</v>
      </c>
      <c r="DT8" s="11">
        <v>196467</v>
      </c>
      <c r="DU8" s="11">
        <v>196149</v>
      </c>
      <c r="DV8" s="11">
        <v>198304</v>
      </c>
      <c r="DW8" s="11">
        <v>200276</v>
      </c>
      <c r="DX8" s="11">
        <v>201618</v>
      </c>
      <c r="DY8" s="11">
        <v>204034</v>
      </c>
      <c r="DZ8" s="11">
        <v>207685</v>
      </c>
      <c r="EA8" s="11">
        <v>208995</v>
      </c>
      <c r="EB8" s="11">
        <v>212236</v>
      </c>
      <c r="EC8" s="11">
        <v>214798</v>
      </c>
      <c r="ED8" s="11">
        <v>216771</v>
      </c>
      <c r="EE8" s="11">
        <v>218799</v>
      </c>
      <c r="EF8" s="11">
        <v>221465</v>
      </c>
      <c r="EG8" s="11">
        <v>224312</v>
      </c>
      <c r="EH8" s="11">
        <v>226448</v>
      </c>
      <c r="EI8" s="11">
        <v>229729</v>
      </c>
      <c r="EJ8" s="11">
        <v>231892</v>
      </c>
      <c r="EK8" s="11">
        <v>236075</v>
      </c>
      <c r="EL8" s="11">
        <v>237463</v>
      </c>
      <c r="EM8" s="11">
        <v>243111</v>
      </c>
      <c r="EN8" s="11">
        <v>244614</v>
      </c>
      <c r="EO8" s="11">
        <v>248998</v>
      </c>
      <c r="EP8" s="11">
        <v>249640</v>
      </c>
      <c r="EQ8" s="11">
        <v>249920</v>
      </c>
      <c r="ER8" s="11">
        <v>256466</v>
      </c>
      <c r="ES8" s="11">
        <v>255800</v>
      </c>
      <c r="ET8" s="11">
        <v>258834</v>
      </c>
      <c r="EU8" s="11">
        <v>256355</v>
      </c>
      <c r="EV8" s="11">
        <v>263934</v>
      </c>
      <c r="EW8" s="11">
        <v>262968</v>
      </c>
      <c r="EX8" s="11">
        <v>263925</v>
      </c>
      <c r="EY8" s="11">
        <v>264273</v>
      </c>
      <c r="EZ8" s="11">
        <v>267166</v>
      </c>
      <c r="FA8" s="11">
        <v>267993</v>
      </c>
      <c r="FB8" s="11">
        <v>268198</v>
      </c>
      <c r="FC8" s="11">
        <v>265811</v>
      </c>
      <c r="FD8" s="11">
        <v>271167</v>
      </c>
      <c r="FE8" s="11">
        <v>273285</v>
      </c>
      <c r="FF8" s="11">
        <v>273407</v>
      </c>
      <c r="FG8" s="11">
        <v>279309</v>
      </c>
      <c r="FH8" s="11">
        <v>283629</v>
      </c>
      <c r="FI8" s="11">
        <v>282123</v>
      </c>
      <c r="FJ8" s="11">
        <v>283875</v>
      </c>
      <c r="FK8" s="11">
        <v>284075</v>
      </c>
      <c r="FL8" s="11">
        <v>292417</v>
      </c>
      <c r="FM8" s="11">
        <v>298338</v>
      </c>
      <c r="FN8" s="11">
        <v>300976</v>
      </c>
      <c r="FO8" s="11">
        <v>301406</v>
      </c>
      <c r="FP8" s="11">
        <v>304476</v>
      </c>
      <c r="FQ8" s="11">
        <v>303765</v>
      </c>
      <c r="FR8" s="11">
        <v>307306</v>
      </c>
      <c r="FS8" s="11">
        <v>311832</v>
      </c>
      <c r="FT8" s="11">
        <v>319853</v>
      </c>
      <c r="FU8" s="11">
        <v>327096</v>
      </c>
      <c r="FV8" s="11">
        <v>327429</v>
      </c>
      <c r="FW8" s="11">
        <v>326493</v>
      </c>
      <c r="FX8" s="11">
        <v>328471</v>
      </c>
      <c r="FY8" s="11">
        <v>328528</v>
      </c>
      <c r="FZ8" s="11">
        <v>327875</v>
      </c>
      <c r="GA8" s="11">
        <v>328068</v>
      </c>
      <c r="GB8" s="11">
        <v>337489</v>
      </c>
      <c r="GC8" s="11">
        <v>339566</v>
      </c>
      <c r="GD8" s="11">
        <v>341950</v>
      </c>
      <c r="GE8" s="11">
        <v>347760</v>
      </c>
      <c r="GF8" s="11">
        <v>347383</v>
      </c>
      <c r="GG8" s="11">
        <v>350601</v>
      </c>
      <c r="GH8" s="11">
        <v>356695</v>
      </c>
      <c r="GI8" s="11">
        <v>356202</v>
      </c>
      <c r="GJ8" s="11">
        <v>363432</v>
      </c>
      <c r="GK8" s="11">
        <v>365191</v>
      </c>
      <c r="GL8" s="11">
        <v>368137</v>
      </c>
      <c r="GM8" s="11">
        <v>361420</v>
      </c>
      <c r="GN8" s="11">
        <v>356361</v>
      </c>
      <c r="GO8" s="11">
        <v>367470</v>
      </c>
      <c r="GP8" s="11">
        <v>369157</v>
      </c>
      <c r="GQ8" s="11">
        <v>374602</v>
      </c>
      <c r="GR8" s="11">
        <v>378013</v>
      </c>
      <c r="GS8" s="11">
        <v>380321</v>
      </c>
      <c r="GT8" s="11">
        <v>381732</v>
      </c>
      <c r="GU8" s="11">
        <v>386958</v>
      </c>
      <c r="GV8" s="11">
        <v>395902</v>
      </c>
      <c r="GW8" s="11">
        <v>403706</v>
      </c>
      <c r="GX8" s="11">
        <v>422652</v>
      </c>
      <c r="GY8" s="11">
        <v>428670</v>
      </c>
      <c r="GZ8" s="11">
        <v>439405</v>
      </c>
      <c r="HA8" s="11">
        <v>440937</v>
      </c>
      <c r="HB8" s="11">
        <v>446922</v>
      </c>
      <c r="HC8" s="11">
        <v>457594</v>
      </c>
      <c r="HD8" s="11">
        <v>468096</v>
      </c>
      <c r="HE8" s="11">
        <v>470726</v>
      </c>
      <c r="HF8" s="12">
        <v>474739.7</v>
      </c>
      <c r="HG8" s="12">
        <v>479434.8</v>
      </c>
      <c r="HH8" s="12">
        <v>483546.9</v>
      </c>
      <c r="HI8" s="12">
        <v>488581.4</v>
      </c>
      <c r="HJ8" s="12">
        <v>493155</v>
      </c>
      <c r="HK8" s="12">
        <v>497319.4</v>
      </c>
      <c r="HL8" s="12">
        <v>500945.1</v>
      </c>
      <c r="HM8" s="12">
        <v>504721.4</v>
      </c>
      <c r="HN8" s="12">
        <v>508547.4</v>
      </c>
      <c r="HO8" s="12">
        <v>512855.5</v>
      </c>
      <c r="HP8" s="12">
        <v>517526.3</v>
      </c>
      <c r="HQ8" s="12">
        <v>522495.8</v>
      </c>
      <c r="HR8" s="12">
        <v>527515.30000000005</v>
      </c>
      <c r="HS8" s="12">
        <v>532462.30000000005</v>
      </c>
      <c r="HT8" s="12">
        <v>538071.4</v>
      </c>
      <c r="HU8" s="12">
        <v>543471.80000000005</v>
      </c>
      <c r="HV8" s="12">
        <v>548621.4</v>
      </c>
      <c r="HW8" s="12">
        <v>553617.80000000005</v>
      </c>
      <c r="HX8" s="12">
        <v>558642.4</v>
      </c>
      <c r="HY8" s="12">
        <v>563293.4</v>
      </c>
      <c r="HZ8" s="12">
        <v>567953</v>
      </c>
      <c r="IA8" s="12">
        <v>572782.1</v>
      </c>
      <c r="IB8" s="12">
        <v>578041.80000000005</v>
      </c>
      <c r="IC8" s="12">
        <v>582945.6</v>
      </c>
      <c r="ID8" s="12">
        <v>587813.9</v>
      </c>
      <c r="IE8" s="12">
        <v>593029.4</v>
      </c>
      <c r="IF8" s="12">
        <v>598607.5</v>
      </c>
      <c r="IG8" s="12">
        <v>603928.30000000005</v>
      </c>
      <c r="IH8" s="12">
        <v>609141.80000000005</v>
      </c>
      <c r="II8" s="12">
        <v>614400.69999999995</v>
      </c>
      <c r="IJ8" s="12">
        <v>620036.69999999995</v>
      </c>
      <c r="IK8" s="12">
        <v>625362.9</v>
      </c>
      <c r="IL8" s="12">
        <v>630674.1</v>
      </c>
      <c r="IM8" s="12">
        <v>636182.1</v>
      </c>
      <c r="IN8" s="12">
        <v>642051.80000000005</v>
      </c>
      <c r="IO8" s="12">
        <v>647586.80000000005</v>
      </c>
      <c r="IP8" s="12">
        <v>653093.19999999995</v>
      </c>
      <c r="IQ8" s="12">
        <v>658786.80000000005</v>
      </c>
      <c r="IR8" s="12">
        <v>664788.4</v>
      </c>
      <c r="IS8" s="12">
        <v>670370.19999999995</v>
      </c>
      <c r="IT8" s="12">
        <v>675951.3</v>
      </c>
      <c r="IU8" s="12">
        <v>681708.3</v>
      </c>
      <c r="IV8" s="12">
        <v>687883.1</v>
      </c>
      <c r="IW8" s="12">
        <v>693758.3</v>
      </c>
      <c r="IX8" s="12">
        <v>699688.4</v>
      </c>
      <c r="IY8" s="12">
        <v>705703.7</v>
      </c>
      <c r="IZ8" s="12">
        <v>711830.3</v>
      </c>
      <c r="JA8" s="12">
        <v>718010.9</v>
      </c>
      <c r="JB8" s="12">
        <v>724245.6</v>
      </c>
      <c r="JC8" s="12">
        <v>730534.40000000002</v>
      </c>
      <c r="JD8" s="12">
        <v>736878.4</v>
      </c>
      <c r="JE8" s="12">
        <v>743278.3</v>
      </c>
      <c r="JF8" s="12">
        <v>749733.8</v>
      </c>
      <c r="JG8" s="12">
        <v>756246.2</v>
      </c>
      <c r="JH8" s="12">
        <v>762878.7</v>
      </c>
      <c r="JI8" s="12">
        <v>769570.3</v>
      </c>
      <c r="JJ8" s="12">
        <v>776322.3</v>
      </c>
      <c r="JK8" s="12">
        <v>783134.9</v>
      </c>
      <c r="JL8" s="12">
        <v>790008.4</v>
      </c>
      <c r="JM8" s="12">
        <v>796943.6</v>
      </c>
      <c r="JN8" s="12">
        <v>803941.6</v>
      </c>
      <c r="JO8" s="12">
        <v>811002.8</v>
      </c>
      <c r="JP8" s="12">
        <v>818127.6</v>
      </c>
      <c r="JQ8" s="12">
        <v>825315.6</v>
      </c>
      <c r="JR8" s="12">
        <v>832566.7</v>
      </c>
      <c r="JS8" s="12">
        <v>839881.8</v>
      </c>
      <c r="JT8" s="12">
        <v>847159.8</v>
      </c>
      <c r="JU8" s="12">
        <v>854500.1</v>
      </c>
      <c r="JV8" s="12">
        <v>861903.3</v>
      </c>
      <c r="JW8" s="12">
        <v>869369.6</v>
      </c>
      <c r="JX8" s="12">
        <v>876899.8</v>
      </c>
      <c r="JY8" s="12">
        <v>884493.6</v>
      </c>
      <c r="JZ8" s="12">
        <v>892151.8</v>
      </c>
      <c r="KA8" s="12">
        <v>899876.1</v>
      </c>
      <c r="KB8" s="12">
        <v>907664.9</v>
      </c>
      <c r="KC8" s="12">
        <v>915520.3</v>
      </c>
      <c r="KD8" s="12">
        <v>923441.5</v>
      </c>
      <c r="KE8" s="12">
        <v>931430.3</v>
      </c>
      <c r="KF8" s="12">
        <v>939485.2</v>
      </c>
      <c r="KG8" s="12">
        <v>947607.9</v>
      </c>
      <c r="KH8" s="12">
        <v>955799.1</v>
      </c>
      <c r="KI8" s="12">
        <v>964058.2</v>
      </c>
      <c r="KJ8" s="12">
        <v>972386.9</v>
      </c>
      <c r="KK8" s="12">
        <v>980785.1</v>
      </c>
      <c r="KL8" s="12">
        <v>989254.4</v>
      </c>
      <c r="KM8" s="12">
        <v>997793.5</v>
      </c>
      <c r="KN8" s="12">
        <v>1006405</v>
      </c>
      <c r="KO8" s="12">
        <v>1015087</v>
      </c>
      <c r="KP8" s="12">
        <v>1023843</v>
      </c>
      <c r="KQ8" s="12">
        <v>1032671</v>
      </c>
      <c r="KR8" s="12">
        <v>1041574</v>
      </c>
      <c r="KS8" s="12">
        <v>1050550</v>
      </c>
      <c r="KT8" s="12">
        <v>1059602</v>
      </c>
      <c r="KU8" s="12">
        <v>1068729</v>
      </c>
      <c r="KV8" s="12">
        <v>1077933</v>
      </c>
      <c r="KW8" s="12">
        <v>1087213</v>
      </c>
      <c r="KX8" s="12">
        <v>1096571</v>
      </c>
      <c r="KY8" s="12">
        <v>1106007</v>
      </c>
      <c r="KZ8" s="12">
        <v>1115521</v>
      </c>
      <c r="LA8" s="12">
        <v>1125115</v>
      </c>
      <c r="LB8" s="12">
        <v>1134788</v>
      </c>
      <c r="LC8" s="12">
        <v>1144542</v>
      </c>
      <c r="LD8" s="12">
        <v>1154415</v>
      </c>
      <c r="LE8" s="12">
        <v>1164370</v>
      </c>
      <c r="LF8" s="12">
        <v>1174406</v>
      </c>
      <c r="LG8" s="12">
        <v>1184524</v>
      </c>
      <c r="LH8" s="12">
        <v>1194439</v>
      </c>
      <c r="LI8" s="12">
        <v>1204431</v>
      </c>
      <c r="LJ8" s="12">
        <v>1214451</v>
      </c>
      <c r="LK8" s="12">
        <v>1224548</v>
      </c>
      <c r="LL8" s="12">
        <v>1234723</v>
      </c>
      <c r="LM8" s="12">
        <v>1244976</v>
      </c>
      <c r="LN8" s="12">
        <v>1255218</v>
      </c>
      <c r="LO8" s="12">
        <v>1265538</v>
      </c>
      <c r="LP8" s="12">
        <v>1275935</v>
      </c>
      <c r="LQ8" s="12">
        <v>1286409</v>
      </c>
      <c r="LR8" s="12">
        <v>1296964</v>
      </c>
      <c r="LS8" s="12">
        <v>1307597</v>
      </c>
      <c r="LT8" s="12">
        <v>1318310</v>
      </c>
      <c r="LU8" s="12">
        <v>1329104</v>
      </c>
      <c r="LV8" s="12">
        <v>1339933</v>
      </c>
      <c r="LW8" s="12">
        <v>1350843</v>
      </c>
      <c r="LX8" s="12">
        <v>1361834</v>
      </c>
      <c r="LY8" s="12">
        <v>1372906</v>
      </c>
      <c r="LZ8" s="12">
        <v>1384023</v>
      </c>
      <c r="MA8" s="12">
        <v>1395222</v>
      </c>
      <c r="MB8" s="12">
        <v>1406502</v>
      </c>
      <c r="MC8" s="12">
        <v>1417865</v>
      </c>
      <c r="MD8" s="12">
        <v>1429312</v>
      </c>
      <c r="ME8" s="12">
        <v>1440844</v>
      </c>
      <c r="MF8" s="12">
        <v>1452461</v>
      </c>
      <c r="MG8" s="12">
        <v>1464163</v>
      </c>
      <c r="MH8" s="12">
        <v>1475999</v>
      </c>
      <c r="MI8" s="12">
        <v>1487924</v>
      </c>
      <c r="MJ8" s="12">
        <v>1499936</v>
      </c>
      <c r="MK8" s="12">
        <v>1512038</v>
      </c>
      <c r="ML8" s="12">
        <v>1524214</v>
      </c>
      <c r="MM8" s="12">
        <v>1536482</v>
      </c>
      <c r="MN8" s="12">
        <v>1548840</v>
      </c>
      <c r="MO8" s="12">
        <v>1561289</v>
      </c>
      <c r="MP8" s="12">
        <v>1573885</v>
      </c>
      <c r="MQ8" s="12">
        <v>1586574</v>
      </c>
      <c r="MR8" s="12">
        <v>1599357</v>
      </c>
      <c r="MS8" s="12">
        <v>1612237</v>
      </c>
      <c r="MT8" s="12">
        <v>1625213</v>
      </c>
      <c r="MU8" t="s">
        <v>1205</v>
      </c>
      <c r="MV8" t="b">
        <v>1</v>
      </c>
      <c r="MW8" t="s">
        <v>1196</v>
      </c>
      <c r="MX8" t="s">
        <v>1196</v>
      </c>
      <c r="MY8">
        <v>2024</v>
      </c>
      <c r="MZ8">
        <v>3</v>
      </c>
      <c r="NA8" t="s">
        <v>1196</v>
      </c>
      <c r="NB8" t="s">
        <v>1232</v>
      </c>
      <c r="NC8" t="s">
        <v>1233</v>
      </c>
      <c r="ND8" t="s">
        <v>1200</v>
      </c>
      <c r="NE8" t="s">
        <v>1234</v>
      </c>
      <c r="NF8" s="1" t="s">
        <v>1434</v>
      </c>
    </row>
    <row r="9" spans="1:370" x14ac:dyDescent="0.25">
      <c r="A9" t="s">
        <v>1193</v>
      </c>
      <c r="B9" t="s">
        <v>1235</v>
      </c>
      <c r="C9" s="1" t="s">
        <v>1433</v>
      </c>
      <c r="D9" t="s">
        <v>1203</v>
      </c>
      <c r="E9" t="s">
        <v>1204</v>
      </c>
      <c r="F9" t="s">
        <v>1197</v>
      </c>
      <c r="G9" s="11">
        <v>137363</v>
      </c>
      <c r="H9" s="11">
        <v>140152</v>
      </c>
      <c r="I9" s="11">
        <v>141286</v>
      </c>
      <c r="J9" s="11">
        <v>141617</v>
      </c>
      <c r="K9" s="11">
        <v>137691</v>
      </c>
      <c r="L9" s="11">
        <v>136111</v>
      </c>
      <c r="M9" s="11">
        <v>141095</v>
      </c>
      <c r="N9" s="11">
        <v>140771</v>
      </c>
      <c r="O9" s="11">
        <v>143397</v>
      </c>
      <c r="P9" s="11">
        <v>138847</v>
      </c>
      <c r="Q9" s="11">
        <v>140319</v>
      </c>
      <c r="R9" s="11">
        <v>137808</v>
      </c>
      <c r="S9" s="11">
        <v>139742</v>
      </c>
      <c r="T9" s="11">
        <v>138168</v>
      </c>
      <c r="U9" s="11">
        <v>142668</v>
      </c>
      <c r="V9" s="11">
        <v>139028</v>
      </c>
      <c r="W9" s="11">
        <v>135347</v>
      </c>
      <c r="X9" s="11">
        <v>134379</v>
      </c>
      <c r="Y9" s="11">
        <v>137012</v>
      </c>
      <c r="Z9" s="11">
        <v>142669</v>
      </c>
      <c r="AA9" s="11">
        <v>142512</v>
      </c>
      <c r="AB9" s="11">
        <v>146514</v>
      </c>
      <c r="AC9" s="11">
        <v>150300</v>
      </c>
      <c r="AD9" s="11">
        <v>150197</v>
      </c>
      <c r="AE9" s="11">
        <v>152401</v>
      </c>
      <c r="AF9" s="11">
        <v>155089</v>
      </c>
      <c r="AG9" s="11">
        <v>155140</v>
      </c>
      <c r="AH9" s="11">
        <v>162173</v>
      </c>
      <c r="AI9" s="11">
        <v>157780</v>
      </c>
      <c r="AJ9" s="11">
        <v>158083</v>
      </c>
      <c r="AK9" s="11">
        <v>160445</v>
      </c>
      <c r="AL9" s="11">
        <v>158931</v>
      </c>
      <c r="AM9" s="11">
        <v>160486</v>
      </c>
      <c r="AN9" s="11">
        <v>158130</v>
      </c>
      <c r="AO9" s="11">
        <v>157598</v>
      </c>
      <c r="AP9" s="11">
        <v>158580</v>
      </c>
      <c r="AQ9" s="11">
        <v>157715</v>
      </c>
      <c r="AR9" s="11">
        <v>160483</v>
      </c>
      <c r="AS9" s="11">
        <v>159367</v>
      </c>
      <c r="AT9" s="11">
        <v>159886</v>
      </c>
      <c r="AU9" s="11">
        <v>158854</v>
      </c>
      <c r="AV9" s="11">
        <v>165111</v>
      </c>
      <c r="AW9" s="11">
        <v>163522</v>
      </c>
      <c r="AX9" s="11">
        <v>164202</v>
      </c>
      <c r="AY9" s="11">
        <v>167088</v>
      </c>
      <c r="AZ9" s="11">
        <v>165111</v>
      </c>
      <c r="BA9" s="11">
        <v>169770</v>
      </c>
      <c r="BB9" s="11">
        <v>173527</v>
      </c>
      <c r="BC9" s="11">
        <v>175208</v>
      </c>
      <c r="BD9" s="11">
        <v>175613</v>
      </c>
      <c r="BE9" s="11">
        <v>175957</v>
      </c>
      <c r="BF9" s="11">
        <v>177164</v>
      </c>
      <c r="BG9" s="11">
        <v>179729</v>
      </c>
      <c r="BH9" s="11">
        <v>186661</v>
      </c>
      <c r="BI9" s="11">
        <v>183119</v>
      </c>
      <c r="BJ9" s="11">
        <v>183388</v>
      </c>
      <c r="BK9" s="11">
        <v>180901</v>
      </c>
      <c r="BL9" s="11">
        <v>185020</v>
      </c>
      <c r="BM9" s="11">
        <v>187551</v>
      </c>
      <c r="BN9" s="11">
        <v>188860</v>
      </c>
      <c r="BO9" s="11">
        <v>191709</v>
      </c>
      <c r="BP9" s="11">
        <v>194935</v>
      </c>
      <c r="BQ9" s="11">
        <v>197179</v>
      </c>
      <c r="BR9" s="11">
        <v>198740</v>
      </c>
      <c r="BS9" s="11">
        <v>201265</v>
      </c>
      <c r="BT9" s="11">
        <v>204179</v>
      </c>
      <c r="BU9" s="11">
        <v>209872</v>
      </c>
      <c r="BV9" s="11">
        <v>207949</v>
      </c>
      <c r="BW9" s="11">
        <v>213872</v>
      </c>
      <c r="BX9" s="11">
        <v>211391</v>
      </c>
      <c r="BY9" s="11">
        <v>213462</v>
      </c>
      <c r="BZ9" s="11">
        <v>216821</v>
      </c>
      <c r="CA9" s="11">
        <v>218128</v>
      </c>
      <c r="CB9" s="11">
        <v>214176</v>
      </c>
      <c r="CC9" s="11">
        <v>220568</v>
      </c>
      <c r="CD9" s="11">
        <v>220151</v>
      </c>
      <c r="CE9" s="11">
        <v>221591</v>
      </c>
      <c r="CF9" s="11">
        <v>223785</v>
      </c>
      <c r="CG9" s="11">
        <v>225633</v>
      </c>
      <c r="CH9" s="11">
        <v>225562</v>
      </c>
      <c r="CI9" s="11">
        <v>224008</v>
      </c>
      <c r="CJ9" s="11">
        <v>230278</v>
      </c>
      <c r="CK9" s="11">
        <v>232470</v>
      </c>
      <c r="CL9" s="11">
        <v>233411</v>
      </c>
      <c r="CM9" s="11">
        <v>232541</v>
      </c>
      <c r="CN9" s="11">
        <v>232173</v>
      </c>
      <c r="CO9" s="11">
        <v>236870</v>
      </c>
      <c r="CP9" s="11">
        <v>235558</v>
      </c>
      <c r="CQ9" s="11">
        <v>239669</v>
      </c>
      <c r="CR9" s="11">
        <v>239943</v>
      </c>
      <c r="CS9" s="11">
        <v>242123</v>
      </c>
      <c r="CT9" s="11">
        <v>243427</v>
      </c>
      <c r="CU9" s="11">
        <v>247598</v>
      </c>
      <c r="CV9" s="11">
        <v>247441</v>
      </c>
      <c r="CW9" s="11">
        <v>250067</v>
      </c>
      <c r="CX9" s="11">
        <v>245800</v>
      </c>
      <c r="CY9" s="11">
        <v>249558</v>
      </c>
      <c r="CZ9" s="11">
        <v>251781</v>
      </c>
      <c r="DA9" s="11">
        <v>254358</v>
      </c>
      <c r="DB9" s="11">
        <v>253468</v>
      </c>
      <c r="DC9" s="11">
        <v>253069</v>
      </c>
      <c r="DD9" s="11">
        <v>254576</v>
      </c>
      <c r="DE9" s="11">
        <v>253636</v>
      </c>
      <c r="DF9" s="11">
        <v>257028</v>
      </c>
      <c r="DG9" s="11">
        <v>254037</v>
      </c>
      <c r="DH9" s="11">
        <v>266557</v>
      </c>
      <c r="DI9" s="11">
        <v>267871</v>
      </c>
      <c r="DJ9" s="11">
        <v>274118</v>
      </c>
      <c r="DK9" s="11">
        <v>274370</v>
      </c>
      <c r="DL9" s="11">
        <v>277466</v>
      </c>
      <c r="DM9" s="11">
        <v>283106</v>
      </c>
      <c r="DN9" s="11">
        <v>287523</v>
      </c>
      <c r="DO9" s="11">
        <v>289476</v>
      </c>
      <c r="DP9" s="11">
        <v>288052</v>
      </c>
      <c r="DQ9" s="11">
        <v>289545</v>
      </c>
      <c r="DR9" s="11">
        <v>295002</v>
      </c>
      <c r="DS9" s="11">
        <v>295976</v>
      </c>
      <c r="DT9" s="11">
        <v>298538</v>
      </c>
      <c r="DU9" s="11">
        <v>297567</v>
      </c>
      <c r="DV9" s="11">
        <v>298904</v>
      </c>
      <c r="DW9" s="11">
        <v>301081</v>
      </c>
      <c r="DX9" s="11">
        <v>302934</v>
      </c>
      <c r="DY9" s="11">
        <v>304444</v>
      </c>
      <c r="DZ9" s="11">
        <v>308695</v>
      </c>
      <c r="EA9" s="11">
        <v>309585</v>
      </c>
      <c r="EB9" s="11">
        <v>312396</v>
      </c>
      <c r="EC9" s="11">
        <v>314574</v>
      </c>
      <c r="ED9" s="11">
        <v>315137</v>
      </c>
      <c r="EE9" s="11">
        <v>317057</v>
      </c>
      <c r="EF9" s="11">
        <v>320657</v>
      </c>
      <c r="EG9" s="11">
        <v>322465</v>
      </c>
      <c r="EH9" s="11">
        <v>322562</v>
      </c>
      <c r="EI9" s="11">
        <v>325138</v>
      </c>
      <c r="EJ9" s="11">
        <v>323889</v>
      </c>
      <c r="EK9" s="11">
        <v>327580</v>
      </c>
      <c r="EL9" s="11">
        <v>328682</v>
      </c>
      <c r="EM9" s="11">
        <v>339067</v>
      </c>
      <c r="EN9" s="11">
        <v>336009</v>
      </c>
      <c r="EO9" s="11">
        <v>340647</v>
      </c>
      <c r="EP9" s="11">
        <v>340314</v>
      </c>
      <c r="EQ9" s="11">
        <v>335815</v>
      </c>
      <c r="ER9" s="11">
        <v>339732</v>
      </c>
      <c r="ES9" s="11">
        <v>333684</v>
      </c>
      <c r="ET9" s="11">
        <v>340023</v>
      </c>
      <c r="EU9" s="11">
        <v>335761</v>
      </c>
      <c r="EV9" s="11">
        <v>344826</v>
      </c>
      <c r="EW9" s="11">
        <v>343613</v>
      </c>
      <c r="EX9" s="11">
        <v>346368</v>
      </c>
      <c r="EY9" s="11">
        <v>346769</v>
      </c>
      <c r="EZ9" s="11">
        <v>347421</v>
      </c>
      <c r="FA9" s="11">
        <v>346091</v>
      </c>
      <c r="FB9" s="11">
        <v>343460</v>
      </c>
      <c r="FC9" s="11">
        <v>334416</v>
      </c>
      <c r="FD9" s="11">
        <v>339976</v>
      </c>
      <c r="FE9" s="11">
        <v>339972</v>
      </c>
      <c r="FF9" s="11">
        <v>337625</v>
      </c>
      <c r="FG9" s="11">
        <v>344680</v>
      </c>
      <c r="FH9" s="11">
        <v>348062</v>
      </c>
      <c r="FI9" s="11">
        <v>346678</v>
      </c>
      <c r="FJ9" s="11">
        <v>345765</v>
      </c>
      <c r="FK9" s="11">
        <v>342890</v>
      </c>
      <c r="FL9" s="11">
        <v>350923</v>
      </c>
      <c r="FM9" s="11">
        <v>357263</v>
      </c>
      <c r="FN9" s="11">
        <v>360126</v>
      </c>
      <c r="FO9" s="11">
        <v>359009</v>
      </c>
      <c r="FP9" s="11">
        <v>359599</v>
      </c>
      <c r="FQ9" s="11">
        <v>359708</v>
      </c>
      <c r="FR9" s="11">
        <v>364730</v>
      </c>
      <c r="FS9" s="11">
        <v>372232</v>
      </c>
      <c r="FT9" s="11">
        <v>381179</v>
      </c>
      <c r="FU9" s="11">
        <v>388638</v>
      </c>
      <c r="FV9" s="11">
        <v>388470</v>
      </c>
      <c r="FW9" s="11">
        <v>386874</v>
      </c>
      <c r="FX9" s="11">
        <v>387633</v>
      </c>
      <c r="FY9" s="11">
        <v>384657</v>
      </c>
      <c r="FZ9" s="11">
        <v>381981</v>
      </c>
      <c r="GA9" s="11">
        <v>382290</v>
      </c>
      <c r="GB9" s="11">
        <v>390332</v>
      </c>
      <c r="GC9" s="11">
        <v>390954</v>
      </c>
      <c r="GD9" s="11">
        <v>391273</v>
      </c>
      <c r="GE9" s="11">
        <v>395975</v>
      </c>
      <c r="GF9" s="11">
        <v>394175</v>
      </c>
      <c r="GG9" s="11">
        <v>395431</v>
      </c>
      <c r="GH9" s="11">
        <v>400106</v>
      </c>
      <c r="GI9" s="11">
        <v>399632</v>
      </c>
      <c r="GJ9" s="11">
        <v>405211</v>
      </c>
      <c r="GK9" s="11">
        <v>405428</v>
      </c>
      <c r="GL9" s="11">
        <v>407970</v>
      </c>
      <c r="GM9" s="11">
        <v>402584</v>
      </c>
      <c r="GN9" s="11">
        <v>394596</v>
      </c>
      <c r="GO9" s="11">
        <v>406593</v>
      </c>
      <c r="GP9" s="11">
        <v>408367</v>
      </c>
      <c r="GQ9" s="11">
        <v>411074</v>
      </c>
      <c r="GR9" s="11">
        <v>413832</v>
      </c>
      <c r="GS9" s="11">
        <v>410138</v>
      </c>
      <c r="GT9" s="11">
        <v>402842</v>
      </c>
      <c r="GU9" s="11">
        <v>401738</v>
      </c>
      <c r="GV9" s="11">
        <v>398386</v>
      </c>
      <c r="GW9" s="11">
        <v>400405</v>
      </c>
      <c r="GX9" s="11">
        <v>408689</v>
      </c>
      <c r="GY9" s="11">
        <v>405797</v>
      </c>
      <c r="GZ9" s="11">
        <v>411416</v>
      </c>
      <c r="HA9" s="11">
        <v>411131</v>
      </c>
      <c r="HB9" s="11">
        <v>415199</v>
      </c>
      <c r="HC9" s="11">
        <v>420949</v>
      </c>
      <c r="HD9" s="11">
        <v>427972</v>
      </c>
      <c r="HE9" s="11">
        <v>428682</v>
      </c>
      <c r="HF9" s="12">
        <v>429072.6</v>
      </c>
      <c r="HG9" s="12">
        <v>430093.1</v>
      </c>
      <c r="HH9" s="12">
        <v>430520.5</v>
      </c>
      <c r="HI9" s="12">
        <v>431965.8</v>
      </c>
      <c r="HJ9" s="12">
        <v>433331.5</v>
      </c>
      <c r="HK9" s="12">
        <v>434597.1</v>
      </c>
      <c r="HL9" s="12">
        <v>435366.2</v>
      </c>
      <c r="HM9" s="12">
        <v>436359.4</v>
      </c>
      <c r="HN9" s="12">
        <v>437485.5</v>
      </c>
      <c r="HO9" s="12">
        <v>438996.9</v>
      </c>
      <c r="HP9" s="12">
        <v>440704</v>
      </c>
      <c r="HQ9" s="12">
        <v>442548.5</v>
      </c>
      <c r="HR9" s="12">
        <v>444402.5</v>
      </c>
      <c r="HS9" s="12">
        <v>446162.2</v>
      </c>
      <c r="HT9" s="12">
        <v>448442.3</v>
      </c>
      <c r="HU9" s="12">
        <v>450556.8</v>
      </c>
      <c r="HV9" s="12">
        <v>452474.9</v>
      </c>
      <c r="HW9" s="12">
        <v>454235.4</v>
      </c>
      <c r="HX9" s="12">
        <v>456033.9</v>
      </c>
      <c r="HY9" s="12">
        <v>457544.3</v>
      </c>
      <c r="HZ9" s="12">
        <v>459035.7</v>
      </c>
      <c r="IA9" s="12">
        <v>460654.4</v>
      </c>
      <c r="IB9" s="12">
        <v>462590.5</v>
      </c>
      <c r="IC9" s="12">
        <v>464213.1</v>
      </c>
      <c r="ID9" s="12">
        <v>465780.5</v>
      </c>
      <c r="IE9" s="12">
        <v>467594.4</v>
      </c>
      <c r="IF9" s="12">
        <v>469663.6</v>
      </c>
      <c r="IG9" s="12">
        <v>471500.2</v>
      </c>
      <c r="IH9" s="12">
        <v>473224</v>
      </c>
      <c r="II9" s="12">
        <v>474954.2</v>
      </c>
      <c r="IJ9" s="12">
        <v>476945.7</v>
      </c>
      <c r="IK9" s="12">
        <v>478669.3</v>
      </c>
      <c r="IL9" s="12">
        <v>480352.6</v>
      </c>
      <c r="IM9" s="12">
        <v>482156.79999999999</v>
      </c>
      <c r="IN9" s="12">
        <v>484204.2</v>
      </c>
      <c r="IO9" s="12">
        <v>485968.5</v>
      </c>
      <c r="IP9" s="12">
        <v>487682.2</v>
      </c>
      <c r="IQ9" s="12">
        <v>489506.3</v>
      </c>
      <c r="IR9" s="12">
        <v>491528.1</v>
      </c>
      <c r="IS9" s="12">
        <v>493209.4</v>
      </c>
      <c r="IT9" s="12">
        <v>494861.1</v>
      </c>
      <c r="IU9" s="12">
        <v>496613.4</v>
      </c>
      <c r="IV9" s="12">
        <v>498638.7</v>
      </c>
      <c r="IW9" s="12">
        <v>500416</v>
      </c>
      <c r="IX9" s="12">
        <v>502202.8</v>
      </c>
      <c r="IY9" s="12">
        <v>504020.8</v>
      </c>
      <c r="IZ9" s="12">
        <v>505887.4</v>
      </c>
      <c r="JA9" s="12">
        <v>507761.5</v>
      </c>
      <c r="JB9" s="12">
        <v>509643.3</v>
      </c>
      <c r="JC9" s="12">
        <v>511531.8</v>
      </c>
      <c r="JD9" s="12">
        <v>513427.5</v>
      </c>
      <c r="JE9" s="12">
        <v>515331.1</v>
      </c>
      <c r="JF9" s="12">
        <v>517241.4</v>
      </c>
      <c r="JG9" s="12">
        <v>519159.7</v>
      </c>
      <c r="JH9" s="12">
        <v>521128.3</v>
      </c>
      <c r="JI9" s="12">
        <v>523105</v>
      </c>
      <c r="JJ9" s="12">
        <v>525090.4</v>
      </c>
      <c r="JK9" s="12">
        <v>527084.30000000005</v>
      </c>
      <c r="JL9" s="12">
        <v>529086.5</v>
      </c>
      <c r="JM9" s="12">
        <v>531097.19999999995</v>
      </c>
      <c r="JN9" s="12">
        <v>533116.5</v>
      </c>
      <c r="JO9" s="12">
        <v>535145.1</v>
      </c>
      <c r="JP9" s="12">
        <v>537182.30000000005</v>
      </c>
      <c r="JQ9" s="12">
        <v>539227.4</v>
      </c>
      <c r="JR9" s="12">
        <v>541280.30000000005</v>
      </c>
      <c r="JS9" s="12">
        <v>543341.4</v>
      </c>
      <c r="JT9" s="12">
        <v>545345</v>
      </c>
      <c r="JU9" s="12">
        <v>547355.5</v>
      </c>
      <c r="JV9" s="12">
        <v>549372.69999999995</v>
      </c>
      <c r="JW9" s="12">
        <v>551396.80000000005</v>
      </c>
      <c r="JX9" s="12">
        <v>553428.1</v>
      </c>
      <c r="JY9" s="12">
        <v>555465.80000000005</v>
      </c>
      <c r="JZ9" s="12">
        <v>557509.6</v>
      </c>
      <c r="KA9" s="12">
        <v>559561.4</v>
      </c>
      <c r="KB9" s="12">
        <v>561619</v>
      </c>
      <c r="KC9" s="12">
        <v>563683.9</v>
      </c>
      <c r="KD9" s="12">
        <v>565754.6</v>
      </c>
      <c r="KE9" s="12">
        <v>567832.69999999995</v>
      </c>
      <c r="KF9" s="12">
        <v>569916.6</v>
      </c>
      <c r="KG9" s="12">
        <v>572006.9</v>
      </c>
      <c r="KH9" s="12">
        <v>574103.9</v>
      </c>
      <c r="KI9" s="12">
        <v>576206.69999999995</v>
      </c>
      <c r="KJ9" s="12">
        <v>578316.30000000005</v>
      </c>
      <c r="KK9" s="12">
        <v>580431.80000000005</v>
      </c>
      <c r="KL9" s="12">
        <v>582554.6</v>
      </c>
      <c r="KM9" s="12">
        <v>584682.9</v>
      </c>
      <c r="KN9" s="12">
        <v>586818.30000000005</v>
      </c>
      <c r="KO9" s="12">
        <v>588959.6</v>
      </c>
      <c r="KP9" s="12">
        <v>591107.69999999995</v>
      </c>
      <c r="KQ9" s="12">
        <v>593261.9</v>
      </c>
      <c r="KR9" s="12">
        <v>595422.9</v>
      </c>
      <c r="KS9" s="12">
        <v>597590.4</v>
      </c>
      <c r="KT9" s="12">
        <v>599764</v>
      </c>
      <c r="KU9" s="12">
        <v>601944.80000000005</v>
      </c>
      <c r="KV9" s="12">
        <v>604131.9</v>
      </c>
      <c r="KW9" s="12">
        <v>606325.4</v>
      </c>
      <c r="KX9" s="12">
        <v>608525.9</v>
      </c>
      <c r="KY9" s="12">
        <v>610733.1</v>
      </c>
      <c r="KZ9" s="12">
        <v>612946</v>
      </c>
      <c r="LA9" s="12">
        <v>615166.4</v>
      </c>
      <c r="LB9" s="12">
        <v>617392.4</v>
      </c>
      <c r="LC9" s="12">
        <v>619625.80000000005</v>
      </c>
      <c r="LD9" s="12">
        <v>621886</v>
      </c>
      <c r="LE9" s="12">
        <v>624152.80000000005</v>
      </c>
      <c r="LF9" s="12">
        <v>626425.30000000005</v>
      </c>
      <c r="LG9" s="12">
        <v>628703.80000000005</v>
      </c>
      <c r="LH9" s="12">
        <v>630836.80000000005</v>
      </c>
      <c r="LI9" s="12">
        <v>632973.80000000005</v>
      </c>
      <c r="LJ9" s="12">
        <v>635089.6</v>
      </c>
      <c r="LK9" s="12">
        <v>637208.6</v>
      </c>
      <c r="LL9" s="12">
        <v>639332</v>
      </c>
      <c r="LM9" s="12">
        <v>641458.9</v>
      </c>
      <c r="LN9" s="12">
        <v>643544</v>
      </c>
      <c r="LO9" s="12">
        <v>645632.4</v>
      </c>
      <c r="LP9" s="12">
        <v>647723.1</v>
      </c>
      <c r="LQ9" s="12">
        <v>649817</v>
      </c>
      <c r="LR9" s="12">
        <v>651914.69999999995</v>
      </c>
      <c r="LS9" s="12">
        <v>654014.9</v>
      </c>
      <c r="LT9" s="12">
        <v>656118.69999999995</v>
      </c>
      <c r="LU9" s="12">
        <v>658225.5</v>
      </c>
      <c r="LV9" s="12">
        <v>660313</v>
      </c>
      <c r="LW9" s="12">
        <v>662403.30000000005</v>
      </c>
      <c r="LX9" s="12">
        <v>664496.80000000005</v>
      </c>
      <c r="LY9" s="12">
        <v>666592.1</v>
      </c>
      <c r="LZ9" s="12">
        <v>668672.80000000005</v>
      </c>
      <c r="MA9" s="12">
        <v>670756.1</v>
      </c>
      <c r="MB9" s="12">
        <v>672841</v>
      </c>
      <c r="MC9" s="12">
        <v>674928.7</v>
      </c>
      <c r="MD9" s="12">
        <v>677019.6</v>
      </c>
      <c r="ME9" s="12">
        <v>679113</v>
      </c>
      <c r="MF9" s="12">
        <v>681208.9</v>
      </c>
      <c r="MG9" s="12">
        <v>683307.3</v>
      </c>
      <c r="MH9" s="12">
        <v>685430.8</v>
      </c>
      <c r="MI9" s="12">
        <v>687557.6</v>
      </c>
      <c r="MJ9" s="12">
        <v>689686.8</v>
      </c>
      <c r="MK9" s="12">
        <v>691819.6</v>
      </c>
      <c r="ML9" s="12">
        <v>693948.1</v>
      </c>
      <c r="MM9" s="12">
        <v>696080.4</v>
      </c>
      <c r="MN9" s="12">
        <v>698215.2</v>
      </c>
      <c r="MO9" s="12">
        <v>700352.9</v>
      </c>
      <c r="MP9" s="12">
        <v>702517.8</v>
      </c>
      <c r="MQ9" s="12">
        <v>704685.8</v>
      </c>
      <c r="MR9" s="12">
        <v>706857.1</v>
      </c>
      <c r="MS9" s="12">
        <v>709031.7</v>
      </c>
      <c r="MT9" s="12">
        <v>711210.2</v>
      </c>
      <c r="MU9" t="s">
        <v>1205</v>
      </c>
      <c r="MV9" t="b">
        <v>1</v>
      </c>
      <c r="MW9" s="1" t="s">
        <v>1236</v>
      </c>
      <c r="MX9" t="s">
        <v>1196</v>
      </c>
      <c r="MY9">
        <v>2024</v>
      </c>
      <c r="MZ9">
        <v>3</v>
      </c>
      <c r="NA9" t="s">
        <v>1196</v>
      </c>
      <c r="NB9" t="s">
        <v>1237</v>
      </c>
      <c r="NC9" s="1" t="s">
        <v>1238</v>
      </c>
      <c r="ND9" t="s">
        <v>1200</v>
      </c>
      <c r="NE9" t="s">
        <v>1239</v>
      </c>
      <c r="NF9" s="1" t="s">
        <v>1434</v>
      </c>
    </row>
    <row r="10" spans="1:370" x14ac:dyDescent="0.25">
      <c r="A10" t="s">
        <v>1193</v>
      </c>
      <c r="B10" t="s">
        <v>1240</v>
      </c>
      <c r="C10" s="1" t="s">
        <v>1433</v>
      </c>
      <c r="D10" t="s">
        <v>1195</v>
      </c>
      <c r="E10" t="s">
        <v>1196</v>
      </c>
      <c r="F10" t="s">
        <v>1197</v>
      </c>
      <c r="G10" s="11">
        <v>9.2064909999999998</v>
      </c>
      <c r="H10" s="11">
        <v>9.3221720000000001</v>
      </c>
      <c r="I10" s="11">
        <v>9.536778</v>
      </c>
      <c r="J10" s="11">
        <v>9.9904860000000006</v>
      </c>
      <c r="K10" s="11">
        <v>10.52744</v>
      </c>
      <c r="L10" s="11">
        <v>10.95538</v>
      </c>
      <c r="M10" s="11">
        <v>11.447800000000001</v>
      </c>
      <c r="N10" s="11">
        <v>12.08724</v>
      </c>
      <c r="O10" s="11">
        <v>12.905250000000001</v>
      </c>
      <c r="P10" s="11">
        <v>13.60613</v>
      </c>
      <c r="Q10" s="11">
        <v>14.14667</v>
      </c>
      <c r="R10" s="11">
        <v>14.88836</v>
      </c>
      <c r="S10" s="11">
        <v>15.45439</v>
      </c>
      <c r="T10" s="11">
        <v>15.83728</v>
      </c>
      <c r="U10" s="11">
        <v>16.26755</v>
      </c>
      <c r="V10" s="11">
        <v>17.121690000000001</v>
      </c>
      <c r="W10" s="11">
        <v>17.93</v>
      </c>
      <c r="X10" s="11">
        <v>18.505330000000001</v>
      </c>
      <c r="Y10" s="11">
        <v>18.839230000000001</v>
      </c>
      <c r="Z10" s="11">
        <v>19.160209999999999</v>
      </c>
      <c r="AA10" s="11">
        <v>19.773599999999998</v>
      </c>
      <c r="AB10" s="11">
        <v>20.218610000000002</v>
      </c>
      <c r="AC10" s="11">
        <v>20.593019999999999</v>
      </c>
      <c r="AD10" s="11">
        <v>21.29984</v>
      </c>
      <c r="AE10" s="11">
        <v>21.879709999999999</v>
      </c>
      <c r="AF10" s="11">
        <v>22.38936</v>
      </c>
      <c r="AG10" s="11">
        <v>23.94933</v>
      </c>
      <c r="AH10" s="11">
        <v>24.961680000000001</v>
      </c>
      <c r="AI10" s="11">
        <v>25.905280000000001</v>
      </c>
      <c r="AJ10" s="11">
        <v>26.888159999999999</v>
      </c>
      <c r="AK10" s="11">
        <v>27.460470000000001</v>
      </c>
      <c r="AL10" s="11">
        <v>28.66206</v>
      </c>
      <c r="AM10" s="11">
        <v>29.374320000000001</v>
      </c>
      <c r="AN10" s="11">
        <v>30.196069999999999</v>
      </c>
      <c r="AO10" s="11">
        <v>30.904209999999999</v>
      </c>
      <c r="AP10" s="11">
        <v>31.90259</v>
      </c>
      <c r="AQ10" s="11">
        <v>32.61365</v>
      </c>
      <c r="AR10" s="11">
        <v>33.174280000000003</v>
      </c>
      <c r="AS10" s="11">
        <v>33.551250000000003</v>
      </c>
      <c r="AT10" s="11">
        <v>34.331569999999999</v>
      </c>
      <c r="AU10" s="11">
        <v>34.779679999999999</v>
      </c>
      <c r="AV10" s="11">
        <v>35.153910000000003</v>
      </c>
      <c r="AW10" s="11">
        <v>35.481830000000002</v>
      </c>
      <c r="AX10" s="11">
        <v>36.030259999999998</v>
      </c>
      <c r="AY10" s="11">
        <v>36.491570000000003</v>
      </c>
      <c r="AZ10" s="11">
        <v>37.046770000000002</v>
      </c>
      <c r="BA10" s="11">
        <v>37.471260000000001</v>
      </c>
      <c r="BB10" s="11">
        <v>37.954630000000002</v>
      </c>
      <c r="BC10" s="11">
        <v>37.86</v>
      </c>
      <c r="BD10" s="11">
        <v>38.504060000000003</v>
      </c>
      <c r="BE10" s="11">
        <v>39.084150000000001</v>
      </c>
      <c r="BF10" s="11">
        <v>39.675939999999997</v>
      </c>
      <c r="BG10" s="11">
        <v>39.730350000000001</v>
      </c>
      <c r="BH10" s="11">
        <v>40.117289999999997</v>
      </c>
      <c r="BI10" s="11">
        <v>40.552900000000001</v>
      </c>
      <c r="BJ10" s="11">
        <v>41.085500000000003</v>
      </c>
      <c r="BK10" s="11">
        <v>41.470970000000001</v>
      </c>
      <c r="BL10" s="11">
        <v>41.902000000000001</v>
      </c>
      <c r="BM10" s="11">
        <v>42.296129999999998</v>
      </c>
      <c r="BN10" s="11">
        <v>42.821930000000002</v>
      </c>
      <c r="BO10" s="11">
        <v>43.419350000000001</v>
      </c>
      <c r="BP10" s="11">
        <v>44.057639999999999</v>
      </c>
      <c r="BQ10" s="11">
        <v>44.47437</v>
      </c>
      <c r="BR10" s="11">
        <v>44.994630000000001</v>
      </c>
      <c r="BS10" s="11">
        <v>45.505809999999997</v>
      </c>
      <c r="BT10" s="11">
        <v>46.23854</v>
      </c>
      <c r="BU10" s="11">
        <v>47.012500000000003</v>
      </c>
      <c r="BV10" s="11">
        <v>47.891399999999997</v>
      </c>
      <c r="BW10" s="11">
        <v>48.684229999999999</v>
      </c>
      <c r="BX10" s="11">
        <v>49.740929999999999</v>
      </c>
      <c r="BY10" s="11">
        <v>50.820700000000002</v>
      </c>
      <c r="BZ10" s="11">
        <v>51.63449</v>
      </c>
      <c r="CA10" s="11">
        <v>52.673259999999999</v>
      </c>
      <c r="CB10" s="11">
        <v>53.885460000000002</v>
      </c>
      <c r="CC10" s="11">
        <v>54.572029999999998</v>
      </c>
      <c r="CD10" s="11">
        <v>55.194969999999998</v>
      </c>
      <c r="CE10" s="11">
        <v>55.830660000000002</v>
      </c>
      <c r="CF10" s="11">
        <v>56.101179999999999</v>
      </c>
      <c r="CG10" s="11">
        <v>56.413730000000001</v>
      </c>
      <c r="CH10" s="11">
        <v>56.871429999999997</v>
      </c>
      <c r="CI10" s="11">
        <v>57.520229999999998</v>
      </c>
      <c r="CJ10" s="11">
        <v>57.92465</v>
      </c>
      <c r="CK10" s="11">
        <v>58.235169999999997</v>
      </c>
      <c r="CL10" s="11">
        <v>58.644260000000003</v>
      </c>
      <c r="CM10" s="11">
        <v>58.658009999999997</v>
      </c>
      <c r="CN10" s="11">
        <v>58.931699999999999</v>
      </c>
      <c r="CO10" s="11">
        <v>59.150840000000002</v>
      </c>
      <c r="CP10" s="11">
        <v>59.541040000000002</v>
      </c>
      <c r="CQ10" s="11">
        <v>59.871699999999997</v>
      </c>
      <c r="CR10" s="11">
        <v>60.466740000000001</v>
      </c>
      <c r="CS10" s="11">
        <v>61.436</v>
      </c>
      <c r="CT10" s="11">
        <v>61.456009999999999</v>
      </c>
      <c r="CU10" s="11">
        <v>62.042369999999998</v>
      </c>
      <c r="CV10" s="11">
        <v>62.74926</v>
      </c>
      <c r="CW10" s="11">
        <v>63.249040000000001</v>
      </c>
      <c r="CX10" s="11">
        <v>63.442030000000003</v>
      </c>
      <c r="CY10" s="11">
        <v>63.580829999999999</v>
      </c>
      <c r="CZ10" s="11">
        <v>64.262900000000002</v>
      </c>
      <c r="DA10" s="11">
        <v>64.613010000000003</v>
      </c>
      <c r="DB10" s="11">
        <v>64.192869999999999</v>
      </c>
      <c r="DC10" s="11">
        <v>64.509810000000002</v>
      </c>
      <c r="DD10" s="11">
        <v>64.882829999999998</v>
      </c>
      <c r="DE10" s="11">
        <v>65.287790000000001</v>
      </c>
      <c r="DF10" s="11">
        <v>65.436549999999997</v>
      </c>
      <c r="DG10" s="11">
        <v>65.678430000000006</v>
      </c>
      <c r="DH10" s="11">
        <v>65.559520000000006</v>
      </c>
      <c r="DI10" s="11">
        <v>65.181330000000003</v>
      </c>
      <c r="DJ10" s="11">
        <v>65.406419999999997</v>
      </c>
      <c r="DK10" s="11">
        <v>65.636089999999996</v>
      </c>
      <c r="DL10" s="11">
        <v>65.484520000000003</v>
      </c>
      <c r="DM10" s="11">
        <v>65.551580000000001</v>
      </c>
      <c r="DN10" s="11">
        <v>65.450339999999997</v>
      </c>
      <c r="DO10" s="11">
        <v>66.186490000000006</v>
      </c>
      <c r="DP10" s="11">
        <v>66.201899999999995</v>
      </c>
      <c r="DQ10" s="11">
        <v>66.264560000000003</v>
      </c>
      <c r="DR10" s="11">
        <v>65.423580000000001</v>
      </c>
      <c r="DS10" s="11">
        <v>66.208780000000004</v>
      </c>
      <c r="DT10" s="11">
        <v>66.32405</v>
      </c>
      <c r="DU10" s="11">
        <v>66.400880000000001</v>
      </c>
      <c r="DV10" s="11">
        <v>66.814509999999999</v>
      </c>
      <c r="DW10" s="11">
        <v>66.957589999999996</v>
      </c>
      <c r="DX10" s="11">
        <v>66.95881</v>
      </c>
      <c r="DY10" s="11">
        <v>67.432900000000004</v>
      </c>
      <c r="DZ10" s="11">
        <v>67.700289999999995</v>
      </c>
      <c r="EA10" s="11">
        <v>67.947680000000005</v>
      </c>
      <c r="EB10" s="11">
        <v>68.298940000000002</v>
      </c>
      <c r="EC10" s="11">
        <v>68.639510000000001</v>
      </c>
      <c r="ED10" s="11">
        <v>69.152760000000001</v>
      </c>
      <c r="EE10" s="11">
        <v>69.367230000000006</v>
      </c>
      <c r="EF10" s="11">
        <v>69.342179999999999</v>
      </c>
      <c r="EG10" s="11">
        <v>69.850290000000001</v>
      </c>
      <c r="EH10" s="11">
        <v>70.488200000000006</v>
      </c>
      <c r="EI10" s="11">
        <v>70.940950000000001</v>
      </c>
      <c r="EJ10" s="11">
        <v>71.759450000000001</v>
      </c>
      <c r="EK10" s="11">
        <v>72.252660000000006</v>
      </c>
      <c r="EL10" s="11">
        <v>72.382469999999998</v>
      </c>
      <c r="EM10" s="11">
        <v>71.805189999999996</v>
      </c>
      <c r="EN10" s="11">
        <v>72.88503</v>
      </c>
      <c r="EO10" s="11">
        <v>73.206900000000005</v>
      </c>
      <c r="EP10" s="11">
        <v>73.403729999999996</v>
      </c>
      <c r="EQ10" s="11">
        <v>74.486329999999995</v>
      </c>
      <c r="ER10" s="11">
        <v>75.595219999999998</v>
      </c>
      <c r="ES10" s="11">
        <v>76.739900000000006</v>
      </c>
      <c r="ET10" s="11">
        <v>76.126390000000001</v>
      </c>
      <c r="EU10" s="11">
        <v>76.341520000000003</v>
      </c>
      <c r="EV10" s="11">
        <v>76.476780000000005</v>
      </c>
      <c r="EW10" s="11">
        <v>76.458629999999999</v>
      </c>
      <c r="EX10" s="11">
        <v>76.089389999999995</v>
      </c>
      <c r="EY10" s="11">
        <v>76.08305</v>
      </c>
      <c r="EZ10" s="11">
        <v>76.802760000000006</v>
      </c>
      <c r="FA10" s="11">
        <v>77.31653</v>
      </c>
      <c r="FB10" s="11">
        <v>77.98997</v>
      </c>
      <c r="FC10" s="11">
        <v>79.4221</v>
      </c>
      <c r="FD10" s="11">
        <v>79.756460000000004</v>
      </c>
      <c r="FE10" s="11">
        <v>80.362750000000005</v>
      </c>
      <c r="FF10" s="11">
        <v>80.965869999999995</v>
      </c>
      <c r="FG10" s="11">
        <v>81.013279999999995</v>
      </c>
      <c r="FH10" s="11">
        <v>81.476389999999995</v>
      </c>
      <c r="FI10" s="11">
        <v>81.39188</v>
      </c>
      <c r="FJ10" s="11">
        <v>81.973290000000006</v>
      </c>
      <c r="FK10" s="11">
        <v>82.801770000000005</v>
      </c>
      <c r="FL10" s="11">
        <v>83.297870000000003</v>
      </c>
      <c r="FM10" s="11">
        <v>83.487459999999999</v>
      </c>
      <c r="FN10" s="11">
        <v>83.510570000000001</v>
      </c>
      <c r="FO10" s="11">
        <v>83.915139999999994</v>
      </c>
      <c r="FP10" s="11">
        <v>84.584509999999995</v>
      </c>
      <c r="FQ10" s="11">
        <v>84.351870000000005</v>
      </c>
      <c r="FR10" s="11">
        <v>84.100880000000004</v>
      </c>
      <c r="FS10" s="11">
        <v>83.648219999999995</v>
      </c>
      <c r="FT10" s="11">
        <v>83.837639999999993</v>
      </c>
      <c r="FU10" s="11">
        <v>84.055049999999994</v>
      </c>
      <c r="FV10" s="11">
        <v>84.16037</v>
      </c>
      <c r="FW10" s="11">
        <v>84.271649999999994</v>
      </c>
      <c r="FX10" s="11">
        <v>84.642039999999994</v>
      </c>
      <c r="FY10" s="11">
        <v>85.312160000000006</v>
      </c>
      <c r="FZ10" s="11">
        <v>85.729079999999996</v>
      </c>
      <c r="GA10" s="11">
        <v>85.749889999999994</v>
      </c>
      <c r="GB10" s="11">
        <v>86.408259999999999</v>
      </c>
      <c r="GC10" s="11">
        <v>86.781720000000007</v>
      </c>
      <c r="GD10" s="11">
        <v>87.314229999999995</v>
      </c>
      <c r="GE10" s="11">
        <v>87.805499999999995</v>
      </c>
      <c r="GF10" s="11">
        <v>88.070499999999996</v>
      </c>
      <c r="GG10" s="11">
        <v>88.574029999999993</v>
      </c>
      <c r="GH10" s="11">
        <v>89.073130000000006</v>
      </c>
      <c r="GI10" s="11">
        <v>89.182159999999996</v>
      </c>
      <c r="GJ10" s="11">
        <v>89.604060000000004</v>
      </c>
      <c r="GK10" s="11">
        <v>89.94605</v>
      </c>
      <c r="GL10" s="11">
        <v>90.039550000000006</v>
      </c>
      <c r="GM10" s="11">
        <v>89.551130000000001</v>
      </c>
      <c r="GN10" s="11">
        <v>89.435910000000007</v>
      </c>
      <c r="GO10" s="11">
        <v>89.978999999999999</v>
      </c>
      <c r="GP10" s="11">
        <v>90.053640000000001</v>
      </c>
      <c r="GQ10" s="11">
        <v>90.55059</v>
      </c>
      <c r="GR10" s="11">
        <v>91.062539999999998</v>
      </c>
      <c r="GS10" s="11">
        <v>92.470209999999994</v>
      </c>
      <c r="GT10" s="11">
        <v>94.510490000000004</v>
      </c>
      <c r="GU10" s="11">
        <v>96.103399999999993</v>
      </c>
      <c r="GV10" s="11">
        <v>99.406379999999999</v>
      </c>
      <c r="GW10" s="11">
        <v>100.8755</v>
      </c>
      <c r="GX10" s="11">
        <v>103.52200000000001</v>
      </c>
      <c r="GY10" s="11">
        <v>105.8083</v>
      </c>
      <c r="GZ10" s="11">
        <v>106.80110000000001</v>
      </c>
      <c r="HA10" s="11">
        <v>107.2646</v>
      </c>
      <c r="HB10" s="11">
        <v>107.5997</v>
      </c>
      <c r="HC10" s="11">
        <v>108.70010000000001</v>
      </c>
      <c r="HD10" s="11">
        <v>109.34010000000001</v>
      </c>
      <c r="HE10" s="11">
        <v>109.72150000000001</v>
      </c>
      <c r="HF10" s="12">
        <v>110.5993</v>
      </c>
      <c r="HG10" s="12">
        <v>111.4288</v>
      </c>
      <c r="HH10" s="12">
        <v>112.2645</v>
      </c>
      <c r="HI10" s="12">
        <v>113.05029999999999</v>
      </c>
      <c r="HJ10" s="12">
        <v>113.7569</v>
      </c>
      <c r="HK10" s="12">
        <v>114.3826</v>
      </c>
      <c r="HL10" s="12">
        <v>115.0117</v>
      </c>
      <c r="HM10" s="12">
        <v>115.6155</v>
      </c>
      <c r="HN10" s="12">
        <v>116.1936</v>
      </c>
      <c r="HO10" s="12">
        <v>116.7745</v>
      </c>
      <c r="HP10" s="12">
        <v>117.3818</v>
      </c>
      <c r="HQ10" s="12">
        <v>118.01560000000001</v>
      </c>
      <c r="HR10" s="12">
        <v>118.6529</v>
      </c>
      <c r="HS10" s="12">
        <v>119.2936</v>
      </c>
      <c r="HT10" s="12">
        <v>119.9378</v>
      </c>
      <c r="HU10" s="12">
        <v>120.5735</v>
      </c>
      <c r="HV10" s="12">
        <v>121.20050000000001</v>
      </c>
      <c r="HW10" s="12">
        <v>121.83069999999999</v>
      </c>
      <c r="HX10" s="12">
        <v>122.452</v>
      </c>
      <c r="HY10" s="12">
        <v>123.0643</v>
      </c>
      <c r="HZ10" s="12">
        <v>123.67959999999999</v>
      </c>
      <c r="IA10" s="12">
        <v>124.2933</v>
      </c>
      <c r="IB10" s="12">
        <v>124.9101</v>
      </c>
      <c r="IC10" s="12">
        <v>125.5299</v>
      </c>
      <c r="ID10" s="12">
        <v>126.1527</v>
      </c>
      <c r="IE10" s="12">
        <v>126.7787</v>
      </c>
      <c r="IF10" s="12">
        <v>127.40779999999999</v>
      </c>
      <c r="IG10" s="12">
        <v>128.04</v>
      </c>
      <c r="IH10" s="12">
        <v>128.67529999999999</v>
      </c>
      <c r="II10" s="12">
        <v>129.31379999999999</v>
      </c>
      <c r="IJ10" s="12">
        <v>129.9555</v>
      </c>
      <c r="IK10" s="12">
        <v>130.6003</v>
      </c>
      <c r="IL10" s="12">
        <v>131.2483</v>
      </c>
      <c r="IM10" s="12">
        <v>131.89959999999999</v>
      </c>
      <c r="IN10" s="12">
        <v>132.55410000000001</v>
      </c>
      <c r="IO10" s="12">
        <v>133.21180000000001</v>
      </c>
      <c r="IP10" s="12">
        <v>133.87280000000001</v>
      </c>
      <c r="IQ10" s="12">
        <v>134.53710000000001</v>
      </c>
      <c r="IR10" s="12">
        <v>135.2047</v>
      </c>
      <c r="IS10" s="12">
        <v>135.87549999999999</v>
      </c>
      <c r="IT10" s="12">
        <v>136.5498</v>
      </c>
      <c r="IU10" s="12">
        <v>137.22730000000001</v>
      </c>
      <c r="IV10" s="12">
        <v>137.90819999999999</v>
      </c>
      <c r="IW10" s="12">
        <v>138.5925</v>
      </c>
      <c r="IX10" s="12">
        <v>139.28020000000001</v>
      </c>
      <c r="IY10" s="12">
        <v>139.97130000000001</v>
      </c>
      <c r="IZ10" s="12">
        <v>140.66589999999999</v>
      </c>
      <c r="JA10" s="12">
        <v>141.3639</v>
      </c>
      <c r="JB10" s="12">
        <v>142.06530000000001</v>
      </c>
      <c r="JC10" s="12">
        <v>142.77019999999999</v>
      </c>
      <c r="JD10" s="12">
        <v>143.4787</v>
      </c>
      <c r="JE10" s="12">
        <v>144.19059999999999</v>
      </c>
      <c r="JF10" s="12">
        <v>144.90610000000001</v>
      </c>
      <c r="JG10" s="12">
        <v>145.6251</v>
      </c>
      <c r="JH10" s="12">
        <v>146.3477</v>
      </c>
      <c r="JI10" s="12">
        <v>147.07390000000001</v>
      </c>
      <c r="JJ10" s="12">
        <v>147.80369999999999</v>
      </c>
      <c r="JK10" s="12">
        <v>148.53710000000001</v>
      </c>
      <c r="JL10" s="12">
        <v>149.2741</v>
      </c>
      <c r="JM10" s="12">
        <v>150.01480000000001</v>
      </c>
      <c r="JN10" s="12">
        <v>150.75919999999999</v>
      </c>
      <c r="JO10" s="12">
        <v>151.50720000000001</v>
      </c>
      <c r="JP10" s="12">
        <v>152.25899999999999</v>
      </c>
      <c r="JQ10" s="12">
        <v>153.0145</v>
      </c>
      <c r="JR10" s="12">
        <v>153.77379999999999</v>
      </c>
      <c r="JS10" s="12">
        <v>154.5368</v>
      </c>
      <c r="JT10" s="12">
        <v>155.30359999999999</v>
      </c>
      <c r="JU10" s="12">
        <v>156.07419999999999</v>
      </c>
      <c r="JV10" s="12">
        <v>156.84870000000001</v>
      </c>
      <c r="JW10" s="12">
        <v>157.62700000000001</v>
      </c>
      <c r="JX10" s="12">
        <v>158.4091</v>
      </c>
      <c r="JY10" s="12">
        <v>159.1951</v>
      </c>
      <c r="JZ10" s="12">
        <v>159.98509999999999</v>
      </c>
      <c r="KA10" s="12">
        <v>160.77889999999999</v>
      </c>
      <c r="KB10" s="12">
        <v>161.57669999999999</v>
      </c>
      <c r="KC10" s="12">
        <v>162.3784</v>
      </c>
      <c r="KD10" s="12">
        <v>163.1842</v>
      </c>
      <c r="KE10" s="12">
        <v>163.9939</v>
      </c>
      <c r="KF10" s="12">
        <v>164.80760000000001</v>
      </c>
      <c r="KG10" s="12">
        <v>165.62540000000001</v>
      </c>
      <c r="KH10" s="12">
        <v>166.44720000000001</v>
      </c>
      <c r="KI10" s="12">
        <v>167.2731</v>
      </c>
      <c r="KJ10" s="12">
        <v>168.10310000000001</v>
      </c>
      <c r="KK10" s="12">
        <v>168.93729999999999</v>
      </c>
      <c r="KL10" s="12">
        <v>169.77549999999999</v>
      </c>
      <c r="KM10" s="12">
        <v>170.61799999999999</v>
      </c>
      <c r="KN10" s="12">
        <v>171.46459999999999</v>
      </c>
      <c r="KO10" s="12">
        <v>172.31540000000001</v>
      </c>
      <c r="KP10" s="12">
        <v>173.1704</v>
      </c>
      <c r="KQ10" s="12">
        <v>174.02969999999999</v>
      </c>
      <c r="KR10" s="12">
        <v>174.89320000000001</v>
      </c>
      <c r="KS10" s="12">
        <v>175.761</v>
      </c>
      <c r="KT10" s="12">
        <v>176.63319999999999</v>
      </c>
      <c r="KU10" s="12">
        <v>177.50960000000001</v>
      </c>
      <c r="KV10" s="12">
        <v>178.3904</v>
      </c>
      <c r="KW10" s="12">
        <v>179.2756</v>
      </c>
      <c r="KX10" s="12">
        <v>180.1652</v>
      </c>
      <c r="KY10" s="12">
        <v>181.0591</v>
      </c>
      <c r="KZ10" s="12">
        <v>181.95760000000001</v>
      </c>
      <c r="LA10" s="12">
        <v>182.8604</v>
      </c>
      <c r="LB10" s="12">
        <v>183.76779999999999</v>
      </c>
      <c r="LC10" s="12">
        <v>184.67959999999999</v>
      </c>
      <c r="LD10" s="12">
        <v>185.596</v>
      </c>
      <c r="LE10" s="12">
        <v>186.51689999999999</v>
      </c>
      <c r="LF10" s="12">
        <v>187.44239999999999</v>
      </c>
      <c r="LG10" s="12">
        <v>188.3725</v>
      </c>
      <c r="LH10" s="12">
        <v>189.30719999999999</v>
      </c>
      <c r="LI10" s="12">
        <v>190.2466</v>
      </c>
      <c r="LJ10" s="12">
        <v>191.19059999999999</v>
      </c>
      <c r="LK10" s="12">
        <v>192.13929999999999</v>
      </c>
      <c r="LL10" s="12">
        <v>193.09270000000001</v>
      </c>
      <c r="LM10" s="12">
        <v>194.05080000000001</v>
      </c>
      <c r="LN10" s="12">
        <v>195.0137</v>
      </c>
      <c r="LO10" s="12">
        <v>195.9813</v>
      </c>
      <c r="LP10" s="12">
        <v>196.9538</v>
      </c>
      <c r="LQ10" s="12">
        <v>197.93109999999999</v>
      </c>
      <c r="LR10" s="12">
        <v>198.91319999999999</v>
      </c>
      <c r="LS10" s="12">
        <v>199.90020000000001</v>
      </c>
      <c r="LT10" s="12">
        <v>200.8921</v>
      </c>
      <c r="LU10" s="12">
        <v>201.88890000000001</v>
      </c>
      <c r="LV10" s="12">
        <v>202.89070000000001</v>
      </c>
      <c r="LW10" s="12">
        <v>203.89750000000001</v>
      </c>
      <c r="LX10" s="12">
        <v>204.9092</v>
      </c>
      <c r="LY10" s="12">
        <v>205.92599999999999</v>
      </c>
      <c r="LZ10" s="12">
        <v>206.9478</v>
      </c>
      <c r="MA10" s="12">
        <v>207.97460000000001</v>
      </c>
      <c r="MB10" s="12">
        <v>209.00659999999999</v>
      </c>
      <c r="MC10" s="12">
        <v>210.0437</v>
      </c>
      <c r="MD10" s="12">
        <v>211.08590000000001</v>
      </c>
      <c r="ME10" s="12">
        <v>212.13329999999999</v>
      </c>
      <c r="MF10" s="12">
        <v>213.1859</v>
      </c>
      <c r="MG10" s="12">
        <v>214.24379999999999</v>
      </c>
      <c r="MH10" s="12">
        <v>215.30690000000001</v>
      </c>
      <c r="MI10" s="12">
        <v>216.37520000000001</v>
      </c>
      <c r="MJ10" s="12">
        <v>217.44890000000001</v>
      </c>
      <c r="MK10" s="12">
        <v>218.52780000000001</v>
      </c>
      <c r="ML10" s="12">
        <v>219.6122</v>
      </c>
      <c r="MM10" s="12">
        <v>220.70189999999999</v>
      </c>
      <c r="MN10" s="12">
        <v>221.797</v>
      </c>
      <c r="MO10" s="12">
        <v>222.89760000000001</v>
      </c>
      <c r="MP10" s="12">
        <v>224.00360000000001</v>
      </c>
      <c r="MQ10" s="12">
        <v>225.11510000000001</v>
      </c>
      <c r="MR10" s="12">
        <v>226.2321</v>
      </c>
      <c r="MS10" s="12">
        <v>227.35470000000001</v>
      </c>
      <c r="MT10" s="12">
        <v>228.4828</v>
      </c>
      <c r="MU10" t="s">
        <v>1205</v>
      </c>
      <c r="MV10" t="b">
        <v>1</v>
      </c>
      <c r="MW10" t="s">
        <v>1196</v>
      </c>
      <c r="MX10">
        <v>2022</v>
      </c>
      <c r="MY10">
        <v>2024</v>
      </c>
      <c r="MZ10">
        <v>3</v>
      </c>
      <c r="NA10" t="s">
        <v>1196</v>
      </c>
      <c r="NB10" s="1" t="s">
        <v>1241</v>
      </c>
      <c r="NC10" t="s">
        <v>1196</v>
      </c>
      <c r="ND10" t="s">
        <v>1200</v>
      </c>
      <c r="NE10" t="s">
        <v>1242</v>
      </c>
      <c r="NF10" s="1" t="s">
        <v>1434</v>
      </c>
    </row>
    <row r="11" spans="1:370" x14ac:dyDescent="0.25">
      <c r="A11" t="s">
        <v>1193</v>
      </c>
      <c r="B11" s="1" t="s">
        <v>1435</v>
      </c>
      <c r="C11" s="1" t="s">
        <v>1433</v>
      </c>
      <c r="D11" t="s">
        <v>1436</v>
      </c>
      <c r="E11" t="s">
        <v>1437</v>
      </c>
      <c r="F11" t="s">
        <v>1197</v>
      </c>
      <c r="G11" s="11">
        <v>24903</v>
      </c>
      <c r="H11" s="11">
        <v>24986</v>
      </c>
      <c r="I11" s="11">
        <v>24972</v>
      </c>
      <c r="J11" s="11">
        <v>24999</v>
      </c>
      <c r="K11" s="11">
        <v>24984</v>
      </c>
      <c r="L11" s="11">
        <v>25002</v>
      </c>
      <c r="M11" s="11">
        <v>25066</v>
      </c>
      <c r="N11" s="11">
        <v>25065</v>
      </c>
      <c r="O11" s="11">
        <v>24996</v>
      </c>
      <c r="P11" s="11">
        <v>24955</v>
      </c>
      <c r="Q11" s="11">
        <v>24918</v>
      </c>
      <c r="R11" s="11">
        <v>24864</v>
      </c>
      <c r="S11" s="11">
        <v>24809</v>
      </c>
      <c r="T11" s="11">
        <v>24779</v>
      </c>
      <c r="U11" s="11">
        <v>24768</v>
      </c>
      <c r="V11" s="11">
        <v>24788</v>
      </c>
      <c r="W11" s="11">
        <v>24803</v>
      </c>
      <c r="X11" s="11">
        <v>24802</v>
      </c>
      <c r="Y11" s="11">
        <v>24809</v>
      </c>
      <c r="Z11" s="11">
        <v>24822</v>
      </c>
      <c r="AA11" s="11">
        <v>24862</v>
      </c>
      <c r="AB11" s="11">
        <v>24897</v>
      </c>
      <c r="AC11" s="11">
        <v>24941</v>
      </c>
      <c r="AD11" s="11">
        <v>25059</v>
      </c>
      <c r="AE11" s="11">
        <v>25113</v>
      </c>
      <c r="AF11" s="11">
        <v>25159</v>
      </c>
      <c r="AG11" s="11">
        <v>25229</v>
      </c>
      <c r="AH11" s="11">
        <v>25280</v>
      </c>
      <c r="AI11" s="11">
        <v>25250</v>
      </c>
      <c r="AJ11" s="11">
        <v>25190</v>
      </c>
      <c r="AK11" s="11">
        <v>25050</v>
      </c>
      <c r="AL11" s="11">
        <v>24855</v>
      </c>
      <c r="AM11" s="11">
        <v>24661</v>
      </c>
      <c r="AN11" s="11">
        <v>24495</v>
      </c>
      <c r="AO11" s="11">
        <v>24355</v>
      </c>
      <c r="AP11" s="11">
        <v>24209</v>
      </c>
      <c r="AQ11" s="11">
        <v>24120</v>
      </c>
      <c r="AR11" s="11">
        <v>24027</v>
      </c>
      <c r="AS11" s="11">
        <v>23901</v>
      </c>
      <c r="AT11" s="11">
        <v>23755</v>
      </c>
      <c r="AU11" s="11">
        <v>23651</v>
      </c>
      <c r="AV11" s="11">
        <v>23647</v>
      </c>
      <c r="AW11" s="11">
        <v>23809</v>
      </c>
      <c r="AX11" s="11">
        <v>23994</v>
      </c>
      <c r="AY11" s="11">
        <v>24125</v>
      </c>
      <c r="AZ11" s="11">
        <v>24245</v>
      </c>
      <c r="BA11" s="11">
        <v>24335</v>
      </c>
      <c r="BB11" s="11">
        <v>24435</v>
      </c>
      <c r="BC11" s="11">
        <v>24515</v>
      </c>
      <c r="BD11" s="11">
        <v>24570</v>
      </c>
      <c r="BE11" s="11">
        <v>24625</v>
      </c>
      <c r="BF11" s="11">
        <v>24660</v>
      </c>
      <c r="BG11" s="11">
        <v>24670</v>
      </c>
      <c r="BH11" s="11">
        <v>24695</v>
      </c>
      <c r="BI11" s="11">
        <v>24770</v>
      </c>
      <c r="BJ11" s="11">
        <v>24850</v>
      </c>
      <c r="BK11" s="11">
        <v>24925</v>
      </c>
      <c r="BL11" s="11">
        <v>25110</v>
      </c>
      <c r="BM11" s="11">
        <v>25345</v>
      </c>
      <c r="BN11" s="11">
        <v>25575</v>
      </c>
      <c r="BO11" s="11">
        <v>25795</v>
      </c>
      <c r="BP11" s="11">
        <v>25970</v>
      </c>
      <c r="BQ11" s="11">
        <v>26160</v>
      </c>
      <c r="BR11" s="11">
        <v>26355</v>
      </c>
      <c r="BS11" s="11">
        <v>26590</v>
      </c>
      <c r="BT11" s="11">
        <v>26730</v>
      </c>
      <c r="BU11" s="11">
        <v>26795</v>
      </c>
      <c r="BV11" s="11">
        <v>26880</v>
      </c>
      <c r="BW11" s="11">
        <v>26900</v>
      </c>
      <c r="BX11" s="11">
        <v>26935</v>
      </c>
      <c r="BY11" s="11">
        <v>26900</v>
      </c>
      <c r="BZ11" s="11">
        <v>26750</v>
      </c>
      <c r="CA11" s="11">
        <v>26530</v>
      </c>
      <c r="CB11" s="11">
        <v>26275</v>
      </c>
      <c r="CC11" s="11">
        <v>26025</v>
      </c>
      <c r="CD11" s="11">
        <v>25820</v>
      </c>
      <c r="CE11" s="11">
        <v>25710</v>
      </c>
      <c r="CF11" s="11">
        <v>25605</v>
      </c>
      <c r="CG11" s="11">
        <v>25509</v>
      </c>
      <c r="CH11" s="11">
        <v>25336</v>
      </c>
      <c r="CI11" s="11">
        <v>25282</v>
      </c>
      <c r="CJ11" s="11">
        <v>25293</v>
      </c>
      <c r="CK11" s="11">
        <v>25316</v>
      </c>
      <c r="CL11" s="11">
        <v>25320</v>
      </c>
      <c r="CM11" s="11">
        <v>25408</v>
      </c>
      <c r="CN11" s="11">
        <v>25451</v>
      </c>
      <c r="CO11" s="11">
        <v>25559</v>
      </c>
      <c r="CP11" s="11">
        <v>25600</v>
      </c>
      <c r="CQ11" s="11">
        <v>25670</v>
      </c>
      <c r="CR11" s="11">
        <v>25770</v>
      </c>
      <c r="CS11" s="11">
        <v>25852</v>
      </c>
      <c r="CT11" s="11">
        <v>25982</v>
      </c>
      <c r="CU11" s="11">
        <v>25970</v>
      </c>
      <c r="CV11" s="11">
        <v>26009</v>
      </c>
      <c r="CW11" s="11">
        <v>26062</v>
      </c>
      <c r="CX11" s="11">
        <v>26198</v>
      </c>
      <c r="CY11" s="11">
        <v>26381</v>
      </c>
      <c r="CZ11" s="11">
        <v>26514</v>
      </c>
      <c r="DA11" s="11">
        <v>26572</v>
      </c>
      <c r="DB11" s="11">
        <v>26636</v>
      </c>
      <c r="DC11" s="11">
        <v>26677</v>
      </c>
      <c r="DD11" s="11">
        <v>26714</v>
      </c>
      <c r="DE11" s="11">
        <v>26834</v>
      </c>
      <c r="DF11" s="11">
        <v>26955</v>
      </c>
      <c r="DG11" s="11">
        <v>27036</v>
      </c>
      <c r="DH11" s="11">
        <v>27095</v>
      </c>
      <c r="DI11" s="11">
        <v>27218</v>
      </c>
      <c r="DJ11" s="11">
        <v>27322</v>
      </c>
      <c r="DK11" s="11">
        <v>27362</v>
      </c>
      <c r="DL11" s="11">
        <v>27468</v>
      </c>
      <c r="DM11" s="11">
        <v>27555</v>
      </c>
      <c r="DN11" s="11">
        <v>27549</v>
      </c>
      <c r="DO11" s="11">
        <v>27623</v>
      </c>
      <c r="DP11" s="11">
        <v>27707</v>
      </c>
      <c r="DQ11" s="11">
        <v>27715</v>
      </c>
      <c r="DR11" s="11">
        <v>27803</v>
      </c>
      <c r="DS11" s="11">
        <v>27797</v>
      </c>
      <c r="DT11" s="11">
        <v>27933</v>
      </c>
      <c r="DU11" s="11">
        <v>27935</v>
      </c>
      <c r="DV11" s="11">
        <v>28110</v>
      </c>
      <c r="DW11" s="11">
        <v>28099</v>
      </c>
      <c r="DX11" s="11">
        <v>28226</v>
      </c>
      <c r="DY11" s="11">
        <v>28256</v>
      </c>
      <c r="DZ11" s="11">
        <v>28304</v>
      </c>
      <c r="EA11" s="11">
        <v>28459</v>
      </c>
      <c r="EB11" s="11">
        <v>28470</v>
      </c>
      <c r="EC11" s="11">
        <v>28518</v>
      </c>
      <c r="ED11" s="11">
        <v>28673</v>
      </c>
      <c r="EE11" s="11">
        <v>28789</v>
      </c>
      <c r="EF11" s="11">
        <v>28802</v>
      </c>
      <c r="EG11" s="11">
        <v>28928</v>
      </c>
      <c r="EH11" s="11">
        <v>28880</v>
      </c>
      <c r="EI11" s="11">
        <v>29048</v>
      </c>
      <c r="EJ11" s="11">
        <v>29106</v>
      </c>
      <c r="EK11" s="11">
        <v>29183</v>
      </c>
      <c r="EL11" s="11">
        <v>29214</v>
      </c>
      <c r="EM11" s="11">
        <v>29194</v>
      </c>
      <c r="EN11" s="11">
        <v>29322</v>
      </c>
      <c r="EO11" s="11">
        <v>29420</v>
      </c>
      <c r="EP11" s="11">
        <v>29576</v>
      </c>
      <c r="EQ11" s="11">
        <v>29684</v>
      </c>
      <c r="ER11" s="11">
        <v>29722</v>
      </c>
      <c r="ES11" s="11">
        <v>29580</v>
      </c>
      <c r="ET11" s="11">
        <v>29528</v>
      </c>
      <c r="EU11" s="11">
        <v>29366</v>
      </c>
      <c r="EV11" s="11">
        <v>29087</v>
      </c>
      <c r="EW11" s="11">
        <v>29069</v>
      </c>
      <c r="EX11" s="11">
        <v>29102</v>
      </c>
      <c r="EY11" s="11">
        <v>29013</v>
      </c>
      <c r="EZ11" s="11">
        <v>29192</v>
      </c>
      <c r="FA11" s="11">
        <v>29385</v>
      </c>
      <c r="FB11" s="11">
        <v>29324</v>
      </c>
      <c r="FC11" s="11">
        <v>29441</v>
      </c>
      <c r="FD11" s="11">
        <v>29447</v>
      </c>
      <c r="FE11" s="11">
        <v>29284</v>
      </c>
      <c r="FF11" s="11">
        <v>29352</v>
      </c>
      <c r="FG11" s="11">
        <v>29470</v>
      </c>
      <c r="FH11" s="11">
        <v>29689</v>
      </c>
      <c r="FI11" s="11">
        <v>29788</v>
      </c>
      <c r="FJ11" s="11">
        <v>29945</v>
      </c>
      <c r="FK11" s="11">
        <v>29884</v>
      </c>
      <c r="FL11" s="11">
        <v>29990</v>
      </c>
      <c r="FM11" s="11">
        <v>30163</v>
      </c>
      <c r="FN11" s="11">
        <v>30350</v>
      </c>
      <c r="FO11" s="11">
        <v>30595</v>
      </c>
      <c r="FP11" s="11">
        <v>30771</v>
      </c>
      <c r="FQ11" s="11">
        <v>30899</v>
      </c>
      <c r="FR11" s="11">
        <v>31008</v>
      </c>
      <c r="FS11" s="11">
        <v>31218</v>
      </c>
      <c r="FT11" s="11">
        <v>31170</v>
      </c>
      <c r="FU11" s="11">
        <v>31393</v>
      </c>
      <c r="FV11" s="11">
        <v>31602</v>
      </c>
      <c r="FW11" s="11">
        <v>31636</v>
      </c>
      <c r="FX11" s="11">
        <v>31813</v>
      </c>
      <c r="FY11" s="11">
        <v>31878</v>
      </c>
      <c r="FZ11" s="11">
        <v>31914</v>
      </c>
      <c r="GA11" s="11">
        <v>32017</v>
      </c>
      <c r="GB11" s="11">
        <v>32138</v>
      </c>
      <c r="GC11" s="11">
        <v>32134</v>
      </c>
      <c r="GD11" s="11">
        <v>32222</v>
      </c>
      <c r="GE11" s="11">
        <v>32410</v>
      </c>
      <c r="GF11" s="11">
        <v>32451</v>
      </c>
      <c r="GG11" s="11">
        <v>32497</v>
      </c>
      <c r="GH11" s="11">
        <v>32669</v>
      </c>
      <c r="GI11" s="11">
        <v>32773</v>
      </c>
      <c r="GJ11" s="11">
        <v>32965</v>
      </c>
      <c r="GK11" s="11">
        <v>32894</v>
      </c>
      <c r="GL11" s="11">
        <v>33055</v>
      </c>
      <c r="GM11" s="11">
        <v>32972</v>
      </c>
      <c r="GN11" s="11">
        <v>32636</v>
      </c>
      <c r="GO11" s="11">
        <v>32352</v>
      </c>
      <c r="GP11" s="11">
        <v>32266</v>
      </c>
      <c r="GQ11" s="11">
        <v>32308</v>
      </c>
      <c r="GR11" s="11">
        <v>32454</v>
      </c>
      <c r="GS11" s="11">
        <v>32712</v>
      </c>
      <c r="GT11" s="11">
        <v>32729</v>
      </c>
      <c r="GU11" s="11">
        <v>32784</v>
      </c>
      <c r="GV11" s="11">
        <v>33007</v>
      </c>
      <c r="GW11" s="11">
        <v>32904</v>
      </c>
      <c r="GX11" s="11">
        <v>33114</v>
      </c>
      <c r="GY11" s="11">
        <v>33320</v>
      </c>
      <c r="GZ11" s="11">
        <v>33356</v>
      </c>
      <c r="HA11" s="11">
        <v>33326</v>
      </c>
      <c r="HB11" s="11">
        <v>33377</v>
      </c>
      <c r="HC11" s="11">
        <v>33331</v>
      </c>
      <c r="HD11" s="11">
        <v>33496</v>
      </c>
      <c r="HE11" s="11">
        <v>33749</v>
      </c>
      <c r="HF11" s="12">
        <v>33689.699999999997</v>
      </c>
      <c r="HG11" s="12">
        <v>33755.65</v>
      </c>
      <c r="HH11" s="12">
        <v>33816.06</v>
      </c>
      <c r="HI11" s="12">
        <v>33889.22</v>
      </c>
      <c r="HJ11" s="12">
        <v>33984.720000000001</v>
      </c>
      <c r="HK11" s="12">
        <v>34088.379999999997</v>
      </c>
      <c r="HL11" s="12">
        <v>34178.769999999997</v>
      </c>
      <c r="HM11" s="12">
        <v>34277.89</v>
      </c>
      <c r="HN11" s="12">
        <v>34378.99</v>
      </c>
      <c r="HO11" s="12">
        <v>34482.129999999997</v>
      </c>
      <c r="HP11" s="12">
        <v>34590.07</v>
      </c>
      <c r="HQ11" s="12">
        <v>34696.61</v>
      </c>
      <c r="HR11" s="12">
        <v>34798.26</v>
      </c>
      <c r="HS11" s="12">
        <v>34895.699999999997</v>
      </c>
      <c r="HT11" s="12">
        <v>34995.15</v>
      </c>
      <c r="HU11" s="12">
        <v>35091.39</v>
      </c>
      <c r="HV11" s="12">
        <v>35186.129999999997</v>
      </c>
      <c r="HW11" s="12">
        <v>35274.31</v>
      </c>
      <c r="HX11" s="12">
        <v>35353.68</v>
      </c>
      <c r="HY11" s="12">
        <v>35431.46</v>
      </c>
      <c r="HZ11" s="12">
        <v>35512.949999999997</v>
      </c>
      <c r="IA11" s="12">
        <v>35594.629999999997</v>
      </c>
      <c r="IB11" s="12">
        <v>35676.5</v>
      </c>
      <c r="IC11" s="12">
        <v>35754.980000000003</v>
      </c>
      <c r="ID11" s="12">
        <v>35833.64</v>
      </c>
      <c r="IE11" s="12">
        <v>35912.480000000003</v>
      </c>
      <c r="IF11" s="12">
        <v>35991.49</v>
      </c>
      <c r="IG11" s="12">
        <v>36068.870000000003</v>
      </c>
      <c r="IH11" s="12">
        <v>36144.61</v>
      </c>
      <c r="II11" s="12">
        <v>36220.519999999997</v>
      </c>
      <c r="IJ11" s="12">
        <v>36292.959999999999</v>
      </c>
      <c r="IK11" s="12">
        <v>36365.54</v>
      </c>
      <c r="IL11" s="12">
        <v>36431</v>
      </c>
      <c r="IM11" s="12">
        <v>36499.050000000003</v>
      </c>
      <c r="IN11" s="12">
        <v>36561.89</v>
      </c>
      <c r="IO11" s="12">
        <v>36621.75</v>
      </c>
      <c r="IP11" s="12">
        <v>36674.67</v>
      </c>
      <c r="IQ11" s="12">
        <v>36731.25</v>
      </c>
      <c r="IR11" s="12">
        <v>36780.1</v>
      </c>
      <c r="IS11" s="12">
        <v>36823.19</v>
      </c>
      <c r="IT11" s="12">
        <v>36862.800000000003</v>
      </c>
      <c r="IU11" s="12">
        <v>36904.339999999997</v>
      </c>
      <c r="IV11" s="12">
        <v>36945.879999999997</v>
      </c>
      <c r="IW11" s="12">
        <v>36987.410000000003</v>
      </c>
      <c r="IX11" s="12">
        <v>37028.949999999997</v>
      </c>
      <c r="IY11" s="12">
        <v>37070.480000000003</v>
      </c>
      <c r="IZ11" s="12">
        <v>37112.019999999997</v>
      </c>
      <c r="JA11" s="12">
        <v>37153.56</v>
      </c>
      <c r="JB11" s="12">
        <v>37195.1</v>
      </c>
      <c r="JC11" s="12">
        <v>37236.629999999997</v>
      </c>
      <c r="JD11" s="12">
        <v>37278.17</v>
      </c>
      <c r="JE11" s="12">
        <v>37319.71</v>
      </c>
      <c r="JF11" s="12">
        <v>37361.25</v>
      </c>
      <c r="JG11" s="12">
        <v>37402.78</v>
      </c>
      <c r="JH11" s="12">
        <v>37444.32</v>
      </c>
      <c r="JI11" s="12">
        <v>37485.86</v>
      </c>
      <c r="JJ11" s="12">
        <v>37527.39</v>
      </c>
      <c r="JK11" s="12">
        <v>37568.93</v>
      </c>
      <c r="JL11" s="12">
        <v>37610.47</v>
      </c>
      <c r="JM11" s="12">
        <v>37652</v>
      </c>
      <c r="JN11" s="12">
        <v>37693.54</v>
      </c>
      <c r="JO11" s="12">
        <v>37735.08</v>
      </c>
      <c r="JP11" s="12">
        <v>37776.620000000003</v>
      </c>
      <c r="JQ11" s="12">
        <v>37818.15</v>
      </c>
      <c r="JR11" s="12">
        <v>37859.69</v>
      </c>
      <c r="JS11" s="12">
        <v>37894.5</v>
      </c>
      <c r="JT11" s="12">
        <v>37929.300000000003</v>
      </c>
      <c r="JU11" s="12">
        <v>37964.1</v>
      </c>
      <c r="JV11" s="12">
        <v>37998.910000000003</v>
      </c>
      <c r="JW11" s="12">
        <v>38033.71</v>
      </c>
      <c r="JX11" s="12">
        <v>38068.51</v>
      </c>
      <c r="JY11" s="12">
        <v>38103.31</v>
      </c>
      <c r="JZ11" s="12">
        <v>38138.120000000003</v>
      </c>
      <c r="KA11" s="12">
        <v>38172.92</v>
      </c>
      <c r="KB11" s="12">
        <v>38207.72</v>
      </c>
      <c r="KC11" s="12">
        <v>38242.53</v>
      </c>
      <c r="KD11" s="12">
        <v>38277.33</v>
      </c>
      <c r="KE11" s="12">
        <v>38312.129999999997</v>
      </c>
      <c r="KF11" s="12">
        <v>38346.94</v>
      </c>
      <c r="KG11" s="12">
        <v>38381.74</v>
      </c>
      <c r="KH11" s="12">
        <v>38416.54</v>
      </c>
      <c r="KI11" s="12">
        <v>38451.35</v>
      </c>
      <c r="KJ11" s="12">
        <v>38486.15</v>
      </c>
      <c r="KK11" s="12">
        <v>38520.949999999997</v>
      </c>
      <c r="KL11" s="12">
        <v>38555.760000000002</v>
      </c>
      <c r="KM11" s="12">
        <v>38590.559999999998</v>
      </c>
      <c r="KN11" s="12">
        <v>38625.360000000001</v>
      </c>
      <c r="KO11" s="12">
        <v>38660.17</v>
      </c>
      <c r="KP11" s="12">
        <v>38694.97</v>
      </c>
      <c r="KQ11" s="12">
        <v>38729.769999999997</v>
      </c>
      <c r="KR11" s="12">
        <v>38764.58</v>
      </c>
      <c r="KS11" s="12">
        <v>38799.379999999997</v>
      </c>
      <c r="KT11" s="12">
        <v>38834.18</v>
      </c>
      <c r="KU11" s="12">
        <v>38868.99</v>
      </c>
      <c r="KV11" s="12">
        <v>38903.79</v>
      </c>
      <c r="KW11" s="12">
        <v>38938.589999999997</v>
      </c>
      <c r="KX11" s="12">
        <v>38973.4</v>
      </c>
      <c r="KY11" s="12">
        <v>39008.199999999997</v>
      </c>
      <c r="KZ11" s="12">
        <v>39043</v>
      </c>
      <c r="LA11" s="12">
        <v>39077.81</v>
      </c>
      <c r="LB11" s="12">
        <v>39112.61</v>
      </c>
      <c r="LC11" s="12">
        <v>39147.410000000003</v>
      </c>
      <c r="LD11" s="12">
        <v>39182.22</v>
      </c>
      <c r="LE11" s="12">
        <v>39217.019999999997</v>
      </c>
      <c r="LF11" s="12">
        <v>39251.82</v>
      </c>
      <c r="LG11" s="12">
        <v>39272.080000000002</v>
      </c>
      <c r="LH11" s="12">
        <v>39292.339999999997</v>
      </c>
      <c r="LI11" s="12">
        <v>39310.14</v>
      </c>
      <c r="LJ11" s="12">
        <v>39327.93</v>
      </c>
      <c r="LK11" s="12">
        <v>39345.730000000003</v>
      </c>
      <c r="LL11" s="12">
        <v>39363.519999999997</v>
      </c>
      <c r="LM11" s="12">
        <v>39377.050000000003</v>
      </c>
      <c r="LN11" s="12">
        <v>39390.589999999997</v>
      </c>
      <c r="LO11" s="12">
        <v>39404.120000000003</v>
      </c>
      <c r="LP11" s="12">
        <v>39417.65</v>
      </c>
      <c r="LQ11" s="12">
        <v>39431.24</v>
      </c>
      <c r="LR11" s="12">
        <v>39444.839999999997</v>
      </c>
      <c r="LS11" s="12">
        <v>39458.43</v>
      </c>
      <c r="LT11" s="12">
        <v>39472.03</v>
      </c>
      <c r="LU11" s="12">
        <v>39483.620000000003</v>
      </c>
      <c r="LV11" s="12">
        <v>39495.21</v>
      </c>
      <c r="LW11" s="12">
        <v>39506.81</v>
      </c>
      <c r="LX11" s="12">
        <v>39518.400000000001</v>
      </c>
      <c r="LY11" s="12">
        <v>39528.400000000001</v>
      </c>
      <c r="LZ11" s="12">
        <v>39538.410000000003</v>
      </c>
      <c r="MA11" s="12">
        <v>39548.410000000003</v>
      </c>
      <c r="MB11" s="12">
        <v>39558.410000000003</v>
      </c>
      <c r="MC11" s="12">
        <v>39568.5</v>
      </c>
      <c r="MD11" s="12">
        <v>39578.58</v>
      </c>
      <c r="ME11" s="12">
        <v>39588.660000000003</v>
      </c>
      <c r="MF11" s="12">
        <v>39598.75</v>
      </c>
      <c r="MG11" s="12">
        <v>39610.83</v>
      </c>
      <c r="MH11" s="12">
        <v>39622.910000000003</v>
      </c>
      <c r="MI11" s="12">
        <v>39635</v>
      </c>
      <c r="MJ11" s="12">
        <v>39647.08</v>
      </c>
      <c r="MK11" s="12">
        <v>39658.6</v>
      </c>
      <c r="ML11" s="12">
        <v>39670.11</v>
      </c>
      <c r="MM11" s="12">
        <v>39681.629999999997</v>
      </c>
      <c r="MN11" s="12">
        <v>39693.14</v>
      </c>
      <c r="MO11" s="12">
        <v>39706.71</v>
      </c>
      <c r="MP11" s="12">
        <v>39720.29</v>
      </c>
      <c r="MQ11" s="12">
        <v>39733.870000000003</v>
      </c>
      <c r="MR11" s="12">
        <v>39747.449999999997</v>
      </c>
      <c r="MS11" s="12">
        <v>39761.040000000001</v>
      </c>
      <c r="MT11" s="12">
        <v>39774.620000000003</v>
      </c>
      <c r="MU11" t="s">
        <v>1205</v>
      </c>
      <c r="MV11" t="b">
        <v>1</v>
      </c>
      <c r="MW11" t="s">
        <v>1196</v>
      </c>
      <c r="MX11" t="s">
        <v>1196</v>
      </c>
      <c r="MY11">
        <v>2024</v>
      </c>
      <c r="MZ11">
        <v>3</v>
      </c>
      <c r="NA11" t="s">
        <v>1196</v>
      </c>
      <c r="NB11" t="s">
        <v>1307</v>
      </c>
      <c r="NC11" s="1" t="s">
        <v>1438</v>
      </c>
      <c r="ND11" t="s">
        <v>1200</v>
      </c>
      <c r="NE11" t="s">
        <v>1439</v>
      </c>
      <c r="NF11" s="1" t="s">
        <v>1434</v>
      </c>
    </row>
    <row r="12" spans="1:370" x14ac:dyDescent="0.25">
      <c r="A12" t="s">
        <v>1193</v>
      </c>
      <c r="B12" t="s">
        <v>1440</v>
      </c>
      <c r="C12" s="1" t="s">
        <v>1433</v>
      </c>
      <c r="D12" t="s">
        <v>1436</v>
      </c>
      <c r="E12" t="s">
        <v>1437</v>
      </c>
      <c r="F12" t="s">
        <v>1197</v>
      </c>
      <c r="G12" s="11">
        <v>1002</v>
      </c>
      <c r="H12" s="11">
        <v>968</v>
      </c>
      <c r="I12" s="11">
        <v>927</v>
      </c>
      <c r="J12" s="11">
        <v>888</v>
      </c>
      <c r="K12" s="11">
        <v>923</v>
      </c>
      <c r="L12" s="11">
        <v>937</v>
      </c>
      <c r="M12" s="11">
        <v>958</v>
      </c>
      <c r="N12" s="11">
        <v>976</v>
      </c>
      <c r="O12" s="11">
        <v>1029</v>
      </c>
      <c r="P12" s="11">
        <v>1126</v>
      </c>
      <c r="Q12" s="11">
        <v>1221</v>
      </c>
      <c r="R12" s="11">
        <v>1319</v>
      </c>
      <c r="S12" s="11">
        <v>1379</v>
      </c>
      <c r="T12" s="11">
        <v>1413</v>
      </c>
      <c r="U12" s="11">
        <v>1430</v>
      </c>
      <c r="V12" s="11">
        <v>1432</v>
      </c>
      <c r="W12" s="11">
        <v>1436</v>
      </c>
      <c r="X12" s="11">
        <v>1452</v>
      </c>
      <c r="Y12" s="11">
        <v>1493</v>
      </c>
      <c r="Z12" s="11">
        <v>1499</v>
      </c>
      <c r="AA12" s="11">
        <v>1474</v>
      </c>
      <c r="AB12" s="11">
        <v>1463</v>
      </c>
      <c r="AC12" s="11">
        <v>1455</v>
      </c>
      <c r="AD12" s="11">
        <v>1421</v>
      </c>
      <c r="AE12" s="11">
        <v>1420</v>
      </c>
      <c r="AF12" s="11">
        <v>1405</v>
      </c>
      <c r="AG12" s="11">
        <v>1430</v>
      </c>
      <c r="AH12" s="11">
        <v>1471</v>
      </c>
      <c r="AI12" s="11">
        <v>1558</v>
      </c>
      <c r="AJ12" s="11">
        <v>1700</v>
      </c>
      <c r="AK12" s="11">
        <v>1905</v>
      </c>
      <c r="AL12" s="11">
        <v>2169</v>
      </c>
      <c r="AM12" s="11">
        <v>2403</v>
      </c>
      <c r="AN12" s="11">
        <v>2588</v>
      </c>
      <c r="AO12" s="11">
        <v>2684</v>
      </c>
      <c r="AP12" s="11">
        <v>2761</v>
      </c>
      <c r="AQ12" s="11">
        <v>2803</v>
      </c>
      <c r="AR12" s="11">
        <v>2841</v>
      </c>
      <c r="AS12" s="11">
        <v>2897</v>
      </c>
      <c r="AT12" s="11">
        <v>2960</v>
      </c>
      <c r="AU12" s="11">
        <v>2998</v>
      </c>
      <c r="AV12" s="11">
        <v>3049</v>
      </c>
      <c r="AW12" s="11">
        <v>3109</v>
      </c>
      <c r="AX12" s="11">
        <v>3167</v>
      </c>
      <c r="AY12" s="11">
        <v>3243</v>
      </c>
      <c r="AZ12" s="11">
        <v>3265</v>
      </c>
      <c r="BA12" s="11">
        <v>3238</v>
      </c>
      <c r="BB12" s="11">
        <v>3217</v>
      </c>
      <c r="BC12" s="11">
        <v>3180</v>
      </c>
      <c r="BD12" s="11">
        <v>3152</v>
      </c>
      <c r="BE12" s="11">
        <v>3137</v>
      </c>
      <c r="BF12" s="11">
        <v>3135</v>
      </c>
      <c r="BG12" s="11">
        <v>3150</v>
      </c>
      <c r="BH12" s="11">
        <v>3159</v>
      </c>
      <c r="BI12" s="11">
        <v>3177</v>
      </c>
      <c r="BJ12" s="11">
        <v>3156</v>
      </c>
      <c r="BK12" s="11">
        <v>3113</v>
      </c>
      <c r="BL12" s="11">
        <v>3021</v>
      </c>
      <c r="BM12" s="11">
        <v>2885</v>
      </c>
      <c r="BN12" s="11">
        <v>2741</v>
      </c>
      <c r="BO12" s="11">
        <v>2613</v>
      </c>
      <c r="BP12" s="11">
        <v>2490</v>
      </c>
      <c r="BQ12" s="11">
        <v>2385</v>
      </c>
      <c r="BR12" s="11">
        <v>2293</v>
      </c>
      <c r="BS12" s="11">
        <v>2179</v>
      </c>
      <c r="BT12" s="11">
        <v>2083</v>
      </c>
      <c r="BU12" s="11">
        <v>2045</v>
      </c>
      <c r="BV12" s="11">
        <v>2021</v>
      </c>
      <c r="BW12" s="11">
        <v>2004</v>
      </c>
      <c r="BX12" s="11">
        <v>2002</v>
      </c>
      <c r="BY12" s="11">
        <v>2049</v>
      </c>
      <c r="BZ12" s="11">
        <v>2158</v>
      </c>
      <c r="CA12" s="11">
        <v>2306</v>
      </c>
      <c r="CB12" s="11">
        <v>2492</v>
      </c>
      <c r="CC12" s="11">
        <v>2624</v>
      </c>
      <c r="CD12" s="11">
        <v>2697</v>
      </c>
      <c r="CE12" s="11">
        <v>2762</v>
      </c>
      <c r="CF12" s="11">
        <v>2777</v>
      </c>
      <c r="CG12" s="11">
        <v>2815</v>
      </c>
      <c r="CH12" s="11">
        <v>2932</v>
      </c>
      <c r="CI12" s="11">
        <v>3004</v>
      </c>
      <c r="CJ12" s="11">
        <v>2931</v>
      </c>
      <c r="CK12" s="11">
        <v>2890</v>
      </c>
      <c r="CL12" s="11">
        <v>2892</v>
      </c>
      <c r="CM12" s="11">
        <v>2806</v>
      </c>
      <c r="CN12" s="11">
        <v>2736</v>
      </c>
      <c r="CO12" s="11">
        <v>2639</v>
      </c>
      <c r="CP12" s="11">
        <v>2521</v>
      </c>
      <c r="CQ12" s="11">
        <v>2497</v>
      </c>
      <c r="CR12" s="11">
        <v>2445</v>
      </c>
      <c r="CS12" s="11">
        <v>2447</v>
      </c>
      <c r="CT12" s="11">
        <v>2353</v>
      </c>
      <c r="CU12" s="11">
        <v>2330</v>
      </c>
      <c r="CV12" s="11">
        <v>2340</v>
      </c>
      <c r="CW12" s="11">
        <v>2285</v>
      </c>
      <c r="CX12" s="11">
        <v>2229</v>
      </c>
      <c r="CY12" s="11">
        <v>2085</v>
      </c>
      <c r="CZ12" s="11">
        <v>2051</v>
      </c>
      <c r="DA12" s="11">
        <v>1951</v>
      </c>
      <c r="DB12" s="11">
        <v>1864</v>
      </c>
      <c r="DC12" s="11">
        <v>1813</v>
      </c>
      <c r="DD12" s="11">
        <v>1791</v>
      </c>
      <c r="DE12" s="11">
        <v>1786</v>
      </c>
      <c r="DF12" s="11">
        <v>1764</v>
      </c>
      <c r="DG12" s="11">
        <v>1780</v>
      </c>
      <c r="DH12" s="11">
        <v>1743</v>
      </c>
      <c r="DI12" s="11">
        <v>1702</v>
      </c>
      <c r="DJ12" s="11">
        <v>1684</v>
      </c>
      <c r="DK12" s="11">
        <v>1682</v>
      </c>
      <c r="DL12" s="11">
        <v>1599</v>
      </c>
      <c r="DM12" s="11">
        <v>1548</v>
      </c>
      <c r="DN12" s="11">
        <v>1520</v>
      </c>
      <c r="DO12" s="11">
        <v>1481</v>
      </c>
      <c r="DP12" s="11">
        <v>1468</v>
      </c>
      <c r="DQ12" s="11">
        <v>1487</v>
      </c>
      <c r="DR12" s="11">
        <v>1520</v>
      </c>
      <c r="DS12" s="11">
        <v>1515</v>
      </c>
      <c r="DT12" s="11">
        <v>1520</v>
      </c>
      <c r="DU12" s="11">
        <v>1566</v>
      </c>
      <c r="DV12" s="11">
        <v>1516</v>
      </c>
      <c r="DW12" s="11">
        <v>1531</v>
      </c>
      <c r="DX12" s="11">
        <v>1467</v>
      </c>
      <c r="DY12" s="11">
        <v>1502</v>
      </c>
      <c r="DZ12" s="11">
        <v>1457</v>
      </c>
      <c r="EA12" s="11">
        <v>1434</v>
      </c>
      <c r="EB12" s="11">
        <v>1437</v>
      </c>
      <c r="EC12" s="11">
        <v>1401</v>
      </c>
      <c r="ED12" s="11">
        <v>1423</v>
      </c>
      <c r="EE12" s="11">
        <v>1416</v>
      </c>
      <c r="EF12" s="11">
        <v>1437</v>
      </c>
      <c r="EG12" s="11">
        <v>1437</v>
      </c>
      <c r="EH12" s="11">
        <v>1567</v>
      </c>
      <c r="EI12" s="11">
        <v>1604</v>
      </c>
      <c r="EJ12" s="11">
        <v>1685</v>
      </c>
      <c r="EK12" s="11">
        <v>1693</v>
      </c>
      <c r="EL12" s="11">
        <v>1701</v>
      </c>
      <c r="EM12" s="11">
        <v>1704</v>
      </c>
      <c r="EN12" s="11">
        <v>1658</v>
      </c>
      <c r="EO12" s="11">
        <v>1650</v>
      </c>
      <c r="EP12" s="11">
        <v>1608</v>
      </c>
      <c r="EQ12" s="11">
        <v>1622</v>
      </c>
      <c r="ER12" s="11">
        <v>1680</v>
      </c>
      <c r="ES12" s="11">
        <v>1840</v>
      </c>
      <c r="ET12" s="11">
        <v>2003</v>
      </c>
      <c r="EU12" s="11">
        <v>2235</v>
      </c>
      <c r="EV12" s="11">
        <v>2448</v>
      </c>
      <c r="EW12" s="11">
        <v>2475</v>
      </c>
      <c r="EX12" s="11">
        <v>2453</v>
      </c>
      <c r="EY12" s="11">
        <v>2526</v>
      </c>
      <c r="EZ12" s="11">
        <v>2488</v>
      </c>
      <c r="FA12" s="11">
        <v>2470</v>
      </c>
      <c r="FB12" s="11">
        <v>2503</v>
      </c>
      <c r="FC12" s="11">
        <v>2483</v>
      </c>
      <c r="FD12" s="11">
        <v>2540</v>
      </c>
      <c r="FE12" s="11">
        <v>2661</v>
      </c>
      <c r="FF12" s="11">
        <v>2688</v>
      </c>
      <c r="FG12" s="11">
        <v>2633</v>
      </c>
      <c r="FH12" s="11">
        <v>2575</v>
      </c>
      <c r="FI12" s="11">
        <v>2537</v>
      </c>
      <c r="FJ12" s="11">
        <v>2534</v>
      </c>
      <c r="FK12" s="11">
        <v>2540</v>
      </c>
      <c r="FL12" s="11">
        <v>2515</v>
      </c>
      <c r="FM12" s="11">
        <v>2483</v>
      </c>
      <c r="FN12" s="11">
        <v>2358</v>
      </c>
      <c r="FO12" s="11">
        <v>2212</v>
      </c>
      <c r="FP12" s="11">
        <v>2061</v>
      </c>
      <c r="FQ12" s="11">
        <v>1962</v>
      </c>
      <c r="FR12" s="11">
        <v>1870</v>
      </c>
      <c r="FS12" s="11">
        <v>1826</v>
      </c>
      <c r="FT12" s="11">
        <v>1848</v>
      </c>
      <c r="FU12" s="11">
        <v>1760</v>
      </c>
      <c r="FV12" s="11">
        <v>1688</v>
      </c>
      <c r="FW12" s="11">
        <v>1688</v>
      </c>
      <c r="FX12" s="11">
        <v>1645</v>
      </c>
      <c r="FY12" s="11">
        <v>1619</v>
      </c>
      <c r="FZ12" s="11">
        <v>1587</v>
      </c>
      <c r="GA12" s="11">
        <v>1530</v>
      </c>
      <c r="GB12" s="11">
        <v>1488</v>
      </c>
      <c r="GC12" s="11">
        <v>1432</v>
      </c>
      <c r="GD12" s="11">
        <v>1467</v>
      </c>
      <c r="GE12" s="11">
        <v>1422</v>
      </c>
      <c r="GF12" s="11">
        <v>1367</v>
      </c>
      <c r="GG12" s="11">
        <v>1382</v>
      </c>
      <c r="GH12" s="11">
        <v>1369</v>
      </c>
      <c r="GI12" s="11">
        <v>1304</v>
      </c>
      <c r="GJ12" s="11">
        <v>1331</v>
      </c>
      <c r="GK12" s="11">
        <v>1326</v>
      </c>
      <c r="GL12" s="11">
        <v>1285</v>
      </c>
      <c r="GM12" s="11">
        <v>1411</v>
      </c>
      <c r="GN12" s="11">
        <v>1388</v>
      </c>
      <c r="GO12" s="11">
        <v>1691</v>
      </c>
      <c r="GP12" s="11">
        <v>1794</v>
      </c>
      <c r="GQ12" s="11">
        <v>1667</v>
      </c>
      <c r="GR12" s="11">
        <v>1588</v>
      </c>
      <c r="GS12" s="11">
        <v>1500</v>
      </c>
      <c r="GT12" s="11">
        <v>1430</v>
      </c>
      <c r="GU12" s="11">
        <v>1290</v>
      </c>
      <c r="GV12" s="11">
        <v>1296</v>
      </c>
      <c r="GW12" s="11">
        <v>1278</v>
      </c>
      <c r="GX12" s="11">
        <v>1355</v>
      </c>
      <c r="GY12" s="11">
        <v>1386</v>
      </c>
      <c r="GZ12" s="11">
        <v>1470</v>
      </c>
      <c r="HA12" s="11">
        <v>1430</v>
      </c>
      <c r="HB12" s="11">
        <v>1344</v>
      </c>
      <c r="HC12" s="11">
        <v>1510</v>
      </c>
      <c r="HD12" s="11">
        <v>1465</v>
      </c>
      <c r="HE12" s="11">
        <v>1509</v>
      </c>
      <c r="HF12" s="12">
        <v>1547.3710000000001</v>
      </c>
      <c r="HG12" s="12">
        <v>1550.3910000000001</v>
      </c>
      <c r="HH12" s="12">
        <v>1553.172</v>
      </c>
      <c r="HI12" s="12">
        <v>1552.992</v>
      </c>
      <c r="HJ12" s="12">
        <v>1550.2809999999999</v>
      </c>
      <c r="HK12" s="12">
        <v>1544.3520000000001</v>
      </c>
      <c r="HL12" s="12">
        <v>1537.75</v>
      </c>
      <c r="HM12" s="12">
        <v>1531.5</v>
      </c>
      <c r="HN12" s="12">
        <v>1525.2729999999999</v>
      </c>
      <c r="HO12" s="12">
        <v>1519.0820000000001</v>
      </c>
      <c r="HP12" s="12">
        <v>1511.961</v>
      </c>
      <c r="HQ12" s="12">
        <v>1504.6990000000001</v>
      </c>
      <c r="HR12" s="12">
        <v>1497.16</v>
      </c>
      <c r="HS12" s="12">
        <v>1490.461</v>
      </c>
      <c r="HT12" s="12">
        <v>1483.8009999999999</v>
      </c>
      <c r="HU12" s="12">
        <v>1476.93</v>
      </c>
      <c r="HV12" s="12">
        <v>1471.7809999999999</v>
      </c>
      <c r="HW12" s="12">
        <v>1469.75</v>
      </c>
      <c r="HX12" s="12">
        <v>1473.0509999999999</v>
      </c>
      <c r="HY12" s="12">
        <v>1476.289</v>
      </c>
      <c r="HZ12" s="12">
        <v>1479.691</v>
      </c>
      <c r="IA12" s="12">
        <v>1483.09</v>
      </c>
      <c r="IB12" s="12">
        <v>1486.5</v>
      </c>
      <c r="IC12" s="12">
        <v>1489.7809999999999</v>
      </c>
      <c r="ID12" s="12">
        <v>1493.059</v>
      </c>
      <c r="IE12" s="12">
        <v>1496.34</v>
      </c>
      <c r="IF12" s="12">
        <v>1499.633</v>
      </c>
      <c r="IG12" s="12">
        <v>1502.848</v>
      </c>
      <c r="IH12" s="12">
        <v>1506.0119999999999</v>
      </c>
      <c r="II12" s="12">
        <v>1509.172</v>
      </c>
      <c r="IJ12" s="12">
        <v>1512.1880000000001</v>
      </c>
      <c r="IK12" s="12">
        <v>1515.223</v>
      </c>
      <c r="IL12" s="12">
        <v>1517.9490000000001</v>
      </c>
      <c r="IM12" s="12">
        <v>1520.777</v>
      </c>
      <c r="IN12" s="12">
        <v>1523.3979999999999</v>
      </c>
      <c r="IO12" s="12">
        <v>1525.8910000000001</v>
      </c>
      <c r="IP12" s="12">
        <v>1528.098</v>
      </c>
      <c r="IQ12" s="12">
        <v>1530.461</v>
      </c>
      <c r="IR12" s="12">
        <v>1532.4880000000001</v>
      </c>
      <c r="IS12" s="12">
        <v>1534.277</v>
      </c>
      <c r="IT12" s="12">
        <v>1535.9490000000001</v>
      </c>
      <c r="IU12" s="12">
        <v>1537.68</v>
      </c>
      <c r="IV12" s="12">
        <v>1539.41</v>
      </c>
      <c r="IW12" s="12">
        <v>1541.1410000000001</v>
      </c>
      <c r="IX12" s="12">
        <v>1542.8710000000001</v>
      </c>
      <c r="IY12" s="12">
        <v>1544.6089999999999</v>
      </c>
      <c r="IZ12" s="12">
        <v>1546.34</v>
      </c>
      <c r="JA12" s="12">
        <v>1548.07</v>
      </c>
      <c r="JB12" s="12">
        <v>1549.789</v>
      </c>
      <c r="JC12" s="12">
        <v>1551.5309999999999</v>
      </c>
      <c r="JD12" s="12">
        <v>1553.258</v>
      </c>
      <c r="JE12" s="12">
        <v>1554.9880000000001</v>
      </c>
      <c r="JF12" s="12">
        <v>1556.711</v>
      </c>
      <c r="JG12" s="12">
        <v>1558.4490000000001</v>
      </c>
      <c r="JH12" s="12">
        <v>1560.18</v>
      </c>
      <c r="JI12" s="12">
        <v>1561.91</v>
      </c>
      <c r="JJ12" s="12">
        <v>1563.6479999999999</v>
      </c>
      <c r="JK12" s="12">
        <v>1565.3710000000001</v>
      </c>
      <c r="JL12" s="12">
        <v>1567.1020000000001</v>
      </c>
      <c r="JM12" s="12">
        <v>1568.84</v>
      </c>
      <c r="JN12" s="12">
        <v>1570.57</v>
      </c>
      <c r="JO12" s="12">
        <v>1572.3009999999999</v>
      </c>
      <c r="JP12" s="12">
        <v>1574.02</v>
      </c>
      <c r="JQ12" s="12">
        <v>1575.7619999999999</v>
      </c>
      <c r="JR12" s="12">
        <v>1577.4880000000001</v>
      </c>
      <c r="JS12" s="12">
        <v>1578.93</v>
      </c>
      <c r="JT12" s="12">
        <v>1580.3789999999999</v>
      </c>
      <c r="JU12" s="12">
        <v>1581.84</v>
      </c>
      <c r="JV12" s="12">
        <v>1583.2809999999999</v>
      </c>
      <c r="JW12" s="12">
        <v>1584.7380000000001</v>
      </c>
      <c r="JX12" s="12">
        <v>1586.1880000000001</v>
      </c>
      <c r="JY12" s="12">
        <v>1587.6410000000001</v>
      </c>
      <c r="JZ12" s="12">
        <v>1589.09</v>
      </c>
      <c r="KA12" s="12">
        <v>1590.539</v>
      </c>
      <c r="KB12" s="12">
        <v>1591.992</v>
      </c>
      <c r="KC12" s="12">
        <v>1593.43</v>
      </c>
      <c r="KD12" s="12">
        <v>1594.8910000000001</v>
      </c>
      <c r="KE12" s="12">
        <v>1596.34</v>
      </c>
      <c r="KF12" s="12">
        <v>1597.789</v>
      </c>
      <c r="KG12" s="12">
        <v>1599.242</v>
      </c>
      <c r="KH12" s="12">
        <v>1600.691</v>
      </c>
      <c r="KI12" s="12">
        <v>1602.1369999999999</v>
      </c>
      <c r="KJ12" s="12">
        <v>1603.59</v>
      </c>
      <c r="KK12" s="12">
        <v>1605.039</v>
      </c>
      <c r="KL12" s="12">
        <v>1606.4880000000001</v>
      </c>
      <c r="KM12" s="12">
        <v>1607.941</v>
      </c>
      <c r="KN12" s="12">
        <v>1609.3910000000001</v>
      </c>
      <c r="KO12" s="12">
        <v>1610.84</v>
      </c>
      <c r="KP12" s="12">
        <v>1612.2929999999999</v>
      </c>
      <c r="KQ12" s="12">
        <v>1613.75</v>
      </c>
      <c r="KR12" s="12">
        <v>1615.191</v>
      </c>
      <c r="KS12" s="12">
        <v>1616.6410000000001</v>
      </c>
      <c r="KT12" s="12">
        <v>1618.09</v>
      </c>
      <c r="KU12" s="12">
        <v>1619.5429999999999</v>
      </c>
      <c r="KV12" s="12">
        <v>1620.992</v>
      </c>
      <c r="KW12" s="12">
        <v>1622.4490000000001</v>
      </c>
      <c r="KX12" s="12">
        <v>1623.8910000000001</v>
      </c>
      <c r="KY12" s="12">
        <v>1625.34</v>
      </c>
      <c r="KZ12" s="12">
        <v>1626.8009999999999</v>
      </c>
      <c r="LA12" s="12">
        <v>1628.242</v>
      </c>
      <c r="LB12" s="12">
        <v>1629.691</v>
      </c>
      <c r="LC12" s="12">
        <v>1631.1410000000001</v>
      </c>
      <c r="LD12" s="12">
        <v>1632.59</v>
      </c>
      <c r="LE12" s="12">
        <v>1634.039</v>
      </c>
      <c r="LF12" s="12">
        <v>1635.5</v>
      </c>
      <c r="LG12" s="12">
        <v>1636.3440000000001</v>
      </c>
      <c r="LH12" s="12">
        <v>1637.18</v>
      </c>
      <c r="LI12" s="12">
        <v>1637.9179999999999</v>
      </c>
      <c r="LJ12" s="12">
        <v>1638.672</v>
      </c>
      <c r="LK12" s="12">
        <v>1639.3979999999999</v>
      </c>
      <c r="LL12" s="12">
        <v>1640.152</v>
      </c>
      <c r="LM12" s="12">
        <v>1640.7190000000001</v>
      </c>
      <c r="LN12" s="12">
        <v>1641.27</v>
      </c>
      <c r="LO12" s="12">
        <v>1641.84</v>
      </c>
      <c r="LP12" s="12">
        <v>1642.402</v>
      </c>
      <c r="LQ12" s="12">
        <v>1642.973</v>
      </c>
      <c r="LR12" s="12">
        <v>1643.5309999999999</v>
      </c>
      <c r="LS12" s="12">
        <v>1644.1020000000001</v>
      </c>
      <c r="LT12" s="12">
        <v>1644.6679999999999</v>
      </c>
      <c r="LU12" s="12">
        <v>1645.1479999999999</v>
      </c>
      <c r="LV12" s="12">
        <v>1645.6410000000001</v>
      </c>
      <c r="LW12" s="12">
        <v>1646.1210000000001</v>
      </c>
      <c r="LX12" s="12">
        <v>1646.6020000000001</v>
      </c>
      <c r="LY12" s="12">
        <v>1647.0229999999999</v>
      </c>
      <c r="LZ12" s="12">
        <v>1647.43</v>
      </c>
      <c r="MA12" s="12">
        <v>1647.8520000000001</v>
      </c>
      <c r="MB12" s="12">
        <v>1648.27</v>
      </c>
      <c r="MC12" s="12">
        <v>1648.68</v>
      </c>
      <c r="MD12" s="12">
        <v>1649.1130000000001</v>
      </c>
      <c r="ME12" s="12">
        <v>1649.5309999999999</v>
      </c>
      <c r="MF12" s="12">
        <v>1649.9490000000001</v>
      </c>
      <c r="MG12" s="12">
        <v>1650.453</v>
      </c>
      <c r="MH12" s="12">
        <v>1650.961</v>
      </c>
      <c r="MI12" s="12">
        <v>1651.461</v>
      </c>
      <c r="MJ12" s="12">
        <v>1651.973</v>
      </c>
      <c r="MK12" s="12">
        <v>1652.4380000000001</v>
      </c>
      <c r="ML12" s="12">
        <v>1652.922</v>
      </c>
      <c r="MM12" s="12">
        <v>1653.3910000000001</v>
      </c>
      <c r="MN12" s="12">
        <v>1653.8789999999999</v>
      </c>
      <c r="MO12" s="12">
        <v>1654.4490000000001</v>
      </c>
      <c r="MP12" s="12">
        <v>1655.02</v>
      </c>
      <c r="MQ12" s="12">
        <v>1655.578</v>
      </c>
      <c r="MR12" s="12">
        <v>1656.1410000000001</v>
      </c>
      <c r="MS12" s="12">
        <v>1656.6990000000001</v>
      </c>
      <c r="MT12" s="12">
        <v>1657.277</v>
      </c>
      <c r="MU12" t="s">
        <v>1205</v>
      </c>
      <c r="MV12" t="b">
        <v>1</v>
      </c>
      <c r="MW12" t="s">
        <v>1196</v>
      </c>
      <c r="MX12" t="s">
        <v>1196</v>
      </c>
      <c r="MY12">
        <v>2024</v>
      </c>
      <c r="MZ12">
        <v>3</v>
      </c>
      <c r="NA12" t="s">
        <v>1196</v>
      </c>
      <c r="NB12" t="s">
        <v>1268</v>
      </c>
      <c r="NC12" s="1" t="s">
        <v>1441</v>
      </c>
      <c r="ND12" t="s">
        <v>1200</v>
      </c>
      <c r="NE12" t="s">
        <v>1442</v>
      </c>
      <c r="NF12" s="1" t="s">
        <v>1434</v>
      </c>
    </row>
    <row r="13" spans="1:370" x14ac:dyDescent="0.25">
      <c r="A13" t="s">
        <v>1193</v>
      </c>
      <c r="B13" t="s">
        <v>1443</v>
      </c>
      <c r="C13" s="1" t="s">
        <v>1433</v>
      </c>
      <c r="D13" t="s">
        <v>1444</v>
      </c>
      <c r="E13" t="s">
        <v>1196</v>
      </c>
      <c r="F13" t="s">
        <v>1197</v>
      </c>
      <c r="G13" s="11">
        <v>3.9</v>
      </c>
      <c r="H13" s="11">
        <v>3.7</v>
      </c>
      <c r="I13" s="11">
        <v>3.6</v>
      </c>
      <c r="J13" s="11">
        <v>3.4</v>
      </c>
      <c r="K13" s="11">
        <v>3.6</v>
      </c>
      <c r="L13" s="11">
        <v>3.6</v>
      </c>
      <c r="M13" s="11">
        <v>3.7</v>
      </c>
      <c r="N13" s="11">
        <v>3.7</v>
      </c>
      <c r="O13" s="11">
        <v>4</v>
      </c>
      <c r="P13" s="11">
        <v>4.3</v>
      </c>
      <c r="Q13" s="11">
        <v>4.7</v>
      </c>
      <c r="R13" s="11">
        <v>5</v>
      </c>
      <c r="S13" s="11">
        <v>5.3</v>
      </c>
      <c r="T13" s="11">
        <v>5.4</v>
      </c>
      <c r="U13" s="11">
        <v>5.5</v>
      </c>
      <c r="V13" s="11">
        <v>5.5</v>
      </c>
      <c r="W13" s="11">
        <v>5.5</v>
      </c>
      <c r="X13" s="11">
        <v>5.5</v>
      </c>
      <c r="Y13" s="11">
        <v>5.7</v>
      </c>
      <c r="Z13" s="11">
        <v>5.7</v>
      </c>
      <c r="AA13" s="11">
        <v>5.6</v>
      </c>
      <c r="AB13" s="11">
        <v>5.6</v>
      </c>
      <c r="AC13" s="11">
        <v>5.5</v>
      </c>
      <c r="AD13" s="11">
        <v>5.4</v>
      </c>
      <c r="AE13" s="11">
        <v>5.4</v>
      </c>
      <c r="AF13" s="11">
        <v>5.3</v>
      </c>
      <c r="AG13" s="11">
        <v>5.4</v>
      </c>
      <c r="AH13" s="11">
        <v>5.5</v>
      </c>
      <c r="AI13" s="11">
        <v>5.8</v>
      </c>
      <c r="AJ13" s="11">
        <v>6.3</v>
      </c>
      <c r="AK13" s="11">
        <v>7.1</v>
      </c>
      <c r="AL13" s="11">
        <v>8</v>
      </c>
      <c r="AM13" s="11">
        <v>8.9</v>
      </c>
      <c r="AN13" s="11">
        <v>9.6</v>
      </c>
      <c r="AO13" s="11">
        <v>9.9</v>
      </c>
      <c r="AP13" s="11">
        <v>10.199999999999999</v>
      </c>
      <c r="AQ13" s="11">
        <v>10.4</v>
      </c>
      <c r="AR13" s="11">
        <v>10.6</v>
      </c>
      <c r="AS13" s="11">
        <v>10.8</v>
      </c>
      <c r="AT13" s="11">
        <v>11.1</v>
      </c>
      <c r="AU13" s="11">
        <v>11.3</v>
      </c>
      <c r="AV13" s="11">
        <v>11.4</v>
      </c>
      <c r="AW13" s="11">
        <v>11.5</v>
      </c>
      <c r="AX13" s="11">
        <v>11.7</v>
      </c>
      <c r="AY13" s="11">
        <v>11.8</v>
      </c>
      <c r="AZ13" s="11">
        <v>11.9</v>
      </c>
      <c r="BA13" s="11">
        <v>11.7</v>
      </c>
      <c r="BB13" s="11">
        <v>11.6</v>
      </c>
      <c r="BC13" s="11">
        <v>11.5</v>
      </c>
      <c r="BD13" s="11">
        <v>11.4</v>
      </c>
      <c r="BE13" s="11">
        <v>11.3</v>
      </c>
      <c r="BF13" s="11">
        <v>11.3</v>
      </c>
      <c r="BG13" s="11">
        <v>11.3</v>
      </c>
      <c r="BH13" s="11">
        <v>11.3</v>
      </c>
      <c r="BI13" s="11">
        <v>11.4</v>
      </c>
      <c r="BJ13" s="11">
        <v>11.3</v>
      </c>
      <c r="BK13" s="11">
        <v>11.1</v>
      </c>
      <c r="BL13" s="11">
        <v>10.7</v>
      </c>
      <c r="BM13" s="11">
        <v>10.199999999999999</v>
      </c>
      <c r="BN13" s="11">
        <v>9.6999999999999993</v>
      </c>
      <c r="BO13" s="11">
        <v>9.1999999999999993</v>
      </c>
      <c r="BP13" s="11">
        <v>8.6999999999999993</v>
      </c>
      <c r="BQ13" s="11">
        <v>8.4</v>
      </c>
      <c r="BR13" s="11">
        <v>8</v>
      </c>
      <c r="BS13" s="11">
        <v>7.6</v>
      </c>
      <c r="BT13" s="11">
        <v>7.2</v>
      </c>
      <c r="BU13" s="11">
        <v>7.1</v>
      </c>
      <c r="BV13" s="11">
        <v>7</v>
      </c>
      <c r="BW13" s="11">
        <v>6.9</v>
      </c>
      <c r="BX13" s="11">
        <v>6.9</v>
      </c>
      <c r="BY13" s="11">
        <v>7.1</v>
      </c>
      <c r="BZ13" s="11">
        <v>7.5</v>
      </c>
      <c r="CA13" s="11">
        <v>8</v>
      </c>
      <c r="CB13" s="11">
        <v>8.6999999999999993</v>
      </c>
      <c r="CC13" s="11">
        <v>9.1999999999999993</v>
      </c>
      <c r="CD13" s="11">
        <v>9.5</v>
      </c>
      <c r="CE13" s="11">
        <v>9.6999999999999993</v>
      </c>
      <c r="CF13" s="11">
        <v>9.8000000000000007</v>
      </c>
      <c r="CG13" s="11">
        <v>9.9</v>
      </c>
      <c r="CH13" s="11">
        <v>10.4</v>
      </c>
      <c r="CI13" s="11">
        <v>10.6</v>
      </c>
      <c r="CJ13" s="11">
        <v>10.4</v>
      </c>
      <c r="CK13" s="11">
        <v>10.199999999999999</v>
      </c>
      <c r="CL13" s="11">
        <v>10.3</v>
      </c>
      <c r="CM13" s="11">
        <v>9.9</v>
      </c>
      <c r="CN13" s="11">
        <v>9.6999999999999993</v>
      </c>
      <c r="CO13" s="11">
        <v>9.4</v>
      </c>
      <c r="CP13" s="11">
        <v>9</v>
      </c>
      <c r="CQ13" s="11">
        <v>8.9</v>
      </c>
      <c r="CR13" s="11">
        <v>8.6999999999999993</v>
      </c>
      <c r="CS13" s="11">
        <v>8.6</v>
      </c>
      <c r="CT13" s="11">
        <v>8.3000000000000007</v>
      </c>
      <c r="CU13" s="11">
        <v>8.1999999999999993</v>
      </c>
      <c r="CV13" s="11">
        <v>8.3000000000000007</v>
      </c>
      <c r="CW13" s="11">
        <v>8.1</v>
      </c>
      <c r="CX13" s="11">
        <v>7.8</v>
      </c>
      <c r="CY13" s="11">
        <v>7.3</v>
      </c>
      <c r="CZ13" s="11">
        <v>7.2</v>
      </c>
      <c r="DA13" s="11">
        <v>6.8</v>
      </c>
      <c r="DB13" s="11">
        <v>6.5</v>
      </c>
      <c r="DC13" s="11">
        <v>6.4</v>
      </c>
      <c r="DD13" s="11">
        <v>6.3</v>
      </c>
      <c r="DE13" s="11">
        <v>6.2</v>
      </c>
      <c r="DF13" s="11">
        <v>6.1</v>
      </c>
      <c r="DG13" s="11">
        <v>6.2</v>
      </c>
      <c r="DH13" s="11">
        <v>6</v>
      </c>
      <c r="DI13" s="11">
        <v>5.9</v>
      </c>
      <c r="DJ13" s="11">
        <v>5.8</v>
      </c>
      <c r="DK13" s="11">
        <v>5.8</v>
      </c>
      <c r="DL13" s="11">
        <v>5.5</v>
      </c>
      <c r="DM13" s="11">
        <v>5.3</v>
      </c>
      <c r="DN13" s="11">
        <v>5.2</v>
      </c>
      <c r="DO13" s="11">
        <v>5.0999999999999996</v>
      </c>
      <c r="DP13" s="11">
        <v>5</v>
      </c>
      <c r="DQ13" s="11">
        <v>5.0999999999999996</v>
      </c>
      <c r="DR13" s="11">
        <v>5.2</v>
      </c>
      <c r="DS13" s="11">
        <v>5.2</v>
      </c>
      <c r="DT13" s="11">
        <v>5.2</v>
      </c>
      <c r="DU13" s="11">
        <v>5.3</v>
      </c>
      <c r="DV13" s="11">
        <v>5.0999999999999996</v>
      </c>
      <c r="DW13" s="11">
        <v>5.2</v>
      </c>
      <c r="DX13" s="11">
        <v>4.9000000000000004</v>
      </c>
      <c r="DY13" s="11">
        <v>5</v>
      </c>
      <c r="DZ13" s="11">
        <v>4.9000000000000004</v>
      </c>
      <c r="EA13" s="11">
        <v>4.8</v>
      </c>
      <c r="EB13" s="11">
        <v>4.8</v>
      </c>
      <c r="EC13" s="11">
        <v>4.7</v>
      </c>
      <c r="ED13" s="11">
        <v>4.7</v>
      </c>
      <c r="EE13" s="11">
        <v>4.7</v>
      </c>
      <c r="EF13" s="11">
        <v>4.8</v>
      </c>
      <c r="EG13" s="11">
        <v>4.7</v>
      </c>
      <c r="EH13" s="11">
        <v>5.0999999999999996</v>
      </c>
      <c r="EI13" s="11">
        <v>5.2</v>
      </c>
      <c r="EJ13" s="11">
        <v>5.5</v>
      </c>
      <c r="EK13" s="11">
        <v>5.5</v>
      </c>
      <c r="EL13" s="11">
        <v>5.5</v>
      </c>
      <c r="EM13" s="11">
        <v>5.5</v>
      </c>
      <c r="EN13" s="11">
        <v>5.4</v>
      </c>
      <c r="EO13" s="11">
        <v>5.3</v>
      </c>
      <c r="EP13" s="11">
        <v>5.2</v>
      </c>
      <c r="EQ13" s="11">
        <v>5.2</v>
      </c>
      <c r="ER13" s="11">
        <v>5.4</v>
      </c>
      <c r="ES13" s="11">
        <v>5.9</v>
      </c>
      <c r="ET13" s="11">
        <v>6.4</v>
      </c>
      <c r="EU13" s="11">
        <v>7.1</v>
      </c>
      <c r="EV13" s="11">
        <v>7.8</v>
      </c>
      <c r="EW13" s="11">
        <v>7.8</v>
      </c>
      <c r="EX13" s="11">
        <v>7.8</v>
      </c>
      <c r="EY13" s="11">
        <v>8</v>
      </c>
      <c r="EZ13" s="11">
        <v>7.9</v>
      </c>
      <c r="FA13" s="11">
        <v>7.8</v>
      </c>
      <c r="FB13" s="11">
        <v>7.9</v>
      </c>
      <c r="FC13" s="11">
        <v>7.8</v>
      </c>
      <c r="FD13" s="11">
        <v>7.9</v>
      </c>
      <c r="FE13" s="11">
        <v>8.3000000000000007</v>
      </c>
      <c r="FF13" s="11">
        <v>8.4</v>
      </c>
      <c r="FG13" s="11">
        <v>8.1999999999999993</v>
      </c>
      <c r="FH13" s="11">
        <v>8</v>
      </c>
      <c r="FI13" s="11">
        <v>7.8</v>
      </c>
      <c r="FJ13" s="11">
        <v>7.8</v>
      </c>
      <c r="FK13" s="11">
        <v>7.8</v>
      </c>
      <c r="FL13" s="11">
        <v>7.7</v>
      </c>
      <c r="FM13" s="11">
        <v>7.6</v>
      </c>
      <c r="FN13" s="11">
        <v>7.2</v>
      </c>
      <c r="FO13" s="11">
        <v>6.7</v>
      </c>
      <c r="FP13" s="11">
        <v>6.3</v>
      </c>
      <c r="FQ13" s="11">
        <v>6</v>
      </c>
      <c r="FR13" s="11">
        <v>5.7</v>
      </c>
      <c r="FS13" s="11">
        <v>5.5</v>
      </c>
      <c r="FT13" s="11">
        <v>5.6</v>
      </c>
      <c r="FU13" s="11">
        <v>5.3</v>
      </c>
      <c r="FV13" s="11">
        <v>5.0999999999999996</v>
      </c>
      <c r="FW13" s="11">
        <v>5.0999999999999996</v>
      </c>
      <c r="FX13" s="11">
        <v>4.9000000000000004</v>
      </c>
      <c r="FY13" s="11">
        <v>4.8</v>
      </c>
      <c r="FZ13" s="11">
        <v>4.7</v>
      </c>
      <c r="GA13" s="11">
        <v>4.5999999999999996</v>
      </c>
      <c r="GB13" s="11">
        <v>4.4000000000000004</v>
      </c>
      <c r="GC13" s="11">
        <v>4.3</v>
      </c>
      <c r="GD13" s="11">
        <v>4.4000000000000004</v>
      </c>
      <c r="GE13" s="11">
        <v>4.2</v>
      </c>
      <c r="GF13" s="11">
        <v>4</v>
      </c>
      <c r="GG13" s="11">
        <v>4.0999999999999996</v>
      </c>
      <c r="GH13" s="11">
        <v>4</v>
      </c>
      <c r="GI13" s="11">
        <v>3.8</v>
      </c>
      <c r="GJ13" s="11">
        <v>3.9</v>
      </c>
      <c r="GK13" s="11">
        <v>3.9</v>
      </c>
      <c r="GL13" s="11">
        <v>3.7</v>
      </c>
      <c r="GM13" s="11">
        <v>4.0999999999999996</v>
      </c>
      <c r="GN13" s="11">
        <v>4.0999999999999996</v>
      </c>
      <c r="GO13" s="11">
        <v>5</v>
      </c>
      <c r="GP13" s="11">
        <v>5.3</v>
      </c>
      <c r="GQ13" s="11">
        <v>4.9000000000000004</v>
      </c>
      <c r="GR13" s="11">
        <v>4.7</v>
      </c>
      <c r="GS13" s="11">
        <v>4.4000000000000004</v>
      </c>
      <c r="GT13" s="11">
        <v>4.2</v>
      </c>
      <c r="GU13" s="11">
        <v>3.8</v>
      </c>
      <c r="GV13" s="11">
        <v>3.8</v>
      </c>
      <c r="GW13" s="11">
        <v>3.7</v>
      </c>
      <c r="GX13" s="11">
        <v>3.9</v>
      </c>
      <c r="GY13" s="11">
        <v>4</v>
      </c>
      <c r="GZ13" s="11">
        <v>4.2</v>
      </c>
      <c r="HA13" s="11">
        <v>4.0999999999999996</v>
      </c>
      <c r="HB13" s="11">
        <v>3.9</v>
      </c>
      <c r="HC13" s="11">
        <v>4.3</v>
      </c>
      <c r="HD13" s="11">
        <v>4.2</v>
      </c>
      <c r="HE13" s="11">
        <v>4.3</v>
      </c>
      <c r="HF13" s="12">
        <v>4.3913159999999998</v>
      </c>
      <c r="HG13" s="12">
        <v>4.3912899999999997</v>
      </c>
      <c r="HH13" s="12">
        <v>4.3913080000000004</v>
      </c>
      <c r="HI13" s="12">
        <v>4.3817589999999997</v>
      </c>
      <c r="HJ13" s="12">
        <v>4.3626880000000003</v>
      </c>
      <c r="HK13" s="12">
        <v>4.3340810000000003</v>
      </c>
      <c r="HL13" s="12">
        <v>4.3054309999999996</v>
      </c>
      <c r="HM13" s="12">
        <v>4.2768110000000004</v>
      </c>
      <c r="HN13" s="12">
        <v>4.2481679999999997</v>
      </c>
      <c r="HO13" s="12">
        <v>4.2195299999999998</v>
      </c>
      <c r="HP13" s="12">
        <v>4.1880220000000001</v>
      </c>
      <c r="HQ13" s="12">
        <v>4.1564769999999998</v>
      </c>
      <c r="HR13" s="12">
        <v>4.1249279999999997</v>
      </c>
      <c r="HS13" s="12">
        <v>4.0962300000000003</v>
      </c>
      <c r="HT13" s="12">
        <v>4.0675540000000003</v>
      </c>
      <c r="HU13" s="12">
        <v>4.0388229999999998</v>
      </c>
      <c r="HV13" s="12">
        <v>4.0149080000000001</v>
      </c>
      <c r="HW13" s="12">
        <v>3.9999660000000001</v>
      </c>
      <c r="HX13" s="12">
        <v>3.9999500000000001</v>
      </c>
      <c r="HY13" s="12">
        <v>3.999943</v>
      </c>
      <c r="HZ13" s="12">
        <v>3.999962</v>
      </c>
      <c r="IA13" s="12">
        <v>3.999949</v>
      </c>
      <c r="IB13" s="12">
        <v>3.999946</v>
      </c>
      <c r="IC13" s="12">
        <v>3.9999750000000001</v>
      </c>
      <c r="ID13" s="12">
        <v>3.9999750000000001</v>
      </c>
      <c r="IE13" s="12">
        <v>3.999965</v>
      </c>
      <c r="IF13" s="12">
        <v>3.999968</v>
      </c>
      <c r="IG13" s="12">
        <v>3.9999440000000002</v>
      </c>
      <c r="IH13" s="12">
        <v>3.999965</v>
      </c>
      <c r="II13" s="12">
        <v>3.9999579999999999</v>
      </c>
      <c r="IJ13" s="12">
        <v>3.9999509999999998</v>
      </c>
      <c r="IK13" s="12">
        <v>3.9999790000000002</v>
      </c>
      <c r="IL13" s="12">
        <v>3.9999769999999999</v>
      </c>
      <c r="IM13" s="12">
        <v>3.999959</v>
      </c>
      <c r="IN13" s="12">
        <v>3.9999660000000001</v>
      </c>
      <c r="IO13" s="12">
        <v>3.9999609999999999</v>
      </c>
      <c r="IP13" s="12">
        <v>3.9999660000000001</v>
      </c>
      <c r="IQ13" s="12">
        <v>3.9999799999999999</v>
      </c>
      <c r="IR13" s="12">
        <v>3.9999600000000002</v>
      </c>
      <c r="IS13" s="12">
        <v>3.9999440000000002</v>
      </c>
      <c r="IT13" s="12">
        <v>3.9999980000000002</v>
      </c>
      <c r="IU13" s="12">
        <v>3.999997</v>
      </c>
      <c r="IV13" s="12">
        <v>3.9999959999999999</v>
      </c>
      <c r="IW13" s="12">
        <v>3.9999959999999999</v>
      </c>
      <c r="IX13" s="12">
        <v>3.9999959999999999</v>
      </c>
      <c r="IY13" s="12">
        <v>4.0000150000000003</v>
      </c>
      <c r="IZ13" s="12">
        <v>4.0000140000000002</v>
      </c>
      <c r="JA13" s="12">
        <v>4.000013</v>
      </c>
      <c r="JB13" s="12">
        <v>3.9999829999999998</v>
      </c>
      <c r="JC13" s="12">
        <v>4.0000119999999999</v>
      </c>
      <c r="JD13" s="12">
        <v>4.0000010000000001</v>
      </c>
      <c r="JE13" s="12">
        <v>4.0000010000000001</v>
      </c>
      <c r="JF13" s="12">
        <v>3.999981</v>
      </c>
      <c r="JG13" s="12">
        <v>4</v>
      </c>
      <c r="JH13" s="12">
        <v>3.9999989999999999</v>
      </c>
      <c r="JI13" s="12">
        <v>3.9999980000000002</v>
      </c>
      <c r="JJ13" s="12">
        <v>4.0000179999999999</v>
      </c>
      <c r="JK13" s="12">
        <v>3.9999980000000002</v>
      </c>
      <c r="JL13" s="12">
        <v>3.999997</v>
      </c>
      <c r="JM13" s="12">
        <v>4.0000159999999996</v>
      </c>
      <c r="JN13" s="12">
        <v>4.0000150000000003</v>
      </c>
      <c r="JO13" s="12">
        <v>4.0000140000000002</v>
      </c>
      <c r="JP13" s="12">
        <v>3.9999850000000001</v>
      </c>
      <c r="JQ13" s="12">
        <v>4.000013</v>
      </c>
      <c r="JR13" s="12">
        <v>4.0000030000000004</v>
      </c>
      <c r="JS13" s="12">
        <v>3.999981</v>
      </c>
      <c r="JT13" s="12">
        <v>3.9999790000000002</v>
      </c>
      <c r="JU13" s="12">
        <v>4.000006</v>
      </c>
      <c r="JV13" s="12">
        <v>3.999984</v>
      </c>
      <c r="JW13" s="12">
        <v>4.0000010000000001</v>
      </c>
      <c r="JX13" s="12">
        <v>3.9999989999999999</v>
      </c>
      <c r="JY13" s="12">
        <v>4.0000070000000001</v>
      </c>
      <c r="JZ13" s="12">
        <v>4.0000039999999997</v>
      </c>
      <c r="KA13" s="12">
        <v>4.0000010000000001</v>
      </c>
      <c r="KB13" s="12">
        <v>4.0000090000000004</v>
      </c>
      <c r="KC13" s="12">
        <v>3.999978</v>
      </c>
      <c r="KD13" s="12">
        <v>4.0000049999999998</v>
      </c>
      <c r="KE13" s="12">
        <v>4.0000030000000004</v>
      </c>
      <c r="KF13" s="12">
        <v>4</v>
      </c>
      <c r="KG13" s="12">
        <v>4.0000080000000002</v>
      </c>
      <c r="KH13" s="12">
        <v>4.000006</v>
      </c>
      <c r="KI13" s="12">
        <v>3.9999929999999999</v>
      </c>
      <c r="KJ13" s="12">
        <v>4.0000010000000001</v>
      </c>
      <c r="KK13" s="12">
        <v>3.9999989999999999</v>
      </c>
      <c r="KL13" s="12">
        <v>3.9999959999999999</v>
      </c>
      <c r="KM13" s="12">
        <v>4.0000030000000004</v>
      </c>
      <c r="KN13" s="12">
        <v>4.0000010000000001</v>
      </c>
      <c r="KO13" s="12">
        <v>3.9999980000000002</v>
      </c>
      <c r="KP13" s="12">
        <v>4.000006</v>
      </c>
      <c r="KQ13" s="12">
        <v>4.0000229999999997</v>
      </c>
      <c r="KR13" s="12">
        <v>4.0000010000000001</v>
      </c>
      <c r="KS13" s="12">
        <v>4</v>
      </c>
      <c r="KT13" s="12">
        <v>3.9999980000000002</v>
      </c>
      <c r="KU13" s="12">
        <v>4.0000039999999997</v>
      </c>
      <c r="KV13" s="12">
        <v>4.0000020000000003</v>
      </c>
      <c r="KW13" s="12">
        <v>4.000019</v>
      </c>
      <c r="KX13" s="12">
        <v>3.9999980000000002</v>
      </c>
      <c r="KY13" s="12">
        <v>3.9999959999999999</v>
      </c>
      <c r="KZ13" s="12">
        <v>4.0000210000000003</v>
      </c>
      <c r="LA13" s="12">
        <v>4</v>
      </c>
      <c r="LB13" s="12">
        <v>3.9999989999999999</v>
      </c>
      <c r="LC13" s="12">
        <v>3.999997</v>
      </c>
      <c r="LD13" s="12">
        <v>3.999994</v>
      </c>
      <c r="LE13" s="12">
        <v>3.9999920000000002</v>
      </c>
      <c r="LF13" s="12">
        <v>4.0000179999999999</v>
      </c>
      <c r="LG13" s="12">
        <v>4.0000169999999997</v>
      </c>
      <c r="LH13" s="12">
        <v>3.999997</v>
      </c>
      <c r="LI13" s="12">
        <v>3.9999889999999998</v>
      </c>
      <c r="LJ13" s="12">
        <v>4.000019</v>
      </c>
      <c r="LK13" s="12">
        <v>3.999984</v>
      </c>
      <c r="LL13" s="12">
        <v>4.000013</v>
      </c>
      <c r="LM13" s="12">
        <v>4.0000200000000001</v>
      </c>
      <c r="LN13" s="12">
        <v>3.9999880000000001</v>
      </c>
      <c r="LO13" s="12">
        <v>4.0000030000000004</v>
      </c>
      <c r="LP13" s="12">
        <v>4.0000010000000001</v>
      </c>
      <c r="LQ13" s="12">
        <v>4.0000099999999996</v>
      </c>
      <c r="LR13" s="12">
        <v>3.9999910000000001</v>
      </c>
      <c r="LS13" s="12">
        <v>4.0000010000000001</v>
      </c>
      <c r="LT13" s="12">
        <v>4</v>
      </c>
      <c r="LU13" s="12">
        <v>3.999994</v>
      </c>
      <c r="LV13" s="12">
        <v>4.0000159999999996</v>
      </c>
      <c r="LW13" s="12">
        <v>4.0000099999999996</v>
      </c>
      <c r="LX13" s="12">
        <v>4.0000039999999997</v>
      </c>
      <c r="LY13" s="12">
        <v>4.0000159999999996</v>
      </c>
      <c r="LZ13" s="12">
        <v>3.9999899999999999</v>
      </c>
      <c r="MA13" s="12">
        <v>4.0000030000000004</v>
      </c>
      <c r="MB13" s="12">
        <v>4.000006</v>
      </c>
      <c r="MC13" s="12">
        <v>3.9999820000000001</v>
      </c>
      <c r="MD13" s="12">
        <v>4.000013</v>
      </c>
      <c r="ME13" s="12">
        <v>4.0000090000000004</v>
      </c>
      <c r="MF13" s="12">
        <v>4.0000030000000004</v>
      </c>
      <c r="MG13" s="12">
        <v>4.0000049999999998</v>
      </c>
      <c r="MH13" s="12">
        <v>4.0000150000000003</v>
      </c>
      <c r="MI13" s="12">
        <v>4.000006</v>
      </c>
      <c r="MJ13" s="12">
        <v>4.0000260000000001</v>
      </c>
      <c r="MK13" s="12">
        <v>3.9999899999999999</v>
      </c>
      <c r="ML13" s="12">
        <v>4.0000010000000001</v>
      </c>
      <c r="MM13" s="12">
        <v>3.9999750000000001</v>
      </c>
      <c r="MN13" s="12">
        <v>3.9999950000000002</v>
      </c>
      <c r="MO13" s="12">
        <v>4.0000070000000001</v>
      </c>
      <c r="MP13" s="12">
        <v>4.0000169999999997</v>
      </c>
      <c r="MQ13" s="12">
        <v>4</v>
      </c>
      <c r="MR13" s="12">
        <v>3.9999929999999999</v>
      </c>
      <c r="MS13" s="12">
        <v>3.9999750000000001</v>
      </c>
      <c r="MT13" s="12">
        <v>4.0000030000000004</v>
      </c>
      <c r="MU13" t="s">
        <v>1205</v>
      </c>
      <c r="MV13" t="b">
        <v>1</v>
      </c>
      <c r="MW13" t="s">
        <v>1196</v>
      </c>
      <c r="MX13" t="s">
        <v>1196</v>
      </c>
      <c r="MY13">
        <v>2024</v>
      </c>
      <c r="MZ13">
        <v>3</v>
      </c>
      <c r="NA13" t="s">
        <v>1196</v>
      </c>
      <c r="NB13" t="s">
        <v>1291</v>
      </c>
      <c r="NC13" s="1" t="s">
        <v>1445</v>
      </c>
      <c r="ND13" t="s">
        <v>1200</v>
      </c>
      <c r="NE13" t="s">
        <v>1446</v>
      </c>
      <c r="NF13" s="1" t="s">
        <v>1434</v>
      </c>
    </row>
    <row r="14" spans="1:370" x14ac:dyDescent="0.25">
      <c r="A14" t="s">
        <v>1193</v>
      </c>
      <c r="B14" s="1" t="s">
        <v>1435</v>
      </c>
      <c r="C14" s="1" t="s">
        <v>1447</v>
      </c>
      <c r="D14" t="s">
        <v>1436</v>
      </c>
      <c r="E14" t="s">
        <v>1437</v>
      </c>
      <c r="F14" t="s">
        <v>1197</v>
      </c>
      <c r="G14" s="11">
        <v>24903</v>
      </c>
      <c r="H14" s="11">
        <v>24986</v>
      </c>
      <c r="I14" s="11">
        <v>24972</v>
      </c>
      <c r="J14" s="11">
        <v>24999</v>
      </c>
      <c r="K14" s="11">
        <v>24984</v>
      </c>
      <c r="L14" s="11">
        <v>25002</v>
      </c>
      <c r="M14" s="11">
        <v>25066</v>
      </c>
      <c r="N14" s="11">
        <v>25065</v>
      </c>
      <c r="O14" s="11">
        <v>24996</v>
      </c>
      <c r="P14" s="11">
        <v>24955</v>
      </c>
      <c r="Q14" s="11">
        <v>24918</v>
      </c>
      <c r="R14" s="11">
        <v>24864</v>
      </c>
      <c r="S14" s="11">
        <v>24809</v>
      </c>
      <c r="T14" s="11">
        <v>24779</v>
      </c>
      <c r="U14" s="11">
        <v>24768</v>
      </c>
      <c r="V14" s="11">
        <v>24788</v>
      </c>
      <c r="W14" s="11">
        <v>24803</v>
      </c>
      <c r="X14" s="11">
        <v>24802</v>
      </c>
      <c r="Y14" s="11">
        <v>24809</v>
      </c>
      <c r="Z14" s="11">
        <v>24822</v>
      </c>
      <c r="AA14" s="11">
        <v>24862</v>
      </c>
      <c r="AB14" s="11">
        <v>24897</v>
      </c>
      <c r="AC14" s="11">
        <v>24941</v>
      </c>
      <c r="AD14" s="11">
        <v>25059</v>
      </c>
      <c r="AE14" s="11">
        <v>25113</v>
      </c>
      <c r="AF14" s="11">
        <v>25159</v>
      </c>
      <c r="AG14" s="11">
        <v>25229</v>
      </c>
      <c r="AH14" s="11">
        <v>25280</v>
      </c>
      <c r="AI14" s="11">
        <v>25250</v>
      </c>
      <c r="AJ14" s="11">
        <v>25190</v>
      </c>
      <c r="AK14" s="11">
        <v>25050</v>
      </c>
      <c r="AL14" s="11">
        <v>24855</v>
      </c>
      <c r="AM14" s="11">
        <v>24661</v>
      </c>
      <c r="AN14" s="11">
        <v>24495</v>
      </c>
      <c r="AO14" s="11">
        <v>24355</v>
      </c>
      <c r="AP14" s="11">
        <v>24209</v>
      </c>
      <c r="AQ14" s="11">
        <v>24120</v>
      </c>
      <c r="AR14" s="11">
        <v>24027</v>
      </c>
      <c r="AS14" s="11">
        <v>23901</v>
      </c>
      <c r="AT14" s="11">
        <v>23755</v>
      </c>
      <c r="AU14" s="11">
        <v>23651</v>
      </c>
      <c r="AV14" s="11">
        <v>23647</v>
      </c>
      <c r="AW14" s="11">
        <v>23809</v>
      </c>
      <c r="AX14" s="11">
        <v>23994</v>
      </c>
      <c r="AY14" s="11">
        <v>24125</v>
      </c>
      <c r="AZ14" s="11">
        <v>24245</v>
      </c>
      <c r="BA14" s="11">
        <v>24335</v>
      </c>
      <c r="BB14" s="11">
        <v>24435</v>
      </c>
      <c r="BC14" s="11">
        <v>24515</v>
      </c>
      <c r="BD14" s="11">
        <v>24570</v>
      </c>
      <c r="BE14" s="11">
        <v>24625</v>
      </c>
      <c r="BF14" s="11">
        <v>24660</v>
      </c>
      <c r="BG14" s="11">
        <v>24670</v>
      </c>
      <c r="BH14" s="11">
        <v>24695</v>
      </c>
      <c r="BI14" s="11">
        <v>24770</v>
      </c>
      <c r="BJ14" s="11">
        <v>24850</v>
      </c>
      <c r="BK14" s="11">
        <v>24925</v>
      </c>
      <c r="BL14" s="11">
        <v>25110</v>
      </c>
      <c r="BM14" s="11">
        <v>25345</v>
      </c>
      <c r="BN14" s="11">
        <v>25575</v>
      </c>
      <c r="BO14" s="11">
        <v>25795</v>
      </c>
      <c r="BP14" s="11">
        <v>25970</v>
      </c>
      <c r="BQ14" s="11">
        <v>26160</v>
      </c>
      <c r="BR14" s="11">
        <v>26355</v>
      </c>
      <c r="BS14" s="11">
        <v>26590</v>
      </c>
      <c r="BT14" s="11">
        <v>26730</v>
      </c>
      <c r="BU14" s="11">
        <v>26795</v>
      </c>
      <c r="BV14" s="11">
        <v>26880</v>
      </c>
      <c r="BW14" s="11">
        <v>26900</v>
      </c>
      <c r="BX14" s="11">
        <v>26935</v>
      </c>
      <c r="BY14" s="11">
        <v>26900</v>
      </c>
      <c r="BZ14" s="11">
        <v>26750</v>
      </c>
      <c r="CA14" s="11">
        <v>26530</v>
      </c>
      <c r="CB14" s="11">
        <v>26275</v>
      </c>
      <c r="CC14" s="11">
        <v>26025</v>
      </c>
      <c r="CD14" s="11">
        <v>25820</v>
      </c>
      <c r="CE14" s="11">
        <v>25710</v>
      </c>
      <c r="CF14" s="11">
        <v>25605</v>
      </c>
      <c r="CG14" s="11">
        <v>25509</v>
      </c>
      <c r="CH14" s="11">
        <v>25336</v>
      </c>
      <c r="CI14" s="11">
        <v>25282</v>
      </c>
      <c r="CJ14" s="11">
        <v>25293</v>
      </c>
      <c r="CK14" s="11">
        <v>25316</v>
      </c>
      <c r="CL14" s="11">
        <v>25320</v>
      </c>
      <c r="CM14" s="11">
        <v>25408</v>
      </c>
      <c r="CN14" s="11">
        <v>25451</v>
      </c>
      <c r="CO14" s="11">
        <v>25559</v>
      </c>
      <c r="CP14" s="11">
        <v>25600</v>
      </c>
      <c r="CQ14" s="11">
        <v>25670</v>
      </c>
      <c r="CR14" s="11">
        <v>25770</v>
      </c>
      <c r="CS14" s="11">
        <v>25852</v>
      </c>
      <c r="CT14" s="11">
        <v>25982</v>
      </c>
      <c r="CU14" s="11">
        <v>25970</v>
      </c>
      <c r="CV14" s="11">
        <v>26009</v>
      </c>
      <c r="CW14" s="11">
        <v>26062</v>
      </c>
      <c r="CX14" s="11">
        <v>26198</v>
      </c>
      <c r="CY14" s="11">
        <v>26381</v>
      </c>
      <c r="CZ14" s="11">
        <v>26514</v>
      </c>
      <c r="DA14" s="11">
        <v>26572</v>
      </c>
      <c r="DB14" s="11">
        <v>26636</v>
      </c>
      <c r="DC14" s="11">
        <v>26677</v>
      </c>
      <c r="DD14" s="11">
        <v>26714</v>
      </c>
      <c r="DE14" s="11">
        <v>26834</v>
      </c>
      <c r="DF14" s="11">
        <v>26955</v>
      </c>
      <c r="DG14" s="11">
        <v>27036</v>
      </c>
      <c r="DH14" s="11">
        <v>27095</v>
      </c>
      <c r="DI14" s="11">
        <v>27218</v>
      </c>
      <c r="DJ14" s="11">
        <v>27322</v>
      </c>
      <c r="DK14" s="11">
        <v>27362</v>
      </c>
      <c r="DL14" s="11">
        <v>27468</v>
      </c>
      <c r="DM14" s="11">
        <v>27555</v>
      </c>
      <c r="DN14" s="11">
        <v>27549</v>
      </c>
      <c r="DO14" s="11">
        <v>27623</v>
      </c>
      <c r="DP14" s="11">
        <v>27707</v>
      </c>
      <c r="DQ14" s="11">
        <v>27715</v>
      </c>
      <c r="DR14" s="11">
        <v>27803</v>
      </c>
      <c r="DS14" s="11">
        <v>27797</v>
      </c>
      <c r="DT14" s="11">
        <v>27933</v>
      </c>
      <c r="DU14" s="11">
        <v>27935</v>
      </c>
      <c r="DV14" s="11">
        <v>28110</v>
      </c>
      <c r="DW14" s="11">
        <v>28099</v>
      </c>
      <c r="DX14" s="11">
        <v>28226</v>
      </c>
      <c r="DY14" s="11">
        <v>28256</v>
      </c>
      <c r="DZ14" s="11">
        <v>28304</v>
      </c>
      <c r="EA14" s="11">
        <v>28459</v>
      </c>
      <c r="EB14" s="11">
        <v>28470</v>
      </c>
      <c r="EC14" s="11">
        <v>28518</v>
      </c>
      <c r="ED14" s="11">
        <v>28673</v>
      </c>
      <c r="EE14" s="11">
        <v>28789</v>
      </c>
      <c r="EF14" s="11">
        <v>28802</v>
      </c>
      <c r="EG14" s="11">
        <v>28928</v>
      </c>
      <c r="EH14" s="11">
        <v>28880</v>
      </c>
      <c r="EI14" s="11">
        <v>29048</v>
      </c>
      <c r="EJ14" s="11">
        <v>29106</v>
      </c>
      <c r="EK14" s="11">
        <v>29183</v>
      </c>
      <c r="EL14" s="11">
        <v>29214</v>
      </c>
      <c r="EM14" s="11">
        <v>29194</v>
      </c>
      <c r="EN14" s="11">
        <v>29322</v>
      </c>
      <c r="EO14" s="11">
        <v>29420</v>
      </c>
      <c r="EP14" s="11">
        <v>29576</v>
      </c>
      <c r="EQ14" s="11">
        <v>29684</v>
      </c>
      <c r="ER14" s="11">
        <v>29722</v>
      </c>
      <c r="ES14" s="11">
        <v>29580</v>
      </c>
      <c r="ET14" s="11">
        <v>29528</v>
      </c>
      <c r="EU14" s="11">
        <v>29366</v>
      </c>
      <c r="EV14" s="11">
        <v>29087</v>
      </c>
      <c r="EW14" s="11">
        <v>29069</v>
      </c>
      <c r="EX14" s="11">
        <v>29102</v>
      </c>
      <c r="EY14" s="11">
        <v>29013</v>
      </c>
      <c r="EZ14" s="11">
        <v>29192</v>
      </c>
      <c r="FA14" s="11">
        <v>29385</v>
      </c>
      <c r="FB14" s="11">
        <v>29324</v>
      </c>
      <c r="FC14" s="11">
        <v>29441</v>
      </c>
      <c r="FD14" s="11">
        <v>29447</v>
      </c>
      <c r="FE14" s="11">
        <v>29283</v>
      </c>
      <c r="FF14" s="11">
        <v>29349</v>
      </c>
      <c r="FG14" s="11">
        <v>29464</v>
      </c>
      <c r="FH14" s="11">
        <v>29681</v>
      </c>
      <c r="FI14" s="11">
        <v>29778</v>
      </c>
      <c r="FJ14" s="11">
        <v>29932</v>
      </c>
      <c r="FK14" s="11">
        <v>29869</v>
      </c>
      <c r="FL14" s="11">
        <v>29974</v>
      </c>
      <c r="FM14" s="11">
        <v>30144</v>
      </c>
      <c r="FN14" s="11">
        <v>30330</v>
      </c>
      <c r="FO14" s="11">
        <v>30573</v>
      </c>
      <c r="FP14" s="11">
        <v>30747</v>
      </c>
      <c r="FQ14" s="11">
        <v>30873</v>
      </c>
      <c r="FR14" s="11">
        <v>30981</v>
      </c>
      <c r="FS14" s="11">
        <v>31188</v>
      </c>
      <c r="FT14" s="11">
        <v>31140</v>
      </c>
      <c r="FU14" s="11">
        <v>31361</v>
      </c>
      <c r="FV14" s="11">
        <v>31569</v>
      </c>
      <c r="FW14" s="11">
        <v>31603</v>
      </c>
      <c r="FX14" s="11">
        <v>31778</v>
      </c>
      <c r="FY14" s="11">
        <v>31843</v>
      </c>
      <c r="FZ14" s="11">
        <v>31877</v>
      </c>
      <c r="GA14" s="11">
        <v>31978</v>
      </c>
      <c r="GB14" s="11">
        <v>32098</v>
      </c>
      <c r="GC14" s="11">
        <v>32093</v>
      </c>
      <c r="GD14" s="11">
        <v>32179</v>
      </c>
      <c r="GE14" s="11">
        <v>32364</v>
      </c>
      <c r="GF14" s="11">
        <v>32403</v>
      </c>
      <c r="GG14" s="11">
        <v>32448</v>
      </c>
      <c r="GH14" s="11">
        <v>32618</v>
      </c>
      <c r="GI14" s="11">
        <v>32721</v>
      </c>
      <c r="GJ14" s="11">
        <v>32839</v>
      </c>
      <c r="GK14" s="11">
        <v>32779</v>
      </c>
      <c r="GL14" s="11">
        <v>32954</v>
      </c>
      <c r="GM14" s="11">
        <v>33000</v>
      </c>
      <c r="GN14" s="11">
        <v>32571</v>
      </c>
      <c r="GO14" s="11">
        <v>32354</v>
      </c>
      <c r="GP14" s="11">
        <v>32198</v>
      </c>
      <c r="GQ14" s="11">
        <v>32221</v>
      </c>
      <c r="GR14" s="11">
        <v>32377</v>
      </c>
      <c r="GS14" s="11">
        <v>32687</v>
      </c>
      <c r="GT14" s="11">
        <v>32686</v>
      </c>
      <c r="GU14" s="11">
        <v>32775</v>
      </c>
      <c r="GV14" s="11">
        <v>32958</v>
      </c>
      <c r="GW14" s="11">
        <v>32916</v>
      </c>
      <c r="GX14" s="11">
        <v>33067</v>
      </c>
      <c r="GY14" s="11">
        <v>33201</v>
      </c>
      <c r="GZ14" s="11">
        <v>33163</v>
      </c>
      <c r="HA14" s="11">
        <v>33102</v>
      </c>
      <c r="HB14" s="11">
        <v>33174</v>
      </c>
      <c r="HC14" s="12">
        <v>33087.050000000003</v>
      </c>
      <c r="HD14" s="12">
        <v>33149.56</v>
      </c>
      <c r="HE14" s="12">
        <v>33213.15</v>
      </c>
      <c r="HF14" s="12">
        <v>33314.65</v>
      </c>
      <c r="HG14" s="12">
        <v>33443.550000000003</v>
      </c>
      <c r="HH14" s="12">
        <v>33605.79</v>
      </c>
      <c r="HI14" s="12">
        <v>33762.06</v>
      </c>
      <c r="HJ14" s="12">
        <v>33915.67</v>
      </c>
      <c r="HK14" s="12">
        <v>34039.800000000003</v>
      </c>
      <c r="HL14" s="12">
        <v>34136.86</v>
      </c>
      <c r="HM14" s="12">
        <v>34230.730000000003</v>
      </c>
      <c r="HN14" s="12">
        <v>34323.15</v>
      </c>
      <c r="HO14" s="12">
        <v>34415.83</v>
      </c>
      <c r="HP14" s="12">
        <v>34508.75</v>
      </c>
      <c r="HQ14" s="12">
        <v>34601.93</v>
      </c>
      <c r="HR14" s="12">
        <v>34695.360000000001</v>
      </c>
      <c r="HS14" s="12">
        <v>34775.15</v>
      </c>
      <c r="HT14" s="12">
        <v>34855.14</v>
      </c>
      <c r="HU14" s="12">
        <v>34935.300000000003</v>
      </c>
      <c r="HV14" s="12">
        <v>35015.660000000003</v>
      </c>
      <c r="HW14" s="12">
        <v>35089.19</v>
      </c>
      <c r="HX14" s="12">
        <v>35159.370000000003</v>
      </c>
      <c r="HY14" s="12">
        <v>35229.68</v>
      </c>
      <c r="HZ14" s="12">
        <v>35300.14</v>
      </c>
      <c r="IA14" s="12">
        <v>35367.21</v>
      </c>
      <c r="IB14" s="12">
        <v>35434.410000000003</v>
      </c>
      <c r="IC14" s="12">
        <v>35501.74</v>
      </c>
      <c r="ID14" s="12">
        <v>35569.19</v>
      </c>
      <c r="IE14" s="12">
        <v>35633.21</v>
      </c>
      <c r="IF14" s="12">
        <v>35697.360000000001</v>
      </c>
      <c r="IG14" s="12">
        <v>35761.61</v>
      </c>
      <c r="IH14" s="12">
        <v>35825.980000000003</v>
      </c>
      <c r="II14" s="12">
        <v>35886.89</v>
      </c>
      <c r="IJ14" s="12">
        <v>35947.89</v>
      </c>
      <c r="IK14" s="12">
        <v>36001.82</v>
      </c>
      <c r="IL14" s="12">
        <v>36052.22</v>
      </c>
      <c r="IM14" s="12">
        <v>36104.19</v>
      </c>
      <c r="IN14" s="12">
        <v>36150.82</v>
      </c>
      <c r="IO14" s="12">
        <v>36195.47</v>
      </c>
      <c r="IP14" s="12">
        <v>36238.769999999997</v>
      </c>
      <c r="IQ14" s="12">
        <v>36282.35</v>
      </c>
      <c r="IR14" s="12">
        <v>36326.379999999997</v>
      </c>
      <c r="IS14" s="12">
        <v>36362.29</v>
      </c>
      <c r="IT14" s="12">
        <v>36398.339999999997</v>
      </c>
      <c r="IU14" s="12">
        <v>36436.47</v>
      </c>
      <c r="IV14" s="12">
        <v>36474.6</v>
      </c>
      <c r="IW14" s="12">
        <v>36512.730000000003</v>
      </c>
      <c r="IX14" s="12">
        <v>36550.86</v>
      </c>
      <c r="IY14" s="12">
        <v>36588.980000000003</v>
      </c>
      <c r="IZ14" s="12">
        <v>36627.11</v>
      </c>
      <c r="JA14" s="12">
        <v>36665.24</v>
      </c>
      <c r="JB14" s="12">
        <v>36703.370000000003</v>
      </c>
      <c r="JC14" s="12">
        <v>36741.5</v>
      </c>
      <c r="JD14" s="12">
        <v>36779.629999999997</v>
      </c>
      <c r="JE14" s="12">
        <v>36817.75</v>
      </c>
      <c r="JF14" s="12">
        <v>36855.879999999997</v>
      </c>
      <c r="JG14" s="12">
        <v>36894.01</v>
      </c>
      <c r="JH14" s="12">
        <v>36932.14</v>
      </c>
      <c r="JI14" s="12">
        <v>36970.269999999997</v>
      </c>
      <c r="JJ14" s="12">
        <v>37008.39</v>
      </c>
      <c r="JK14" s="12">
        <v>37046.519999999997</v>
      </c>
      <c r="JL14" s="12">
        <v>37084.65</v>
      </c>
      <c r="JM14" s="12">
        <v>37122.78</v>
      </c>
      <c r="JN14" s="12">
        <v>37160.910000000003</v>
      </c>
      <c r="JO14" s="12">
        <v>37199.040000000001</v>
      </c>
      <c r="JP14" s="12">
        <v>37237.160000000003</v>
      </c>
      <c r="JQ14" s="12">
        <v>37275.29</v>
      </c>
      <c r="JR14" s="12">
        <v>37313.42</v>
      </c>
      <c r="JS14" s="12">
        <v>37347.82</v>
      </c>
      <c r="JT14" s="12">
        <v>37382.22</v>
      </c>
      <c r="JU14" s="12">
        <v>37416.629999999997</v>
      </c>
      <c r="JV14" s="12">
        <v>37451.03</v>
      </c>
      <c r="JW14" s="12">
        <v>37485.43</v>
      </c>
      <c r="JX14" s="12">
        <v>37519.839999999997</v>
      </c>
      <c r="JY14" s="12">
        <v>37554.239999999998</v>
      </c>
      <c r="JZ14" s="12">
        <v>37588.639999999999</v>
      </c>
      <c r="KA14" s="12">
        <v>37623.050000000003</v>
      </c>
      <c r="KB14" s="12">
        <v>37657.449999999997</v>
      </c>
      <c r="KC14" s="12">
        <v>37691.85</v>
      </c>
      <c r="KD14" s="12">
        <v>37726.26</v>
      </c>
      <c r="KE14" s="12">
        <v>37760.660000000003</v>
      </c>
      <c r="KF14" s="12">
        <v>37795.06</v>
      </c>
      <c r="KG14" s="12">
        <v>37829.46</v>
      </c>
      <c r="KH14" s="12">
        <v>37863.870000000003</v>
      </c>
      <c r="KI14" s="12">
        <v>37898.269999999997</v>
      </c>
      <c r="KJ14" s="12">
        <v>37932.68</v>
      </c>
      <c r="KK14" s="12">
        <v>37967.08</v>
      </c>
      <c r="KL14" s="12">
        <v>38001.480000000003</v>
      </c>
      <c r="KM14" s="12">
        <v>38035.89</v>
      </c>
      <c r="KN14" s="12">
        <v>38070.29</v>
      </c>
      <c r="KO14" s="12">
        <v>38104.69</v>
      </c>
      <c r="KP14" s="12">
        <v>38139.089999999997</v>
      </c>
      <c r="KQ14" s="12">
        <v>38173.5</v>
      </c>
      <c r="KR14" s="12">
        <v>38207.9</v>
      </c>
      <c r="KS14" s="12">
        <v>38242.300000000003</v>
      </c>
      <c r="KT14" s="12">
        <v>38276.71</v>
      </c>
      <c r="KU14" s="12">
        <v>38311.11</v>
      </c>
      <c r="KV14" s="12">
        <v>38345.519999999997</v>
      </c>
      <c r="KW14" s="12">
        <v>38379.919999999998</v>
      </c>
      <c r="KX14" s="12">
        <v>38414.32</v>
      </c>
      <c r="KY14" s="12">
        <v>38448.720000000001</v>
      </c>
      <c r="KZ14" s="12">
        <v>38483.129999999997</v>
      </c>
      <c r="LA14" s="12">
        <v>38517.53</v>
      </c>
      <c r="LB14" s="12">
        <v>38551.93</v>
      </c>
      <c r="LC14" s="12">
        <v>38586.339999999997</v>
      </c>
      <c r="LD14" s="12">
        <v>38620.74</v>
      </c>
      <c r="LE14" s="12">
        <v>38655.14</v>
      </c>
      <c r="LF14" s="12">
        <v>38689.550000000003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0</v>
      </c>
      <c r="ME14" s="12">
        <v>0</v>
      </c>
      <c r="MF14" s="12">
        <v>0</v>
      </c>
      <c r="MG14" s="12">
        <v>0</v>
      </c>
      <c r="MH14" s="12">
        <v>0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t="s">
        <v>1205</v>
      </c>
      <c r="MV14" t="b">
        <v>1</v>
      </c>
      <c r="MW14" t="s">
        <v>1196</v>
      </c>
      <c r="MX14" t="s">
        <v>1196</v>
      </c>
      <c r="MY14">
        <v>2023</v>
      </c>
      <c r="MZ14">
        <v>4</v>
      </c>
      <c r="NA14" t="s">
        <v>1196</v>
      </c>
      <c r="NB14" t="s">
        <v>1307</v>
      </c>
      <c r="NC14" s="1" t="s">
        <v>1438</v>
      </c>
      <c r="ND14" t="s">
        <v>1200</v>
      </c>
      <c r="NE14" t="s">
        <v>1439</v>
      </c>
      <c r="NF14" s="1" t="s">
        <v>1448</v>
      </c>
    </row>
    <row r="15" spans="1:370" x14ac:dyDescent="0.25">
      <c r="A15" t="s">
        <v>1193</v>
      </c>
      <c r="B15" t="s">
        <v>1440</v>
      </c>
      <c r="C15" s="1" t="s">
        <v>1447</v>
      </c>
      <c r="D15" t="s">
        <v>1436</v>
      </c>
      <c r="E15" t="s">
        <v>1437</v>
      </c>
      <c r="F15" t="s">
        <v>1197</v>
      </c>
      <c r="G15" s="11">
        <v>1002</v>
      </c>
      <c r="H15" s="11">
        <v>968</v>
      </c>
      <c r="I15" s="11">
        <v>927</v>
      </c>
      <c r="J15" s="11">
        <v>888</v>
      </c>
      <c r="K15" s="11">
        <v>923</v>
      </c>
      <c r="L15" s="11">
        <v>937</v>
      </c>
      <c r="M15" s="11">
        <v>958</v>
      </c>
      <c r="N15" s="11">
        <v>976</v>
      </c>
      <c r="O15" s="11">
        <v>1029</v>
      </c>
      <c r="P15" s="11">
        <v>1126</v>
      </c>
      <c r="Q15" s="11">
        <v>1221</v>
      </c>
      <c r="R15" s="11">
        <v>1319</v>
      </c>
      <c r="S15" s="11">
        <v>1379</v>
      </c>
      <c r="T15" s="11">
        <v>1413</v>
      </c>
      <c r="U15" s="11">
        <v>1430</v>
      </c>
      <c r="V15" s="11">
        <v>1432</v>
      </c>
      <c r="W15" s="11">
        <v>1436</v>
      </c>
      <c r="X15" s="11">
        <v>1452</v>
      </c>
      <c r="Y15" s="11">
        <v>1493</v>
      </c>
      <c r="Z15" s="11">
        <v>1499</v>
      </c>
      <c r="AA15" s="11">
        <v>1474</v>
      </c>
      <c r="AB15" s="11">
        <v>1463</v>
      </c>
      <c r="AC15" s="11">
        <v>1455</v>
      </c>
      <c r="AD15" s="11">
        <v>1421</v>
      </c>
      <c r="AE15" s="11">
        <v>1420</v>
      </c>
      <c r="AF15" s="11">
        <v>1405</v>
      </c>
      <c r="AG15" s="11">
        <v>1430</v>
      </c>
      <c r="AH15" s="11">
        <v>1471</v>
      </c>
      <c r="AI15" s="11">
        <v>1558</v>
      </c>
      <c r="AJ15" s="11">
        <v>1700</v>
      </c>
      <c r="AK15" s="11">
        <v>1905</v>
      </c>
      <c r="AL15" s="11">
        <v>2169</v>
      </c>
      <c r="AM15" s="11">
        <v>2403</v>
      </c>
      <c r="AN15" s="11">
        <v>2588</v>
      </c>
      <c r="AO15" s="11">
        <v>2684</v>
      </c>
      <c r="AP15" s="11">
        <v>2761</v>
      </c>
      <c r="AQ15" s="11">
        <v>2803</v>
      </c>
      <c r="AR15" s="11">
        <v>2841</v>
      </c>
      <c r="AS15" s="11">
        <v>2897</v>
      </c>
      <c r="AT15" s="11">
        <v>2960</v>
      </c>
      <c r="AU15" s="11">
        <v>2998</v>
      </c>
      <c r="AV15" s="11">
        <v>3049</v>
      </c>
      <c r="AW15" s="11">
        <v>3109</v>
      </c>
      <c r="AX15" s="11">
        <v>3167</v>
      </c>
      <c r="AY15" s="11">
        <v>3243</v>
      </c>
      <c r="AZ15" s="11">
        <v>3265</v>
      </c>
      <c r="BA15" s="11">
        <v>3238</v>
      </c>
      <c r="BB15" s="11">
        <v>3217</v>
      </c>
      <c r="BC15" s="11">
        <v>3180</v>
      </c>
      <c r="BD15" s="11">
        <v>3152</v>
      </c>
      <c r="BE15" s="11">
        <v>3137</v>
      </c>
      <c r="BF15" s="11">
        <v>3135</v>
      </c>
      <c r="BG15" s="11">
        <v>3150</v>
      </c>
      <c r="BH15" s="11">
        <v>3159</v>
      </c>
      <c r="BI15" s="11">
        <v>3177</v>
      </c>
      <c r="BJ15" s="11">
        <v>3156</v>
      </c>
      <c r="BK15" s="11">
        <v>3113</v>
      </c>
      <c r="BL15" s="11">
        <v>3021</v>
      </c>
      <c r="BM15" s="11">
        <v>2885</v>
      </c>
      <c r="BN15" s="11">
        <v>2741</v>
      </c>
      <c r="BO15" s="11">
        <v>2613</v>
      </c>
      <c r="BP15" s="11">
        <v>2490</v>
      </c>
      <c r="BQ15" s="11">
        <v>2385</v>
      </c>
      <c r="BR15" s="11">
        <v>2293</v>
      </c>
      <c r="BS15" s="11">
        <v>2179</v>
      </c>
      <c r="BT15" s="11">
        <v>2083</v>
      </c>
      <c r="BU15" s="11">
        <v>2045</v>
      </c>
      <c r="BV15" s="11">
        <v>2021</v>
      </c>
      <c r="BW15" s="11">
        <v>2004</v>
      </c>
      <c r="BX15" s="11">
        <v>2002</v>
      </c>
      <c r="BY15" s="11">
        <v>2049</v>
      </c>
      <c r="BZ15" s="11">
        <v>2158</v>
      </c>
      <c r="CA15" s="11">
        <v>2306</v>
      </c>
      <c r="CB15" s="11">
        <v>2492</v>
      </c>
      <c r="CC15" s="11">
        <v>2624</v>
      </c>
      <c r="CD15" s="11">
        <v>2697</v>
      </c>
      <c r="CE15" s="11">
        <v>2762</v>
      </c>
      <c r="CF15" s="11">
        <v>2777</v>
      </c>
      <c r="CG15" s="11">
        <v>2815</v>
      </c>
      <c r="CH15" s="11">
        <v>2932</v>
      </c>
      <c r="CI15" s="11">
        <v>3004</v>
      </c>
      <c r="CJ15" s="11">
        <v>2931</v>
      </c>
      <c r="CK15" s="11">
        <v>2890</v>
      </c>
      <c r="CL15" s="11">
        <v>2892</v>
      </c>
      <c r="CM15" s="11">
        <v>2806</v>
      </c>
      <c r="CN15" s="11">
        <v>2736</v>
      </c>
      <c r="CO15" s="11">
        <v>2639</v>
      </c>
      <c r="CP15" s="11">
        <v>2521</v>
      </c>
      <c r="CQ15" s="11">
        <v>2497</v>
      </c>
      <c r="CR15" s="11">
        <v>2445</v>
      </c>
      <c r="CS15" s="11">
        <v>2447</v>
      </c>
      <c r="CT15" s="11">
        <v>2353</v>
      </c>
      <c r="CU15" s="11">
        <v>2330</v>
      </c>
      <c r="CV15" s="11">
        <v>2340</v>
      </c>
      <c r="CW15" s="11">
        <v>2285</v>
      </c>
      <c r="CX15" s="11">
        <v>2229</v>
      </c>
      <c r="CY15" s="11">
        <v>2085</v>
      </c>
      <c r="CZ15" s="11">
        <v>2051</v>
      </c>
      <c r="DA15" s="11">
        <v>1951</v>
      </c>
      <c r="DB15" s="11">
        <v>1864</v>
      </c>
      <c r="DC15" s="11">
        <v>1813</v>
      </c>
      <c r="DD15" s="11">
        <v>1791</v>
      </c>
      <c r="DE15" s="11">
        <v>1786</v>
      </c>
      <c r="DF15" s="11">
        <v>1764</v>
      </c>
      <c r="DG15" s="11">
        <v>1780</v>
      </c>
      <c r="DH15" s="11">
        <v>1743</v>
      </c>
      <c r="DI15" s="11">
        <v>1702</v>
      </c>
      <c r="DJ15" s="11">
        <v>1684</v>
      </c>
      <c r="DK15" s="11">
        <v>1682</v>
      </c>
      <c r="DL15" s="11">
        <v>1599</v>
      </c>
      <c r="DM15" s="11">
        <v>1548</v>
      </c>
      <c r="DN15" s="11">
        <v>1520</v>
      </c>
      <c r="DO15" s="11">
        <v>1481</v>
      </c>
      <c r="DP15" s="11">
        <v>1468</v>
      </c>
      <c r="DQ15" s="11">
        <v>1487</v>
      </c>
      <c r="DR15" s="11">
        <v>1520</v>
      </c>
      <c r="DS15" s="11">
        <v>1515</v>
      </c>
      <c r="DT15" s="11">
        <v>1520</v>
      </c>
      <c r="DU15" s="11">
        <v>1566</v>
      </c>
      <c r="DV15" s="11">
        <v>1516</v>
      </c>
      <c r="DW15" s="11">
        <v>1531</v>
      </c>
      <c r="DX15" s="11">
        <v>1467</v>
      </c>
      <c r="DY15" s="11">
        <v>1502</v>
      </c>
      <c r="DZ15" s="11">
        <v>1457</v>
      </c>
      <c r="EA15" s="11">
        <v>1434</v>
      </c>
      <c r="EB15" s="11">
        <v>1437</v>
      </c>
      <c r="EC15" s="11">
        <v>1401</v>
      </c>
      <c r="ED15" s="11">
        <v>1423</v>
      </c>
      <c r="EE15" s="11">
        <v>1416</v>
      </c>
      <c r="EF15" s="11">
        <v>1437</v>
      </c>
      <c r="EG15" s="11">
        <v>1437</v>
      </c>
      <c r="EH15" s="11">
        <v>1567</v>
      </c>
      <c r="EI15" s="11">
        <v>1604</v>
      </c>
      <c r="EJ15" s="11">
        <v>1685</v>
      </c>
      <c r="EK15" s="11">
        <v>1693</v>
      </c>
      <c r="EL15" s="11">
        <v>1701</v>
      </c>
      <c r="EM15" s="11">
        <v>1704</v>
      </c>
      <c r="EN15" s="11">
        <v>1658</v>
      </c>
      <c r="EO15" s="11">
        <v>1650</v>
      </c>
      <c r="EP15" s="11">
        <v>1608</v>
      </c>
      <c r="EQ15" s="11">
        <v>1622</v>
      </c>
      <c r="ER15" s="11">
        <v>1680</v>
      </c>
      <c r="ES15" s="11">
        <v>1840</v>
      </c>
      <c r="ET15" s="11">
        <v>2003</v>
      </c>
      <c r="EU15" s="11">
        <v>2235</v>
      </c>
      <c r="EV15" s="11">
        <v>2448</v>
      </c>
      <c r="EW15" s="11">
        <v>2475</v>
      </c>
      <c r="EX15" s="11">
        <v>2453</v>
      </c>
      <c r="EY15" s="11">
        <v>2526</v>
      </c>
      <c r="EZ15" s="11">
        <v>2488</v>
      </c>
      <c r="FA15" s="11">
        <v>2470</v>
      </c>
      <c r="FB15" s="11">
        <v>2503</v>
      </c>
      <c r="FC15" s="11">
        <v>2483</v>
      </c>
      <c r="FD15" s="11">
        <v>2540</v>
      </c>
      <c r="FE15" s="11">
        <v>2662</v>
      </c>
      <c r="FF15" s="11">
        <v>2690</v>
      </c>
      <c r="FG15" s="11">
        <v>2636</v>
      </c>
      <c r="FH15" s="11">
        <v>2579</v>
      </c>
      <c r="FI15" s="11">
        <v>2542</v>
      </c>
      <c r="FJ15" s="11">
        <v>2540</v>
      </c>
      <c r="FK15" s="11">
        <v>2547</v>
      </c>
      <c r="FL15" s="11">
        <v>2523</v>
      </c>
      <c r="FM15" s="11">
        <v>2492</v>
      </c>
      <c r="FN15" s="11">
        <v>2368</v>
      </c>
      <c r="FO15" s="11">
        <v>2223</v>
      </c>
      <c r="FP15" s="11">
        <v>2073</v>
      </c>
      <c r="FQ15" s="11">
        <v>1974</v>
      </c>
      <c r="FR15" s="11">
        <v>1883</v>
      </c>
      <c r="FS15" s="11">
        <v>1840</v>
      </c>
      <c r="FT15" s="11">
        <v>1863</v>
      </c>
      <c r="FU15" s="11">
        <v>1776</v>
      </c>
      <c r="FV15" s="11">
        <v>1705</v>
      </c>
      <c r="FW15" s="11">
        <v>1705</v>
      </c>
      <c r="FX15" s="11">
        <v>1663</v>
      </c>
      <c r="FY15" s="11">
        <v>1638</v>
      </c>
      <c r="FZ15" s="11">
        <v>1607</v>
      </c>
      <c r="GA15" s="11">
        <v>1551</v>
      </c>
      <c r="GB15" s="11">
        <v>1509</v>
      </c>
      <c r="GC15" s="11">
        <v>1454</v>
      </c>
      <c r="GD15" s="11">
        <v>1490</v>
      </c>
      <c r="GE15" s="11">
        <v>1445</v>
      </c>
      <c r="GF15" s="11">
        <v>1391</v>
      </c>
      <c r="GG15" s="11">
        <v>1407</v>
      </c>
      <c r="GH15" s="11">
        <v>1395</v>
      </c>
      <c r="GI15" s="11">
        <v>1331</v>
      </c>
      <c r="GJ15" s="11">
        <v>1364</v>
      </c>
      <c r="GK15" s="11">
        <v>1341</v>
      </c>
      <c r="GL15" s="11">
        <v>1326</v>
      </c>
      <c r="GM15" s="11">
        <v>1412</v>
      </c>
      <c r="GN15" s="11">
        <v>1435</v>
      </c>
      <c r="GO15" s="11">
        <v>1698</v>
      </c>
      <c r="GP15" s="11">
        <v>1815</v>
      </c>
      <c r="GQ15" s="11">
        <v>1718</v>
      </c>
      <c r="GR15" s="11">
        <v>1647</v>
      </c>
      <c r="GS15" s="11">
        <v>1501</v>
      </c>
      <c r="GT15" s="11">
        <v>1425</v>
      </c>
      <c r="GU15" s="11">
        <v>1313</v>
      </c>
      <c r="GV15" s="11">
        <v>1351</v>
      </c>
      <c r="GW15" s="11">
        <v>1283</v>
      </c>
      <c r="GX15" s="11">
        <v>1333</v>
      </c>
      <c r="GY15" s="11">
        <v>1383</v>
      </c>
      <c r="GZ15" s="11">
        <v>1460</v>
      </c>
      <c r="HA15" s="11">
        <v>1407</v>
      </c>
      <c r="HB15" s="11">
        <v>1320</v>
      </c>
      <c r="HC15" s="12">
        <v>1359.66</v>
      </c>
      <c r="HD15" s="12">
        <v>1396.68</v>
      </c>
      <c r="HE15" s="12">
        <v>1416.633</v>
      </c>
      <c r="HF15" s="12">
        <v>1424.422</v>
      </c>
      <c r="HG15" s="12">
        <v>1419.508</v>
      </c>
      <c r="HH15" s="12">
        <v>1395.0119999999999</v>
      </c>
      <c r="HI15" s="12">
        <v>1366.5</v>
      </c>
      <c r="HJ15" s="12">
        <v>1344.617</v>
      </c>
      <c r="HK15" s="12">
        <v>1329.789</v>
      </c>
      <c r="HL15" s="12">
        <v>1331.82</v>
      </c>
      <c r="HM15" s="12">
        <v>1333.711</v>
      </c>
      <c r="HN15" s="12">
        <v>1337.3130000000001</v>
      </c>
      <c r="HO15" s="12">
        <v>1340.922</v>
      </c>
      <c r="HP15" s="12">
        <v>1344.539</v>
      </c>
      <c r="HQ15" s="12">
        <v>1348.16</v>
      </c>
      <c r="HR15" s="12">
        <v>1351.8009999999999</v>
      </c>
      <c r="HS15" s="12">
        <v>1354.922</v>
      </c>
      <c r="HT15" s="12">
        <v>1358.0309999999999</v>
      </c>
      <c r="HU15" s="12">
        <v>1361.16</v>
      </c>
      <c r="HV15" s="12">
        <v>1364.2809999999999</v>
      </c>
      <c r="HW15" s="12">
        <v>1367.1479999999999</v>
      </c>
      <c r="HX15" s="12">
        <v>1369.8789999999999</v>
      </c>
      <c r="HY15" s="12">
        <v>1372.6289999999999</v>
      </c>
      <c r="HZ15" s="12">
        <v>1375.3789999999999</v>
      </c>
      <c r="IA15" s="12">
        <v>1377.9880000000001</v>
      </c>
      <c r="IB15" s="12">
        <v>1380.6089999999999</v>
      </c>
      <c r="IC15" s="12">
        <v>1383.223</v>
      </c>
      <c r="ID15" s="12">
        <v>1385.8589999999999</v>
      </c>
      <c r="IE15" s="12">
        <v>1388.3589999999999</v>
      </c>
      <c r="IF15" s="12">
        <v>1390.84</v>
      </c>
      <c r="IG15" s="12">
        <v>1393.3520000000001</v>
      </c>
      <c r="IH15" s="12">
        <v>1395.8589999999999</v>
      </c>
      <c r="II15" s="12">
        <v>1398.23</v>
      </c>
      <c r="IJ15" s="12">
        <v>1400.6089999999999</v>
      </c>
      <c r="IK15" s="12">
        <v>1402.711</v>
      </c>
      <c r="IL15" s="12">
        <v>1404.672</v>
      </c>
      <c r="IM15" s="12">
        <v>1406.6990000000001</v>
      </c>
      <c r="IN15" s="12">
        <v>1408.52</v>
      </c>
      <c r="IO15" s="12">
        <v>1410.2619999999999</v>
      </c>
      <c r="IP15" s="12">
        <v>1411.941</v>
      </c>
      <c r="IQ15" s="12">
        <v>1413.6369999999999</v>
      </c>
      <c r="IR15" s="12">
        <v>1415.3520000000001</v>
      </c>
      <c r="IS15" s="12">
        <v>1416.75</v>
      </c>
      <c r="IT15" s="12">
        <v>1418.1210000000001</v>
      </c>
      <c r="IU15" s="12">
        <v>1419.6089999999999</v>
      </c>
      <c r="IV15" s="12">
        <v>1421.09</v>
      </c>
      <c r="IW15" s="12">
        <v>1422.57</v>
      </c>
      <c r="IX15" s="12">
        <v>1424.0630000000001</v>
      </c>
      <c r="IY15" s="12">
        <v>1425.5509999999999</v>
      </c>
      <c r="IZ15" s="12">
        <v>1427.0309999999999</v>
      </c>
      <c r="JA15" s="12">
        <v>1428.5229999999999</v>
      </c>
      <c r="JB15" s="12">
        <v>1430</v>
      </c>
      <c r="JC15" s="12">
        <v>1431.48</v>
      </c>
      <c r="JD15" s="12">
        <v>1432.973</v>
      </c>
      <c r="JE15" s="12">
        <v>1434.461</v>
      </c>
      <c r="JF15" s="12">
        <v>1435.941</v>
      </c>
      <c r="JG15" s="12">
        <v>1437.43</v>
      </c>
      <c r="JH15" s="12">
        <v>1438.91</v>
      </c>
      <c r="JI15" s="12">
        <v>1440.3910000000001</v>
      </c>
      <c r="JJ15" s="12">
        <v>1441.8910000000001</v>
      </c>
      <c r="JK15" s="12">
        <v>1443.3710000000001</v>
      </c>
      <c r="JL15" s="12">
        <v>1444.8630000000001</v>
      </c>
      <c r="JM15" s="12">
        <v>1446.34</v>
      </c>
      <c r="JN15" s="12">
        <v>1447.82</v>
      </c>
      <c r="JO15" s="12">
        <v>1449.3130000000001</v>
      </c>
      <c r="JP15" s="12">
        <v>1450.8009999999999</v>
      </c>
      <c r="JQ15" s="12">
        <v>1452.2809999999999</v>
      </c>
      <c r="JR15" s="12">
        <v>1453.77</v>
      </c>
      <c r="JS15" s="12">
        <v>1455.1089999999999</v>
      </c>
      <c r="JT15" s="12">
        <v>1456.461</v>
      </c>
      <c r="JU15" s="12">
        <v>1457.7929999999999</v>
      </c>
      <c r="JV15" s="12">
        <v>1459.1289999999999</v>
      </c>
      <c r="JW15" s="12">
        <v>1460.48</v>
      </c>
      <c r="JX15" s="12">
        <v>1461.809</v>
      </c>
      <c r="JY15" s="12">
        <v>1463.152</v>
      </c>
      <c r="JZ15" s="12">
        <v>1464.5</v>
      </c>
      <c r="KA15" s="12">
        <v>1465.828</v>
      </c>
      <c r="KB15" s="12">
        <v>1467.18</v>
      </c>
      <c r="KC15" s="12">
        <v>1468.52</v>
      </c>
      <c r="KD15" s="12">
        <v>1469.848</v>
      </c>
      <c r="KE15" s="12">
        <v>1471.1990000000001</v>
      </c>
      <c r="KF15" s="12">
        <v>1472.5429999999999</v>
      </c>
      <c r="KG15" s="12">
        <v>1473.8789999999999</v>
      </c>
      <c r="KH15" s="12">
        <v>1475.2190000000001</v>
      </c>
      <c r="KI15" s="12">
        <v>1476.559</v>
      </c>
      <c r="KJ15" s="12">
        <v>1477.8910000000001</v>
      </c>
      <c r="KK15" s="12">
        <v>1479.242</v>
      </c>
      <c r="KL15" s="12">
        <v>1480.578</v>
      </c>
      <c r="KM15" s="12">
        <v>1481.91</v>
      </c>
      <c r="KN15" s="12">
        <v>1483.2619999999999</v>
      </c>
      <c r="KO15" s="12">
        <v>1484.598</v>
      </c>
      <c r="KP15" s="12">
        <v>1485.9490000000001</v>
      </c>
      <c r="KQ15" s="12">
        <v>1487.2809999999999</v>
      </c>
      <c r="KR15" s="12">
        <v>1488.6210000000001</v>
      </c>
      <c r="KS15" s="12">
        <v>1489.9690000000001</v>
      </c>
      <c r="KT15" s="12">
        <v>1491.3009999999999</v>
      </c>
      <c r="KU15" s="12">
        <v>1492.6410000000001</v>
      </c>
      <c r="KV15" s="12">
        <v>1493.98</v>
      </c>
      <c r="KW15" s="12">
        <v>1495.316</v>
      </c>
      <c r="KX15" s="12">
        <v>1496.66</v>
      </c>
      <c r="KY15" s="12">
        <v>1498.0119999999999</v>
      </c>
      <c r="KZ15" s="12">
        <v>1499.34</v>
      </c>
      <c r="LA15" s="12">
        <v>1500.68</v>
      </c>
      <c r="LB15" s="12">
        <v>1502.0309999999999</v>
      </c>
      <c r="LC15" s="12">
        <v>1503.3589999999999</v>
      </c>
      <c r="LD15" s="12">
        <v>1504.711</v>
      </c>
      <c r="LE15" s="12">
        <v>1506.0509999999999</v>
      </c>
      <c r="LF15" s="12">
        <v>1507.3789999999999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  <c r="LX15" s="12">
        <v>0</v>
      </c>
      <c r="LY15" s="12">
        <v>0</v>
      </c>
      <c r="LZ15" s="12">
        <v>0</v>
      </c>
      <c r="MA15" s="12">
        <v>0</v>
      </c>
      <c r="MB15" s="12">
        <v>0</v>
      </c>
      <c r="MC15" s="12">
        <v>0</v>
      </c>
      <c r="MD15" s="12">
        <v>0</v>
      </c>
      <c r="ME15" s="12">
        <v>0</v>
      </c>
      <c r="MF15" s="12">
        <v>0</v>
      </c>
      <c r="MG15" s="12">
        <v>0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0</v>
      </c>
      <c r="MO15" s="12">
        <v>0</v>
      </c>
      <c r="MP15" s="12">
        <v>0</v>
      </c>
      <c r="MQ15" s="12">
        <v>0</v>
      </c>
      <c r="MR15" s="12">
        <v>0</v>
      </c>
      <c r="MS15" s="12">
        <v>0</v>
      </c>
      <c r="MT15" s="12">
        <v>0</v>
      </c>
      <c r="MU15" t="s">
        <v>1205</v>
      </c>
      <c r="MV15" t="b">
        <v>1</v>
      </c>
      <c r="MW15" t="s">
        <v>1196</v>
      </c>
      <c r="MX15" t="s">
        <v>1196</v>
      </c>
      <c r="MY15">
        <v>2023</v>
      </c>
      <c r="MZ15">
        <v>4</v>
      </c>
      <c r="NA15" t="s">
        <v>1196</v>
      </c>
      <c r="NB15" t="s">
        <v>1268</v>
      </c>
      <c r="NC15" s="1" t="s">
        <v>1441</v>
      </c>
      <c r="ND15" t="s">
        <v>1200</v>
      </c>
      <c r="NE15" t="s">
        <v>1442</v>
      </c>
      <c r="NF15" s="1" t="s">
        <v>1448</v>
      </c>
    </row>
    <row r="16" spans="1:370" x14ac:dyDescent="0.25">
      <c r="A16" t="s">
        <v>1193</v>
      </c>
      <c r="B16" t="s">
        <v>1443</v>
      </c>
      <c r="C16" s="1" t="s">
        <v>1447</v>
      </c>
      <c r="D16" t="s">
        <v>1444</v>
      </c>
      <c r="E16" t="s">
        <v>1196</v>
      </c>
      <c r="F16" t="s">
        <v>1197</v>
      </c>
      <c r="G16" s="11">
        <v>3.9</v>
      </c>
      <c r="H16" s="11">
        <v>3.7</v>
      </c>
      <c r="I16" s="11">
        <v>3.6</v>
      </c>
      <c r="J16" s="11">
        <v>3.4</v>
      </c>
      <c r="K16" s="11">
        <v>3.6</v>
      </c>
      <c r="L16" s="11">
        <v>3.6</v>
      </c>
      <c r="M16" s="11">
        <v>3.7</v>
      </c>
      <c r="N16" s="11">
        <v>3.7</v>
      </c>
      <c r="O16" s="11">
        <v>4</v>
      </c>
      <c r="P16" s="11">
        <v>4.3</v>
      </c>
      <c r="Q16" s="11">
        <v>4.7</v>
      </c>
      <c r="R16" s="11">
        <v>5</v>
      </c>
      <c r="S16" s="11">
        <v>5.3</v>
      </c>
      <c r="T16" s="11">
        <v>5.4</v>
      </c>
      <c r="U16" s="11">
        <v>5.5</v>
      </c>
      <c r="V16" s="11">
        <v>5.5</v>
      </c>
      <c r="W16" s="11">
        <v>5.5</v>
      </c>
      <c r="X16" s="11">
        <v>5.5</v>
      </c>
      <c r="Y16" s="11">
        <v>5.7</v>
      </c>
      <c r="Z16" s="11">
        <v>5.7</v>
      </c>
      <c r="AA16" s="11">
        <v>5.6</v>
      </c>
      <c r="AB16" s="11">
        <v>5.6</v>
      </c>
      <c r="AC16" s="11">
        <v>5.5</v>
      </c>
      <c r="AD16" s="11">
        <v>5.4</v>
      </c>
      <c r="AE16" s="11">
        <v>5.4</v>
      </c>
      <c r="AF16" s="11">
        <v>5.3</v>
      </c>
      <c r="AG16" s="11">
        <v>5.4</v>
      </c>
      <c r="AH16" s="11">
        <v>5.5</v>
      </c>
      <c r="AI16" s="11">
        <v>5.8</v>
      </c>
      <c r="AJ16" s="11">
        <v>6.3</v>
      </c>
      <c r="AK16" s="11">
        <v>7.1</v>
      </c>
      <c r="AL16" s="11">
        <v>8</v>
      </c>
      <c r="AM16" s="11">
        <v>8.9</v>
      </c>
      <c r="AN16" s="11">
        <v>9.6</v>
      </c>
      <c r="AO16" s="11">
        <v>9.9</v>
      </c>
      <c r="AP16" s="11">
        <v>10.199999999999999</v>
      </c>
      <c r="AQ16" s="11">
        <v>10.4</v>
      </c>
      <c r="AR16" s="11">
        <v>10.6</v>
      </c>
      <c r="AS16" s="11">
        <v>10.8</v>
      </c>
      <c r="AT16" s="11">
        <v>11.1</v>
      </c>
      <c r="AU16" s="11">
        <v>11.3</v>
      </c>
      <c r="AV16" s="11">
        <v>11.4</v>
      </c>
      <c r="AW16" s="11">
        <v>11.5</v>
      </c>
      <c r="AX16" s="11">
        <v>11.7</v>
      </c>
      <c r="AY16" s="11">
        <v>11.8</v>
      </c>
      <c r="AZ16" s="11">
        <v>11.9</v>
      </c>
      <c r="BA16" s="11">
        <v>11.7</v>
      </c>
      <c r="BB16" s="11">
        <v>11.6</v>
      </c>
      <c r="BC16" s="11">
        <v>11.5</v>
      </c>
      <c r="BD16" s="11">
        <v>11.4</v>
      </c>
      <c r="BE16" s="11">
        <v>11.3</v>
      </c>
      <c r="BF16" s="11">
        <v>11.3</v>
      </c>
      <c r="BG16" s="11">
        <v>11.3</v>
      </c>
      <c r="BH16" s="11">
        <v>11.3</v>
      </c>
      <c r="BI16" s="11">
        <v>11.4</v>
      </c>
      <c r="BJ16" s="11">
        <v>11.3</v>
      </c>
      <c r="BK16" s="11">
        <v>11.1</v>
      </c>
      <c r="BL16" s="11">
        <v>10.7</v>
      </c>
      <c r="BM16" s="11">
        <v>10.199999999999999</v>
      </c>
      <c r="BN16" s="11">
        <v>9.6999999999999993</v>
      </c>
      <c r="BO16" s="11">
        <v>9.1999999999999993</v>
      </c>
      <c r="BP16" s="11">
        <v>8.6999999999999993</v>
      </c>
      <c r="BQ16" s="11">
        <v>8.4</v>
      </c>
      <c r="BR16" s="11">
        <v>8</v>
      </c>
      <c r="BS16" s="11">
        <v>7.6</v>
      </c>
      <c r="BT16" s="11">
        <v>7.2</v>
      </c>
      <c r="BU16" s="11">
        <v>7.1</v>
      </c>
      <c r="BV16" s="11">
        <v>7</v>
      </c>
      <c r="BW16" s="11">
        <v>6.9</v>
      </c>
      <c r="BX16" s="11">
        <v>6.9</v>
      </c>
      <c r="BY16" s="11">
        <v>7.1</v>
      </c>
      <c r="BZ16" s="11">
        <v>7.5</v>
      </c>
      <c r="CA16" s="11">
        <v>8</v>
      </c>
      <c r="CB16" s="11">
        <v>8.6999999999999993</v>
      </c>
      <c r="CC16" s="11">
        <v>9.1999999999999993</v>
      </c>
      <c r="CD16" s="11">
        <v>9.5</v>
      </c>
      <c r="CE16" s="11">
        <v>9.6999999999999993</v>
      </c>
      <c r="CF16" s="11">
        <v>9.8000000000000007</v>
      </c>
      <c r="CG16" s="11">
        <v>9.9</v>
      </c>
      <c r="CH16" s="11">
        <v>10.4</v>
      </c>
      <c r="CI16" s="11">
        <v>10.6</v>
      </c>
      <c r="CJ16" s="11">
        <v>10.4</v>
      </c>
      <c r="CK16" s="11">
        <v>10.199999999999999</v>
      </c>
      <c r="CL16" s="11">
        <v>10.3</v>
      </c>
      <c r="CM16" s="11">
        <v>9.9</v>
      </c>
      <c r="CN16" s="11">
        <v>9.6999999999999993</v>
      </c>
      <c r="CO16" s="11">
        <v>9.4</v>
      </c>
      <c r="CP16" s="11">
        <v>9</v>
      </c>
      <c r="CQ16" s="11">
        <v>8.9</v>
      </c>
      <c r="CR16" s="11">
        <v>8.6999999999999993</v>
      </c>
      <c r="CS16" s="11">
        <v>8.6</v>
      </c>
      <c r="CT16" s="11">
        <v>8.3000000000000007</v>
      </c>
      <c r="CU16" s="11">
        <v>8.1999999999999993</v>
      </c>
      <c r="CV16" s="11">
        <v>8.3000000000000007</v>
      </c>
      <c r="CW16" s="11">
        <v>8.1</v>
      </c>
      <c r="CX16" s="11">
        <v>7.8</v>
      </c>
      <c r="CY16" s="11">
        <v>7.3</v>
      </c>
      <c r="CZ16" s="11">
        <v>7.2</v>
      </c>
      <c r="DA16" s="11">
        <v>6.8</v>
      </c>
      <c r="DB16" s="11">
        <v>6.5</v>
      </c>
      <c r="DC16" s="11">
        <v>6.4</v>
      </c>
      <c r="DD16" s="11">
        <v>6.3</v>
      </c>
      <c r="DE16" s="11">
        <v>6.2</v>
      </c>
      <c r="DF16" s="11">
        <v>6.1</v>
      </c>
      <c r="DG16" s="11">
        <v>6.2</v>
      </c>
      <c r="DH16" s="11">
        <v>6</v>
      </c>
      <c r="DI16" s="11">
        <v>5.9</v>
      </c>
      <c r="DJ16" s="11">
        <v>5.8</v>
      </c>
      <c r="DK16" s="11">
        <v>5.8</v>
      </c>
      <c r="DL16" s="11">
        <v>5.5</v>
      </c>
      <c r="DM16" s="11">
        <v>5.3</v>
      </c>
      <c r="DN16" s="11">
        <v>5.2</v>
      </c>
      <c r="DO16" s="11">
        <v>5.0999999999999996</v>
      </c>
      <c r="DP16" s="11">
        <v>5</v>
      </c>
      <c r="DQ16" s="11">
        <v>5.0999999999999996</v>
      </c>
      <c r="DR16" s="11">
        <v>5.2</v>
      </c>
      <c r="DS16" s="11">
        <v>5.2</v>
      </c>
      <c r="DT16" s="11">
        <v>5.2</v>
      </c>
      <c r="DU16" s="11">
        <v>5.3</v>
      </c>
      <c r="DV16" s="11">
        <v>5.0999999999999996</v>
      </c>
      <c r="DW16" s="11">
        <v>5.2</v>
      </c>
      <c r="DX16" s="11">
        <v>4.9000000000000004</v>
      </c>
      <c r="DY16" s="11">
        <v>5</v>
      </c>
      <c r="DZ16" s="11">
        <v>4.9000000000000004</v>
      </c>
      <c r="EA16" s="11">
        <v>4.8</v>
      </c>
      <c r="EB16" s="11">
        <v>4.8</v>
      </c>
      <c r="EC16" s="11">
        <v>4.7</v>
      </c>
      <c r="ED16" s="11">
        <v>4.7</v>
      </c>
      <c r="EE16" s="11">
        <v>4.7</v>
      </c>
      <c r="EF16" s="11">
        <v>4.8</v>
      </c>
      <c r="EG16" s="11">
        <v>4.7</v>
      </c>
      <c r="EH16" s="11">
        <v>5.0999999999999996</v>
      </c>
      <c r="EI16" s="11">
        <v>5.2</v>
      </c>
      <c r="EJ16" s="11">
        <v>5.5</v>
      </c>
      <c r="EK16" s="11">
        <v>5.5</v>
      </c>
      <c r="EL16" s="11">
        <v>5.5</v>
      </c>
      <c r="EM16" s="11">
        <v>5.5</v>
      </c>
      <c r="EN16" s="11">
        <v>5.4</v>
      </c>
      <c r="EO16" s="11">
        <v>5.3</v>
      </c>
      <c r="EP16" s="11">
        <v>5.2</v>
      </c>
      <c r="EQ16" s="11">
        <v>5.2</v>
      </c>
      <c r="ER16" s="11">
        <v>5.4</v>
      </c>
      <c r="ES16" s="11">
        <v>5.9</v>
      </c>
      <c r="ET16" s="11">
        <v>6.4</v>
      </c>
      <c r="EU16" s="11">
        <v>7.1</v>
      </c>
      <c r="EV16" s="11">
        <v>7.8</v>
      </c>
      <c r="EW16" s="11">
        <v>7.8</v>
      </c>
      <c r="EX16" s="11">
        <v>7.8</v>
      </c>
      <c r="EY16" s="11">
        <v>8</v>
      </c>
      <c r="EZ16" s="11">
        <v>7.9</v>
      </c>
      <c r="FA16" s="11">
        <v>7.8</v>
      </c>
      <c r="FB16" s="11">
        <v>7.9</v>
      </c>
      <c r="FC16" s="11">
        <v>7.8</v>
      </c>
      <c r="FD16" s="11">
        <v>7.9</v>
      </c>
      <c r="FE16" s="11">
        <v>8.3000000000000007</v>
      </c>
      <c r="FF16" s="11">
        <v>8.4</v>
      </c>
      <c r="FG16" s="11">
        <v>8.1999999999999993</v>
      </c>
      <c r="FH16" s="11">
        <v>8</v>
      </c>
      <c r="FI16" s="11">
        <v>7.9</v>
      </c>
      <c r="FJ16" s="11">
        <v>7.8</v>
      </c>
      <c r="FK16" s="11">
        <v>7.9</v>
      </c>
      <c r="FL16" s="11">
        <v>7.8</v>
      </c>
      <c r="FM16" s="11">
        <v>7.6</v>
      </c>
      <c r="FN16" s="11">
        <v>7.2</v>
      </c>
      <c r="FO16" s="11">
        <v>6.8</v>
      </c>
      <c r="FP16" s="11">
        <v>6.3</v>
      </c>
      <c r="FQ16" s="11">
        <v>6</v>
      </c>
      <c r="FR16" s="11">
        <v>5.7</v>
      </c>
      <c r="FS16" s="11">
        <v>5.6</v>
      </c>
      <c r="FT16" s="11">
        <v>5.6</v>
      </c>
      <c r="FU16" s="11">
        <v>5.4</v>
      </c>
      <c r="FV16" s="11">
        <v>5.0999999999999996</v>
      </c>
      <c r="FW16" s="11">
        <v>5.0999999999999996</v>
      </c>
      <c r="FX16" s="11">
        <v>4.9000000000000004</v>
      </c>
      <c r="FY16" s="11">
        <v>4.9000000000000004</v>
      </c>
      <c r="FZ16" s="11">
        <v>4.8</v>
      </c>
      <c r="GA16" s="11">
        <v>4.5999999999999996</v>
      </c>
      <c r="GB16" s="11">
        <v>4.5</v>
      </c>
      <c r="GC16" s="11">
        <v>4.3</v>
      </c>
      <c r="GD16" s="11">
        <v>4.4000000000000004</v>
      </c>
      <c r="GE16" s="11">
        <v>4.3</v>
      </c>
      <c r="GF16" s="11">
        <v>4.0999999999999996</v>
      </c>
      <c r="GG16" s="11">
        <v>4.2</v>
      </c>
      <c r="GH16" s="11">
        <v>4.0999999999999996</v>
      </c>
      <c r="GI16" s="11">
        <v>3.9</v>
      </c>
      <c r="GJ16" s="11">
        <v>3.9</v>
      </c>
      <c r="GK16" s="11">
        <v>3.9</v>
      </c>
      <c r="GL16" s="11">
        <v>3.9</v>
      </c>
      <c r="GM16" s="11">
        <v>4.0999999999999996</v>
      </c>
      <c r="GN16" s="11">
        <v>4.2</v>
      </c>
      <c r="GO16" s="11">
        <v>4.9000000000000004</v>
      </c>
      <c r="GP16" s="11">
        <v>5.3</v>
      </c>
      <c r="GQ16" s="11">
        <v>5.0999999999999996</v>
      </c>
      <c r="GR16" s="11">
        <v>4.8</v>
      </c>
      <c r="GS16" s="11">
        <v>4.4000000000000004</v>
      </c>
      <c r="GT16" s="11">
        <v>4.2</v>
      </c>
      <c r="GU16" s="11">
        <v>3.9</v>
      </c>
      <c r="GV16" s="11">
        <v>3.9</v>
      </c>
      <c r="GW16" s="11">
        <v>3.8</v>
      </c>
      <c r="GX16" s="11">
        <v>3.9</v>
      </c>
      <c r="GY16" s="11">
        <v>3.9</v>
      </c>
      <c r="GZ16" s="11">
        <v>4.2</v>
      </c>
      <c r="HA16" s="11">
        <v>4.0999999999999996</v>
      </c>
      <c r="HB16" s="11">
        <v>3.8</v>
      </c>
      <c r="HC16" s="12">
        <v>3.9471409999999998</v>
      </c>
      <c r="HD16" s="12">
        <v>4.0429279999999999</v>
      </c>
      <c r="HE16" s="12">
        <v>4.0907939999999998</v>
      </c>
      <c r="HF16" s="12">
        <v>4.100346</v>
      </c>
      <c r="HG16" s="12">
        <v>4.0716679999999998</v>
      </c>
      <c r="HH16" s="12">
        <v>3.9856569999999998</v>
      </c>
      <c r="HI16" s="12">
        <v>3.8899970000000001</v>
      </c>
      <c r="HJ16" s="12">
        <v>3.8134039999999998</v>
      </c>
      <c r="HK16" s="12">
        <v>3.7596959999999999</v>
      </c>
      <c r="HL16" s="12">
        <v>3.7549190000000001</v>
      </c>
      <c r="HM16" s="12">
        <v>3.7501250000000002</v>
      </c>
      <c r="HN16" s="12">
        <v>3.750127</v>
      </c>
      <c r="HO16" s="12">
        <v>3.7501220000000002</v>
      </c>
      <c r="HP16" s="12">
        <v>3.7501129999999998</v>
      </c>
      <c r="HQ16" s="12">
        <v>3.7500879999999999</v>
      </c>
      <c r="HR16" s="12">
        <v>3.7500900000000001</v>
      </c>
      <c r="HS16" s="12">
        <v>3.7501220000000002</v>
      </c>
      <c r="HT16" s="12">
        <v>3.7501030000000002</v>
      </c>
      <c r="HU16" s="12">
        <v>3.7501180000000001</v>
      </c>
      <c r="HV16" s="12">
        <v>3.750092</v>
      </c>
      <c r="HW16" s="12">
        <v>3.7500979999999999</v>
      </c>
      <c r="HX16" s="12">
        <v>3.7500879999999999</v>
      </c>
      <c r="HY16" s="12">
        <v>3.7501159999999998</v>
      </c>
      <c r="HZ16" s="12">
        <v>3.7501280000000001</v>
      </c>
      <c r="IA16" s="12">
        <v>3.7501180000000001</v>
      </c>
      <c r="IB16" s="12">
        <v>3.7501250000000002</v>
      </c>
      <c r="IC16" s="12">
        <v>3.7500990000000001</v>
      </c>
      <c r="ID16" s="12">
        <v>3.7501220000000002</v>
      </c>
      <c r="IE16" s="12">
        <v>3.7501359999999999</v>
      </c>
      <c r="IF16" s="12">
        <v>3.7500870000000002</v>
      </c>
      <c r="IG16" s="12">
        <v>3.7501090000000001</v>
      </c>
      <c r="IH16" s="12">
        <v>3.750108</v>
      </c>
      <c r="II16" s="12">
        <v>3.7501030000000002</v>
      </c>
      <c r="IJ16" s="12">
        <v>3.7501090000000001</v>
      </c>
      <c r="IK16" s="12">
        <v>3.7501099999999998</v>
      </c>
      <c r="IL16" s="12">
        <v>3.7501030000000002</v>
      </c>
      <c r="IM16" s="12">
        <v>3.7501090000000001</v>
      </c>
      <c r="IN16" s="12">
        <v>3.7501180000000001</v>
      </c>
      <c r="IO16" s="12">
        <v>3.750124</v>
      </c>
      <c r="IP16" s="12">
        <v>3.750105</v>
      </c>
      <c r="IQ16" s="12">
        <v>3.7500979999999999</v>
      </c>
      <c r="IR16" s="12">
        <v>3.7500969999999998</v>
      </c>
      <c r="IS16" s="12">
        <v>3.750095</v>
      </c>
      <c r="IT16" s="12">
        <v>3.7500100000000001</v>
      </c>
      <c r="IU16" s="12">
        <v>3.7500170000000002</v>
      </c>
      <c r="IV16" s="12">
        <v>3.7500040000000001</v>
      </c>
      <c r="IW16" s="12">
        <v>3.7499910000000001</v>
      </c>
      <c r="IX16" s="12">
        <v>3.7500079999999998</v>
      </c>
      <c r="IY16" s="12">
        <v>3.7500149999999999</v>
      </c>
      <c r="IZ16" s="12">
        <v>3.7500019999999998</v>
      </c>
      <c r="JA16" s="12">
        <v>3.750019</v>
      </c>
      <c r="JB16" s="12">
        <v>3.7499959999999999</v>
      </c>
      <c r="JC16" s="12">
        <v>3.749984</v>
      </c>
      <c r="JD16" s="12">
        <v>3.75</v>
      </c>
      <c r="JE16" s="12">
        <v>3.7500079999999998</v>
      </c>
      <c r="JF16" s="12">
        <v>3.7499950000000002</v>
      </c>
      <c r="JG16" s="12">
        <v>3.7500019999999998</v>
      </c>
      <c r="JH16" s="12">
        <v>3.7499889999999998</v>
      </c>
      <c r="JI16" s="12">
        <v>3.7499760000000002</v>
      </c>
      <c r="JJ16" s="12">
        <v>3.750013</v>
      </c>
      <c r="JK16" s="12">
        <v>3.75</v>
      </c>
      <c r="JL16" s="12">
        <v>3.7500170000000002</v>
      </c>
      <c r="JM16" s="12">
        <v>3.749994</v>
      </c>
      <c r="JN16" s="12">
        <v>3.7499820000000001</v>
      </c>
      <c r="JO16" s="12">
        <v>3.7499980000000002</v>
      </c>
      <c r="JP16" s="12">
        <v>3.750006</v>
      </c>
      <c r="JQ16" s="12">
        <v>3.7499929999999999</v>
      </c>
      <c r="JR16" s="12">
        <v>3.75</v>
      </c>
      <c r="JS16" s="12">
        <v>3.7499989999999999</v>
      </c>
      <c r="JT16" s="12">
        <v>3.7500270000000002</v>
      </c>
      <c r="JU16" s="12">
        <v>3.7500049999999998</v>
      </c>
      <c r="JV16" s="12">
        <v>3.7499950000000002</v>
      </c>
      <c r="JW16" s="12">
        <v>3.7500230000000001</v>
      </c>
      <c r="JX16" s="12">
        <v>3.7499920000000002</v>
      </c>
      <c r="JY16" s="12">
        <v>3.75</v>
      </c>
      <c r="JZ16" s="12">
        <v>3.750019</v>
      </c>
      <c r="KA16" s="12">
        <v>3.7499880000000001</v>
      </c>
      <c r="KB16" s="12">
        <v>3.7500149999999999</v>
      </c>
      <c r="KC16" s="12">
        <v>3.7500140000000002</v>
      </c>
      <c r="KD16" s="12">
        <v>3.749984</v>
      </c>
      <c r="KE16" s="12">
        <v>3.7500110000000002</v>
      </c>
      <c r="KF16" s="12">
        <v>3.7500200000000001</v>
      </c>
      <c r="KG16" s="12">
        <v>3.7500089999999999</v>
      </c>
      <c r="KH16" s="12">
        <v>3.7500070000000001</v>
      </c>
      <c r="KI16" s="12">
        <v>3.750006</v>
      </c>
      <c r="KJ16" s="12">
        <v>3.7499850000000001</v>
      </c>
      <c r="KK16" s="12">
        <v>3.750013</v>
      </c>
      <c r="KL16" s="12">
        <v>3.7500019999999998</v>
      </c>
      <c r="KM16" s="12">
        <v>3.749981</v>
      </c>
      <c r="KN16" s="12">
        <v>3.7500089999999999</v>
      </c>
      <c r="KO16" s="12">
        <v>3.7499980000000002</v>
      </c>
      <c r="KP16" s="12">
        <v>3.7500260000000001</v>
      </c>
      <c r="KQ16" s="12">
        <v>3.7500049999999998</v>
      </c>
      <c r="KR16" s="12">
        <v>3.7500040000000001</v>
      </c>
      <c r="KS16" s="12">
        <v>3.750022</v>
      </c>
      <c r="KT16" s="12">
        <v>3.7500010000000001</v>
      </c>
      <c r="KU16" s="12">
        <v>3.75</v>
      </c>
      <c r="KV16" s="12">
        <v>3.7499980000000002</v>
      </c>
      <c r="KW16" s="12">
        <v>3.749987</v>
      </c>
      <c r="KX16" s="12">
        <v>3.7499959999999999</v>
      </c>
      <c r="KY16" s="12">
        <v>3.7500230000000001</v>
      </c>
      <c r="KZ16" s="12">
        <v>3.7499929999999999</v>
      </c>
      <c r="LA16" s="12">
        <v>3.7499920000000002</v>
      </c>
      <c r="LB16" s="12">
        <v>3.750019</v>
      </c>
      <c r="LC16" s="12">
        <v>3.7499889999999998</v>
      </c>
      <c r="LD16" s="12">
        <v>3.750016</v>
      </c>
      <c r="LE16" s="12">
        <v>3.7500149999999999</v>
      </c>
      <c r="LF16" s="12">
        <v>3.7499850000000001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t="s">
        <v>1205</v>
      </c>
      <c r="MV16" t="b">
        <v>1</v>
      </c>
      <c r="MW16" t="s">
        <v>1196</v>
      </c>
      <c r="MX16" t="s">
        <v>1196</v>
      </c>
      <c r="MY16">
        <v>2023</v>
      </c>
      <c r="MZ16">
        <v>4</v>
      </c>
      <c r="NA16" t="s">
        <v>1196</v>
      </c>
      <c r="NB16" t="s">
        <v>1291</v>
      </c>
      <c r="NC16" s="1" t="s">
        <v>1445</v>
      </c>
      <c r="ND16" t="s">
        <v>1200</v>
      </c>
      <c r="NE16" t="s">
        <v>1446</v>
      </c>
      <c r="NF16" s="1" t="s">
        <v>1448</v>
      </c>
    </row>
    <row r="17" spans="1:370" x14ac:dyDescent="0.25">
      <c r="A17" t="s">
        <v>1193</v>
      </c>
      <c r="B17" s="1" t="s">
        <v>1435</v>
      </c>
      <c r="C17" s="1" t="s">
        <v>1449</v>
      </c>
      <c r="D17" t="s">
        <v>1436</v>
      </c>
      <c r="E17" t="s">
        <v>1437</v>
      </c>
      <c r="F17" t="s">
        <v>1197</v>
      </c>
      <c r="G17" s="11">
        <v>24903</v>
      </c>
      <c r="H17" s="11">
        <v>24986</v>
      </c>
      <c r="I17" s="11">
        <v>24972</v>
      </c>
      <c r="J17" s="11">
        <v>24999</v>
      </c>
      <c r="K17" s="11">
        <v>24984</v>
      </c>
      <c r="L17" s="11">
        <v>25002</v>
      </c>
      <c r="M17" s="11">
        <v>25066</v>
      </c>
      <c r="N17" s="11">
        <v>25065</v>
      </c>
      <c r="O17" s="11">
        <v>24996</v>
      </c>
      <c r="P17" s="11">
        <v>24955</v>
      </c>
      <c r="Q17" s="11">
        <v>24918</v>
      </c>
      <c r="R17" s="11">
        <v>24864</v>
      </c>
      <c r="S17" s="11">
        <v>24809</v>
      </c>
      <c r="T17" s="11">
        <v>24779</v>
      </c>
      <c r="U17" s="11">
        <v>24768</v>
      </c>
      <c r="V17" s="11">
        <v>24788</v>
      </c>
      <c r="W17" s="11">
        <v>24803</v>
      </c>
      <c r="X17" s="11">
        <v>24802</v>
      </c>
      <c r="Y17" s="11">
        <v>24809</v>
      </c>
      <c r="Z17" s="11">
        <v>24822</v>
      </c>
      <c r="AA17" s="11">
        <v>24862</v>
      </c>
      <c r="AB17" s="11">
        <v>24897</v>
      </c>
      <c r="AC17" s="11">
        <v>24941</v>
      </c>
      <c r="AD17" s="11">
        <v>25059</v>
      </c>
      <c r="AE17" s="11">
        <v>25113</v>
      </c>
      <c r="AF17" s="11">
        <v>25159</v>
      </c>
      <c r="AG17" s="11">
        <v>25229</v>
      </c>
      <c r="AH17" s="11">
        <v>25280</v>
      </c>
      <c r="AI17" s="11">
        <v>25250</v>
      </c>
      <c r="AJ17" s="11">
        <v>25190</v>
      </c>
      <c r="AK17" s="11">
        <v>25050</v>
      </c>
      <c r="AL17" s="11">
        <v>24855</v>
      </c>
      <c r="AM17" s="11">
        <v>24661</v>
      </c>
      <c r="AN17" s="11">
        <v>24495</v>
      </c>
      <c r="AO17" s="11">
        <v>24355</v>
      </c>
      <c r="AP17" s="11">
        <v>24209</v>
      </c>
      <c r="AQ17" s="11">
        <v>24120</v>
      </c>
      <c r="AR17" s="11">
        <v>24027</v>
      </c>
      <c r="AS17" s="11">
        <v>23901</v>
      </c>
      <c r="AT17" s="11">
        <v>23755</v>
      </c>
      <c r="AU17" s="11">
        <v>23651</v>
      </c>
      <c r="AV17" s="11">
        <v>23647</v>
      </c>
      <c r="AW17" s="11">
        <v>23809</v>
      </c>
      <c r="AX17" s="11">
        <v>23994</v>
      </c>
      <c r="AY17" s="11">
        <v>24125</v>
      </c>
      <c r="AZ17" s="11">
        <v>24245</v>
      </c>
      <c r="BA17" s="11">
        <v>24335</v>
      </c>
      <c r="BB17" s="11">
        <v>24435</v>
      </c>
      <c r="BC17" s="11">
        <v>24515</v>
      </c>
      <c r="BD17" s="11">
        <v>24570</v>
      </c>
      <c r="BE17" s="11">
        <v>24625</v>
      </c>
      <c r="BF17" s="11">
        <v>24660</v>
      </c>
      <c r="BG17" s="11">
        <v>24670</v>
      </c>
      <c r="BH17" s="11">
        <v>24695</v>
      </c>
      <c r="BI17" s="11">
        <v>24770</v>
      </c>
      <c r="BJ17" s="11">
        <v>24850</v>
      </c>
      <c r="BK17" s="11">
        <v>24925</v>
      </c>
      <c r="BL17" s="11">
        <v>25110</v>
      </c>
      <c r="BM17" s="11">
        <v>25345</v>
      </c>
      <c r="BN17" s="11">
        <v>25575</v>
      </c>
      <c r="BO17" s="11">
        <v>25795</v>
      </c>
      <c r="BP17" s="11">
        <v>25970</v>
      </c>
      <c r="BQ17" s="11">
        <v>26160</v>
      </c>
      <c r="BR17" s="11">
        <v>26355</v>
      </c>
      <c r="BS17" s="11">
        <v>26590</v>
      </c>
      <c r="BT17" s="11">
        <v>26730</v>
      </c>
      <c r="BU17" s="11">
        <v>26795</v>
      </c>
      <c r="BV17" s="11">
        <v>26880</v>
      </c>
      <c r="BW17" s="11">
        <v>26900</v>
      </c>
      <c r="BX17" s="11">
        <v>26935</v>
      </c>
      <c r="BY17" s="11">
        <v>26900</v>
      </c>
      <c r="BZ17" s="11">
        <v>26750</v>
      </c>
      <c r="CA17" s="11">
        <v>26530</v>
      </c>
      <c r="CB17" s="11">
        <v>26275</v>
      </c>
      <c r="CC17" s="11">
        <v>26025</v>
      </c>
      <c r="CD17" s="11">
        <v>25820</v>
      </c>
      <c r="CE17" s="11">
        <v>25710</v>
      </c>
      <c r="CF17" s="11">
        <v>25605</v>
      </c>
      <c r="CG17" s="11">
        <v>25509</v>
      </c>
      <c r="CH17" s="11">
        <v>25336</v>
      </c>
      <c r="CI17" s="11">
        <v>25282</v>
      </c>
      <c r="CJ17" s="11">
        <v>25293</v>
      </c>
      <c r="CK17" s="11">
        <v>25316</v>
      </c>
      <c r="CL17" s="11">
        <v>25320</v>
      </c>
      <c r="CM17" s="11">
        <v>25408</v>
      </c>
      <c r="CN17" s="11">
        <v>25451</v>
      </c>
      <c r="CO17" s="11">
        <v>25559</v>
      </c>
      <c r="CP17" s="11">
        <v>25600</v>
      </c>
      <c r="CQ17" s="11">
        <v>25670</v>
      </c>
      <c r="CR17" s="11">
        <v>25770</v>
      </c>
      <c r="CS17" s="11">
        <v>25852</v>
      </c>
      <c r="CT17" s="11">
        <v>25982</v>
      </c>
      <c r="CU17" s="11">
        <v>25970</v>
      </c>
      <c r="CV17" s="11">
        <v>26009</v>
      </c>
      <c r="CW17" s="11">
        <v>26062</v>
      </c>
      <c r="CX17" s="11">
        <v>26198</v>
      </c>
      <c r="CY17" s="11">
        <v>26381</v>
      </c>
      <c r="CZ17" s="11">
        <v>26514</v>
      </c>
      <c r="DA17" s="11">
        <v>26572</v>
      </c>
      <c r="DB17" s="11">
        <v>26636</v>
      </c>
      <c r="DC17" s="11">
        <v>26677</v>
      </c>
      <c r="DD17" s="11">
        <v>26714</v>
      </c>
      <c r="DE17" s="11">
        <v>26834</v>
      </c>
      <c r="DF17" s="11">
        <v>26955</v>
      </c>
      <c r="DG17" s="11">
        <v>27036</v>
      </c>
      <c r="DH17" s="11">
        <v>27095</v>
      </c>
      <c r="DI17" s="11">
        <v>27218</v>
      </c>
      <c r="DJ17" s="11">
        <v>27322</v>
      </c>
      <c r="DK17" s="11">
        <v>27362</v>
      </c>
      <c r="DL17" s="11">
        <v>27468</v>
      </c>
      <c r="DM17" s="11">
        <v>27555</v>
      </c>
      <c r="DN17" s="11">
        <v>27549</v>
      </c>
      <c r="DO17" s="11">
        <v>27623</v>
      </c>
      <c r="DP17" s="11">
        <v>27707</v>
      </c>
      <c r="DQ17" s="11">
        <v>27715</v>
      </c>
      <c r="DR17" s="11">
        <v>27803</v>
      </c>
      <c r="DS17" s="11">
        <v>27797</v>
      </c>
      <c r="DT17" s="11">
        <v>27933</v>
      </c>
      <c r="DU17" s="11">
        <v>27935</v>
      </c>
      <c r="DV17" s="11">
        <v>28110</v>
      </c>
      <c r="DW17" s="11">
        <v>28099</v>
      </c>
      <c r="DX17" s="11">
        <v>28226</v>
      </c>
      <c r="DY17" s="11">
        <v>28256</v>
      </c>
      <c r="DZ17" s="11">
        <v>28304</v>
      </c>
      <c r="EA17" s="11">
        <v>28459</v>
      </c>
      <c r="EB17" s="11">
        <v>28470</v>
      </c>
      <c r="EC17" s="11">
        <v>28518</v>
      </c>
      <c r="ED17" s="11">
        <v>28673</v>
      </c>
      <c r="EE17" s="11">
        <v>28789</v>
      </c>
      <c r="EF17" s="11">
        <v>28802</v>
      </c>
      <c r="EG17" s="11">
        <v>28928</v>
      </c>
      <c r="EH17" s="11">
        <v>28880</v>
      </c>
      <c r="EI17" s="11">
        <v>29048</v>
      </c>
      <c r="EJ17" s="11">
        <v>29106</v>
      </c>
      <c r="EK17" s="11">
        <v>29183</v>
      </c>
      <c r="EL17" s="11">
        <v>29214</v>
      </c>
      <c r="EM17" s="11">
        <v>29194</v>
      </c>
      <c r="EN17" s="11">
        <v>29322</v>
      </c>
      <c r="EO17" s="11">
        <v>29420</v>
      </c>
      <c r="EP17" s="11">
        <v>29576</v>
      </c>
      <c r="EQ17" s="11">
        <v>29684</v>
      </c>
      <c r="ER17" s="11">
        <v>29722</v>
      </c>
      <c r="ES17" s="11">
        <v>29580</v>
      </c>
      <c r="ET17" s="11">
        <v>29528</v>
      </c>
      <c r="EU17" s="11">
        <v>29366</v>
      </c>
      <c r="EV17" s="11">
        <v>29087</v>
      </c>
      <c r="EW17" s="11">
        <v>29069</v>
      </c>
      <c r="EX17" s="11">
        <v>29102</v>
      </c>
      <c r="EY17" s="11">
        <v>29013</v>
      </c>
      <c r="EZ17" s="11">
        <v>29192</v>
      </c>
      <c r="FA17" s="11">
        <v>29385</v>
      </c>
      <c r="FB17" s="11">
        <v>29324</v>
      </c>
      <c r="FC17" s="11">
        <v>29441</v>
      </c>
      <c r="FD17" s="11">
        <v>29447</v>
      </c>
      <c r="FE17" s="11">
        <v>29281</v>
      </c>
      <c r="FF17" s="11">
        <v>29342</v>
      </c>
      <c r="FG17" s="11">
        <v>29454</v>
      </c>
      <c r="FH17" s="11">
        <v>29667</v>
      </c>
      <c r="FI17" s="11">
        <v>29759</v>
      </c>
      <c r="FJ17" s="11">
        <v>29908</v>
      </c>
      <c r="FK17" s="11">
        <v>29839</v>
      </c>
      <c r="FL17" s="11">
        <v>29938</v>
      </c>
      <c r="FM17" s="11">
        <v>30106</v>
      </c>
      <c r="FN17" s="11">
        <v>30290</v>
      </c>
      <c r="FO17" s="11">
        <v>30532</v>
      </c>
      <c r="FP17" s="11">
        <v>30705</v>
      </c>
      <c r="FQ17" s="11">
        <v>30833</v>
      </c>
      <c r="FR17" s="11">
        <v>30944</v>
      </c>
      <c r="FS17" s="11">
        <v>31156</v>
      </c>
      <c r="FT17" s="11">
        <v>31110</v>
      </c>
      <c r="FU17" s="11">
        <v>31333</v>
      </c>
      <c r="FV17" s="11">
        <v>31540</v>
      </c>
      <c r="FW17" s="11">
        <v>31572</v>
      </c>
      <c r="FX17" s="11">
        <v>31747</v>
      </c>
      <c r="FY17" s="11">
        <v>31810</v>
      </c>
      <c r="FZ17" s="11">
        <v>31845</v>
      </c>
      <c r="GA17" s="11">
        <v>31946</v>
      </c>
      <c r="GB17" s="11">
        <v>32065</v>
      </c>
      <c r="GC17" s="11">
        <v>32063</v>
      </c>
      <c r="GD17" s="11">
        <v>32154</v>
      </c>
      <c r="GE17" s="11">
        <v>32343</v>
      </c>
      <c r="GF17" s="11">
        <v>32386</v>
      </c>
      <c r="GG17" s="11">
        <v>32431</v>
      </c>
      <c r="GH17" s="11">
        <v>32597</v>
      </c>
      <c r="GI17" s="11">
        <v>32697</v>
      </c>
      <c r="GJ17" s="11">
        <v>32811</v>
      </c>
      <c r="GK17" s="11">
        <v>32753</v>
      </c>
      <c r="GL17" s="11">
        <v>32934</v>
      </c>
      <c r="GM17" s="11">
        <v>32984</v>
      </c>
      <c r="GN17" s="11">
        <v>32560</v>
      </c>
      <c r="GO17" s="11">
        <v>32333</v>
      </c>
      <c r="GP17" s="11">
        <v>32159</v>
      </c>
      <c r="GQ17" s="11">
        <v>32165</v>
      </c>
      <c r="GR17" s="11">
        <v>32303</v>
      </c>
      <c r="GS17" s="11">
        <v>32592</v>
      </c>
      <c r="GT17" s="11">
        <v>32567</v>
      </c>
      <c r="GU17" s="11">
        <v>32632</v>
      </c>
      <c r="GV17" s="11">
        <v>32792</v>
      </c>
      <c r="GW17" s="11">
        <v>32739</v>
      </c>
      <c r="GX17" s="11">
        <v>32813</v>
      </c>
      <c r="GY17" s="11">
        <v>32995</v>
      </c>
      <c r="GZ17" s="11">
        <v>32929</v>
      </c>
      <c r="HA17" s="12">
        <v>32881.589999999997</v>
      </c>
      <c r="HB17" s="12">
        <v>32842.79</v>
      </c>
      <c r="HC17" s="12">
        <v>32813.21</v>
      </c>
      <c r="HD17" s="12">
        <v>32787</v>
      </c>
      <c r="HE17" s="12">
        <v>32783.730000000003</v>
      </c>
      <c r="HF17" s="12">
        <v>32800.11</v>
      </c>
      <c r="HG17" s="12">
        <v>32876.199999999997</v>
      </c>
      <c r="HH17" s="12">
        <v>32984.71</v>
      </c>
      <c r="HI17" s="12">
        <v>33126.550000000003</v>
      </c>
      <c r="HJ17" s="12">
        <v>33269</v>
      </c>
      <c r="HK17" s="12">
        <v>33408.720000000001</v>
      </c>
      <c r="HL17" s="12">
        <v>33485.58</v>
      </c>
      <c r="HM17" s="12">
        <v>33537.480000000003</v>
      </c>
      <c r="HN17" s="12">
        <v>33596.15</v>
      </c>
      <c r="HO17" s="12">
        <v>33660.82</v>
      </c>
      <c r="HP17" s="12">
        <v>33738.239999999998</v>
      </c>
      <c r="HQ17" s="12">
        <v>33805.72</v>
      </c>
      <c r="HR17" s="12">
        <v>33878.400000000001</v>
      </c>
      <c r="HS17" s="12">
        <v>33942.769999999997</v>
      </c>
      <c r="HT17" s="12">
        <v>34010.660000000003</v>
      </c>
      <c r="HU17" s="12">
        <v>34075.279999999999</v>
      </c>
      <c r="HV17" s="12">
        <v>34136.61</v>
      </c>
      <c r="HW17" s="12">
        <v>34196.35</v>
      </c>
      <c r="HX17" s="12">
        <v>34247.99</v>
      </c>
      <c r="HY17" s="12">
        <v>34282.230000000003</v>
      </c>
      <c r="HZ17" s="12">
        <v>34314.800000000003</v>
      </c>
      <c r="IA17" s="12">
        <v>34343.97</v>
      </c>
      <c r="IB17" s="12">
        <v>34371.449999999997</v>
      </c>
      <c r="IC17" s="12">
        <v>34397.230000000003</v>
      </c>
      <c r="ID17" s="12">
        <v>34418.230000000003</v>
      </c>
      <c r="IE17" s="12">
        <v>34436.82</v>
      </c>
      <c r="IF17" s="12">
        <v>34455.410000000003</v>
      </c>
      <c r="IG17" s="12">
        <v>34474</v>
      </c>
      <c r="IH17" s="12">
        <v>34492.589999999997</v>
      </c>
      <c r="II17" s="12">
        <v>34511.18</v>
      </c>
      <c r="IJ17" s="12">
        <v>34529.769999999997</v>
      </c>
      <c r="IK17" s="12">
        <v>34548.36</v>
      </c>
      <c r="IL17" s="12">
        <v>34566.949999999997</v>
      </c>
      <c r="IM17" s="12">
        <v>34585.54</v>
      </c>
      <c r="IN17" s="12">
        <v>34604.129999999997</v>
      </c>
      <c r="IO17" s="12">
        <v>34622.720000000001</v>
      </c>
      <c r="IP17" s="12">
        <v>34641.31</v>
      </c>
      <c r="IQ17" s="12">
        <v>34659.9</v>
      </c>
      <c r="IR17" s="12">
        <v>34678.5</v>
      </c>
      <c r="IS17" s="12">
        <v>34697.089999999997</v>
      </c>
      <c r="IT17" s="12">
        <v>34715.68</v>
      </c>
      <c r="IU17" s="12">
        <v>34734.269999999997</v>
      </c>
      <c r="IV17" s="12">
        <v>34752.86</v>
      </c>
      <c r="IW17" s="12">
        <v>34771.449999999997</v>
      </c>
      <c r="IX17" s="12">
        <v>34790.04</v>
      </c>
      <c r="IY17" s="12">
        <v>34808.629999999997</v>
      </c>
      <c r="IZ17" s="12">
        <v>34827.22</v>
      </c>
      <c r="JA17" s="12">
        <v>34845.81</v>
      </c>
      <c r="JB17" s="12">
        <v>34864.400000000001</v>
      </c>
      <c r="JC17" s="12">
        <v>34882.99</v>
      </c>
      <c r="JD17" s="12">
        <v>34901.58</v>
      </c>
      <c r="JE17" s="12">
        <v>34920.17</v>
      </c>
      <c r="JF17" s="12">
        <v>34938.76</v>
      </c>
      <c r="JG17" s="12">
        <v>34957.360000000001</v>
      </c>
      <c r="JH17" s="12">
        <v>34975.949999999997</v>
      </c>
      <c r="JI17" s="12">
        <v>34994.54</v>
      </c>
      <c r="JJ17" s="12">
        <v>35013.129999999997</v>
      </c>
      <c r="JK17" s="12">
        <v>35031.71</v>
      </c>
      <c r="JL17" s="12">
        <v>35050.31</v>
      </c>
      <c r="JM17" s="12">
        <v>35068.9</v>
      </c>
      <c r="JN17" s="12">
        <v>35087.49</v>
      </c>
      <c r="JO17" s="12">
        <v>35106.080000000002</v>
      </c>
      <c r="JP17" s="12">
        <v>35124.67</v>
      </c>
      <c r="JQ17" s="12">
        <v>35143.26</v>
      </c>
      <c r="JR17" s="12">
        <v>35161.85</v>
      </c>
      <c r="JS17" s="12">
        <v>35167.99</v>
      </c>
      <c r="JT17" s="12">
        <v>35174.14</v>
      </c>
      <c r="JU17" s="12">
        <v>35180.28</v>
      </c>
      <c r="JV17" s="12">
        <v>35186.42</v>
      </c>
      <c r="JW17" s="12">
        <v>35192.559999999998</v>
      </c>
      <c r="JX17" s="12">
        <v>35198.699999999997</v>
      </c>
      <c r="JY17" s="12">
        <v>35204.839999999997</v>
      </c>
      <c r="JZ17" s="12">
        <v>35210.99</v>
      </c>
      <c r="KA17" s="12">
        <v>35217.129999999997</v>
      </c>
      <c r="KB17" s="12">
        <v>35223.269999999997</v>
      </c>
      <c r="KC17" s="12">
        <v>35229.410000000003</v>
      </c>
      <c r="KD17" s="12">
        <v>35235.550000000003</v>
      </c>
      <c r="KE17" s="12">
        <v>35241.699999999997</v>
      </c>
      <c r="KF17" s="12">
        <v>35247.839999999997</v>
      </c>
      <c r="KG17" s="12">
        <v>35253.980000000003</v>
      </c>
      <c r="KH17" s="12">
        <v>35260.129999999997</v>
      </c>
      <c r="KI17" s="12">
        <v>35266.269999999997</v>
      </c>
      <c r="KJ17" s="12">
        <v>35272.410000000003</v>
      </c>
      <c r="KK17" s="12">
        <v>35278.550000000003</v>
      </c>
      <c r="KL17" s="12">
        <v>35284.69</v>
      </c>
      <c r="KM17" s="12">
        <v>35290.83</v>
      </c>
      <c r="KN17" s="12">
        <v>35296.980000000003</v>
      </c>
      <c r="KO17" s="12">
        <v>35303.120000000003</v>
      </c>
      <c r="KP17" s="12">
        <v>35309.26</v>
      </c>
      <c r="KQ17" s="12">
        <v>35315.4</v>
      </c>
      <c r="KR17" s="12">
        <v>35321.54</v>
      </c>
      <c r="KS17" s="12">
        <v>35327.69</v>
      </c>
      <c r="KT17" s="12">
        <v>35333.83</v>
      </c>
      <c r="KU17" s="12">
        <v>35339.97</v>
      </c>
      <c r="KV17" s="12">
        <v>35346.11</v>
      </c>
      <c r="KW17" s="12">
        <v>35352.25</v>
      </c>
      <c r="KX17" s="12">
        <v>35358.39</v>
      </c>
      <c r="KY17" s="12">
        <v>35364.54</v>
      </c>
      <c r="KZ17" s="12">
        <v>35370.68</v>
      </c>
      <c r="LA17" s="12">
        <v>35376.82</v>
      </c>
      <c r="LB17" s="12">
        <v>35382.959999999999</v>
      </c>
      <c r="LC17" s="12">
        <v>35389.11</v>
      </c>
      <c r="LD17" s="12">
        <v>35395.25</v>
      </c>
      <c r="LE17" s="12">
        <v>35401.39</v>
      </c>
      <c r="LF17" s="12">
        <v>35407.53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t="s">
        <v>1205</v>
      </c>
      <c r="MV17" t="b">
        <v>1</v>
      </c>
      <c r="MW17" t="s">
        <v>1196</v>
      </c>
      <c r="MX17" t="s">
        <v>1196</v>
      </c>
      <c r="MY17">
        <v>2023</v>
      </c>
      <c r="MZ17">
        <v>2</v>
      </c>
      <c r="NA17" t="s">
        <v>1196</v>
      </c>
      <c r="NB17" t="s">
        <v>1307</v>
      </c>
      <c r="NC17" s="1" t="s">
        <v>1438</v>
      </c>
      <c r="ND17" t="s">
        <v>1200</v>
      </c>
      <c r="NE17" t="s">
        <v>1439</v>
      </c>
      <c r="NF17" s="1" t="s">
        <v>1450</v>
      </c>
    </row>
    <row r="18" spans="1:370" x14ac:dyDescent="0.25">
      <c r="A18" t="s">
        <v>1193</v>
      </c>
      <c r="B18" t="s">
        <v>1440</v>
      </c>
      <c r="C18" s="1" t="s">
        <v>1449</v>
      </c>
      <c r="D18" t="s">
        <v>1436</v>
      </c>
      <c r="E18" t="s">
        <v>1437</v>
      </c>
      <c r="F18" t="s">
        <v>1197</v>
      </c>
      <c r="G18" s="11">
        <v>1002</v>
      </c>
      <c r="H18" s="11">
        <v>968</v>
      </c>
      <c r="I18" s="11">
        <v>927</v>
      </c>
      <c r="J18" s="11">
        <v>888</v>
      </c>
      <c r="K18" s="11">
        <v>923</v>
      </c>
      <c r="L18" s="11">
        <v>937</v>
      </c>
      <c r="M18" s="11">
        <v>958</v>
      </c>
      <c r="N18" s="11">
        <v>976</v>
      </c>
      <c r="O18" s="11">
        <v>1029</v>
      </c>
      <c r="P18" s="11">
        <v>1126</v>
      </c>
      <c r="Q18" s="11">
        <v>1221</v>
      </c>
      <c r="R18" s="11">
        <v>1319</v>
      </c>
      <c r="S18" s="11">
        <v>1379</v>
      </c>
      <c r="T18" s="11">
        <v>1413</v>
      </c>
      <c r="U18" s="11">
        <v>1430</v>
      </c>
      <c r="V18" s="11">
        <v>1432</v>
      </c>
      <c r="W18" s="11">
        <v>1436</v>
      </c>
      <c r="X18" s="11">
        <v>1452</v>
      </c>
      <c r="Y18" s="11">
        <v>1493</v>
      </c>
      <c r="Z18" s="11">
        <v>1499</v>
      </c>
      <c r="AA18" s="11">
        <v>1474</v>
      </c>
      <c r="AB18" s="11">
        <v>1463</v>
      </c>
      <c r="AC18" s="11">
        <v>1455</v>
      </c>
      <c r="AD18" s="11">
        <v>1421</v>
      </c>
      <c r="AE18" s="11">
        <v>1420</v>
      </c>
      <c r="AF18" s="11">
        <v>1405</v>
      </c>
      <c r="AG18" s="11">
        <v>1430</v>
      </c>
      <c r="AH18" s="11">
        <v>1471</v>
      </c>
      <c r="AI18" s="11">
        <v>1558</v>
      </c>
      <c r="AJ18" s="11">
        <v>1700</v>
      </c>
      <c r="AK18" s="11">
        <v>1905</v>
      </c>
      <c r="AL18" s="11">
        <v>2169</v>
      </c>
      <c r="AM18" s="11">
        <v>2403</v>
      </c>
      <c r="AN18" s="11">
        <v>2588</v>
      </c>
      <c r="AO18" s="11">
        <v>2684</v>
      </c>
      <c r="AP18" s="11">
        <v>2761</v>
      </c>
      <c r="AQ18" s="11">
        <v>2803</v>
      </c>
      <c r="AR18" s="11">
        <v>2841</v>
      </c>
      <c r="AS18" s="11">
        <v>2897</v>
      </c>
      <c r="AT18" s="11">
        <v>2960</v>
      </c>
      <c r="AU18" s="11">
        <v>2998</v>
      </c>
      <c r="AV18" s="11">
        <v>3049</v>
      </c>
      <c r="AW18" s="11">
        <v>3109</v>
      </c>
      <c r="AX18" s="11">
        <v>3167</v>
      </c>
      <c r="AY18" s="11">
        <v>3243</v>
      </c>
      <c r="AZ18" s="11">
        <v>3265</v>
      </c>
      <c r="BA18" s="11">
        <v>3238</v>
      </c>
      <c r="BB18" s="11">
        <v>3217</v>
      </c>
      <c r="BC18" s="11">
        <v>3180</v>
      </c>
      <c r="BD18" s="11">
        <v>3152</v>
      </c>
      <c r="BE18" s="11">
        <v>3137</v>
      </c>
      <c r="BF18" s="11">
        <v>3135</v>
      </c>
      <c r="BG18" s="11">
        <v>3150</v>
      </c>
      <c r="BH18" s="11">
        <v>3159</v>
      </c>
      <c r="BI18" s="11">
        <v>3177</v>
      </c>
      <c r="BJ18" s="11">
        <v>3156</v>
      </c>
      <c r="BK18" s="11">
        <v>3113</v>
      </c>
      <c r="BL18" s="11">
        <v>3021</v>
      </c>
      <c r="BM18" s="11">
        <v>2885</v>
      </c>
      <c r="BN18" s="11">
        <v>2741</v>
      </c>
      <c r="BO18" s="11">
        <v>2613</v>
      </c>
      <c r="BP18" s="11">
        <v>2490</v>
      </c>
      <c r="BQ18" s="11">
        <v>2385</v>
      </c>
      <c r="BR18" s="11">
        <v>2293</v>
      </c>
      <c r="BS18" s="11">
        <v>2179</v>
      </c>
      <c r="BT18" s="11">
        <v>2083</v>
      </c>
      <c r="BU18" s="11">
        <v>2045</v>
      </c>
      <c r="BV18" s="11">
        <v>2021</v>
      </c>
      <c r="BW18" s="11">
        <v>2004</v>
      </c>
      <c r="BX18" s="11">
        <v>2002</v>
      </c>
      <c r="BY18" s="11">
        <v>2049</v>
      </c>
      <c r="BZ18" s="11">
        <v>2158</v>
      </c>
      <c r="CA18" s="11">
        <v>2306</v>
      </c>
      <c r="CB18" s="11">
        <v>2492</v>
      </c>
      <c r="CC18" s="11">
        <v>2624</v>
      </c>
      <c r="CD18" s="11">
        <v>2697</v>
      </c>
      <c r="CE18" s="11">
        <v>2762</v>
      </c>
      <c r="CF18" s="11">
        <v>2777</v>
      </c>
      <c r="CG18" s="11">
        <v>2815</v>
      </c>
      <c r="CH18" s="11">
        <v>2932</v>
      </c>
      <c r="CI18" s="11">
        <v>3004</v>
      </c>
      <c r="CJ18" s="11">
        <v>2931</v>
      </c>
      <c r="CK18" s="11">
        <v>2890</v>
      </c>
      <c r="CL18" s="11">
        <v>2892</v>
      </c>
      <c r="CM18" s="11">
        <v>2806</v>
      </c>
      <c r="CN18" s="11">
        <v>2736</v>
      </c>
      <c r="CO18" s="11">
        <v>2639</v>
      </c>
      <c r="CP18" s="11">
        <v>2521</v>
      </c>
      <c r="CQ18" s="11">
        <v>2497</v>
      </c>
      <c r="CR18" s="11">
        <v>2445</v>
      </c>
      <c r="CS18" s="11">
        <v>2447</v>
      </c>
      <c r="CT18" s="11">
        <v>2353</v>
      </c>
      <c r="CU18" s="11">
        <v>2330</v>
      </c>
      <c r="CV18" s="11">
        <v>2340</v>
      </c>
      <c r="CW18" s="11">
        <v>2285</v>
      </c>
      <c r="CX18" s="11">
        <v>2229</v>
      </c>
      <c r="CY18" s="11">
        <v>2085</v>
      </c>
      <c r="CZ18" s="11">
        <v>2051</v>
      </c>
      <c r="DA18" s="11">
        <v>1951</v>
      </c>
      <c r="DB18" s="11">
        <v>1864</v>
      </c>
      <c r="DC18" s="11">
        <v>1813</v>
      </c>
      <c r="DD18" s="11">
        <v>1791</v>
      </c>
      <c r="DE18" s="11">
        <v>1786</v>
      </c>
      <c r="DF18" s="11">
        <v>1764</v>
      </c>
      <c r="DG18" s="11">
        <v>1780</v>
      </c>
      <c r="DH18" s="11">
        <v>1743</v>
      </c>
      <c r="DI18" s="11">
        <v>1702</v>
      </c>
      <c r="DJ18" s="11">
        <v>1684</v>
      </c>
      <c r="DK18" s="11">
        <v>1682</v>
      </c>
      <c r="DL18" s="11">
        <v>1599</v>
      </c>
      <c r="DM18" s="11">
        <v>1548</v>
      </c>
      <c r="DN18" s="11">
        <v>1520</v>
      </c>
      <c r="DO18" s="11">
        <v>1481</v>
      </c>
      <c r="DP18" s="11">
        <v>1468</v>
      </c>
      <c r="DQ18" s="11">
        <v>1487</v>
      </c>
      <c r="DR18" s="11">
        <v>1520</v>
      </c>
      <c r="DS18" s="11">
        <v>1515</v>
      </c>
      <c r="DT18" s="11">
        <v>1520</v>
      </c>
      <c r="DU18" s="11">
        <v>1566</v>
      </c>
      <c r="DV18" s="11">
        <v>1516</v>
      </c>
      <c r="DW18" s="11">
        <v>1531</v>
      </c>
      <c r="DX18" s="11">
        <v>1467</v>
      </c>
      <c r="DY18" s="11">
        <v>1502</v>
      </c>
      <c r="DZ18" s="11">
        <v>1457</v>
      </c>
      <c r="EA18" s="11">
        <v>1434</v>
      </c>
      <c r="EB18" s="11">
        <v>1437</v>
      </c>
      <c r="EC18" s="11">
        <v>1401</v>
      </c>
      <c r="ED18" s="11">
        <v>1423</v>
      </c>
      <c r="EE18" s="11">
        <v>1416</v>
      </c>
      <c r="EF18" s="11">
        <v>1437</v>
      </c>
      <c r="EG18" s="11">
        <v>1437</v>
      </c>
      <c r="EH18" s="11">
        <v>1567</v>
      </c>
      <c r="EI18" s="11">
        <v>1604</v>
      </c>
      <c r="EJ18" s="11">
        <v>1685</v>
      </c>
      <c r="EK18" s="11">
        <v>1693</v>
      </c>
      <c r="EL18" s="11">
        <v>1701</v>
      </c>
      <c r="EM18" s="11">
        <v>1704</v>
      </c>
      <c r="EN18" s="11">
        <v>1658</v>
      </c>
      <c r="EO18" s="11">
        <v>1650</v>
      </c>
      <c r="EP18" s="11">
        <v>1608</v>
      </c>
      <c r="EQ18" s="11">
        <v>1622</v>
      </c>
      <c r="ER18" s="11">
        <v>1680</v>
      </c>
      <c r="ES18" s="11">
        <v>1840</v>
      </c>
      <c r="ET18" s="11">
        <v>2003</v>
      </c>
      <c r="EU18" s="11">
        <v>2235</v>
      </c>
      <c r="EV18" s="11">
        <v>2448</v>
      </c>
      <c r="EW18" s="11">
        <v>2475</v>
      </c>
      <c r="EX18" s="11">
        <v>2453</v>
      </c>
      <c r="EY18" s="11">
        <v>2526</v>
      </c>
      <c r="EZ18" s="11">
        <v>2488</v>
      </c>
      <c r="FA18" s="11">
        <v>2470</v>
      </c>
      <c r="FB18" s="11">
        <v>2503</v>
      </c>
      <c r="FC18" s="11">
        <v>2483</v>
      </c>
      <c r="FD18" s="11">
        <v>2540</v>
      </c>
      <c r="FE18" s="11">
        <v>2662</v>
      </c>
      <c r="FF18" s="11">
        <v>2689</v>
      </c>
      <c r="FG18" s="11">
        <v>2635</v>
      </c>
      <c r="FH18" s="11">
        <v>2577</v>
      </c>
      <c r="FI18" s="11">
        <v>2539</v>
      </c>
      <c r="FJ18" s="11">
        <v>2535</v>
      </c>
      <c r="FK18" s="11">
        <v>2540</v>
      </c>
      <c r="FL18" s="11">
        <v>2515</v>
      </c>
      <c r="FM18" s="11">
        <v>2483</v>
      </c>
      <c r="FN18" s="11">
        <v>2357</v>
      </c>
      <c r="FO18" s="11">
        <v>2212</v>
      </c>
      <c r="FP18" s="11">
        <v>2061</v>
      </c>
      <c r="FQ18" s="11">
        <v>1961</v>
      </c>
      <c r="FR18" s="11">
        <v>1870</v>
      </c>
      <c r="FS18" s="11">
        <v>1826</v>
      </c>
      <c r="FT18" s="11">
        <v>1849</v>
      </c>
      <c r="FU18" s="11">
        <v>1760</v>
      </c>
      <c r="FV18" s="11">
        <v>1688</v>
      </c>
      <c r="FW18" s="11">
        <v>1687</v>
      </c>
      <c r="FX18" s="11">
        <v>1643</v>
      </c>
      <c r="FY18" s="11">
        <v>1618</v>
      </c>
      <c r="FZ18" s="11">
        <v>1585</v>
      </c>
      <c r="GA18" s="11">
        <v>1527</v>
      </c>
      <c r="GB18" s="11">
        <v>1485</v>
      </c>
      <c r="GC18" s="11">
        <v>1429</v>
      </c>
      <c r="GD18" s="11">
        <v>1463</v>
      </c>
      <c r="GE18" s="11">
        <v>1417</v>
      </c>
      <c r="GF18" s="11">
        <v>1362</v>
      </c>
      <c r="GG18" s="11">
        <v>1377</v>
      </c>
      <c r="GH18" s="11">
        <v>1363</v>
      </c>
      <c r="GI18" s="11">
        <v>1298</v>
      </c>
      <c r="GJ18" s="11">
        <v>1329</v>
      </c>
      <c r="GK18" s="11">
        <v>1306</v>
      </c>
      <c r="GL18" s="11">
        <v>1290</v>
      </c>
      <c r="GM18" s="11">
        <v>1376</v>
      </c>
      <c r="GN18" s="11">
        <v>1397</v>
      </c>
      <c r="GO18" s="11">
        <v>1659</v>
      </c>
      <c r="GP18" s="11">
        <v>1773</v>
      </c>
      <c r="GQ18" s="11">
        <v>1673</v>
      </c>
      <c r="GR18" s="11">
        <v>1600</v>
      </c>
      <c r="GS18" s="11">
        <v>1452</v>
      </c>
      <c r="GT18" s="11">
        <v>1373</v>
      </c>
      <c r="GU18" s="11">
        <v>1259</v>
      </c>
      <c r="GV18" s="11">
        <v>1294</v>
      </c>
      <c r="GW18" s="11">
        <v>1224</v>
      </c>
      <c r="GX18" s="11">
        <v>1270</v>
      </c>
      <c r="GY18" s="11">
        <v>1329</v>
      </c>
      <c r="GZ18" s="11">
        <v>1439</v>
      </c>
      <c r="HA18" s="12">
        <v>1492.09</v>
      </c>
      <c r="HB18" s="12">
        <v>1524.711</v>
      </c>
      <c r="HC18" s="12">
        <v>1574.8910000000001</v>
      </c>
      <c r="HD18" s="12">
        <v>1616.6210000000001</v>
      </c>
      <c r="HE18" s="12">
        <v>1633.66</v>
      </c>
      <c r="HF18" s="12">
        <v>1634.4690000000001</v>
      </c>
      <c r="HG18" s="12">
        <v>1627.93</v>
      </c>
      <c r="HH18" s="12">
        <v>1609.16</v>
      </c>
      <c r="HI18" s="12">
        <v>1557.258</v>
      </c>
      <c r="HJ18" s="12">
        <v>1501.52</v>
      </c>
      <c r="HK18" s="12">
        <v>1448.73</v>
      </c>
      <c r="HL18" s="12">
        <v>1427.652</v>
      </c>
      <c r="HM18" s="12">
        <v>1429.8710000000001</v>
      </c>
      <c r="HN18" s="12">
        <v>1430.6210000000001</v>
      </c>
      <c r="HO18" s="12">
        <v>1430.75</v>
      </c>
      <c r="HP18" s="12">
        <v>1416.5</v>
      </c>
      <c r="HQ18" s="12">
        <v>1408.7809999999999</v>
      </c>
      <c r="HR18" s="12">
        <v>1397.73</v>
      </c>
      <c r="HS18" s="12">
        <v>1389.8009999999999</v>
      </c>
      <c r="HT18" s="12">
        <v>1378.441</v>
      </c>
      <c r="HU18" s="12">
        <v>1366.8979999999999</v>
      </c>
      <c r="HV18" s="12">
        <v>1355.191</v>
      </c>
      <c r="HW18" s="12">
        <v>1343.367</v>
      </c>
      <c r="HX18" s="12">
        <v>1334.3710000000001</v>
      </c>
      <c r="HY18" s="12">
        <v>1335.7190000000001</v>
      </c>
      <c r="HZ18" s="12">
        <v>1336.9880000000001</v>
      </c>
      <c r="IA18" s="12">
        <v>1338.1210000000001</v>
      </c>
      <c r="IB18" s="12">
        <v>1339.18</v>
      </c>
      <c r="IC18" s="12">
        <v>1340.191</v>
      </c>
      <c r="ID18" s="12">
        <v>1340.9690000000001</v>
      </c>
      <c r="IE18" s="12">
        <v>1341.691</v>
      </c>
      <c r="IF18" s="12">
        <v>1342.41</v>
      </c>
      <c r="IG18" s="12">
        <v>1343.1410000000001</v>
      </c>
      <c r="IH18" s="12">
        <v>1343.8710000000001</v>
      </c>
      <c r="II18" s="12">
        <v>1344.59</v>
      </c>
      <c r="IJ18" s="12">
        <v>1345.32</v>
      </c>
      <c r="IK18" s="12">
        <v>1346.039</v>
      </c>
      <c r="IL18" s="12">
        <v>1346.7619999999999</v>
      </c>
      <c r="IM18" s="12">
        <v>1347.492</v>
      </c>
      <c r="IN18" s="12">
        <v>1348.211</v>
      </c>
      <c r="IO18" s="12">
        <v>1348.941</v>
      </c>
      <c r="IP18" s="12">
        <v>1349.672</v>
      </c>
      <c r="IQ18" s="12">
        <v>1350.3910000000001</v>
      </c>
      <c r="IR18" s="12">
        <v>1351.1089999999999</v>
      </c>
      <c r="IS18" s="12">
        <v>1351.8320000000001</v>
      </c>
      <c r="IT18" s="12">
        <v>1352.5509999999999</v>
      </c>
      <c r="IU18" s="12">
        <v>1353.2809999999999</v>
      </c>
      <c r="IV18" s="12">
        <v>1354</v>
      </c>
      <c r="IW18" s="12">
        <v>1354.73</v>
      </c>
      <c r="IX18" s="12">
        <v>1355.461</v>
      </c>
      <c r="IY18" s="12">
        <v>1356.18</v>
      </c>
      <c r="IZ18" s="12">
        <v>1356.91</v>
      </c>
      <c r="JA18" s="12">
        <v>1357.633</v>
      </c>
      <c r="JB18" s="12">
        <v>1358.3520000000001</v>
      </c>
      <c r="JC18" s="12">
        <v>1359.0820000000001</v>
      </c>
      <c r="JD18" s="12">
        <v>1359.8009999999999</v>
      </c>
      <c r="JE18" s="12">
        <v>1360.527</v>
      </c>
      <c r="JF18" s="12">
        <v>1361.258</v>
      </c>
      <c r="JG18" s="12">
        <v>1361.9690000000001</v>
      </c>
      <c r="JH18" s="12">
        <v>1362.691</v>
      </c>
      <c r="JI18" s="12">
        <v>1363.422</v>
      </c>
      <c r="JJ18" s="12">
        <v>1364.1410000000001</v>
      </c>
      <c r="JK18" s="12">
        <v>1364.8789999999999</v>
      </c>
      <c r="JL18" s="12">
        <v>1365.59</v>
      </c>
      <c r="JM18" s="12">
        <v>1366.32</v>
      </c>
      <c r="JN18" s="12">
        <v>1367.0509999999999</v>
      </c>
      <c r="JO18" s="12">
        <v>1367.7729999999999</v>
      </c>
      <c r="JP18" s="12">
        <v>1368.4880000000001</v>
      </c>
      <c r="JQ18" s="12">
        <v>1369.2190000000001</v>
      </c>
      <c r="JR18" s="12">
        <v>1369.9380000000001</v>
      </c>
      <c r="JS18" s="12">
        <v>1370.191</v>
      </c>
      <c r="JT18" s="12">
        <v>1370.41</v>
      </c>
      <c r="JU18" s="12">
        <v>1370.66</v>
      </c>
      <c r="JV18" s="12">
        <v>1370.8979999999999</v>
      </c>
      <c r="JW18" s="12">
        <v>1371.1410000000001</v>
      </c>
      <c r="JX18" s="12">
        <v>1371.3789999999999</v>
      </c>
      <c r="JY18" s="12">
        <v>1371.6210000000001</v>
      </c>
      <c r="JZ18" s="12">
        <v>1371.8520000000001</v>
      </c>
      <c r="KA18" s="12">
        <v>1372.1020000000001</v>
      </c>
      <c r="KB18" s="12">
        <v>1372.34</v>
      </c>
      <c r="KC18" s="12">
        <v>1372.578</v>
      </c>
      <c r="KD18" s="12">
        <v>1372.82</v>
      </c>
      <c r="KE18" s="12">
        <v>1373.0509999999999</v>
      </c>
      <c r="KF18" s="12">
        <v>1373.289</v>
      </c>
      <c r="KG18" s="12">
        <v>1373.5309999999999</v>
      </c>
      <c r="KH18" s="12">
        <v>1373.7619999999999</v>
      </c>
      <c r="KI18" s="12">
        <v>1374.0119999999999</v>
      </c>
      <c r="KJ18" s="12">
        <v>1374.25</v>
      </c>
      <c r="KK18" s="12">
        <v>1374.4880000000001</v>
      </c>
      <c r="KL18" s="12">
        <v>1374.73</v>
      </c>
      <c r="KM18" s="12">
        <v>1374.973</v>
      </c>
      <c r="KN18" s="12">
        <v>1375.1990000000001</v>
      </c>
      <c r="KO18" s="12">
        <v>1375.4380000000001</v>
      </c>
      <c r="KP18" s="12">
        <v>1375.6880000000001</v>
      </c>
      <c r="KQ18" s="12">
        <v>1375.93</v>
      </c>
      <c r="KR18" s="12">
        <v>1376.172</v>
      </c>
      <c r="KS18" s="12">
        <v>1376.3979999999999</v>
      </c>
      <c r="KT18" s="12">
        <v>1376.6410000000001</v>
      </c>
      <c r="KU18" s="12">
        <v>1376.883</v>
      </c>
      <c r="KV18" s="12">
        <v>1377.1210000000001</v>
      </c>
      <c r="KW18" s="12">
        <v>1377.3589999999999</v>
      </c>
      <c r="KX18" s="12">
        <v>1377.6089999999999</v>
      </c>
      <c r="KY18" s="12">
        <v>1377.84</v>
      </c>
      <c r="KZ18" s="12">
        <v>1378.0820000000001</v>
      </c>
      <c r="LA18" s="12">
        <v>1378.32</v>
      </c>
      <c r="LB18" s="12">
        <v>1378.559</v>
      </c>
      <c r="LC18" s="12">
        <v>1378.789</v>
      </c>
      <c r="LD18" s="12">
        <v>1379.039</v>
      </c>
      <c r="LE18" s="12">
        <v>1379.27</v>
      </c>
      <c r="LF18" s="12">
        <v>1379.52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0</v>
      </c>
      <c r="LO18" s="12">
        <v>0</v>
      </c>
      <c r="LP18" s="12">
        <v>0</v>
      </c>
      <c r="LQ18" s="12">
        <v>0</v>
      </c>
      <c r="LR18" s="12">
        <v>0</v>
      </c>
      <c r="LS18" s="12">
        <v>0</v>
      </c>
      <c r="LT18" s="12">
        <v>0</v>
      </c>
      <c r="LU18" s="12">
        <v>0</v>
      </c>
      <c r="LV18" s="12">
        <v>0</v>
      </c>
      <c r="LW18" s="12">
        <v>0</v>
      </c>
      <c r="LX18" s="12">
        <v>0</v>
      </c>
      <c r="LY18" s="12">
        <v>0</v>
      </c>
      <c r="LZ18" s="12">
        <v>0</v>
      </c>
      <c r="MA18" s="12">
        <v>0</v>
      </c>
      <c r="MB18" s="12">
        <v>0</v>
      </c>
      <c r="MC18" s="12">
        <v>0</v>
      </c>
      <c r="MD18" s="12">
        <v>0</v>
      </c>
      <c r="ME18" s="12">
        <v>0</v>
      </c>
      <c r="MF18" s="12">
        <v>0</v>
      </c>
      <c r="MG18" s="12">
        <v>0</v>
      </c>
      <c r="MH18" s="12">
        <v>0</v>
      </c>
      <c r="MI18" s="12">
        <v>0</v>
      </c>
      <c r="MJ18" s="12">
        <v>0</v>
      </c>
      <c r="MK18" s="12">
        <v>0</v>
      </c>
      <c r="ML18" s="12">
        <v>0</v>
      </c>
      <c r="MM18" s="12">
        <v>0</v>
      </c>
      <c r="MN18" s="12">
        <v>0</v>
      </c>
      <c r="MO18" s="12">
        <v>0</v>
      </c>
      <c r="MP18" s="12">
        <v>0</v>
      </c>
      <c r="MQ18" s="12">
        <v>0</v>
      </c>
      <c r="MR18" s="12">
        <v>0</v>
      </c>
      <c r="MS18" s="12">
        <v>0</v>
      </c>
      <c r="MT18" s="12">
        <v>0</v>
      </c>
      <c r="MU18" t="s">
        <v>1205</v>
      </c>
      <c r="MV18" t="b">
        <v>1</v>
      </c>
      <c r="MW18" t="s">
        <v>1196</v>
      </c>
      <c r="MX18" t="s">
        <v>1196</v>
      </c>
      <c r="MY18">
        <v>2023</v>
      </c>
      <c r="MZ18">
        <v>2</v>
      </c>
      <c r="NA18" t="s">
        <v>1196</v>
      </c>
      <c r="NB18" t="s">
        <v>1268</v>
      </c>
      <c r="NC18" s="1" t="s">
        <v>1441</v>
      </c>
      <c r="ND18" t="s">
        <v>1200</v>
      </c>
      <c r="NE18" t="s">
        <v>1442</v>
      </c>
      <c r="NF18" s="1" t="s">
        <v>1450</v>
      </c>
    </row>
    <row r="19" spans="1:370" x14ac:dyDescent="0.25">
      <c r="A19" t="s">
        <v>1193</v>
      </c>
      <c r="B19" t="s">
        <v>1443</v>
      </c>
      <c r="C19" s="1" t="s">
        <v>1449</v>
      </c>
      <c r="D19" t="s">
        <v>1444</v>
      </c>
      <c r="E19" t="s">
        <v>1196</v>
      </c>
      <c r="F19" t="s">
        <v>1197</v>
      </c>
      <c r="G19" s="11">
        <v>3.9</v>
      </c>
      <c r="H19" s="11">
        <v>3.7</v>
      </c>
      <c r="I19" s="11">
        <v>3.6</v>
      </c>
      <c r="J19" s="11">
        <v>3.4</v>
      </c>
      <c r="K19" s="11">
        <v>3.6</v>
      </c>
      <c r="L19" s="11">
        <v>3.6</v>
      </c>
      <c r="M19" s="11">
        <v>3.7</v>
      </c>
      <c r="N19" s="11">
        <v>3.7</v>
      </c>
      <c r="O19" s="11">
        <v>4</v>
      </c>
      <c r="P19" s="11">
        <v>4.3</v>
      </c>
      <c r="Q19" s="11">
        <v>4.7</v>
      </c>
      <c r="R19" s="11">
        <v>5</v>
      </c>
      <c r="S19" s="11">
        <v>5.3</v>
      </c>
      <c r="T19" s="11">
        <v>5.4</v>
      </c>
      <c r="U19" s="11">
        <v>5.5</v>
      </c>
      <c r="V19" s="11">
        <v>5.5</v>
      </c>
      <c r="W19" s="11">
        <v>5.5</v>
      </c>
      <c r="X19" s="11">
        <v>5.5</v>
      </c>
      <c r="Y19" s="11">
        <v>5.7</v>
      </c>
      <c r="Z19" s="11">
        <v>5.7</v>
      </c>
      <c r="AA19" s="11">
        <v>5.6</v>
      </c>
      <c r="AB19" s="11">
        <v>5.6</v>
      </c>
      <c r="AC19" s="11">
        <v>5.5</v>
      </c>
      <c r="AD19" s="11">
        <v>5.4</v>
      </c>
      <c r="AE19" s="11">
        <v>5.4</v>
      </c>
      <c r="AF19" s="11">
        <v>5.3</v>
      </c>
      <c r="AG19" s="11">
        <v>5.4</v>
      </c>
      <c r="AH19" s="11">
        <v>5.5</v>
      </c>
      <c r="AI19" s="11">
        <v>5.8</v>
      </c>
      <c r="AJ19" s="11">
        <v>6.3</v>
      </c>
      <c r="AK19" s="11">
        <v>7.1</v>
      </c>
      <c r="AL19" s="11">
        <v>8</v>
      </c>
      <c r="AM19" s="11">
        <v>8.9</v>
      </c>
      <c r="AN19" s="11">
        <v>9.6</v>
      </c>
      <c r="AO19" s="11">
        <v>9.9</v>
      </c>
      <c r="AP19" s="11">
        <v>10.199999999999999</v>
      </c>
      <c r="AQ19" s="11">
        <v>10.4</v>
      </c>
      <c r="AR19" s="11">
        <v>10.6</v>
      </c>
      <c r="AS19" s="11">
        <v>10.8</v>
      </c>
      <c r="AT19" s="11">
        <v>11.1</v>
      </c>
      <c r="AU19" s="11">
        <v>11.3</v>
      </c>
      <c r="AV19" s="11">
        <v>11.4</v>
      </c>
      <c r="AW19" s="11">
        <v>11.5</v>
      </c>
      <c r="AX19" s="11">
        <v>11.7</v>
      </c>
      <c r="AY19" s="11">
        <v>11.8</v>
      </c>
      <c r="AZ19" s="11">
        <v>11.9</v>
      </c>
      <c r="BA19" s="11">
        <v>11.7</v>
      </c>
      <c r="BB19" s="11">
        <v>11.6</v>
      </c>
      <c r="BC19" s="11">
        <v>11.5</v>
      </c>
      <c r="BD19" s="11">
        <v>11.4</v>
      </c>
      <c r="BE19" s="11">
        <v>11.3</v>
      </c>
      <c r="BF19" s="11">
        <v>11.3</v>
      </c>
      <c r="BG19" s="11">
        <v>11.3</v>
      </c>
      <c r="BH19" s="11">
        <v>11.3</v>
      </c>
      <c r="BI19" s="11">
        <v>11.4</v>
      </c>
      <c r="BJ19" s="11">
        <v>11.3</v>
      </c>
      <c r="BK19" s="11">
        <v>11.1</v>
      </c>
      <c r="BL19" s="11">
        <v>10.7</v>
      </c>
      <c r="BM19" s="11">
        <v>10.199999999999999</v>
      </c>
      <c r="BN19" s="11">
        <v>9.6999999999999993</v>
      </c>
      <c r="BO19" s="11">
        <v>9.1999999999999993</v>
      </c>
      <c r="BP19" s="11">
        <v>8.6999999999999993</v>
      </c>
      <c r="BQ19" s="11">
        <v>8.4</v>
      </c>
      <c r="BR19" s="11">
        <v>8</v>
      </c>
      <c r="BS19" s="11">
        <v>7.6</v>
      </c>
      <c r="BT19" s="11">
        <v>7.2</v>
      </c>
      <c r="BU19" s="11">
        <v>7.1</v>
      </c>
      <c r="BV19" s="11">
        <v>7</v>
      </c>
      <c r="BW19" s="11">
        <v>6.9</v>
      </c>
      <c r="BX19" s="11">
        <v>6.9</v>
      </c>
      <c r="BY19" s="11">
        <v>7.1</v>
      </c>
      <c r="BZ19" s="11">
        <v>7.5</v>
      </c>
      <c r="CA19" s="11">
        <v>8</v>
      </c>
      <c r="CB19" s="11">
        <v>8.6999999999999993</v>
      </c>
      <c r="CC19" s="11">
        <v>9.1999999999999993</v>
      </c>
      <c r="CD19" s="11">
        <v>9.5</v>
      </c>
      <c r="CE19" s="11">
        <v>9.6999999999999993</v>
      </c>
      <c r="CF19" s="11">
        <v>9.8000000000000007</v>
      </c>
      <c r="CG19" s="11">
        <v>9.9</v>
      </c>
      <c r="CH19" s="11">
        <v>10.4</v>
      </c>
      <c r="CI19" s="11">
        <v>10.6</v>
      </c>
      <c r="CJ19" s="11">
        <v>10.4</v>
      </c>
      <c r="CK19" s="11">
        <v>10.199999999999999</v>
      </c>
      <c r="CL19" s="11">
        <v>10.3</v>
      </c>
      <c r="CM19" s="11">
        <v>9.9</v>
      </c>
      <c r="CN19" s="11">
        <v>9.6999999999999993</v>
      </c>
      <c r="CO19" s="11">
        <v>9.4</v>
      </c>
      <c r="CP19" s="11">
        <v>9</v>
      </c>
      <c r="CQ19" s="11">
        <v>8.9</v>
      </c>
      <c r="CR19" s="11">
        <v>8.6999999999999993</v>
      </c>
      <c r="CS19" s="11">
        <v>8.6</v>
      </c>
      <c r="CT19" s="11">
        <v>8.3000000000000007</v>
      </c>
      <c r="CU19" s="11">
        <v>8.1999999999999993</v>
      </c>
      <c r="CV19" s="11">
        <v>8.3000000000000007</v>
      </c>
      <c r="CW19" s="11">
        <v>8.1</v>
      </c>
      <c r="CX19" s="11">
        <v>7.8</v>
      </c>
      <c r="CY19" s="11">
        <v>7.3</v>
      </c>
      <c r="CZ19" s="11">
        <v>7.2</v>
      </c>
      <c r="DA19" s="11">
        <v>6.8</v>
      </c>
      <c r="DB19" s="11">
        <v>6.5</v>
      </c>
      <c r="DC19" s="11">
        <v>6.4</v>
      </c>
      <c r="DD19" s="11">
        <v>6.3</v>
      </c>
      <c r="DE19" s="11">
        <v>6.2</v>
      </c>
      <c r="DF19" s="11">
        <v>6.1</v>
      </c>
      <c r="DG19" s="11">
        <v>6.2</v>
      </c>
      <c r="DH19" s="11">
        <v>6</v>
      </c>
      <c r="DI19" s="11">
        <v>5.9</v>
      </c>
      <c r="DJ19" s="11">
        <v>5.8</v>
      </c>
      <c r="DK19" s="11">
        <v>5.8</v>
      </c>
      <c r="DL19" s="11">
        <v>5.5</v>
      </c>
      <c r="DM19" s="11">
        <v>5.3</v>
      </c>
      <c r="DN19" s="11">
        <v>5.2</v>
      </c>
      <c r="DO19" s="11">
        <v>5.0999999999999996</v>
      </c>
      <c r="DP19" s="11">
        <v>5</v>
      </c>
      <c r="DQ19" s="11">
        <v>5.0999999999999996</v>
      </c>
      <c r="DR19" s="11">
        <v>5.2</v>
      </c>
      <c r="DS19" s="11">
        <v>5.2</v>
      </c>
      <c r="DT19" s="11">
        <v>5.2</v>
      </c>
      <c r="DU19" s="11">
        <v>5.3</v>
      </c>
      <c r="DV19" s="11">
        <v>5.0999999999999996</v>
      </c>
      <c r="DW19" s="11">
        <v>5.2</v>
      </c>
      <c r="DX19" s="11">
        <v>4.9000000000000004</v>
      </c>
      <c r="DY19" s="11">
        <v>5</v>
      </c>
      <c r="DZ19" s="11">
        <v>4.9000000000000004</v>
      </c>
      <c r="EA19" s="11">
        <v>4.8</v>
      </c>
      <c r="EB19" s="11">
        <v>4.8</v>
      </c>
      <c r="EC19" s="11">
        <v>4.7</v>
      </c>
      <c r="ED19" s="11">
        <v>4.7</v>
      </c>
      <c r="EE19" s="11">
        <v>4.7</v>
      </c>
      <c r="EF19" s="11">
        <v>4.8</v>
      </c>
      <c r="EG19" s="11">
        <v>4.7</v>
      </c>
      <c r="EH19" s="11">
        <v>5.0999999999999996</v>
      </c>
      <c r="EI19" s="11">
        <v>5.2</v>
      </c>
      <c r="EJ19" s="11">
        <v>5.5</v>
      </c>
      <c r="EK19" s="11">
        <v>5.5</v>
      </c>
      <c r="EL19" s="11">
        <v>5.5</v>
      </c>
      <c r="EM19" s="11">
        <v>5.5</v>
      </c>
      <c r="EN19" s="11">
        <v>5.4</v>
      </c>
      <c r="EO19" s="11">
        <v>5.3</v>
      </c>
      <c r="EP19" s="11">
        <v>5.2</v>
      </c>
      <c r="EQ19" s="11">
        <v>5.2</v>
      </c>
      <c r="ER19" s="11">
        <v>5.4</v>
      </c>
      <c r="ES19" s="11">
        <v>5.9</v>
      </c>
      <c r="ET19" s="11">
        <v>6.4</v>
      </c>
      <c r="EU19" s="11">
        <v>7.1</v>
      </c>
      <c r="EV19" s="11">
        <v>7.8</v>
      </c>
      <c r="EW19" s="11">
        <v>7.8</v>
      </c>
      <c r="EX19" s="11">
        <v>7.8</v>
      </c>
      <c r="EY19" s="11">
        <v>8</v>
      </c>
      <c r="EZ19" s="11">
        <v>7.9</v>
      </c>
      <c r="FA19" s="11">
        <v>7.8</v>
      </c>
      <c r="FB19" s="11">
        <v>7.9</v>
      </c>
      <c r="FC19" s="11">
        <v>7.8</v>
      </c>
      <c r="FD19" s="11">
        <v>7.9</v>
      </c>
      <c r="FE19" s="11">
        <v>8.3000000000000007</v>
      </c>
      <c r="FF19" s="11">
        <v>8.4</v>
      </c>
      <c r="FG19" s="11">
        <v>8.1999999999999993</v>
      </c>
      <c r="FH19" s="11">
        <v>8</v>
      </c>
      <c r="FI19" s="11">
        <v>7.9</v>
      </c>
      <c r="FJ19" s="11">
        <v>7.8</v>
      </c>
      <c r="FK19" s="11">
        <v>7.8</v>
      </c>
      <c r="FL19" s="11">
        <v>7.7</v>
      </c>
      <c r="FM19" s="11">
        <v>7.6</v>
      </c>
      <c r="FN19" s="11">
        <v>7.2</v>
      </c>
      <c r="FO19" s="11">
        <v>6.8</v>
      </c>
      <c r="FP19" s="11">
        <v>6.3</v>
      </c>
      <c r="FQ19" s="11">
        <v>6</v>
      </c>
      <c r="FR19" s="11">
        <v>5.7</v>
      </c>
      <c r="FS19" s="11">
        <v>5.5</v>
      </c>
      <c r="FT19" s="11">
        <v>5.6</v>
      </c>
      <c r="FU19" s="11">
        <v>5.3</v>
      </c>
      <c r="FV19" s="11">
        <v>5.0999999999999996</v>
      </c>
      <c r="FW19" s="11">
        <v>5.0999999999999996</v>
      </c>
      <c r="FX19" s="11">
        <v>4.9000000000000004</v>
      </c>
      <c r="FY19" s="11">
        <v>4.8</v>
      </c>
      <c r="FZ19" s="11">
        <v>4.7</v>
      </c>
      <c r="GA19" s="11">
        <v>4.5999999999999996</v>
      </c>
      <c r="GB19" s="11">
        <v>4.4000000000000004</v>
      </c>
      <c r="GC19" s="11">
        <v>4.3</v>
      </c>
      <c r="GD19" s="11">
        <v>4.4000000000000004</v>
      </c>
      <c r="GE19" s="11">
        <v>4.2</v>
      </c>
      <c r="GF19" s="11">
        <v>4</v>
      </c>
      <c r="GG19" s="11">
        <v>4.0999999999999996</v>
      </c>
      <c r="GH19" s="11">
        <v>4</v>
      </c>
      <c r="GI19" s="11">
        <v>3.8</v>
      </c>
      <c r="GJ19" s="11">
        <v>3.9</v>
      </c>
      <c r="GK19" s="11">
        <v>3.8</v>
      </c>
      <c r="GL19" s="11">
        <v>3.8</v>
      </c>
      <c r="GM19" s="11">
        <v>4</v>
      </c>
      <c r="GN19" s="11">
        <v>4.0999999999999996</v>
      </c>
      <c r="GO19" s="11">
        <v>4.9000000000000004</v>
      </c>
      <c r="GP19" s="11">
        <v>5.2</v>
      </c>
      <c r="GQ19" s="11">
        <v>4.9000000000000004</v>
      </c>
      <c r="GR19" s="11">
        <v>4.7</v>
      </c>
      <c r="GS19" s="11">
        <v>4.3</v>
      </c>
      <c r="GT19" s="11">
        <v>4</v>
      </c>
      <c r="GU19" s="11">
        <v>3.7</v>
      </c>
      <c r="GV19" s="11">
        <v>3.8</v>
      </c>
      <c r="GW19" s="11">
        <v>3.6</v>
      </c>
      <c r="GX19" s="11">
        <v>3.7</v>
      </c>
      <c r="GY19" s="11">
        <v>3.9</v>
      </c>
      <c r="GZ19" s="11">
        <v>4.2</v>
      </c>
      <c r="HA19" s="12">
        <v>4.3407920000000004</v>
      </c>
      <c r="HB19" s="12">
        <v>4.4364910000000002</v>
      </c>
      <c r="HC19" s="12">
        <v>4.5797540000000003</v>
      </c>
      <c r="HD19" s="12">
        <v>4.6989859999999997</v>
      </c>
      <c r="HE19" s="12">
        <v>4.746613</v>
      </c>
      <c r="HF19" s="12">
        <v>4.7465919999999997</v>
      </c>
      <c r="HG19" s="12">
        <v>4.7180720000000003</v>
      </c>
      <c r="HH19" s="12">
        <v>4.6515760000000004</v>
      </c>
      <c r="HI19" s="12">
        <v>4.4898699999999998</v>
      </c>
      <c r="HJ19" s="12">
        <v>4.3183689999999997</v>
      </c>
      <c r="HK19" s="12">
        <v>4.1561570000000003</v>
      </c>
      <c r="HL19" s="12">
        <v>4.0891440000000001</v>
      </c>
      <c r="HM19" s="12">
        <v>4.0891599999999997</v>
      </c>
      <c r="HN19" s="12">
        <v>4.084365</v>
      </c>
      <c r="HO19" s="12">
        <v>4.0771899999999999</v>
      </c>
      <c r="HP19" s="12">
        <v>4.0293289999999997</v>
      </c>
      <c r="HQ19" s="12">
        <v>4.000572</v>
      </c>
      <c r="HR19" s="12">
        <v>3.962256</v>
      </c>
      <c r="HS19" s="12">
        <v>3.9334829999999998</v>
      </c>
      <c r="HT19" s="12">
        <v>3.8951020000000001</v>
      </c>
      <c r="HU19" s="12">
        <v>3.8567</v>
      </c>
      <c r="HV19" s="12">
        <v>3.8183220000000002</v>
      </c>
      <c r="HW19" s="12">
        <v>3.7799040000000002</v>
      </c>
      <c r="HX19" s="12">
        <v>3.750092</v>
      </c>
      <c r="HY19" s="12">
        <v>3.7501280000000001</v>
      </c>
      <c r="HZ19" s="12">
        <v>3.75013</v>
      </c>
      <c r="IA19" s="12">
        <v>3.7501199999999999</v>
      </c>
      <c r="IB19" s="12">
        <v>3.7500870000000002</v>
      </c>
      <c r="IC19" s="12">
        <v>3.7501069999999999</v>
      </c>
      <c r="ID19" s="12">
        <v>3.749997</v>
      </c>
      <c r="IE19" s="12">
        <v>3.7499920000000002</v>
      </c>
      <c r="IF19" s="12">
        <v>3.7499769999999999</v>
      </c>
      <c r="IG19" s="12">
        <v>3.749994</v>
      </c>
      <c r="IH19" s="12">
        <v>3.7500110000000002</v>
      </c>
      <c r="II19" s="12">
        <v>3.7499959999999999</v>
      </c>
      <c r="IJ19" s="12">
        <v>3.7500119999999999</v>
      </c>
      <c r="IK19" s="12">
        <v>3.7499980000000002</v>
      </c>
      <c r="IL19" s="12">
        <v>3.7499929999999999</v>
      </c>
      <c r="IM19" s="12">
        <v>3.7500100000000001</v>
      </c>
      <c r="IN19" s="12">
        <v>3.7499950000000002</v>
      </c>
      <c r="IO19" s="12">
        <v>3.7500110000000002</v>
      </c>
      <c r="IP19" s="12">
        <v>3.7500279999999999</v>
      </c>
      <c r="IQ19" s="12">
        <v>3.750013</v>
      </c>
      <c r="IR19" s="12">
        <v>3.749997</v>
      </c>
      <c r="IS19" s="12">
        <v>3.7499929999999999</v>
      </c>
      <c r="IT19" s="12">
        <v>3.749978</v>
      </c>
      <c r="IU19" s="12">
        <v>3.7499950000000002</v>
      </c>
      <c r="IV19" s="12">
        <v>3.7499799999999999</v>
      </c>
      <c r="IW19" s="12">
        <v>3.7499959999999999</v>
      </c>
      <c r="IX19" s="12">
        <v>3.750013</v>
      </c>
      <c r="IY19" s="12">
        <v>3.7499980000000002</v>
      </c>
      <c r="IZ19" s="12">
        <v>3.7500149999999999</v>
      </c>
      <c r="JA19" s="12">
        <v>3.7500100000000001</v>
      </c>
      <c r="JB19" s="12">
        <v>3.7499959999999999</v>
      </c>
      <c r="JC19" s="12">
        <v>3.7500119999999999</v>
      </c>
      <c r="JD19" s="12">
        <v>3.7499980000000002</v>
      </c>
      <c r="JE19" s="12">
        <v>3.750003</v>
      </c>
      <c r="JF19" s="12">
        <v>3.7500200000000001</v>
      </c>
      <c r="JG19" s="12">
        <v>3.7499829999999998</v>
      </c>
      <c r="JH19" s="12">
        <v>3.7499790000000002</v>
      </c>
      <c r="JI19" s="12">
        <v>3.7499950000000002</v>
      </c>
      <c r="JJ19" s="12">
        <v>3.749981</v>
      </c>
      <c r="JK19" s="12">
        <v>3.750019</v>
      </c>
      <c r="JL19" s="12">
        <v>3.7499829999999998</v>
      </c>
      <c r="JM19" s="12">
        <v>3.7499989999999999</v>
      </c>
      <c r="JN19" s="12">
        <v>3.7500149999999999</v>
      </c>
      <c r="JO19" s="12">
        <v>3.7500110000000002</v>
      </c>
      <c r="JP19" s="12">
        <v>3.7499859999999998</v>
      </c>
      <c r="JQ19" s="12">
        <v>3.7500019999999998</v>
      </c>
      <c r="JR19" s="12">
        <v>3.7499880000000001</v>
      </c>
      <c r="JS19" s="12">
        <v>3.7500260000000001</v>
      </c>
      <c r="JT19" s="12">
        <v>3.7499709999999999</v>
      </c>
      <c r="JU19" s="12">
        <v>3.75</v>
      </c>
      <c r="JV19" s="12">
        <v>3.749997</v>
      </c>
      <c r="JW19" s="12">
        <v>3.7500049999999998</v>
      </c>
      <c r="JX19" s="12">
        <v>3.750003</v>
      </c>
      <c r="JY19" s="12">
        <v>3.7500100000000001</v>
      </c>
      <c r="JZ19" s="12">
        <v>3.7499859999999998</v>
      </c>
      <c r="KA19" s="12">
        <v>3.7500149999999999</v>
      </c>
      <c r="KB19" s="12">
        <v>3.7500119999999999</v>
      </c>
      <c r="KC19" s="12">
        <v>3.7500100000000001</v>
      </c>
      <c r="KD19" s="12">
        <v>3.7500170000000002</v>
      </c>
      <c r="KE19" s="12">
        <v>3.749994</v>
      </c>
      <c r="KF19" s="12">
        <v>3.7499910000000001</v>
      </c>
      <c r="KG19" s="12">
        <v>3.7499989999999999</v>
      </c>
      <c r="KH19" s="12">
        <v>3.7499750000000001</v>
      </c>
      <c r="KI19" s="12">
        <v>3.750003</v>
      </c>
      <c r="KJ19" s="12">
        <v>3.7500010000000001</v>
      </c>
      <c r="KK19" s="12">
        <v>3.7499980000000002</v>
      </c>
      <c r="KL19" s="12">
        <v>3.750006</v>
      </c>
      <c r="KM19" s="12">
        <v>3.7500140000000002</v>
      </c>
      <c r="KN19" s="12">
        <v>3.7499790000000002</v>
      </c>
      <c r="KO19" s="12">
        <v>3.7499769999999999</v>
      </c>
      <c r="KP19" s="12">
        <v>3.7500049999999998</v>
      </c>
      <c r="KQ19" s="12">
        <v>3.750013</v>
      </c>
      <c r="KR19" s="12">
        <v>3.7500209999999998</v>
      </c>
      <c r="KS19" s="12">
        <v>3.7499859999999998</v>
      </c>
      <c r="KT19" s="12">
        <v>3.7499950000000002</v>
      </c>
      <c r="KU19" s="12">
        <v>3.7500019999999998</v>
      </c>
      <c r="KV19" s="12">
        <v>3.75</v>
      </c>
      <c r="KW19" s="12">
        <v>3.749997</v>
      </c>
      <c r="KX19" s="12">
        <v>3.7500260000000001</v>
      </c>
      <c r="KY19" s="12">
        <v>3.7500019999999998</v>
      </c>
      <c r="KZ19" s="12">
        <v>3.7500100000000001</v>
      </c>
      <c r="LA19" s="12">
        <v>3.7500070000000001</v>
      </c>
      <c r="LB19" s="12">
        <v>3.7500040000000001</v>
      </c>
      <c r="LC19" s="12">
        <v>3.749981</v>
      </c>
      <c r="LD19" s="12">
        <v>3.7500089999999999</v>
      </c>
      <c r="LE19" s="12">
        <v>3.7499859999999998</v>
      </c>
      <c r="LF19" s="12">
        <v>3.7500140000000002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0</v>
      </c>
      <c r="LV19" s="12">
        <v>0</v>
      </c>
      <c r="LW19" s="12">
        <v>0</v>
      </c>
      <c r="LX19" s="12">
        <v>0</v>
      </c>
      <c r="LY19" s="12">
        <v>0</v>
      </c>
      <c r="LZ19" s="12">
        <v>0</v>
      </c>
      <c r="MA19" s="12">
        <v>0</v>
      </c>
      <c r="MB19" s="12">
        <v>0</v>
      </c>
      <c r="MC19" s="12">
        <v>0</v>
      </c>
      <c r="MD19" s="12">
        <v>0</v>
      </c>
      <c r="ME19" s="12">
        <v>0</v>
      </c>
      <c r="MF19" s="12">
        <v>0</v>
      </c>
      <c r="MG19" s="12">
        <v>0</v>
      </c>
      <c r="MH19" s="12">
        <v>0</v>
      </c>
      <c r="MI19" s="12">
        <v>0</v>
      </c>
      <c r="MJ19" s="12">
        <v>0</v>
      </c>
      <c r="MK19" s="12">
        <v>0</v>
      </c>
      <c r="ML19" s="12">
        <v>0</v>
      </c>
      <c r="MM19" s="12">
        <v>0</v>
      </c>
      <c r="MN19" s="12">
        <v>0</v>
      </c>
      <c r="MO19" s="12">
        <v>0</v>
      </c>
      <c r="MP19" s="12">
        <v>0</v>
      </c>
      <c r="MQ19" s="12">
        <v>0</v>
      </c>
      <c r="MR19" s="12">
        <v>0</v>
      </c>
      <c r="MS19" s="12">
        <v>0</v>
      </c>
      <c r="MT19" s="12">
        <v>0</v>
      </c>
      <c r="MU19" t="s">
        <v>1205</v>
      </c>
      <c r="MV19" t="b">
        <v>1</v>
      </c>
      <c r="MW19" t="s">
        <v>1196</v>
      </c>
      <c r="MX19" t="s">
        <v>1196</v>
      </c>
      <c r="MY19">
        <v>2023</v>
      </c>
      <c r="MZ19">
        <v>2</v>
      </c>
      <c r="NA19" t="s">
        <v>1196</v>
      </c>
      <c r="NB19" t="s">
        <v>1291</v>
      </c>
      <c r="NC19" s="1" t="s">
        <v>1445</v>
      </c>
      <c r="ND19" t="s">
        <v>1200</v>
      </c>
      <c r="NE19" t="s">
        <v>1446</v>
      </c>
      <c r="NF19" s="1" t="s">
        <v>1450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6828-0097-49D1-BE5A-98A5CFE6A799}">
  <sheetPr codeName="Sheet13">
    <pageSetUpPr fitToPage="1"/>
  </sheetPr>
  <dimension ref="A1:O153"/>
  <sheetViews>
    <sheetView showGridLines="0" zoomScaleNormal="100" workbookViewId="0">
      <pane xSplit="2" ySplit="6" topLeftCell="C138" activePane="bottomRight" state="frozen"/>
      <selection activeCell="J115" sqref="J115"/>
      <selection pane="topRight" activeCell="J115" sqref="J115"/>
      <selection pane="bottomLeft" activeCell="J115" sqref="J115"/>
      <selection pane="bottomRight" activeCell="H165" sqref="H165"/>
    </sheetView>
  </sheetViews>
  <sheetFormatPr defaultColWidth="8.7109375" defaultRowHeight="15" x14ac:dyDescent="0.25"/>
  <cols>
    <col min="1" max="1" width="14.7109375" style="17" customWidth="1"/>
    <col min="2" max="2" width="16" style="17" customWidth="1"/>
    <col min="3" max="3" width="21" style="17" bestFit="1" customWidth="1"/>
    <col min="4" max="4" width="17.7109375" style="17" customWidth="1"/>
    <col min="5" max="5" width="17.7109375" style="18" customWidth="1"/>
    <col min="6" max="6" width="17.7109375" style="17" customWidth="1"/>
    <col min="7" max="7" width="8.7109375" style="17"/>
    <col min="8" max="8" width="11.42578125" style="17" customWidth="1"/>
    <col min="9" max="16384" width="8.7109375" style="17"/>
  </cols>
  <sheetData>
    <row r="1" spans="1:8" ht="18" customHeight="1" x14ac:dyDescent="0.25">
      <c r="A1" s="15" t="s">
        <v>1317</v>
      </c>
      <c r="B1" s="16"/>
    </row>
    <row r="2" spans="1:8" ht="36" customHeight="1" x14ac:dyDescent="0.25">
      <c r="A2" s="15" t="s">
        <v>1318</v>
      </c>
      <c r="B2" s="16"/>
    </row>
    <row r="3" spans="1:8" ht="15.75" x14ac:dyDescent="0.25">
      <c r="A3" s="19" t="s">
        <v>1319</v>
      </c>
      <c r="B3" s="16"/>
    </row>
    <row r="4" spans="1:8" ht="15.75" x14ac:dyDescent="0.25">
      <c r="A4" s="19" t="s">
        <v>1320</v>
      </c>
      <c r="B4" s="16"/>
    </row>
    <row r="5" spans="1:8" ht="15.75" x14ac:dyDescent="0.25">
      <c r="A5" s="19" t="s">
        <v>1321</v>
      </c>
      <c r="B5" s="16"/>
    </row>
    <row r="6" spans="1:8" s="22" customFormat="1" ht="43.15" customHeight="1" x14ac:dyDescent="0.25">
      <c r="A6" s="20" t="s">
        <v>1322</v>
      </c>
      <c r="B6" s="20" t="s">
        <v>1323</v>
      </c>
      <c r="C6" s="21" t="s">
        <v>1324</v>
      </c>
      <c r="D6" s="21" t="s">
        <v>1325</v>
      </c>
      <c r="E6" s="21" t="s">
        <v>1326</v>
      </c>
      <c r="F6" s="21" t="s">
        <v>1327</v>
      </c>
    </row>
    <row r="7" spans="1:8" ht="15" customHeight="1" x14ac:dyDescent="0.25">
      <c r="A7" s="23" t="s">
        <v>1328</v>
      </c>
      <c r="B7" s="24" t="s">
        <v>1329</v>
      </c>
      <c r="C7" s="25">
        <v>639000</v>
      </c>
      <c r="D7" s="25">
        <v>74000</v>
      </c>
      <c r="E7" s="26">
        <v>327000</v>
      </c>
      <c r="F7" s="25">
        <v>238000</v>
      </c>
      <c r="H7" s="25"/>
    </row>
    <row r="8" spans="1:8" ht="15" customHeight="1" x14ac:dyDescent="0.25">
      <c r="A8" s="23" t="s">
        <v>1328</v>
      </c>
      <c r="B8" s="24" t="s">
        <v>1330</v>
      </c>
      <c r="C8" s="25">
        <v>630000</v>
      </c>
      <c r="D8" s="25">
        <v>76000</v>
      </c>
      <c r="E8" s="26">
        <v>322000</v>
      </c>
      <c r="F8" s="25">
        <v>232000</v>
      </c>
    </row>
    <row r="9" spans="1:8" ht="15" customHeight="1" x14ac:dyDescent="0.25">
      <c r="A9" s="23" t="s">
        <v>1328</v>
      </c>
      <c r="B9" s="24" t="s">
        <v>1331</v>
      </c>
      <c r="C9" s="25">
        <v>643000</v>
      </c>
      <c r="D9" s="25">
        <v>79000</v>
      </c>
      <c r="E9" s="26">
        <v>334000</v>
      </c>
      <c r="F9" s="25">
        <v>230000</v>
      </c>
    </row>
    <row r="10" spans="1:8" ht="15" customHeight="1" x14ac:dyDescent="0.25">
      <c r="A10" s="23" t="s">
        <v>1328</v>
      </c>
      <c r="B10" s="24" t="s">
        <v>1332</v>
      </c>
      <c r="C10" s="25">
        <v>649000</v>
      </c>
      <c r="D10" s="25">
        <v>75000</v>
      </c>
      <c r="E10" s="26">
        <v>350000</v>
      </c>
      <c r="F10" s="25">
        <v>224000</v>
      </c>
    </row>
    <row r="11" spans="1:8" ht="15" customHeight="1" x14ac:dyDescent="0.25">
      <c r="A11" s="23" t="s">
        <v>1328</v>
      </c>
      <c r="B11" s="24" t="s">
        <v>1333</v>
      </c>
      <c r="C11" s="25">
        <v>669000</v>
      </c>
      <c r="D11" s="25">
        <v>75000</v>
      </c>
      <c r="E11" s="26">
        <v>373000</v>
      </c>
      <c r="F11" s="25">
        <v>222000</v>
      </c>
    </row>
    <row r="12" spans="1:8" ht="15" customHeight="1" x14ac:dyDescent="0.25">
      <c r="A12" s="23" t="s">
        <v>1328</v>
      </c>
      <c r="B12" s="24" t="s">
        <v>1334</v>
      </c>
      <c r="C12" s="25">
        <v>720000</v>
      </c>
      <c r="D12" s="25">
        <v>78000</v>
      </c>
      <c r="E12" s="26">
        <v>410000</v>
      </c>
      <c r="F12" s="25">
        <v>233000</v>
      </c>
    </row>
    <row r="13" spans="1:8" ht="15" customHeight="1" x14ac:dyDescent="0.25">
      <c r="A13" s="23" t="s">
        <v>1328</v>
      </c>
      <c r="B13" s="24" t="s">
        <v>1335</v>
      </c>
      <c r="C13" s="25">
        <v>713000</v>
      </c>
      <c r="D13" s="25">
        <v>76000</v>
      </c>
      <c r="E13" s="26">
        <v>402000</v>
      </c>
      <c r="F13" s="25">
        <v>234000</v>
      </c>
    </row>
    <row r="14" spans="1:8" ht="15" customHeight="1" x14ac:dyDescent="0.25">
      <c r="A14" s="23" t="s">
        <v>1328</v>
      </c>
      <c r="B14" s="24" t="s">
        <v>1336</v>
      </c>
      <c r="C14" s="25">
        <v>731000</v>
      </c>
      <c r="D14" s="25">
        <v>80000</v>
      </c>
      <c r="E14" s="26">
        <v>414000</v>
      </c>
      <c r="F14" s="25">
        <v>236000</v>
      </c>
    </row>
    <row r="15" spans="1:8" x14ac:dyDescent="0.25">
      <c r="A15" s="23" t="s">
        <v>1328</v>
      </c>
      <c r="B15" s="24" t="s">
        <v>1337</v>
      </c>
      <c r="C15" s="25">
        <v>737000</v>
      </c>
      <c r="D15" s="25">
        <v>82000</v>
      </c>
      <c r="E15" s="26">
        <v>420000</v>
      </c>
      <c r="F15" s="25">
        <v>236000</v>
      </c>
    </row>
    <row r="16" spans="1:8" x14ac:dyDescent="0.25">
      <c r="A16" s="23" t="s">
        <v>1328</v>
      </c>
      <c r="B16" s="24" t="s">
        <v>1338</v>
      </c>
      <c r="C16" s="25">
        <v>761000</v>
      </c>
      <c r="D16" s="25">
        <v>81000</v>
      </c>
      <c r="E16" s="26">
        <v>441000</v>
      </c>
      <c r="F16" s="25">
        <v>239000</v>
      </c>
    </row>
    <row r="17" spans="1:6" x14ac:dyDescent="0.25">
      <c r="A17" s="23" t="s">
        <v>1328</v>
      </c>
      <c r="B17" s="24" t="s">
        <v>1339</v>
      </c>
      <c r="C17" s="25">
        <v>778000</v>
      </c>
      <c r="D17" s="25">
        <v>81000</v>
      </c>
      <c r="E17" s="26">
        <v>457000</v>
      </c>
      <c r="F17" s="25">
        <v>241000</v>
      </c>
    </row>
    <row r="18" spans="1:6" x14ac:dyDescent="0.25">
      <c r="A18" s="23" t="s">
        <v>1328</v>
      </c>
      <c r="B18" s="24" t="s">
        <v>1340</v>
      </c>
      <c r="C18" s="25">
        <v>780000</v>
      </c>
      <c r="D18" s="25">
        <v>83000</v>
      </c>
      <c r="E18" s="26">
        <v>457000</v>
      </c>
      <c r="F18" s="25">
        <v>240000</v>
      </c>
    </row>
    <row r="19" spans="1:6" x14ac:dyDescent="0.25">
      <c r="A19" s="23" t="s">
        <v>1328</v>
      </c>
      <c r="B19" s="24" t="s">
        <v>1341</v>
      </c>
      <c r="C19" s="25">
        <v>778000</v>
      </c>
      <c r="D19" s="25">
        <v>83000</v>
      </c>
      <c r="E19" s="26">
        <v>454000</v>
      </c>
      <c r="F19" s="25">
        <v>241000</v>
      </c>
    </row>
    <row r="20" spans="1:6" x14ac:dyDescent="0.25">
      <c r="A20" s="23" t="s">
        <v>1328</v>
      </c>
      <c r="B20" s="24" t="s">
        <v>1342</v>
      </c>
      <c r="C20" s="25">
        <v>774000</v>
      </c>
      <c r="D20" s="25">
        <v>81000</v>
      </c>
      <c r="E20" s="26">
        <v>453000</v>
      </c>
      <c r="F20" s="25">
        <v>240000</v>
      </c>
    </row>
    <row r="21" spans="1:6" x14ac:dyDescent="0.25">
      <c r="A21" s="23" t="s">
        <v>1328</v>
      </c>
      <c r="B21" s="24" t="s">
        <v>1343</v>
      </c>
      <c r="C21" s="25">
        <v>797000</v>
      </c>
      <c r="D21" s="25">
        <v>78000</v>
      </c>
      <c r="E21" s="26">
        <v>481000</v>
      </c>
      <c r="F21" s="25">
        <v>238000</v>
      </c>
    </row>
    <row r="22" spans="1:6" x14ac:dyDescent="0.25">
      <c r="A22" s="23" t="s">
        <v>1328</v>
      </c>
      <c r="B22" s="24" t="s">
        <v>1344</v>
      </c>
      <c r="C22" s="25">
        <v>803000</v>
      </c>
      <c r="D22" s="25">
        <v>78000</v>
      </c>
      <c r="E22" s="26">
        <v>490000</v>
      </c>
      <c r="F22" s="25">
        <v>235000</v>
      </c>
    </row>
    <row r="23" spans="1:6" ht="15" customHeight="1" x14ac:dyDescent="0.25">
      <c r="A23" s="23" t="s">
        <v>1328</v>
      </c>
      <c r="B23" s="24" t="s">
        <v>1345</v>
      </c>
      <c r="C23" s="25">
        <v>832000</v>
      </c>
      <c r="D23" s="25">
        <v>74000</v>
      </c>
      <c r="E23" s="26">
        <v>521000</v>
      </c>
      <c r="F23" s="25">
        <v>237000</v>
      </c>
    </row>
    <row r="24" spans="1:6" ht="15" customHeight="1" x14ac:dyDescent="0.25">
      <c r="A24" s="23" t="s">
        <v>1328</v>
      </c>
      <c r="B24" s="24" t="s">
        <v>1346</v>
      </c>
      <c r="C24" s="27">
        <v>804000</v>
      </c>
      <c r="D24" s="27">
        <v>70000</v>
      </c>
      <c r="E24" s="27">
        <v>496000</v>
      </c>
      <c r="F24" s="27">
        <v>238000</v>
      </c>
    </row>
    <row r="25" spans="1:6" ht="15" customHeight="1" x14ac:dyDescent="0.25">
      <c r="A25" s="23" t="s">
        <v>1328</v>
      </c>
      <c r="B25" s="24" t="s">
        <v>1347</v>
      </c>
      <c r="C25" s="27">
        <v>772000</v>
      </c>
      <c r="D25" s="27">
        <v>70000</v>
      </c>
      <c r="E25" s="27">
        <v>465000</v>
      </c>
      <c r="F25" s="27">
        <v>237000</v>
      </c>
    </row>
    <row r="26" spans="1:6" ht="15" customHeight="1" x14ac:dyDescent="0.25">
      <c r="A26" s="23" t="s">
        <v>1328</v>
      </c>
      <c r="B26" s="24" t="s">
        <v>1348</v>
      </c>
      <c r="C26" s="27">
        <v>759000</v>
      </c>
      <c r="D26" s="27">
        <v>72000</v>
      </c>
      <c r="E26" s="27">
        <v>447000</v>
      </c>
      <c r="F26" s="27">
        <v>239000</v>
      </c>
    </row>
    <row r="27" spans="1:6" ht="15" customHeight="1" x14ac:dyDescent="0.25">
      <c r="A27" s="23" t="s">
        <v>1328</v>
      </c>
      <c r="B27" s="24" t="s">
        <v>1349</v>
      </c>
      <c r="C27" s="27">
        <v>718000</v>
      </c>
      <c r="D27" s="27">
        <v>78000</v>
      </c>
      <c r="E27" s="27">
        <v>399000</v>
      </c>
      <c r="F27" s="27">
        <v>241000</v>
      </c>
    </row>
    <row r="28" spans="1:6" ht="15" customHeight="1" x14ac:dyDescent="0.25">
      <c r="A28" s="23" t="s">
        <v>1328</v>
      </c>
      <c r="B28" s="24" t="s">
        <v>1350</v>
      </c>
      <c r="C28" s="27">
        <v>754000</v>
      </c>
      <c r="D28" s="27">
        <v>78000</v>
      </c>
      <c r="E28" s="27">
        <v>425000</v>
      </c>
      <c r="F28" s="27">
        <v>251000</v>
      </c>
    </row>
    <row r="29" spans="1:6" ht="15" customHeight="1" x14ac:dyDescent="0.25">
      <c r="A29" s="23" t="s">
        <v>1328</v>
      </c>
      <c r="B29" s="24" t="s">
        <v>1351</v>
      </c>
      <c r="C29" s="27">
        <v>752000</v>
      </c>
      <c r="D29" s="27">
        <v>84000</v>
      </c>
      <c r="E29" s="27">
        <v>411000</v>
      </c>
      <c r="F29" s="27">
        <v>257000</v>
      </c>
    </row>
    <row r="30" spans="1:6" ht="15" customHeight="1" x14ac:dyDescent="0.25">
      <c r="A30" s="23" t="s">
        <v>1328</v>
      </c>
      <c r="B30" s="24" t="s">
        <v>1352</v>
      </c>
      <c r="C30" s="27">
        <v>736000</v>
      </c>
      <c r="D30" s="27">
        <v>76000</v>
      </c>
      <c r="E30" s="27">
        <v>399000</v>
      </c>
      <c r="F30" s="27">
        <v>261000</v>
      </c>
    </row>
    <row r="31" spans="1:6" ht="15" customHeight="1" x14ac:dyDescent="0.25">
      <c r="A31" s="23" t="s">
        <v>1328</v>
      </c>
      <c r="B31" s="24" t="s">
        <v>1353</v>
      </c>
      <c r="C31" s="27">
        <v>757000</v>
      </c>
      <c r="D31" s="27">
        <v>81000</v>
      </c>
      <c r="E31" s="27">
        <v>407000</v>
      </c>
      <c r="F31" s="27">
        <v>269000</v>
      </c>
    </row>
    <row r="32" spans="1:6" ht="15" customHeight="1" x14ac:dyDescent="0.25">
      <c r="A32" s="23" t="s">
        <v>1328</v>
      </c>
      <c r="B32" s="24" t="s">
        <v>1354</v>
      </c>
      <c r="C32" s="27">
        <v>766000</v>
      </c>
      <c r="D32" s="27">
        <v>85000</v>
      </c>
      <c r="E32" s="27">
        <v>397000</v>
      </c>
      <c r="F32" s="27">
        <v>284000</v>
      </c>
    </row>
    <row r="33" spans="1:9" ht="15" customHeight="1" x14ac:dyDescent="0.25">
      <c r="A33" s="23" t="s">
        <v>1328</v>
      </c>
      <c r="B33" s="24" t="s">
        <v>1355</v>
      </c>
      <c r="C33" s="27">
        <v>825000</v>
      </c>
      <c r="D33" s="27">
        <v>74000</v>
      </c>
      <c r="E33" s="27">
        <v>421000</v>
      </c>
      <c r="F33" s="27">
        <v>330000</v>
      </c>
    </row>
    <row r="34" spans="1:9" ht="15" customHeight="1" x14ac:dyDescent="0.25">
      <c r="A34" s="23" t="s">
        <v>1328</v>
      </c>
      <c r="B34" s="24" t="s">
        <v>1356</v>
      </c>
      <c r="C34" s="27">
        <v>849000</v>
      </c>
      <c r="D34" s="27">
        <v>74000</v>
      </c>
      <c r="E34" s="27">
        <v>429000</v>
      </c>
      <c r="F34" s="27">
        <v>346000</v>
      </c>
    </row>
    <row r="35" spans="1:9" ht="15" customHeight="1" x14ac:dyDescent="0.25">
      <c r="A35" s="23" t="s">
        <v>1328</v>
      </c>
      <c r="B35" s="24" t="s">
        <v>1357</v>
      </c>
      <c r="C35" s="27">
        <v>821000</v>
      </c>
      <c r="D35" s="27">
        <v>61000</v>
      </c>
      <c r="E35" s="27">
        <v>413000</v>
      </c>
      <c r="F35" s="27">
        <v>347000</v>
      </c>
    </row>
    <row r="36" spans="1:9" ht="15" customHeight="1" x14ac:dyDescent="0.25">
      <c r="A36" s="23" t="s">
        <v>1328</v>
      </c>
      <c r="B36" s="24" t="s">
        <v>1358</v>
      </c>
      <c r="C36" s="27">
        <v>793000</v>
      </c>
      <c r="D36" s="27">
        <v>66000</v>
      </c>
      <c r="E36" s="27">
        <v>376000</v>
      </c>
      <c r="F36" s="27">
        <v>351000</v>
      </c>
    </row>
    <row r="37" spans="1:9" ht="15" customHeight="1" x14ac:dyDescent="0.25">
      <c r="A37" s="23" t="s">
        <v>1328</v>
      </c>
      <c r="B37" s="24" t="s">
        <v>1359</v>
      </c>
      <c r="C37" s="27">
        <v>788000</v>
      </c>
      <c r="D37" s="27">
        <v>71000</v>
      </c>
      <c r="E37" s="27">
        <v>349000</v>
      </c>
      <c r="F37" s="27">
        <v>368000</v>
      </c>
    </row>
    <row r="38" spans="1:9" ht="15" customHeight="1" x14ac:dyDescent="0.25">
      <c r="A38" s="23" t="s">
        <v>1328</v>
      </c>
      <c r="B38" s="24" t="s">
        <v>1360</v>
      </c>
      <c r="C38" s="27">
        <v>815000</v>
      </c>
      <c r="D38" s="27">
        <v>80000</v>
      </c>
      <c r="E38" s="27">
        <v>347000</v>
      </c>
      <c r="F38" s="27">
        <v>388000</v>
      </c>
    </row>
    <row r="39" spans="1:9" ht="15" customHeight="1" x14ac:dyDescent="0.25">
      <c r="A39" s="23" t="s">
        <v>1328</v>
      </c>
      <c r="B39" s="24" t="s">
        <v>1361</v>
      </c>
      <c r="C39" s="27">
        <v>736000</v>
      </c>
      <c r="D39" s="27">
        <v>72000</v>
      </c>
      <c r="E39" s="27">
        <v>333000</v>
      </c>
      <c r="F39" s="27">
        <v>331000</v>
      </c>
    </row>
    <row r="40" spans="1:9" ht="15" customHeight="1" x14ac:dyDescent="0.25">
      <c r="A40" s="23" t="s">
        <v>1328</v>
      </c>
      <c r="B40" s="24" t="s">
        <v>1362</v>
      </c>
      <c r="C40" s="27">
        <v>606000</v>
      </c>
      <c r="D40" s="27">
        <v>53000</v>
      </c>
      <c r="E40" s="27">
        <v>293000</v>
      </c>
      <c r="F40" s="27">
        <v>260000</v>
      </c>
    </row>
    <row r="41" spans="1:9" ht="15" customHeight="1" x14ac:dyDescent="0.25">
      <c r="A41" s="23" t="s">
        <v>1328</v>
      </c>
      <c r="B41" s="24" t="s">
        <v>1363</v>
      </c>
      <c r="C41" s="27">
        <v>662000</v>
      </c>
      <c r="D41" s="27">
        <v>52000</v>
      </c>
      <c r="E41" s="27">
        <v>316000</v>
      </c>
      <c r="F41" s="27">
        <v>294000</v>
      </c>
    </row>
    <row r="42" spans="1:9" ht="15" customHeight="1" x14ac:dyDescent="0.25">
      <c r="A42" s="23" t="s">
        <v>1328</v>
      </c>
      <c r="B42" s="24" t="s">
        <v>1364</v>
      </c>
      <c r="C42" s="27">
        <v>629000</v>
      </c>
      <c r="D42" s="27">
        <v>44000</v>
      </c>
      <c r="E42" s="27">
        <v>287000</v>
      </c>
      <c r="F42" s="27">
        <v>297000</v>
      </c>
    </row>
    <row r="43" spans="1:9" ht="15" customHeight="1" x14ac:dyDescent="0.25">
      <c r="A43" s="23" t="s">
        <v>1328</v>
      </c>
      <c r="B43" s="24" t="s">
        <v>1365</v>
      </c>
      <c r="C43" s="27">
        <v>737000</v>
      </c>
      <c r="D43" s="27">
        <v>62000</v>
      </c>
      <c r="E43" s="27">
        <v>304000</v>
      </c>
      <c r="F43" s="27">
        <v>371000</v>
      </c>
      <c r="I43" s="25"/>
    </row>
    <row r="44" spans="1:9" ht="15" customHeight="1" x14ac:dyDescent="0.25">
      <c r="A44" s="23" t="s">
        <v>1328</v>
      </c>
      <c r="B44" s="24" t="s">
        <v>1366</v>
      </c>
      <c r="C44" s="27">
        <v>909000</v>
      </c>
      <c r="D44" s="27">
        <v>96000</v>
      </c>
      <c r="E44" s="27">
        <v>275000</v>
      </c>
      <c r="F44" s="27">
        <v>539000</v>
      </c>
    </row>
    <row r="45" spans="1:9" ht="15" customHeight="1" x14ac:dyDescent="0.25">
      <c r="A45" s="23" t="s">
        <v>1328</v>
      </c>
      <c r="B45" s="24" t="s">
        <v>1367</v>
      </c>
      <c r="C45" s="27">
        <v>917000</v>
      </c>
      <c r="D45" s="27">
        <v>108000</v>
      </c>
      <c r="E45" s="27">
        <v>191000</v>
      </c>
      <c r="F45" s="27">
        <v>617000</v>
      </c>
    </row>
    <row r="46" spans="1:9" ht="15" customHeight="1" x14ac:dyDescent="0.25">
      <c r="A46" s="23" t="s">
        <v>1328</v>
      </c>
      <c r="B46" s="24" t="s">
        <v>1368</v>
      </c>
      <c r="C46" s="27">
        <v>991000</v>
      </c>
      <c r="D46" s="27">
        <v>110000</v>
      </c>
      <c r="E46" s="27">
        <v>155000</v>
      </c>
      <c r="F46" s="27">
        <v>727000</v>
      </c>
    </row>
    <row r="47" spans="1:9" ht="15" customHeight="1" x14ac:dyDescent="0.25">
      <c r="A47" s="23" t="s">
        <v>1328</v>
      </c>
      <c r="B47" s="24" t="s">
        <v>1369</v>
      </c>
      <c r="C47" s="27">
        <v>1088000</v>
      </c>
      <c r="D47" s="27">
        <v>108000</v>
      </c>
      <c r="E47" s="27">
        <v>135000</v>
      </c>
      <c r="F47" s="27">
        <v>845000</v>
      </c>
    </row>
    <row r="48" spans="1:9" ht="15" customHeight="1" x14ac:dyDescent="0.25">
      <c r="A48" s="23" t="s">
        <v>1328</v>
      </c>
      <c r="B48" s="24" t="s">
        <v>1370</v>
      </c>
      <c r="C48" s="27">
        <v>1227000</v>
      </c>
      <c r="D48" s="27">
        <v>94000</v>
      </c>
      <c r="E48" s="27">
        <v>130000</v>
      </c>
      <c r="F48" s="27">
        <v>1003000</v>
      </c>
    </row>
    <row r="49" spans="1:12" ht="15" customHeight="1" x14ac:dyDescent="0.25">
      <c r="A49" s="23" t="s">
        <v>1328</v>
      </c>
      <c r="B49" s="24" t="s">
        <v>1371</v>
      </c>
      <c r="C49" s="27">
        <v>1294000</v>
      </c>
      <c r="D49" s="27">
        <v>88000</v>
      </c>
      <c r="E49" s="27">
        <v>129000</v>
      </c>
      <c r="F49" s="27">
        <v>1078000</v>
      </c>
    </row>
    <row r="50" spans="1:12" ht="15" customHeight="1" x14ac:dyDescent="0.25">
      <c r="A50" s="23" t="s">
        <v>1328</v>
      </c>
      <c r="B50" s="24" t="s">
        <v>1372</v>
      </c>
      <c r="C50" s="27">
        <v>1312000</v>
      </c>
      <c r="D50" s="27">
        <v>87000</v>
      </c>
      <c r="E50" s="27">
        <v>142000</v>
      </c>
      <c r="F50" s="27">
        <v>1083000</v>
      </c>
    </row>
    <row r="51" spans="1:12" x14ac:dyDescent="0.25">
      <c r="A51" s="23" t="s">
        <v>1328</v>
      </c>
      <c r="B51" s="24" t="s">
        <v>1373</v>
      </c>
      <c r="C51" s="27">
        <v>1320000</v>
      </c>
      <c r="D51" s="27">
        <v>84000</v>
      </c>
      <c r="E51" s="27">
        <v>141000</v>
      </c>
      <c r="F51" s="27">
        <v>1095000</v>
      </c>
    </row>
    <row r="52" spans="1:12" x14ac:dyDescent="0.25">
      <c r="A52" s="23" t="s">
        <v>1328</v>
      </c>
      <c r="B52" s="24" t="s">
        <v>1374</v>
      </c>
      <c r="C52" s="27">
        <v>1304000</v>
      </c>
      <c r="D52" s="27">
        <v>64000</v>
      </c>
      <c r="E52" s="27">
        <v>121000</v>
      </c>
      <c r="F52" s="27">
        <v>1118000</v>
      </c>
    </row>
    <row r="53" spans="1:12" ht="18" customHeight="1" x14ac:dyDescent="0.25">
      <c r="A53" s="23" t="s">
        <v>1328</v>
      </c>
      <c r="B53" s="24" t="s">
        <v>1375</v>
      </c>
      <c r="C53" s="27">
        <v>1316000</v>
      </c>
      <c r="D53" s="27">
        <v>61000</v>
      </c>
      <c r="E53" s="27">
        <v>133000</v>
      </c>
      <c r="F53" s="27">
        <v>1122000</v>
      </c>
    </row>
    <row r="54" spans="1:12" ht="18" customHeight="1" x14ac:dyDescent="0.25">
      <c r="A54" s="23" t="s">
        <v>1328</v>
      </c>
      <c r="B54" s="24" t="s">
        <v>1376</v>
      </c>
      <c r="C54" s="27">
        <v>1293000</v>
      </c>
      <c r="D54" s="25">
        <v>67000</v>
      </c>
      <c r="E54" s="26">
        <v>116000</v>
      </c>
      <c r="F54" s="25">
        <v>1110000</v>
      </c>
    </row>
    <row r="55" spans="1:12" ht="42.75" customHeight="1" x14ac:dyDescent="0.25">
      <c r="A55" s="23" t="s">
        <v>1328</v>
      </c>
      <c r="B55" s="24" t="s">
        <v>1377</v>
      </c>
      <c r="C55" s="27">
        <v>1207000</v>
      </c>
      <c r="D55" s="25">
        <v>58000</v>
      </c>
      <c r="E55" s="26">
        <v>116000</v>
      </c>
      <c r="F55" s="25">
        <v>1034000</v>
      </c>
    </row>
    <row r="56" spans="1:12" x14ac:dyDescent="0.25">
      <c r="A56" s="23" t="s">
        <v>1378</v>
      </c>
      <c r="B56" s="24" t="s">
        <v>1329</v>
      </c>
      <c r="C56" s="27">
        <v>477000</v>
      </c>
      <c r="D56" s="27">
        <v>156000</v>
      </c>
      <c r="E56" s="27">
        <v>140000</v>
      </c>
      <c r="F56" s="27">
        <v>181000</v>
      </c>
      <c r="I56" s="27"/>
      <c r="J56" s="27"/>
      <c r="K56" s="27"/>
      <c r="L56" s="27"/>
    </row>
    <row r="57" spans="1:12" x14ac:dyDescent="0.25">
      <c r="A57" s="23" t="s">
        <v>1378</v>
      </c>
      <c r="B57" s="24" t="s">
        <v>1330</v>
      </c>
      <c r="C57" s="27">
        <v>473000</v>
      </c>
      <c r="D57" s="27">
        <v>156000</v>
      </c>
      <c r="E57" s="27">
        <v>139000</v>
      </c>
      <c r="F57" s="27">
        <v>178000</v>
      </c>
      <c r="I57" s="27"/>
      <c r="J57" s="27"/>
      <c r="K57" s="27"/>
      <c r="L57" s="27"/>
    </row>
    <row r="58" spans="1:12" x14ac:dyDescent="0.25">
      <c r="A58" s="23" t="s">
        <v>1378</v>
      </c>
      <c r="B58" s="24" t="s">
        <v>1331</v>
      </c>
      <c r="C58" s="27">
        <v>448000</v>
      </c>
      <c r="D58" s="27">
        <v>151000</v>
      </c>
      <c r="E58" s="27">
        <v>128000</v>
      </c>
      <c r="F58" s="27">
        <v>169000</v>
      </c>
      <c r="I58" s="27"/>
      <c r="J58" s="27"/>
      <c r="K58" s="27"/>
      <c r="L58" s="27"/>
    </row>
    <row r="59" spans="1:12" x14ac:dyDescent="0.25">
      <c r="A59" s="23" t="s">
        <v>1378</v>
      </c>
      <c r="B59" s="24" t="s">
        <v>1332</v>
      </c>
      <c r="C59" s="27">
        <v>446000</v>
      </c>
      <c r="D59" s="27">
        <v>154000</v>
      </c>
      <c r="E59" s="27">
        <v>127000</v>
      </c>
      <c r="F59" s="27">
        <v>164000</v>
      </c>
      <c r="I59" s="27"/>
      <c r="J59" s="27"/>
      <c r="K59" s="27"/>
      <c r="L59" s="27"/>
    </row>
    <row r="60" spans="1:12" x14ac:dyDescent="0.25">
      <c r="A60" s="23" t="s">
        <v>1378</v>
      </c>
      <c r="B60" s="24" t="s">
        <v>1333</v>
      </c>
      <c r="C60" s="27">
        <v>454000</v>
      </c>
      <c r="D60" s="27">
        <v>157000</v>
      </c>
      <c r="E60" s="27">
        <v>131000</v>
      </c>
      <c r="F60" s="27">
        <v>166000</v>
      </c>
      <c r="I60" s="27"/>
      <c r="J60" s="27"/>
      <c r="K60" s="27"/>
      <c r="L60" s="27"/>
    </row>
    <row r="61" spans="1:12" x14ac:dyDescent="0.25">
      <c r="A61" s="23" t="s">
        <v>1378</v>
      </c>
      <c r="B61" s="24" t="s">
        <v>1334</v>
      </c>
      <c r="C61" s="27">
        <v>461000</v>
      </c>
      <c r="D61" s="27">
        <v>158000</v>
      </c>
      <c r="E61" s="27">
        <v>135000</v>
      </c>
      <c r="F61" s="27">
        <v>169000</v>
      </c>
      <c r="I61" s="27"/>
      <c r="J61" s="27"/>
      <c r="K61" s="27"/>
      <c r="L61" s="27"/>
    </row>
    <row r="62" spans="1:12" x14ac:dyDescent="0.25">
      <c r="A62" s="23" t="s">
        <v>1378</v>
      </c>
      <c r="B62" s="24" t="s">
        <v>1335</v>
      </c>
      <c r="C62" s="27">
        <v>469000</v>
      </c>
      <c r="D62" s="27">
        <v>157000</v>
      </c>
      <c r="E62" s="27">
        <v>141000</v>
      </c>
      <c r="F62" s="27">
        <v>171000</v>
      </c>
      <c r="I62" s="27"/>
      <c r="J62" s="27"/>
      <c r="K62" s="27"/>
      <c r="L62" s="27"/>
    </row>
    <row r="63" spans="1:12" x14ac:dyDescent="0.25">
      <c r="A63" s="23" t="s">
        <v>1378</v>
      </c>
      <c r="B63" s="24" t="s">
        <v>1336</v>
      </c>
      <c r="C63" s="27">
        <v>475000</v>
      </c>
      <c r="D63" s="27">
        <v>154000</v>
      </c>
      <c r="E63" s="27">
        <v>151000</v>
      </c>
      <c r="F63" s="27">
        <v>170000</v>
      </c>
      <c r="I63" s="27"/>
      <c r="J63" s="27"/>
      <c r="K63" s="27"/>
      <c r="L63" s="27"/>
    </row>
    <row r="64" spans="1:12" x14ac:dyDescent="0.25">
      <c r="A64" s="23" t="s">
        <v>1378</v>
      </c>
      <c r="B64" s="24" t="s">
        <v>1337</v>
      </c>
      <c r="C64" s="27">
        <v>489000</v>
      </c>
      <c r="D64" s="27">
        <v>157000</v>
      </c>
      <c r="E64" s="27">
        <v>161000</v>
      </c>
      <c r="F64" s="27">
        <v>171000</v>
      </c>
      <c r="I64" s="27"/>
      <c r="J64" s="27"/>
      <c r="K64" s="27"/>
      <c r="L64" s="27"/>
    </row>
    <row r="65" spans="1:12" x14ac:dyDescent="0.25">
      <c r="A65" s="23" t="s">
        <v>1378</v>
      </c>
      <c r="B65" s="24" t="s">
        <v>1338</v>
      </c>
      <c r="C65" s="27">
        <v>497000</v>
      </c>
      <c r="D65" s="27">
        <v>160000</v>
      </c>
      <c r="E65" s="27">
        <v>171000</v>
      </c>
      <c r="F65" s="27">
        <v>166000</v>
      </c>
      <c r="I65" s="27"/>
      <c r="J65" s="27"/>
      <c r="K65" s="27"/>
      <c r="L65" s="27"/>
    </row>
    <row r="66" spans="1:12" x14ac:dyDescent="0.25">
      <c r="A66" s="23" t="s">
        <v>1378</v>
      </c>
      <c r="B66" s="24" t="s">
        <v>1339</v>
      </c>
      <c r="C66" s="27">
        <v>494000</v>
      </c>
      <c r="D66" s="27">
        <v>161000</v>
      </c>
      <c r="E66" s="27">
        <v>180000</v>
      </c>
      <c r="F66" s="27">
        <v>154000</v>
      </c>
      <c r="I66" s="27"/>
      <c r="J66" s="27"/>
      <c r="K66" s="27"/>
      <c r="L66" s="27"/>
    </row>
    <row r="67" spans="1:12" x14ac:dyDescent="0.25">
      <c r="A67" s="23" t="s">
        <v>1378</v>
      </c>
      <c r="B67" s="24" t="s">
        <v>1340</v>
      </c>
      <c r="C67" s="27">
        <v>484000</v>
      </c>
      <c r="D67" s="27">
        <v>156000</v>
      </c>
      <c r="E67" s="27">
        <v>182000</v>
      </c>
      <c r="F67" s="27">
        <v>146000</v>
      </c>
      <c r="I67" s="27"/>
      <c r="J67" s="27"/>
      <c r="K67" s="27"/>
      <c r="L67" s="27"/>
    </row>
    <row r="68" spans="1:12" x14ac:dyDescent="0.25">
      <c r="A68" s="23" t="s">
        <v>1378</v>
      </c>
      <c r="B68" s="24" t="s">
        <v>1341</v>
      </c>
      <c r="C68" s="27">
        <v>482000</v>
      </c>
      <c r="D68" s="27">
        <v>154000</v>
      </c>
      <c r="E68" s="27">
        <v>187000</v>
      </c>
      <c r="F68" s="27">
        <v>141000</v>
      </c>
      <c r="I68" s="27"/>
      <c r="J68" s="27"/>
      <c r="K68" s="27"/>
      <c r="L68" s="27"/>
    </row>
    <row r="69" spans="1:12" x14ac:dyDescent="0.25">
      <c r="A69" s="23" t="s">
        <v>1378</v>
      </c>
      <c r="B69" s="24" t="s">
        <v>1342</v>
      </c>
      <c r="C69" s="27">
        <v>481000</v>
      </c>
      <c r="D69" s="27">
        <v>153000</v>
      </c>
      <c r="E69" s="27">
        <v>191000</v>
      </c>
      <c r="F69" s="27">
        <v>137000</v>
      </c>
      <c r="I69" s="27"/>
      <c r="J69" s="27"/>
      <c r="K69" s="27"/>
      <c r="L69" s="27"/>
    </row>
    <row r="70" spans="1:12" ht="15" customHeight="1" x14ac:dyDescent="0.25">
      <c r="A70" s="23" t="s">
        <v>1378</v>
      </c>
      <c r="B70" s="24" t="s">
        <v>1343</v>
      </c>
      <c r="C70" s="27">
        <v>494000</v>
      </c>
      <c r="D70" s="27">
        <v>151000</v>
      </c>
      <c r="E70" s="27">
        <v>193000</v>
      </c>
      <c r="F70" s="27">
        <v>150000</v>
      </c>
      <c r="I70" s="27"/>
      <c r="J70" s="27"/>
      <c r="K70" s="27"/>
      <c r="L70" s="27"/>
    </row>
    <row r="71" spans="1:12" ht="15" customHeight="1" x14ac:dyDescent="0.25">
      <c r="A71" s="23" t="s">
        <v>1378</v>
      </c>
      <c r="B71" s="24" t="s">
        <v>1344</v>
      </c>
      <c r="C71" s="27">
        <v>506000</v>
      </c>
      <c r="D71" s="27">
        <v>155000</v>
      </c>
      <c r="E71" s="27">
        <v>196000</v>
      </c>
      <c r="F71" s="27">
        <v>155000</v>
      </c>
      <c r="I71" s="27"/>
      <c r="J71" s="27"/>
      <c r="K71" s="27"/>
      <c r="L71" s="27"/>
    </row>
    <row r="72" spans="1:12" ht="15" customHeight="1" x14ac:dyDescent="0.25">
      <c r="A72" s="23" t="s">
        <v>1378</v>
      </c>
      <c r="B72" s="24" t="s">
        <v>1345</v>
      </c>
      <c r="C72" s="27">
        <v>511000</v>
      </c>
      <c r="D72" s="27">
        <v>157000</v>
      </c>
      <c r="E72" s="27">
        <v>199000</v>
      </c>
      <c r="F72" s="27">
        <v>155000</v>
      </c>
      <c r="I72" s="27"/>
      <c r="J72" s="27"/>
      <c r="K72" s="27"/>
      <c r="L72" s="27"/>
    </row>
    <row r="73" spans="1:12" ht="15" customHeight="1" x14ac:dyDescent="0.25">
      <c r="A73" s="23" t="s">
        <v>1378</v>
      </c>
      <c r="B73" s="24" t="s">
        <v>1346</v>
      </c>
      <c r="C73" s="27">
        <v>514000</v>
      </c>
      <c r="D73" s="27">
        <v>157000</v>
      </c>
      <c r="E73" s="27">
        <v>202000</v>
      </c>
      <c r="F73" s="27">
        <v>155000</v>
      </c>
      <c r="I73" s="27"/>
      <c r="J73" s="27"/>
      <c r="K73" s="27"/>
      <c r="L73" s="27"/>
    </row>
    <row r="74" spans="1:12" ht="15" customHeight="1" x14ac:dyDescent="0.25">
      <c r="A74" s="23" t="s">
        <v>1378</v>
      </c>
      <c r="B74" s="24" t="s">
        <v>1347</v>
      </c>
      <c r="C74" s="27">
        <v>523000</v>
      </c>
      <c r="D74" s="27">
        <v>163000</v>
      </c>
      <c r="E74" s="27">
        <v>213000</v>
      </c>
      <c r="F74" s="27">
        <v>147000</v>
      </c>
      <c r="I74" s="27"/>
      <c r="J74" s="27"/>
      <c r="K74" s="27"/>
      <c r="L74" s="27"/>
    </row>
    <row r="75" spans="1:12" ht="15" customHeight="1" x14ac:dyDescent="0.25">
      <c r="A75" s="23" t="s">
        <v>1378</v>
      </c>
      <c r="B75" s="24" t="s">
        <v>1348</v>
      </c>
      <c r="C75" s="27">
        <v>519000</v>
      </c>
      <c r="D75" s="27">
        <v>163000</v>
      </c>
      <c r="E75" s="27">
        <v>213000</v>
      </c>
      <c r="F75" s="27">
        <v>143000</v>
      </c>
      <c r="I75" s="27"/>
      <c r="J75" s="27"/>
      <c r="K75" s="27"/>
      <c r="L75" s="27"/>
    </row>
    <row r="76" spans="1:12" ht="15" customHeight="1" x14ac:dyDescent="0.25">
      <c r="A76" s="23" t="s">
        <v>1378</v>
      </c>
      <c r="B76" s="24" t="s">
        <v>1349</v>
      </c>
      <c r="C76" s="27">
        <v>518000</v>
      </c>
      <c r="D76" s="27">
        <v>157000</v>
      </c>
      <c r="E76" s="27">
        <v>212000</v>
      </c>
      <c r="F76" s="27">
        <v>149000</v>
      </c>
      <c r="I76" s="27"/>
      <c r="J76" s="27"/>
      <c r="K76" s="27"/>
      <c r="L76" s="27"/>
    </row>
    <row r="77" spans="1:12" ht="15" customHeight="1" x14ac:dyDescent="0.25">
      <c r="A77" s="23" t="s">
        <v>1378</v>
      </c>
      <c r="B77" s="24" t="s">
        <v>1350</v>
      </c>
      <c r="C77" s="27">
        <v>549000</v>
      </c>
      <c r="D77" s="27">
        <v>163000</v>
      </c>
      <c r="E77" s="27">
        <v>233000</v>
      </c>
      <c r="F77" s="27">
        <v>152000</v>
      </c>
      <c r="I77" s="27"/>
      <c r="J77" s="27"/>
      <c r="K77" s="27"/>
      <c r="L77" s="27"/>
    </row>
    <row r="78" spans="1:12" ht="15" customHeight="1" x14ac:dyDescent="0.25">
      <c r="A78" s="23" t="s">
        <v>1378</v>
      </c>
      <c r="B78" s="24" t="s">
        <v>1351</v>
      </c>
      <c r="C78" s="27">
        <v>544000</v>
      </c>
      <c r="D78" s="27">
        <v>164000</v>
      </c>
      <c r="E78" s="27">
        <v>235000</v>
      </c>
      <c r="F78" s="27">
        <v>144000</v>
      </c>
      <c r="I78" s="27"/>
      <c r="J78" s="27"/>
      <c r="K78" s="27"/>
      <c r="L78" s="27"/>
    </row>
    <row r="79" spans="1:12" ht="15" customHeight="1" x14ac:dyDescent="0.25">
      <c r="A79" s="23" t="s">
        <v>1378</v>
      </c>
      <c r="B79" s="24" t="s">
        <v>1352</v>
      </c>
      <c r="C79" s="27">
        <v>543000</v>
      </c>
      <c r="D79" s="27">
        <v>165000</v>
      </c>
      <c r="E79" s="27">
        <v>240000</v>
      </c>
      <c r="F79" s="27">
        <v>139000</v>
      </c>
      <c r="I79" s="27"/>
      <c r="J79" s="27"/>
      <c r="K79" s="27"/>
      <c r="L79" s="27"/>
    </row>
    <row r="80" spans="1:12" ht="15" customHeight="1" x14ac:dyDescent="0.25">
      <c r="A80" s="23" t="s">
        <v>1378</v>
      </c>
      <c r="B80" s="24" t="s">
        <v>1353</v>
      </c>
      <c r="C80" s="27">
        <v>541000</v>
      </c>
      <c r="D80" s="27">
        <v>165000</v>
      </c>
      <c r="E80" s="27">
        <v>249000</v>
      </c>
      <c r="F80" s="27">
        <v>127000</v>
      </c>
      <c r="I80" s="27"/>
      <c r="J80" s="27"/>
      <c r="K80" s="27"/>
      <c r="L80" s="27"/>
    </row>
    <row r="81" spans="1:12" ht="15" customHeight="1" x14ac:dyDescent="0.25">
      <c r="A81" s="23" t="s">
        <v>1378</v>
      </c>
      <c r="B81" s="24" t="s">
        <v>1354</v>
      </c>
      <c r="C81" s="27">
        <v>539000</v>
      </c>
      <c r="D81" s="27">
        <v>152000</v>
      </c>
      <c r="E81" s="27">
        <v>259000</v>
      </c>
      <c r="F81" s="27">
        <v>129000</v>
      </c>
      <c r="I81" s="27"/>
      <c r="J81" s="27"/>
      <c r="K81" s="27"/>
      <c r="L81" s="27"/>
    </row>
    <row r="82" spans="1:12" ht="15" customHeight="1" x14ac:dyDescent="0.25">
      <c r="A82" s="23" t="s">
        <v>1378</v>
      </c>
      <c r="B82" s="24" t="s">
        <v>1355</v>
      </c>
      <c r="C82" s="27">
        <v>549000</v>
      </c>
      <c r="D82" s="27">
        <v>147000</v>
      </c>
      <c r="E82" s="27">
        <v>250000</v>
      </c>
      <c r="F82" s="27">
        <v>152000</v>
      </c>
      <c r="I82" s="27"/>
      <c r="J82" s="27"/>
      <c r="K82" s="27"/>
      <c r="L82" s="27"/>
    </row>
    <row r="83" spans="1:12" ht="15" customHeight="1" x14ac:dyDescent="0.25">
      <c r="A83" s="23" t="s">
        <v>1378</v>
      </c>
      <c r="B83" s="24" t="s">
        <v>1356</v>
      </c>
      <c r="C83" s="27">
        <v>575000</v>
      </c>
      <c r="D83" s="27">
        <v>146000</v>
      </c>
      <c r="E83" s="27">
        <v>274000</v>
      </c>
      <c r="F83" s="27">
        <v>155000</v>
      </c>
      <c r="I83" s="27"/>
      <c r="J83" s="27"/>
      <c r="K83" s="27"/>
      <c r="L83" s="27"/>
    </row>
    <row r="84" spans="1:12" ht="15" customHeight="1" x14ac:dyDescent="0.25">
      <c r="A84" s="23" t="s">
        <v>1378</v>
      </c>
      <c r="B84" s="24" t="s">
        <v>1357</v>
      </c>
      <c r="C84" s="27">
        <v>597000</v>
      </c>
      <c r="D84" s="27">
        <v>143000</v>
      </c>
      <c r="E84" s="27">
        <v>287000</v>
      </c>
      <c r="F84" s="27">
        <v>167000</v>
      </c>
      <c r="I84" s="27"/>
      <c r="J84" s="27"/>
      <c r="K84" s="27"/>
      <c r="L84" s="27"/>
    </row>
    <row r="85" spans="1:12" ht="15" customHeight="1" x14ac:dyDescent="0.25">
      <c r="A85" s="23" t="s">
        <v>1378</v>
      </c>
      <c r="B85" s="24" t="s">
        <v>1358</v>
      </c>
      <c r="C85" s="27">
        <v>591000</v>
      </c>
      <c r="D85" s="27">
        <v>150000</v>
      </c>
      <c r="E85" s="27">
        <v>262000</v>
      </c>
      <c r="F85" s="27">
        <v>180000</v>
      </c>
      <c r="I85" s="27"/>
      <c r="J85" s="27"/>
      <c r="K85" s="27"/>
      <c r="L85" s="27"/>
    </row>
    <row r="86" spans="1:12" ht="15" customHeight="1" x14ac:dyDescent="0.25">
      <c r="A86" s="23" t="s">
        <v>1378</v>
      </c>
      <c r="B86" s="24" t="s">
        <v>1359</v>
      </c>
      <c r="C86" s="27">
        <v>605000</v>
      </c>
      <c r="D86" s="27">
        <v>153000</v>
      </c>
      <c r="E86" s="27">
        <v>269000</v>
      </c>
      <c r="F86" s="27">
        <v>182000</v>
      </c>
      <c r="I86" s="27"/>
      <c r="J86" s="27"/>
      <c r="K86" s="27"/>
      <c r="L86" s="27"/>
    </row>
    <row r="87" spans="1:12" ht="15" customHeight="1" x14ac:dyDescent="0.25">
      <c r="A87" s="23" t="s">
        <v>1378</v>
      </c>
      <c r="B87" s="24" t="s">
        <v>1360</v>
      </c>
      <c r="C87" s="27">
        <v>645000</v>
      </c>
      <c r="D87" s="27">
        <v>157000</v>
      </c>
      <c r="E87" s="27">
        <v>266000</v>
      </c>
      <c r="F87" s="27">
        <v>222000</v>
      </c>
      <c r="I87" s="27"/>
      <c r="J87" s="27"/>
      <c r="K87" s="27"/>
      <c r="L87" s="27"/>
    </row>
    <row r="88" spans="1:12" ht="15" customHeight="1" x14ac:dyDescent="0.25">
      <c r="A88" s="23" t="s">
        <v>1378</v>
      </c>
      <c r="B88" s="24" t="s">
        <v>1361</v>
      </c>
      <c r="C88" s="27">
        <v>625000</v>
      </c>
      <c r="D88" s="27">
        <v>146000</v>
      </c>
      <c r="E88" s="27">
        <v>263000</v>
      </c>
      <c r="F88" s="27">
        <v>216000</v>
      </c>
      <c r="I88" s="27"/>
      <c r="J88" s="27"/>
      <c r="K88" s="27"/>
      <c r="L88" s="27"/>
    </row>
    <row r="89" spans="1:12" ht="15" customHeight="1" x14ac:dyDescent="0.25">
      <c r="A89" s="23" t="s">
        <v>1378</v>
      </c>
      <c r="B89" s="24" t="s">
        <v>1362</v>
      </c>
      <c r="C89" s="27">
        <v>571000</v>
      </c>
      <c r="D89" s="27">
        <v>123000</v>
      </c>
      <c r="E89" s="27">
        <v>249000</v>
      </c>
      <c r="F89" s="27">
        <v>199000</v>
      </c>
      <c r="I89" s="27"/>
      <c r="J89" s="27"/>
      <c r="K89" s="27"/>
      <c r="L89" s="27"/>
    </row>
    <row r="90" spans="1:12" ht="15" customHeight="1" x14ac:dyDescent="0.25">
      <c r="A90" s="23" t="s">
        <v>1378</v>
      </c>
      <c r="B90" s="24" t="s">
        <v>1363</v>
      </c>
      <c r="C90" s="27">
        <v>569000</v>
      </c>
      <c r="D90" s="27">
        <v>130000</v>
      </c>
      <c r="E90" s="27">
        <v>247000</v>
      </c>
      <c r="F90" s="27">
        <v>192000</v>
      </c>
      <c r="I90" s="27"/>
      <c r="J90" s="27"/>
      <c r="K90" s="27"/>
      <c r="L90" s="27"/>
    </row>
    <row r="91" spans="1:12" ht="15" customHeight="1" x14ac:dyDescent="0.25">
      <c r="A91" s="23" t="s">
        <v>1378</v>
      </c>
      <c r="B91" s="24" t="s">
        <v>1364</v>
      </c>
      <c r="C91" s="27">
        <v>496000</v>
      </c>
      <c r="D91" s="27">
        <v>123000</v>
      </c>
      <c r="E91" s="27">
        <v>226000</v>
      </c>
      <c r="F91" s="27">
        <v>147000</v>
      </c>
      <c r="I91" s="27"/>
      <c r="J91" s="27"/>
      <c r="K91" s="27"/>
      <c r="L91" s="27"/>
    </row>
    <row r="92" spans="1:12" ht="15" customHeight="1" x14ac:dyDescent="0.25">
      <c r="A92" s="23" t="s">
        <v>1378</v>
      </c>
      <c r="B92" s="24" t="s">
        <v>1365</v>
      </c>
      <c r="C92" s="27">
        <v>483000</v>
      </c>
      <c r="D92" s="27">
        <v>135000</v>
      </c>
      <c r="E92" s="27">
        <v>229000</v>
      </c>
      <c r="F92" s="27">
        <v>120000</v>
      </c>
    </row>
    <row r="93" spans="1:12" ht="15" customHeight="1" x14ac:dyDescent="0.25">
      <c r="A93" s="23" t="s">
        <v>1378</v>
      </c>
      <c r="B93" s="24" t="s">
        <v>1366</v>
      </c>
      <c r="C93" s="27">
        <v>442000</v>
      </c>
      <c r="D93" s="27">
        <v>82000</v>
      </c>
      <c r="E93" s="27">
        <v>263000</v>
      </c>
      <c r="F93" s="27">
        <v>97000</v>
      </c>
    </row>
    <row r="94" spans="1:12" ht="15" customHeight="1" x14ac:dyDescent="0.25">
      <c r="A94" s="23" t="s">
        <v>1378</v>
      </c>
      <c r="B94" s="24" t="s">
        <v>1367</v>
      </c>
      <c r="C94" s="27">
        <v>433000</v>
      </c>
      <c r="D94" s="27">
        <v>76000</v>
      </c>
      <c r="E94" s="27">
        <v>268000</v>
      </c>
      <c r="F94" s="27">
        <v>89000</v>
      </c>
    </row>
    <row r="95" spans="1:12" ht="15" customHeight="1" x14ac:dyDescent="0.25">
      <c r="A95" s="23" t="s">
        <v>1378</v>
      </c>
      <c r="B95" s="24" t="s">
        <v>1368</v>
      </c>
      <c r="C95" s="27">
        <v>443000</v>
      </c>
      <c r="D95" s="27">
        <v>81000</v>
      </c>
      <c r="E95" s="27">
        <v>276000</v>
      </c>
      <c r="F95" s="27">
        <v>86000</v>
      </c>
    </row>
    <row r="96" spans="1:12" ht="15" customHeight="1" x14ac:dyDescent="0.25">
      <c r="A96" s="23" t="s">
        <v>1378</v>
      </c>
      <c r="B96" s="24" t="s">
        <v>1369</v>
      </c>
      <c r="C96" s="27">
        <v>453000</v>
      </c>
      <c r="D96" s="27">
        <v>89000</v>
      </c>
      <c r="E96" s="27">
        <v>274000</v>
      </c>
      <c r="F96" s="27">
        <v>90000</v>
      </c>
    </row>
    <row r="97" spans="1:15" ht="15" customHeight="1" x14ac:dyDescent="0.25">
      <c r="A97" s="23" t="s">
        <v>1378</v>
      </c>
      <c r="B97" s="24" t="s">
        <v>1370</v>
      </c>
      <c r="C97" s="27">
        <v>438000</v>
      </c>
      <c r="D97" s="27">
        <v>89000</v>
      </c>
      <c r="E97" s="27">
        <v>249000</v>
      </c>
      <c r="F97" s="27">
        <v>101000</v>
      </c>
    </row>
    <row r="98" spans="1:15" x14ac:dyDescent="0.25">
      <c r="A98" s="23" t="s">
        <v>1378</v>
      </c>
      <c r="B98" s="24" t="s">
        <v>1371</v>
      </c>
      <c r="C98" s="27">
        <v>422000</v>
      </c>
      <c r="D98" s="27">
        <v>92000</v>
      </c>
      <c r="E98" s="27">
        <v>217000</v>
      </c>
      <c r="F98" s="27">
        <v>113000</v>
      </c>
    </row>
    <row r="99" spans="1:15" x14ac:dyDescent="0.25">
      <c r="A99" s="23" t="s">
        <v>1378</v>
      </c>
      <c r="B99" s="24" t="s">
        <v>1372</v>
      </c>
      <c r="C99" s="27">
        <v>418000</v>
      </c>
      <c r="D99" s="27">
        <v>96000</v>
      </c>
      <c r="E99" s="27">
        <v>196000</v>
      </c>
      <c r="F99" s="27">
        <v>126000</v>
      </c>
    </row>
    <row r="100" spans="1:15" x14ac:dyDescent="0.25">
      <c r="A100" s="23" t="s">
        <v>1378</v>
      </c>
      <c r="B100" s="24" t="s">
        <v>1373</v>
      </c>
      <c r="C100" s="27">
        <v>414000</v>
      </c>
      <c r="D100" s="27">
        <v>93000</v>
      </c>
      <c r="E100" s="27">
        <v>179000</v>
      </c>
      <c r="F100" s="27">
        <v>141000</v>
      </c>
    </row>
    <row r="101" spans="1:15" x14ac:dyDescent="0.25">
      <c r="A101" s="23" t="s">
        <v>1378</v>
      </c>
      <c r="B101" s="24" t="s">
        <v>1374</v>
      </c>
      <c r="C101" s="27">
        <v>425000</v>
      </c>
      <c r="D101" s="27">
        <v>95000</v>
      </c>
      <c r="E101" s="27">
        <v>175000</v>
      </c>
      <c r="F101" s="27">
        <v>155000</v>
      </c>
    </row>
    <row r="102" spans="1:15" ht="18" customHeight="1" x14ac:dyDescent="0.25">
      <c r="A102" s="23" t="s">
        <v>1378</v>
      </c>
      <c r="B102" s="24" t="s">
        <v>1375</v>
      </c>
      <c r="C102" s="27">
        <v>450000</v>
      </c>
      <c r="D102" s="27">
        <v>98000</v>
      </c>
      <c r="E102" s="27">
        <v>188000</v>
      </c>
      <c r="F102" s="27">
        <v>164000</v>
      </c>
    </row>
    <row r="103" spans="1:15" ht="18" customHeight="1" x14ac:dyDescent="0.25">
      <c r="A103" s="23" t="s">
        <v>1378</v>
      </c>
      <c r="B103" s="24" t="s">
        <v>1376</v>
      </c>
      <c r="C103" s="27">
        <v>468000</v>
      </c>
      <c r="D103" s="27">
        <v>84000</v>
      </c>
      <c r="E103" s="27">
        <v>201000</v>
      </c>
      <c r="F103" s="27">
        <v>184000</v>
      </c>
    </row>
    <row r="104" spans="1:15" ht="40.5" customHeight="1" x14ac:dyDescent="0.25">
      <c r="A104" s="23" t="s">
        <v>1378</v>
      </c>
      <c r="B104" s="24" t="s">
        <v>1377</v>
      </c>
      <c r="C104" s="27">
        <v>479000</v>
      </c>
      <c r="D104" s="27">
        <v>79000</v>
      </c>
      <c r="E104" s="27">
        <v>211000</v>
      </c>
      <c r="F104" s="27">
        <v>189000</v>
      </c>
    </row>
    <row r="105" spans="1:15" x14ac:dyDescent="0.25">
      <c r="A105" s="23" t="s">
        <v>1379</v>
      </c>
      <c r="B105" s="24" t="s">
        <v>1329</v>
      </c>
      <c r="C105" s="27">
        <v>162000</v>
      </c>
      <c r="D105" s="27">
        <v>-83000</v>
      </c>
      <c r="E105" s="27">
        <v>187000</v>
      </c>
      <c r="F105" s="27">
        <v>57000</v>
      </c>
      <c r="H105" s="25"/>
      <c r="I105" s="25"/>
      <c r="J105" s="25"/>
      <c r="K105" s="25"/>
      <c r="L105" s="25"/>
      <c r="M105" s="25"/>
      <c r="N105" s="25"/>
      <c r="O105" s="25"/>
    </row>
    <row r="106" spans="1:15" x14ac:dyDescent="0.25">
      <c r="A106" s="23" t="s">
        <v>1379</v>
      </c>
      <c r="B106" s="24" t="s">
        <v>1330</v>
      </c>
      <c r="C106" s="27">
        <v>157000</v>
      </c>
      <c r="D106" s="27">
        <v>-80000</v>
      </c>
      <c r="E106" s="27">
        <v>183000</v>
      </c>
      <c r="F106" s="27">
        <v>54000</v>
      </c>
      <c r="H106" s="25"/>
      <c r="I106" s="25"/>
      <c r="J106" s="25"/>
      <c r="K106" s="25"/>
      <c r="L106" s="25"/>
      <c r="M106" s="25"/>
      <c r="N106" s="25"/>
      <c r="O106" s="25"/>
    </row>
    <row r="107" spans="1:15" x14ac:dyDescent="0.25">
      <c r="A107" s="23" t="s">
        <v>1379</v>
      </c>
      <c r="B107" s="24" t="s">
        <v>1331</v>
      </c>
      <c r="C107" s="27">
        <v>195000</v>
      </c>
      <c r="D107" s="27">
        <v>-72000</v>
      </c>
      <c r="E107" s="27">
        <v>206000</v>
      </c>
      <c r="F107" s="27">
        <v>61000</v>
      </c>
      <c r="H107" s="25"/>
      <c r="I107" s="25"/>
      <c r="J107" s="25"/>
      <c r="K107" s="25"/>
      <c r="L107" s="25"/>
      <c r="M107" s="25"/>
      <c r="N107" s="25"/>
      <c r="O107" s="25"/>
    </row>
    <row r="108" spans="1:15" x14ac:dyDescent="0.25">
      <c r="A108" s="23" t="s">
        <v>1379</v>
      </c>
      <c r="B108" s="24" t="s">
        <v>1332</v>
      </c>
      <c r="C108" s="27">
        <v>204000</v>
      </c>
      <c r="D108" s="27">
        <v>-79000</v>
      </c>
      <c r="E108" s="27">
        <v>223000</v>
      </c>
      <c r="F108" s="27">
        <v>60000</v>
      </c>
      <c r="H108" s="25"/>
      <c r="I108" s="25"/>
      <c r="J108" s="25"/>
      <c r="K108" s="25"/>
      <c r="L108" s="25"/>
      <c r="M108" s="25"/>
      <c r="N108" s="25"/>
      <c r="O108" s="25"/>
    </row>
    <row r="109" spans="1:15" x14ac:dyDescent="0.25">
      <c r="A109" s="23" t="s">
        <v>1379</v>
      </c>
      <c r="B109" s="24" t="s">
        <v>1333</v>
      </c>
      <c r="C109" s="27">
        <v>215000</v>
      </c>
      <c r="D109" s="27">
        <v>-83000</v>
      </c>
      <c r="E109" s="27">
        <v>242000</v>
      </c>
      <c r="F109" s="27">
        <v>56000</v>
      </c>
      <c r="H109" s="25"/>
      <c r="I109" s="25"/>
      <c r="J109" s="25"/>
      <c r="K109" s="25"/>
      <c r="L109" s="25"/>
      <c r="M109" s="25"/>
      <c r="N109" s="25"/>
      <c r="O109" s="25"/>
    </row>
    <row r="110" spans="1:15" x14ac:dyDescent="0.25">
      <c r="A110" s="23" t="s">
        <v>1379</v>
      </c>
      <c r="B110" s="24" t="s">
        <v>1334</v>
      </c>
      <c r="C110" s="27">
        <v>259000</v>
      </c>
      <c r="D110" s="27">
        <v>-80000</v>
      </c>
      <c r="E110" s="27">
        <v>275000</v>
      </c>
      <c r="F110" s="27">
        <v>64000</v>
      </c>
      <c r="H110" s="25"/>
      <c r="I110" s="25"/>
      <c r="J110" s="25"/>
      <c r="K110" s="25"/>
      <c r="L110" s="25"/>
      <c r="M110" s="25"/>
      <c r="N110" s="25"/>
      <c r="O110" s="25"/>
    </row>
    <row r="111" spans="1:15" x14ac:dyDescent="0.25">
      <c r="A111" s="23" t="s">
        <v>1379</v>
      </c>
      <c r="B111" s="24" t="s">
        <v>1335</v>
      </c>
      <c r="C111" s="27">
        <v>244000</v>
      </c>
      <c r="D111" s="27">
        <v>-81000</v>
      </c>
      <c r="E111" s="27">
        <v>262000</v>
      </c>
      <c r="F111" s="27">
        <v>63000</v>
      </c>
      <c r="H111" s="25"/>
      <c r="I111" s="25"/>
      <c r="J111" s="25"/>
      <c r="K111" s="25"/>
      <c r="L111" s="25"/>
      <c r="M111" s="25"/>
      <c r="N111" s="25"/>
      <c r="O111" s="25"/>
    </row>
    <row r="112" spans="1:15" x14ac:dyDescent="0.25">
      <c r="A112" s="23" t="s">
        <v>1379</v>
      </c>
      <c r="B112" s="24" t="s">
        <v>1336</v>
      </c>
      <c r="C112" s="27">
        <v>256000</v>
      </c>
      <c r="D112" s="27">
        <v>-74000</v>
      </c>
      <c r="E112" s="27">
        <v>263000</v>
      </c>
      <c r="F112" s="27">
        <v>67000</v>
      </c>
      <c r="H112" s="25"/>
      <c r="I112" s="25"/>
      <c r="J112" s="25"/>
      <c r="K112" s="25"/>
      <c r="L112" s="25"/>
      <c r="M112" s="25"/>
      <c r="N112" s="25"/>
      <c r="O112" s="25"/>
    </row>
    <row r="113" spans="1:15" x14ac:dyDescent="0.25">
      <c r="A113" s="23" t="s">
        <v>1379</v>
      </c>
      <c r="B113" s="24" t="s">
        <v>1337</v>
      </c>
      <c r="C113" s="27">
        <v>248000</v>
      </c>
      <c r="D113" s="27">
        <v>-75000</v>
      </c>
      <c r="E113" s="27">
        <v>258000</v>
      </c>
      <c r="F113" s="27">
        <v>65000</v>
      </c>
      <c r="H113" s="25"/>
      <c r="I113" s="25"/>
      <c r="J113" s="25"/>
      <c r="K113" s="25"/>
      <c r="L113" s="25"/>
      <c r="M113" s="25"/>
      <c r="N113" s="25"/>
      <c r="O113" s="25"/>
    </row>
    <row r="114" spans="1:15" x14ac:dyDescent="0.25">
      <c r="A114" s="23" t="s">
        <v>1379</v>
      </c>
      <c r="B114" s="24" t="s">
        <v>1338</v>
      </c>
      <c r="C114" s="27">
        <v>264000</v>
      </c>
      <c r="D114" s="27">
        <v>-79000</v>
      </c>
      <c r="E114" s="27">
        <v>270000</v>
      </c>
      <c r="F114" s="27">
        <v>73000</v>
      </c>
      <c r="H114" s="25"/>
      <c r="I114" s="25"/>
      <c r="J114" s="25"/>
      <c r="K114" s="25"/>
      <c r="L114" s="25"/>
      <c r="M114" s="25"/>
      <c r="N114" s="25"/>
      <c r="O114" s="25"/>
    </row>
    <row r="115" spans="1:15" x14ac:dyDescent="0.25">
      <c r="A115" s="23" t="s">
        <v>1379</v>
      </c>
      <c r="B115" s="24" t="s">
        <v>1339</v>
      </c>
      <c r="C115" s="27">
        <v>284000</v>
      </c>
      <c r="D115" s="27">
        <v>-80000</v>
      </c>
      <c r="E115" s="27">
        <v>277000</v>
      </c>
      <c r="F115" s="27">
        <v>87000</v>
      </c>
      <c r="H115" s="25"/>
      <c r="I115" s="25"/>
      <c r="J115" s="25"/>
      <c r="K115" s="25"/>
      <c r="L115" s="25"/>
      <c r="M115" s="25"/>
      <c r="N115" s="25"/>
      <c r="O115" s="25"/>
    </row>
    <row r="116" spans="1:15" x14ac:dyDescent="0.25">
      <c r="A116" s="23" t="s">
        <v>1379</v>
      </c>
      <c r="B116" s="24" t="s">
        <v>1340</v>
      </c>
      <c r="C116" s="27">
        <v>296000</v>
      </c>
      <c r="D116" s="27">
        <v>-73000</v>
      </c>
      <c r="E116" s="27">
        <v>275000</v>
      </c>
      <c r="F116" s="27">
        <v>94000</v>
      </c>
      <c r="H116" s="25"/>
      <c r="I116" s="25"/>
      <c r="J116" s="25"/>
      <c r="K116" s="25"/>
      <c r="L116" s="25"/>
      <c r="M116" s="25"/>
      <c r="N116" s="25"/>
      <c r="O116" s="25"/>
    </row>
    <row r="117" spans="1:15" x14ac:dyDescent="0.25">
      <c r="A117" s="23" t="s">
        <v>1379</v>
      </c>
      <c r="B117" s="24" t="s">
        <v>1341</v>
      </c>
      <c r="C117" s="27">
        <v>296000</v>
      </c>
      <c r="D117" s="27">
        <v>-72000</v>
      </c>
      <c r="E117" s="27">
        <v>267000</v>
      </c>
      <c r="F117" s="27">
        <v>101000</v>
      </c>
      <c r="H117" s="25"/>
      <c r="I117" s="25"/>
      <c r="J117" s="25"/>
      <c r="K117" s="25"/>
      <c r="L117" s="25"/>
      <c r="M117" s="25"/>
      <c r="N117" s="25"/>
      <c r="O117" s="25"/>
    </row>
    <row r="118" spans="1:15" x14ac:dyDescent="0.25">
      <c r="A118" s="23" t="s">
        <v>1379</v>
      </c>
      <c r="B118" s="24" t="s">
        <v>1342</v>
      </c>
      <c r="C118" s="27">
        <v>293000</v>
      </c>
      <c r="D118" s="27">
        <v>-72000</v>
      </c>
      <c r="E118" s="27">
        <v>262000</v>
      </c>
      <c r="F118" s="27">
        <v>103000</v>
      </c>
      <c r="H118" s="25"/>
      <c r="I118" s="25"/>
      <c r="J118" s="25"/>
      <c r="K118" s="25"/>
      <c r="L118" s="25"/>
      <c r="M118" s="25"/>
      <c r="N118" s="25"/>
      <c r="O118" s="25"/>
    </row>
    <row r="119" spans="1:15" x14ac:dyDescent="0.25">
      <c r="A119" s="23" t="s">
        <v>1379</v>
      </c>
      <c r="B119" s="24" t="s">
        <v>1343</v>
      </c>
      <c r="C119" s="27">
        <v>303000</v>
      </c>
      <c r="D119" s="27">
        <v>-73000</v>
      </c>
      <c r="E119" s="27">
        <v>287000</v>
      </c>
      <c r="F119" s="27">
        <v>88000</v>
      </c>
      <c r="H119" s="25"/>
      <c r="I119" s="25"/>
      <c r="J119" s="25"/>
      <c r="K119" s="25"/>
      <c r="L119" s="25"/>
      <c r="M119" s="25"/>
      <c r="N119" s="25"/>
      <c r="O119" s="25"/>
    </row>
    <row r="120" spans="1:15" x14ac:dyDescent="0.25">
      <c r="A120" s="23" t="s">
        <v>1379</v>
      </c>
      <c r="B120" s="24" t="s">
        <v>1344</v>
      </c>
      <c r="C120" s="27">
        <v>298000</v>
      </c>
      <c r="D120" s="27">
        <v>-77000</v>
      </c>
      <c r="E120" s="27">
        <v>294000</v>
      </c>
      <c r="F120" s="27">
        <v>80000</v>
      </c>
      <c r="H120" s="25"/>
      <c r="I120" s="25"/>
      <c r="J120" s="25"/>
      <c r="K120" s="25"/>
      <c r="L120" s="25"/>
      <c r="M120" s="25"/>
      <c r="N120" s="25"/>
      <c r="O120" s="25"/>
    </row>
    <row r="121" spans="1:15" x14ac:dyDescent="0.25">
      <c r="A121" s="23" t="s">
        <v>1379</v>
      </c>
      <c r="B121" s="24" t="s">
        <v>1345</v>
      </c>
      <c r="C121" s="27">
        <v>321000</v>
      </c>
      <c r="D121" s="27">
        <v>-83000</v>
      </c>
      <c r="E121" s="27">
        <v>322000</v>
      </c>
      <c r="F121" s="27">
        <v>82000</v>
      </c>
      <c r="H121" s="25"/>
      <c r="I121" s="25"/>
      <c r="J121" s="25"/>
      <c r="K121" s="25"/>
      <c r="L121" s="25"/>
      <c r="M121" s="25"/>
      <c r="N121" s="25"/>
      <c r="O121" s="25"/>
    </row>
    <row r="122" spans="1:15" x14ac:dyDescent="0.25">
      <c r="A122" s="23" t="s">
        <v>1379</v>
      </c>
      <c r="B122" s="24" t="s">
        <v>1346</v>
      </c>
      <c r="C122" s="27">
        <v>290000</v>
      </c>
      <c r="D122" s="27">
        <v>-87000</v>
      </c>
      <c r="E122" s="27">
        <v>294000</v>
      </c>
      <c r="F122" s="27">
        <v>83000</v>
      </c>
      <c r="H122" s="25"/>
      <c r="I122" s="25"/>
      <c r="J122" s="25"/>
      <c r="K122" s="25"/>
      <c r="L122" s="25"/>
      <c r="M122" s="25"/>
      <c r="N122" s="25"/>
      <c r="O122" s="25"/>
    </row>
    <row r="123" spans="1:15" x14ac:dyDescent="0.25">
      <c r="A123" s="23" t="s">
        <v>1379</v>
      </c>
      <c r="B123" s="24" t="s">
        <v>1347</v>
      </c>
      <c r="C123" s="27">
        <v>249000</v>
      </c>
      <c r="D123" s="27">
        <v>-94000</v>
      </c>
      <c r="E123" s="27">
        <v>253000</v>
      </c>
      <c r="F123" s="27">
        <v>90000</v>
      </c>
      <c r="H123" s="25"/>
      <c r="I123" s="25"/>
      <c r="J123" s="25"/>
      <c r="K123" s="25"/>
      <c r="L123" s="25"/>
      <c r="M123" s="25"/>
      <c r="N123" s="25"/>
      <c r="O123" s="25"/>
    </row>
    <row r="124" spans="1:15" x14ac:dyDescent="0.25">
      <c r="A124" s="23" t="s">
        <v>1379</v>
      </c>
      <c r="B124" s="24" t="s">
        <v>1348</v>
      </c>
      <c r="C124" s="25">
        <v>240000</v>
      </c>
      <c r="D124" s="25">
        <v>-91000</v>
      </c>
      <c r="E124" s="26">
        <v>235000</v>
      </c>
      <c r="F124" s="25">
        <v>97000</v>
      </c>
      <c r="H124" s="25"/>
      <c r="I124" s="25"/>
      <c r="J124" s="25"/>
      <c r="K124" s="25"/>
      <c r="L124" s="25"/>
      <c r="M124" s="25"/>
      <c r="N124" s="25"/>
      <c r="O124" s="25"/>
    </row>
    <row r="125" spans="1:15" x14ac:dyDescent="0.25">
      <c r="A125" s="23" t="s">
        <v>1379</v>
      </c>
      <c r="B125" s="24" t="s">
        <v>1349</v>
      </c>
      <c r="C125" s="25">
        <v>200000</v>
      </c>
      <c r="D125" s="25">
        <v>-79000</v>
      </c>
      <c r="E125" s="26">
        <v>188000</v>
      </c>
      <c r="F125" s="25">
        <v>91000</v>
      </c>
      <c r="H125" s="25"/>
      <c r="I125" s="25"/>
      <c r="J125" s="25"/>
      <c r="K125" s="25"/>
      <c r="L125" s="25"/>
      <c r="M125" s="25"/>
      <c r="N125" s="25"/>
      <c r="O125" s="25"/>
    </row>
    <row r="126" spans="1:15" x14ac:dyDescent="0.25">
      <c r="A126" s="23" t="s">
        <v>1379</v>
      </c>
      <c r="B126" s="24" t="s">
        <v>1350</v>
      </c>
      <c r="C126" s="25">
        <v>205000</v>
      </c>
      <c r="D126" s="25">
        <v>-85000</v>
      </c>
      <c r="E126" s="26">
        <v>192000</v>
      </c>
      <c r="F126" s="25">
        <v>98000</v>
      </c>
      <c r="H126" s="25"/>
      <c r="I126" s="25"/>
      <c r="J126" s="25"/>
      <c r="K126" s="25"/>
      <c r="L126" s="25"/>
      <c r="M126" s="25"/>
      <c r="N126" s="25"/>
      <c r="O126" s="25"/>
    </row>
    <row r="127" spans="1:15" x14ac:dyDescent="0.25">
      <c r="A127" s="23" t="s">
        <v>1379</v>
      </c>
      <c r="B127" s="24" t="s">
        <v>1351</v>
      </c>
      <c r="C127" s="25">
        <v>208000</v>
      </c>
      <c r="D127" s="25">
        <v>-81000</v>
      </c>
      <c r="E127" s="26">
        <v>176000</v>
      </c>
      <c r="F127" s="25">
        <v>114000</v>
      </c>
      <c r="H127" s="25"/>
      <c r="I127" s="25"/>
      <c r="J127" s="25"/>
      <c r="K127" s="25"/>
      <c r="L127" s="25"/>
      <c r="M127" s="25"/>
      <c r="N127" s="25"/>
      <c r="O127" s="25"/>
    </row>
    <row r="128" spans="1:15" x14ac:dyDescent="0.25">
      <c r="A128" s="23" t="s">
        <v>1379</v>
      </c>
      <c r="B128" s="24" t="s">
        <v>1352</v>
      </c>
      <c r="C128" s="25">
        <v>193000</v>
      </c>
      <c r="D128" s="25">
        <v>-89000</v>
      </c>
      <c r="E128" s="26">
        <v>160000</v>
      </c>
      <c r="F128" s="25">
        <v>122000</v>
      </c>
      <c r="H128" s="25"/>
      <c r="I128" s="25"/>
      <c r="J128" s="25"/>
      <c r="K128" s="25"/>
      <c r="L128" s="25"/>
      <c r="M128" s="25"/>
      <c r="N128" s="25"/>
      <c r="O128" s="25"/>
    </row>
    <row r="129" spans="1:15" x14ac:dyDescent="0.25">
      <c r="A129" s="23" t="s">
        <v>1379</v>
      </c>
      <c r="B129" s="24" t="s">
        <v>1353</v>
      </c>
      <c r="C129" s="25">
        <v>216000</v>
      </c>
      <c r="D129" s="25">
        <v>-84000</v>
      </c>
      <c r="E129" s="26">
        <v>158000</v>
      </c>
      <c r="F129" s="25">
        <v>143000</v>
      </c>
      <c r="H129" s="25"/>
      <c r="I129" s="25"/>
      <c r="J129" s="25"/>
      <c r="K129" s="25"/>
      <c r="L129" s="25"/>
      <c r="M129" s="25"/>
      <c r="N129" s="25"/>
      <c r="O129" s="25"/>
    </row>
    <row r="130" spans="1:15" x14ac:dyDescent="0.25">
      <c r="A130" s="23" t="s">
        <v>1379</v>
      </c>
      <c r="B130" s="24" t="s">
        <v>1354</v>
      </c>
      <c r="C130" s="25">
        <v>226000</v>
      </c>
      <c r="D130" s="25">
        <v>-67000</v>
      </c>
      <c r="E130" s="26">
        <v>138000</v>
      </c>
      <c r="F130" s="25">
        <v>155000</v>
      </c>
      <c r="H130" s="25"/>
      <c r="I130" s="25"/>
      <c r="J130" s="25"/>
      <c r="K130" s="25"/>
      <c r="L130" s="25"/>
      <c r="M130" s="25"/>
      <c r="N130" s="25"/>
      <c r="O130" s="25"/>
    </row>
    <row r="131" spans="1:15" x14ac:dyDescent="0.25">
      <c r="A131" s="23" t="s">
        <v>1379</v>
      </c>
      <c r="B131" s="24" t="s">
        <v>1355</v>
      </c>
      <c r="C131" s="25">
        <v>276000</v>
      </c>
      <c r="D131" s="25">
        <v>-72000</v>
      </c>
      <c r="E131" s="26">
        <v>170000</v>
      </c>
      <c r="F131" s="25">
        <v>178000</v>
      </c>
      <c r="H131" s="25"/>
      <c r="I131" s="25"/>
      <c r="J131" s="25"/>
      <c r="K131" s="25"/>
      <c r="L131" s="25"/>
      <c r="M131" s="25"/>
      <c r="N131" s="25"/>
      <c r="O131" s="25"/>
    </row>
    <row r="132" spans="1:15" x14ac:dyDescent="0.25">
      <c r="A132" s="23" t="s">
        <v>1379</v>
      </c>
      <c r="B132" s="24" t="s">
        <v>1356</v>
      </c>
      <c r="C132" s="25">
        <v>274000</v>
      </c>
      <c r="D132" s="25">
        <v>-72000</v>
      </c>
      <c r="E132" s="26">
        <v>155000</v>
      </c>
      <c r="F132" s="25">
        <v>190000</v>
      </c>
      <c r="H132" s="25"/>
      <c r="I132" s="25"/>
      <c r="J132" s="25"/>
      <c r="K132" s="25"/>
      <c r="L132" s="25"/>
      <c r="M132" s="25"/>
      <c r="N132" s="25"/>
      <c r="O132" s="25"/>
    </row>
    <row r="133" spans="1:15" x14ac:dyDescent="0.25">
      <c r="A133" s="23" t="s">
        <v>1379</v>
      </c>
      <c r="B133" s="24" t="s">
        <v>1357</v>
      </c>
      <c r="C133" s="25">
        <v>224000</v>
      </c>
      <c r="D133" s="25">
        <v>-82000</v>
      </c>
      <c r="E133" s="26">
        <v>126000</v>
      </c>
      <c r="F133" s="25">
        <v>179000</v>
      </c>
      <c r="H133" s="25"/>
      <c r="I133" s="25"/>
      <c r="J133" s="25"/>
      <c r="K133" s="25"/>
      <c r="L133" s="25"/>
      <c r="M133" s="25"/>
      <c r="N133" s="25"/>
      <c r="O133" s="25"/>
    </row>
    <row r="134" spans="1:15" x14ac:dyDescent="0.25">
      <c r="A134" s="23" t="s">
        <v>1379</v>
      </c>
      <c r="B134" s="24" t="s">
        <v>1358</v>
      </c>
      <c r="C134" s="25">
        <v>202000</v>
      </c>
      <c r="D134" s="25">
        <v>-83000</v>
      </c>
      <c r="E134" s="26">
        <v>114000</v>
      </c>
      <c r="F134" s="25">
        <v>171000</v>
      </c>
      <c r="H134" s="25"/>
      <c r="I134" s="25"/>
      <c r="J134" s="25"/>
      <c r="K134" s="25"/>
      <c r="L134" s="25"/>
      <c r="M134" s="25"/>
      <c r="N134" s="25"/>
      <c r="O134" s="25"/>
    </row>
    <row r="135" spans="1:15" x14ac:dyDescent="0.25">
      <c r="A135" s="23" t="s">
        <v>1379</v>
      </c>
      <c r="B135" s="24" t="s">
        <v>1359</v>
      </c>
      <c r="C135" s="25">
        <v>184000</v>
      </c>
      <c r="D135" s="25">
        <v>-82000</v>
      </c>
      <c r="E135" s="26">
        <v>80000</v>
      </c>
      <c r="F135" s="25">
        <v>186000</v>
      </c>
      <c r="H135" s="25"/>
      <c r="I135" s="25"/>
      <c r="J135" s="25"/>
      <c r="K135" s="25"/>
      <c r="L135" s="25"/>
      <c r="M135" s="25"/>
      <c r="N135" s="25"/>
      <c r="O135" s="25"/>
    </row>
    <row r="136" spans="1:15" x14ac:dyDescent="0.25">
      <c r="A136" s="23" t="s">
        <v>1379</v>
      </c>
      <c r="B136" s="24" t="s">
        <v>1360</v>
      </c>
      <c r="C136" s="25">
        <v>170000</v>
      </c>
      <c r="D136" s="25">
        <v>-77000</v>
      </c>
      <c r="E136" s="26">
        <v>81000</v>
      </c>
      <c r="F136" s="25">
        <v>166000</v>
      </c>
      <c r="H136" s="25"/>
      <c r="I136" s="25"/>
      <c r="J136" s="25"/>
      <c r="K136" s="25"/>
      <c r="L136" s="25"/>
      <c r="M136" s="25"/>
      <c r="N136" s="25"/>
      <c r="O136" s="25"/>
    </row>
    <row r="137" spans="1:15" x14ac:dyDescent="0.25">
      <c r="A137" s="23" t="s">
        <v>1379</v>
      </c>
      <c r="B137" s="24" t="s">
        <v>1361</v>
      </c>
      <c r="C137" s="25">
        <v>111000</v>
      </c>
      <c r="D137" s="25">
        <v>-74000</v>
      </c>
      <c r="E137" s="26">
        <v>70000</v>
      </c>
      <c r="F137" s="25">
        <v>115000</v>
      </c>
      <c r="H137" s="25"/>
      <c r="I137" s="25"/>
      <c r="J137" s="25"/>
      <c r="K137" s="25"/>
      <c r="L137" s="25"/>
      <c r="M137" s="25"/>
      <c r="N137" s="25"/>
      <c r="O137" s="25"/>
    </row>
    <row r="138" spans="1:15" x14ac:dyDescent="0.25">
      <c r="A138" s="23" t="s">
        <v>1379</v>
      </c>
      <c r="B138" s="24" t="s">
        <v>1362</v>
      </c>
      <c r="C138" s="25">
        <v>35000</v>
      </c>
      <c r="D138" s="25">
        <v>-70000</v>
      </c>
      <c r="E138" s="26">
        <v>45000</v>
      </c>
      <c r="F138" s="25">
        <v>60000</v>
      </c>
      <c r="H138" s="25"/>
      <c r="I138" s="25"/>
      <c r="J138" s="25"/>
      <c r="K138" s="25"/>
      <c r="L138" s="25"/>
      <c r="M138" s="25"/>
      <c r="N138" s="25"/>
      <c r="O138" s="25"/>
    </row>
    <row r="139" spans="1:15" x14ac:dyDescent="0.25">
      <c r="A139" s="23" t="s">
        <v>1379</v>
      </c>
      <c r="B139" s="24" t="s">
        <v>1363</v>
      </c>
      <c r="C139" s="25">
        <v>93000</v>
      </c>
      <c r="D139" s="25">
        <v>-78000</v>
      </c>
      <c r="E139" s="26">
        <v>70000</v>
      </c>
      <c r="F139" s="25">
        <v>101000</v>
      </c>
      <c r="H139" s="25"/>
      <c r="I139" s="25"/>
      <c r="J139" s="25"/>
      <c r="K139" s="25"/>
      <c r="L139" s="25"/>
      <c r="M139" s="25"/>
      <c r="N139" s="25"/>
      <c r="O139" s="25"/>
    </row>
    <row r="140" spans="1:15" x14ac:dyDescent="0.25">
      <c r="A140" s="23" t="s">
        <v>1379</v>
      </c>
      <c r="B140" s="24" t="s">
        <v>1364</v>
      </c>
      <c r="C140" s="25">
        <v>132000</v>
      </c>
      <c r="D140" s="25">
        <v>-79000</v>
      </c>
      <c r="E140" s="26">
        <v>61000</v>
      </c>
      <c r="F140" s="25">
        <v>150000</v>
      </c>
      <c r="H140" s="25"/>
      <c r="I140" s="25"/>
      <c r="J140" s="25"/>
      <c r="K140" s="25"/>
      <c r="L140" s="25"/>
      <c r="M140" s="25"/>
      <c r="N140" s="25"/>
      <c r="O140" s="25"/>
    </row>
    <row r="141" spans="1:15" x14ac:dyDescent="0.25">
      <c r="A141" s="23" t="s">
        <v>1379</v>
      </c>
      <c r="B141" s="24" t="s">
        <v>1365</v>
      </c>
      <c r="C141" s="28">
        <v>254000</v>
      </c>
      <c r="D141" s="28">
        <v>-73000</v>
      </c>
      <c r="E141" s="29">
        <v>75000</v>
      </c>
      <c r="F141" s="28">
        <v>251000</v>
      </c>
      <c r="H141" s="25"/>
      <c r="I141" s="25"/>
      <c r="J141" s="25"/>
      <c r="K141" s="25"/>
      <c r="L141" s="25"/>
      <c r="M141" s="25"/>
      <c r="N141" s="25"/>
      <c r="O141" s="25"/>
    </row>
    <row r="142" spans="1:15" x14ac:dyDescent="0.25">
      <c r="A142" s="23" t="s">
        <v>1379</v>
      </c>
      <c r="B142" s="24" t="s">
        <v>1366</v>
      </c>
      <c r="C142" s="28">
        <v>467000</v>
      </c>
      <c r="D142" s="28">
        <v>14000</v>
      </c>
      <c r="E142" s="29">
        <v>12000</v>
      </c>
      <c r="F142" s="28">
        <v>441000</v>
      </c>
      <c r="H142" s="25"/>
      <c r="I142" s="25"/>
      <c r="J142" s="25"/>
      <c r="K142" s="25"/>
      <c r="L142" s="25"/>
      <c r="M142" s="25"/>
      <c r="N142" s="25"/>
      <c r="O142" s="25"/>
    </row>
    <row r="143" spans="1:15" x14ac:dyDescent="0.25">
      <c r="A143" s="23" t="s">
        <v>1379</v>
      </c>
      <c r="B143" s="24" t="s">
        <v>1367</v>
      </c>
      <c r="C143" s="28">
        <v>484000</v>
      </c>
      <c r="D143" s="28">
        <v>32000</v>
      </c>
      <c r="E143" s="29">
        <v>-77000</v>
      </c>
      <c r="F143" s="28">
        <v>529000</v>
      </c>
      <c r="H143" s="25"/>
      <c r="I143" s="25"/>
      <c r="J143" s="25"/>
      <c r="K143" s="25"/>
      <c r="L143" s="25"/>
      <c r="M143" s="25"/>
      <c r="N143" s="25"/>
      <c r="O143" s="25"/>
    </row>
    <row r="144" spans="1:15" x14ac:dyDescent="0.25">
      <c r="A144" s="23" t="s">
        <v>1379</v>
      </c>
      <c r="B144" s="24" t="s">
        <v>1368</v>
      </c>
      <c r="C144" s="28">
        <v>548000</v>
      </c>
      <c r="D144" s="28">
        <v>29000</v>
      </c>
      <c r="E144" s="29">
        <v>-122000</v>
      </c>
      <c r="F144" s="28">
        <v>640000</v>
      </c>
      <c r="H144" s="25"/>
      <c r="I144" s="25"/>
      <c r="J144" s="25"/>
      <c r="K144" s="25"/>
      <c r="L144" s="25"/>
      <c r="M144" s="25"/>
      <c r="N144" s="25"/>
      <c r="O144" s="25"/>
    </row>
    <row r="145" spans="1:15" x14ac:dyDescent="0.25">
      <c r="A145" s="23" t="s">
        <v>1379</v>
      </c>
      <c r="B145" s="24" t="s">
        <v>1369</v>
      </c>
      <c r="C145" s="28">
        <v>634000</v>
      </c>
      <c r="D145" s="28">
        <v>20000</v>
      </c>
      <c r="E145" s="29">
        <v>-140000</v>
      </c>
      <c r="F145" s="28">
        <v>754000</v>
      </c>
      <c r="H145" s="25"/>
      <c r="I145" s="25"/>
      <c r="J145" s="25"/>
      <c r="K145" s="25"/>
      <c r="L145" s="25"/>
      <c r="M145" s="25"/>
      <c r="N145" s="25"/>
      <c r="O145" s="25"/>
    </row>
    <row r="146" spans="1:15" x14ac:dyDescent="0.25">
      <c r="A146" s="23" t="s">
        <v>1379</v>
      </c>
      <c r="B146" s="24" t="s">
        <v>1370</v>
      </c>
      <c r="C146" s="28">
        <v>789000</v>
      </c>
      <c r="D146" s="28">
        <v>6000</v>
      </c>
      <c r="E146" s="29">
        <v>-119000</v>
      </c>
      <c r="F146" s="28">
        <v>902000</v>
      </c>
      <c r="H146" s="25"/>
      <c r="I146" s="25"/>
      <c r="J146" s="25"/>
      <c r="K146" s="25"/>
      <c r="L146" s="25"/>
      <c r="M146" s="25"/>
      <c r="N146" s="25"/>
      <c r="O146" s="25"/>
    </row>
    <row r="147" spans="1:15" x14ac:dyDescent="0.25">
      <c r="A147" s="23" t="s">
        <v>1379</v>
      </c>
      <c r="B147" s="24" t="s">
        <v>1371</v>
      </c>
      <c r="C147" s="28">
        <v>872000</v>
      </c>
      <c r="D147" s="28">
        <v>-4000</v>
      </c>
      <c r="E147" s="29">
        <v>-88000</v>
      </c>
      <c r="F147" s="28">
        <v>965000</v>
      </c>
      <c r="H147" s="25"/>
      <c r="I147" s="25"/>
      <c r="J147" s="25"/>
      <c r="K147" s="25"/>
      <c r="L147" s="25"/>
      <c r="M147" s="25"/>
      <c r="N147" s="25"/>
      <c r="O147" s="25"/>
    </row>
    <row r="148" spans="1:15" x14ac:dyDescent="0.25">
      <c r="A148" s="23" t="s">
        <v>1379</v>
      </c>
      <c r="B148" s="24" t="s">
        <v>1372</v>
      </c>
      <c r="C148" s="28">
        <v>894000</v>
      </c>
      <c r="D148" s="28">
        <v>-9000</v>
      </c>
      <c r="E148" s="29">
        <v>-54000</v>
      </c>
      <c r="F148" s="28">
        <v>957000</v>
      </c>
      <c r="H148" s="25"/>
      <c r="I148" s="25"/>
      <c r="J148" s="25"/>
      <c r="K148" s="25"/>
      <c r="L148" s="25"/>
      <c r="M148" s="25"/>
      <c r="N148" s="25"/>
      <c r="O148" s="25"/>
    </row>
    <row r="149" spans="1:15" x14ac:dyDescent="0.25">
      <c r="A149" s="23" t="s">
        <v>1379</v>
      </c>
      <c r="B149" s="24" t="s">
        <v>1373</v>
      </c>
      <c r="C149" s="28">
        <v>906000</v>
      </c>
      <c r="D149" s="28">
        <v>-10000</v>
      </c>
      <c r="E149" s="29">
        <v>-38000</v>
      </c>
      <c r="F149" s="28">
        <v>954000</v>
      </c>
      <c r="H149" s="25"/>
      <c r="I149" s="25"/>
      <c r="J149" s="25"/>
      <c r="K149" s="25"/>
      <c r="L149" s="25"/>
      <c r="M149" s="25"/>
      <c r="N149" s="25"/>
      <c r="O149" s="25"/>
    </row>
    <row r="150" spans="1:15" x14ac:dyDescent="0.25">
      <c r="A150" s="23" t="s">
        <v>1379</v>
      </c>
      <c r="B150" s="24" t="s">
        <v>1374</v>
      </c>
      <c r="C150" s="28">
        <v>878000</v>
      </c>
      <c r="D150" s="28">
        <v>-31000</v>
      </c>
      <c r="E150" s="29">
        <v>-54000</v>
      </c>
      <c r="F150" s="28">
        <v>963000</v>
      </c>
      <c r="H150" s="25"/>
      <c r="I150" s="25"/>
      <c r="J150" s="25"/>
      <c r="K150" s="25"/>
      <c r="L150" s="25"/>
      <c r="M150" s="25"/>
      <c r="N150" s="25"/>
      <c r="O150" s="25"/>
    </row>
    <row r="151" spans="1:15" x14ac:dyDescent="0.25">
      <c r="A151" s="23" t="s">
        <v>1379</v>
      </c>
      <c r="B151" s="24" t="s">
        <v>1375</v>
      </c>
      <c r="C151" s="28">
        <v>866000</v>
      </c>
      <c r="D151" s="28">
        <v>-37000</v>
      </c>
      <c r="E151" s="29">
        <v>-55000</v>
      </c>
      <c r="F151" s="28">
        <v>958000</v>
      </c>
      <c r="H151" s="25"/>
      <c r="I151" s="25"/>
      <c r="J151" s="25"/>
      <c r="K151" s="25"/>
      <c r="L151" s="25"/>
      <c r="M151" s="25"/>
      <c r="N151" s="25"/>
      <c r="O151" s="25"/>
    </row>
    <row r="152" spans="1:15" x14ac:dyDescent="0.25">
      <c r="A152" s="23" t="s">
        <v>1379</v>
      </c>
      <c r="B152" s="24" t="s">
        <v>1376</v>
      </c>
      <c r="C152" s="28">
        <v>824000</v>
      </c>
      <c r="D152" s="25">
        <v>-17000</v>
      </c>
      <c r="E152" s="26">
        <v>-85000</v>
      </c>
      <c r="F152" s="25">
        <v>926000</v>
      </c>
      <c r="H152" s="25"/>
      <c r="I152" s="25"/>
      <c r="J152" s="25"/>
      <c r="K152" s="25"/>
      <c r="L152" s="25"/>
      <c r="M152" s="25"/>
      <c r="N152" s="25"/>
      <c r="O152" s="25"/>
    </row>
    <row r="153" spans="1:15" x14ac:dyDescent="0.25">
      <c r="A153" s="23" t="s">
        <v>1379</v>
      </c>
      <c r="B153" s="24" t="s">
        <v>1377</v>
      </c>
      <c r="C153" s="28">
        <v>728000</v>
      </c>
      <c r="D153" s="25">
        <v>-21000</v>
      </c>
      <c r="E153" s="26">
        <v>-95000</v>
      </c>
      <c r="F153" s="25">
        <v>845000</v>
      </c>
      <c r="H153" s="25"/>
      <c r="I153" s="25"/>
      <c r="J153" s="25"/>
      <c r="K153" s="25"/>
      <c r="L153" s="25"/>
      <c r="M153" s="25"/>
      <c r="N153" s="25"/>
      <c r="O153" s="25"/>
    </row>
  </sheetData>
  <pageMargins left="0.70866141732283472" right="0.70866141732283472" top="0.74803149606299213" bottom="0.74803149606299213" header="0.31496062992125984" footer="0.31496062992125984"/>
  <pageSetup paperSize="9" scale="76" fitToHeight="0" orientation="portrait" r:id="rId1"/>
  <rowBreaks count="2" manualBreakCount="2">
    <brk id="51" max="16383" man="1"/>
    <brk id="98" max="16383" man="1"/>
  </rowBreak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AE1C-77D2-44E2-A53D-90F9FCBD0164}">
  <sheetPr codeName="Sheet14">
    <pageSetUpPr fitToPage="1"/>
  </sheetPr>
  <dimension ref="A1:F146"/>
  <sheetViews>
    <sheetView showGridLines="0" zoomScaleNormal="100" workbookViewId="0">
      <pane xSplit="2" ySplit="5" topLeftCell="C88" activePane="bottomRight" state="frozen"/>
      <selection activeCell="D36" sqref="D36"/>
      <selection pane="topRight" activeCell="D36" sqref="D36"/>
      <selection pane="bottomLeft" activeCell="D36" sqref="D36"/>
      <selection pane="bottomRight" activeCell="F101" sqref="F101"/>
    </sheetView>
  </sheetViews>
  <sheetFormatPr defaultColWidth="8.85546875" defaultRowHeight="15" x14ac:dyDescent="0.25"/>
  <cols>
    <col min="1" max="2" width="14.7109375" style="17" customWidth="1"/>
    <col min="3" max="3" width="21" style="17" bestFit="1" customWidth="1"/>
    <col min="4" max="6" width="17.7109375" style="17" customWidth="1"/>
    <col min="7" max="16384" width="8.85546875" style="17"/>
  </cols>
  <sheetData>
    <row r="1" spans="1:6" ht="18" customHeight="1" x14ac:dyDescent="0.25">
      <c r="A1" s="15" t="s">
        <v>1317</v>
      </c>
      <c r="B1" s="16"/>
    </row>
    <row r="2" spans="1:6" ht="36" customHeight="1" x14ac:dyDescent="0.25">
      <c r="A2" s="15" t="s">
        <v>1318</v>
      </c>
      <c r="B2" s="16"/>
    </row>
    <row r="3" spans="1:6" ht="15" customHeight="1" x14ac:dyDescent="0.25">
      <c r="A3" s="30" t="s">
        <v>1380</v>
      </c>
      <c r="B3" s="16"/>
    </row>
    <row r="4" spans="1:6" ht="30" customHeight="1" x14ac:dyDescent="0.25">
      <c r="A4" s="30" t="s">
        <v>1381</v>
      </c>
      <c r="B4" s="16"/>
    </row>
    <row r="5" spans="1:6" s="22" customFormat="1" ht="15" customHeight="1" x14ac:dyDescent="0.25">
      <c r="A5" s="20" t="s">
        <v>1382</v>
      </c>
      <c r="B5" s="20" t="s">
        <v>1383</v>
      </c>
      <c r="C5" s="21" t="s">
        <v>1384</v>
      </c>
      <c r="D5" s="21" t="s">
        <v>1385</v>
      </c>
      <c r="E5" s="21" t="s">
        <v>1386</v>
      </c>
      <c r="F5" s="21" t="s">
        <v>1387</v>
      </c>
    </row>
    <row r="6" spans="1:6" ht="15" customHeight="1" x14ac:dyDescent="0.25">
      <c r="A6" s="23" t="s">
        <v>1328</v>
      </c>
      <c r="B6" s="24" t="s">
        <v>1329</v>
      </c>
      <c r="C6" s="25">
        <v>639000</v>
      </c>
      <c r="D6" s="25">
        <v>74000</v>
      </c>
      <c r="E6" s="25">
        <v>327000</v>
      </c>
      <c r="F6" s="25">
        <v>238000</v>
      </c>
    </row>
    <row r="7" spans="1:6" ht="15" customHeight="1" x14ac:dyDescent="0.25">
      <c r="A7" s="23" t="s">
        <v>1328</v>
      </c>
      <c r="B7" s="24" t="s">
        <v>1330</v>
      </c>
      <c r="C7" s="25">
        <v>630000</v>
      </c>
      <c r="D7" s="25">
        <v>76000</v>
      </c>
      <c r="E7" s="25">
        <v>322000</v>
      </c>
      <c r="F7" s="25">
        <v>232000</v>
      </c>
    </row>
    <row r="8" spans="1:6" ht="15" customHeight="1" x14ac:dyDescent="0.25">
      <c r="A8" s="23" t="s">
        <v>1328</v>
      </c>
      <c r="B8" s="24" t="s">
        <v>1331</v>
      </c>
      <c r="C8" s="25">
        <v>643000</v>
      </c>
      <c r="D8" s="25">
        <v>79000</v>
      </c>
      <c r="E8" s="25">
        <v>334000</v>
      </c>
      <c r="F8" s="25">
        <v>230000</v>
      </c>
    </row>
    <row r="9" spans="1:6" ht="15" customHeight="1" x14ac:dyDescent="0.25">
      <c r="A9" s="23" t="s">
        <v>1328</v>
      </c>
      <c r="B9" s="24" t="s">
        <v>1332</v>
      </c>
      <c r="C9" s="25">
        <v>649000</v>
      </c>
      <c r="D9" s="25">
        <v>75000</v>
      </c>
      <c r="E9" s="25">
        <v>350000</v>
      </c>
      <c r="F9" s="25">
        <v>224000</v>
      </c>
    </row>
    <row r="10" spans="1:6" ht="15" customHeight="1" x14ac:dyDescent="0.25">
      <c r="A10" s="23" t="s">
        <v>1328</v>
      </c>
      <c r="B10" s="24" t="s">
        <v>1333</v>
      </c>
      <c r="C10" s="25">
        <v>669000</v>
      </c>
      <c r="D10" s="25">
        <v>75000</v>
      </c>
      <c r="E10" s="25">
        <v>373000</v>
      </c>
      <c r="F10" s="25">
        <v>222000</v>
      </c>
    </row>
    <row r="11" spans="1:6" ht="15" customHeight="1" x14ac:dyDescent="0.25">
      <c r="A11" s="23" t="s">
        <v>1328</v>
      </c>
      <c r="B11" s="24" t="s">
        <v>1334</v>
      </c>
      <c r="C11" s="25">
        <v>720000</v>
      </c>
      <c r="D11" s="25">
        <v>78000</v>
      </c>
      <c r="E11" s="25">
        <v>410000</v>
      </c>
      <c r="F11" s="25">
        <v>233000</v>
      </c>
    </row>
    <row r="12" spans="1:6" ht="15" customHeight="1" x14ac:dyDescent="0.25">
      <c r="A12" s="23" t="s">
        <v>1328</v>
      </c>
      <c r="B12" s="24" t="s">
        <v>1335</v>
      </c>
      <c r="C12" s="25">
        <v>713000</v>
      </c>
      <c r="D12" s="25">
        <v>76000</v>
      </c>
      <c r="E12" s="25">
        <v>402000</v>
      </c>
      <c r="F12" s="25">
        <v>234000</v>
      </c>
    </row>
    <row r="13" spans="1:6" ht="15" customHeight="1" x14ac:dyDescent="0.25">
      <c r="A13" s="23" t="s">
        <v>1328</v>
      </c>
      <c r="B13" s="24" t="s">
        <v>1336</v>
      </c>
      <c r="C13" s="25">
        <v>731000</v>
      </c>
      <c r="D13" s="25">
        <v>80000</v>
      </c>
      <c r="E13" s="25">
        <v>414000</v>
      </c>
      <c r="F13" s="25">
        <v>236000</v>
      </c>
    </row>
    <row r="14" spans="1:6" x14ac:dyDescent="0.25">
      <c r="A14" s="23" t="s">
        <v>1328</v>
      </c>
      <c r="B14" s="24" t="s">
        <v>1337</v>
      </c>
      <c r="C14" s="25">
        <v>737000</v>
      </c>
      <c r="D14" s="25">
        <v>82000</v>
      </c>
      <c r="E14" s="25">
        <v>420000</v>
      </c>
      <c r="F14" s="25">
        <v>236000</v>
      </c>
    </row>
    <row r="15" spans="1:6" x14ac:dyDescent="0.25">
      <c r="A15" s="23" t="s">
        <v>1328</v>
      </c>
      <c r="B15" s="24" t="s">
        <v>1338</v>
      </c>
      <c r="C15" s="25">
        <v>761000</v>
      </c>
      <c r="D15" s="25">
        <v>81000</v>
      </c>
      <c r="E15" s="25">
        <v>441000</v>
      </c>
      <c r="F15" s="25">
        <v>239000</v>
      </c>
    </row>
    <row r="16" spans="1:6" x14ac:dyDescent="0.25">
      <c r="A16" s="23" t="s">
        <v>1328</v>
      </c>
      <c r="B16" s="24" t="s">
        <v>1339</v>
      </c>
      <c r="C16" s="25">
        <v>778000</v>
      </c>
      <c r="D16" s="25">
        <v>81000</v>
      </c>
      <c r="E16" s="25">
        <v>457000</v>
      </c>
      <c r="F16" s="25">
        <v>241000</v>
      </c>
    </row>
    <row r="17" spans="1:6" x14ac:dyDescent="0.25">
      <c r="A17" s="23" t="s">
        <v>1328</v>
      </c>
      <c r="B17" s="24" t="s">
        <v>1340</v>
      </c>
      <c r="C17" s="25">
        <v>780000</v>
      </c>
      <c r="D17" s="25">
        <v>83000</v>
      </c>
      <c r="E17" s="25">
        <v>457000</v>
      </c>
      <c r="F17" s="25">
        <v>240000</v>
      </c>
    </row>
    <row r="18" spans="1:6" x14ac:dyDescent="0.25">
      <c r="A18" s="23" t="s">
        <v>1328</v>
      </c>
      <c r="B18" s="24" t="s">
        <v>1341</v>
      </c>
      <c r="C18" s="25">
        <v>778000</v>
      </c>
      <c r="D18" s="25">
        <v>83000</v>
      </c>
      <c r="E18" s="25">
        <v>454000</v>
      </c>
      <c r="F18" s="25">
        <v>241000</v>
      </c>
    </row>
    <row r="19" spans="1:6" x14ac:dyDescent="0.25">
      <c r="A19" s="23" t="s">
        <v>1328</v>
      </c>
      <c r="B19" s="24" t="s">
        <v>1342</v>
      </c>
      <c r="C19" s="25">
        <v>774000</v>
      </c>
      <c r="D19" s="25">
        <v>81000</v>
      </c>
      <c r="E19" s="25">
        <v>453000</v>
      </c>
      <c r="F19" s="25">
        <v>240000</v>
      </c>
    </row>
    <row r="20" spans="1:6" x14ac:dyDescent="0.25">
      <c r="A20" s="23" t="s">
        <v>1328</v>
      </c>
      <c r="B20" s="24" t="s">
        <v>1343</v>
      </c>
      <c r="C20" s="25">
        <v>797000</v>
      </c>
      <c r="D20" s="25">
        <v>78000</v>
      </c>
      <c r="E20" s="25">
        <v>481000</v>
      </c>
      <c r="F20" s="25">
        <v>238000</v>
      </c>
    </row>
    <row r="21" spans="1:6" x14ac:dyDescent="0.25">
      <c r="A21" s="23" t="s">
        <v>1328</v>
      </c>
      <c r="B21" s="24" t="s">
        <v>1344</v>
      </c>
      <c r="C21" s="25">
        <v>803000</v>
      </c>
      <c r="D21" s="25">
        <v>78000</v>
      </c>
      <c r="E21" s="25">
        <v>490000</v>
      </c>
      <c r="F21" s="25">
        <v>235000</v>
      </c>
    </row>
    <row r="22" spans="1:6" ht="15" customHeight="1" x14ac:dyDescent="0.25">
      <c r="A22" s="23" t="s">
        <v>1328</v>
      </c>
      <c r="B22" s="24" t="s">
        <v>1345</v>
      </c>
      <c r="C22" s="25">
        <v>832000</v>
      </c>
      <c r="D22" s="25">
        <v>74000</v>
      </c>
      <c r="E22" s="25">
        <v>521000</v>
      </c>
      <c r="F22" s="25">
        <v>237000</v>
      </c>
    </row>
    <row r="23" spans="1:6" ht="15" customHeight="1" x14ac:dyDescent="0.25">
      <c r="A23" s="23" t="s">
        <v>1328</v>
      </c>
      <c r="B23" s="24" t="s">
        <v>1346</v>
      </c>
      <c r="C23" s="27">
        <v>804000</v>
      </c>
      <c r="D23" s="27">
        <v>70000</v>
      </c>
      <c r="E23" s="27">
        <v>496000</v>
      </c>
      <c r="F23" s="27">
        <v>238000</v>
      </c>
    </row>
    <row r="24" spans="1:6" ht="15" customHeight="1" x14ac:dyDescent="0.25">
      <c r="A24" s="23" t="s">
        <v>1328</v>
      </c>
      <c r="B24" s="24" t="s">
        <v>1347</v>
      </c>
      <c r="C24" s="27">
        <v>772000</v>
      </c>
      <c r="D24" s="27">
        <v>70000</v>
      </c>
      <c r="E24" s="27">
        <v>465000</v>
      </c>
      <c r="F24" s="27">
        <v>237000</v>
      </c>
    </row>
    <row r="25" spans="1:6" ht="15" customHeight="1" x14ac:dyDescent="0.25">
      <c r="A25" s="23" t="s">
        <v>1328</v>
      </c>
      <c r="B25" s="24" t="s">
        <v>1348</v>
      </c>
      <c r="C25" s="27">
        <v>759000</v>
      </c>
      <c r="D25" s="27">
        <v>72000</v>
      </c>
      <c r="E25" s="27">
        <v>447000</v>
      </c>
      <c r="F25" s="27">
        <v>239000</v>
      </c>
    </row>
    <row r="26" spans="1:6" ht="15" customHeight="1" x14ac:dyDescent="0.25">
      <c r="A26" s="23" t="s">
        <v>1328</v>
      </c>
      <c r="B26" s="24" t="s">
        <v>1349</v>
      </c>
      <c r="C26" s="27">
        <v>718000</v>
      </c>
      <c r="D26" s="27">
        <v>78000</v>
      </c>
      <c r="E26" s="27">
        <v>399000</v>
      </c>
      <c r="F26" s="27">
        <v>241000</v>
      </c>
    </row>
    <row r="27" spans="1:6" ht="15" customHeight="1" x14ac:dyDescent="0.25">
      <c r="A27" s="23" t="s">
        <v>1328</v>
      </c>
      <c r="B27" s="24" t="s">
        <v>1350</v>
      </c>
      <c r="C27" s="27">
        <v>754000</v>
      </c>
      <c r="D27" s="27">
        <v>78000</v>
      </c>
      <c r="E27" s="27">
        <v>425000</v>
      </c>
      <c r="F27" s="27">
        <v>251000</v>
      </c>
    </row>
    <row r="28" spans="1:6" ht="15" customHeight="1" x14ac:dyDescent="0.25">
      <c r="A28" s="23" t="s">
        <v>1328</v>
      </c>
      <c r="B28" s="24" t="s">
        <v>1351</v>
      </c>
      <c r="C28" s="27">
        <v>752000</v>
      </c>
      <c r="D28" s="27">
        <v>84000</v>
      </c>
      <c r="E28" s="27">
        <v>411000</v>
      </c>
      <c r="F28" s="27">
        <v>257000</v>
      </c>
    </row>
    <row r="29" spans="1:6" ht="15" customHeight="1" x14ac:dyDescent="0.25">
      <c r="A29" s="23" t="s">
        <v>1328</v>
      </c>
      <c r="B29" s="24" t="s">
        <v>1352</v>
      </c>
      <c r="C29" s="27">
        <v>736000</v>
      </c>
      <c r="D29" s="27">
        <v>76000</v>
      </c>
      <c r="E29" s="27">
        <v>399000</v>
      </c>
      <c r="F29" s="27">
        <v>261000</v>
      </c>
    </row>
    <row r="30" spans="1:6" ht="15" customHeight="1" x14ac:dyDescent="0.25">
      <c r="A30" s="23" t="s">
        <v>1328</v>
      </c>
      <c r="B30" s="24" t="s">
        <v>1353</v>
      </c>
      <c r="C30" s="27">
        <v>757000</v>
      </c>
      <c r="D30" s="27">
        <v>81000</v>
      </c>
      <c r="E30" s="27">
        <v>407000</v>
      </c>
      <c r="F30" s="27">
        <v>269000</v>
      </c>
    </row>
    <row r="31" spans="1:6" ht="15" customHeight="1" x14ac:dyDescent="0.25">
      <c r="A31" s="23" t="s">
        <v>1328</v>
      </c>
      <c r="B31" s="24" t="s">
        <v>1354</v>
      </c>
      <c r="C31" s="27">
        <v>766000</v>
      </c>
      <c r="D31" s="27">
        <v>85000</v>
      </c>
      <c r="E31" s="27">
        <v>397000</v>
      </c>
      <c r="F31" s="27">
        <v>284000</v>
      </c>
    </row>
    <row r="32" spans="1:6" ht="15" customHeight="1" x14ac:dyDescent="0.25">
      <c r="A32" s="23" t="s">
        <v>1328</v>
      </c>
      <c r="B32" s="24" t="s">
        <v>1355</v>
      </c>
      <c r="C32" s="27">
        <v>825000</v>
      </c>
      <c r="D32" s="27">
        <v>74000</v>
      </c>
      <c r="E32" s="27">
        <v>421000</v>
      </c>
      <c r="F32" s="27">
        <v>330000</v>
      </c>
    </row>
    <row r="33" spans="1:6" ht="15" customHeight="1" x14ac:dyDescent="0.25">
      <c r="A33" s="23" t="s">
        <v>1328</v>
      </c>
      <c r="B33" s="24" t="s">
        <v>1356</v>
      </c>
      <c r="C33" s="27">
        <v>849000</v>
      </c>
      <c r="D33" s="27">
        <v>74000</v>
      </c>
      <c r="E33" s="27">
        <v>429000</v>
      </c>
      <c r="F33" s="27">
        <v>346000</v>
      </c>
    </row>
    <row r="34" spans="1:6" ht="15" customHeight="1" x14ac:dyDescent="0.25">
      <c r="A34" s="23" t="s">
        <v>1328</v>
      </c>
      <c r="B34" s="24" t="s">
        <v>1357</v>
      </c>
      <c r="C34" s="27">
        <v>821000</v>
      </c>
      <c r="D34" s="27">
        <v>61000</v>
      </c>
      <c r="E34" s="27">
        <v>413000</v>
      </c>
      <c r="F34" s="27">
        <v>347000</v>
      </c>
    </row>
    <row r="35" spans="1:6" ht="15" customHeight="1" x14ac:dyDescent="0.25">
      <c r="A35" s="23" t="s">
        <v>1328</v>
      </c>
      <c r="B35" s="24" t="s">
        <v>1358</v>
      </c>
      <c r="C35" s="27">
        <v>793000</v>
      </c>
      <c r="D35" s="27">
        <v>66000</v>
      </c>
      <c r="E35" s="27">
        <v>376000</v>
      </c>
      <c r="F35" s="27">
        <v>351000</v>
      </c>
    </row>
    <row r="36" spans="1:6" ht="15" customHeight="1" x14ac:dyDescent="0.25">
      <c r="A36" s="23" t="s">
        <v>1328</v>
      </c>
      <c r="B36" s="24" t="s">
        <v>1359</v>
      </c>
      <c r="C36" s="27">
        <v>788000</v>
      </c>
      <c r="D36" s="27">
        <v>71000</v>
      </c>
      <c r="E36" s="27">
        <v>349000</v>
      </c>
      <c r="F36" s="27">
        <v>368000</v>
      </c>
    </row>
    <row r="37" spans="1:6" ht="15" customHeight="1" x14ac:dyDescent="0.25">
      <c r="A37" s="23" t="s">
        <v>1328</v>
      </c>
      <c r="B37" s="24" t="s">
        <v>1360</v>
      </c>
      <c r="C37" s="27">
        <v>815000</v>
      </c>
      <c r="D37" s="27">
        <v>80000</v>
      </c>
      <c r="E37" s="27">
        <v>347000</v>
      </c>
      <c r="F37" s="27">
        <v>388000</v>
      </c>
    </row>
    <row r="38" spans="1:6" ht="15" customHeight="1" x14ac:dyDescent="0.25">
      <c r="A38" s="23" t="s">
        <v>1328</v>
      </c>
      <c r="B38" s="24" t="s">
        <v>1361</v>
      </c>
      <c r="C38" s="27">
        <v>736000</v>
      </c>
      <c r="D38" s="27">
        <v>72000</v>
      </c>
      <c r="E38" s="27">
        <v>333000</v>
      </c>
      <c r="F38" s="27">
        <v>331000</v>
      </c>
    </row>
    <row r="39" spans="1:6" ht="15" customHeight="1" x14ac:dyDescent="0.25">
      <c r="A39" s="23" t="s">
        <v>1328</v>
      </c>
      <c r="B39" s="24" t="s">
        <v>1362</v>
      </c>
      <c r="C39" s="27">
        <v>606000</v>
      </c>
      <c r="D39" s="27">
        <v>53000</v>
      </c>
      <c r="E39" s="27">
        <v>293000</v>
      </c>
      <c r="F39" s="27">
        <v>260000</v>
      </c>
    </row>
    <row r="40" spans="1:6" ht="15" customHeight="1" x14ac:dyDescent="0.25">
      <c r="A40" s="23" t="s">
        <v>1328</v>
      </c>
      <c r="B40" s="24" t="s">
        <v>1363</v>
      </c>
      <c r="C40" s="27">
        <v>662000</v>
      </c>
      <c r="D40" s="27">
        <v>52000</v>
      </c>
      <c r="E40" s="27">
        <v>316000</v>
      </c>
      <c r="F40" s="27">
        <v>294000</v>
      </c>
    </row>
    <row r="41" spans="1:6" ht="15" customHeight="1" x14ac:dyDescent="0.25">
      <c r="A41" s="23" t="s">
        <v>1328</v>
      </c>
      <c r="B41" s="24" t="s">
        <v>1364</v>
      </c>
      <c r="C41" s="27">
        <v>629000</v>
      </c>
      <c r="D41" s="27">
        <v>44000</v>
      </c>
      <c r="E41" s="27">
        <v>287000</v>
      </c>
      <c r="F41" s="27">
        <v>297000</v>
      </c>
    </row>
    <row r="42" spans="1:6" ht="15" customHeight="1" x14ac:dyDescent="0.25">
      <c r="A42" s="23" t="s">
        <v>1328</v>
      </c>
      <c r="B42" s="24" t="s">
        <v>1388</v>
      </c>
      <c r="C42" s="27">
        <v>709000</v>
      </c>
      <c r="D42" s="27">
        <v>62000</v>
      </c>
      <c r="E42" s="27">
        <v>279000</v>
      </c>
      <c r="F42" s="27">
        <v>368000</v>
      </c>
    </row>
    <row r="43" spans="1:6" ht="15" customHeight="1" x14ac:dyDescent="0.25">
      <c r="A43" s="23" t="s">
        <v>1328</v>
      </c>
      <c r="B43" s="24" t="s">
        <v>1389</v>
      </c>
      <c r="C43" s="27">
        <v>878000</v>
      </c>
      <c r="D43" s="27">
        <v>96000</v>
      </c>
      <c r="E43" s="27">
        <v>249000</v>
      </c>
      <c r="F43" s="27">
        <v>534000</v>
      </c>
    </row>
    <row r="44" spans="1:6" ht="15" customHeight="1" x14ac:dyDescent="0.25">
      <c r="A44" s="23" t="s">
        <v>1328</v>
      </c>
      <c r="B44" s="24" t="s">
        <v>1390</v>
      </c>
      <c r="C44" s="27">
        <v>891000</v>
      </c>
      <c r="D44" s="27">
        <v>108000</v>
      </c>
      <c r="E44" s="27">
        <v>172000</v>
      </c>
      <c r="F44" s="27">
        <v>611000</v>
      </c>
    </row>
    <row r="45" spans="1:6" ht="15" customHeight="1" x14ac:dyDescent="0.25">
      <c r="A45" s="23" t="s">
        <v>1328</v>
      </c>
      <c r="B45" s="24" t="s">
        <v>1391</v>
      </c>
      <c r="C45" s="27">
        <v>968000</v>
      </c>
      <c r="D45" s="27">
        <v>110000</v>
      </c>
      <c r="E45" s="27">
        <v>138000</v>
      </c>
      <c r="F45" s="27">
        <v>721000</v>
      </c>
    </row>
    <row r="46" spans="1:6" ht="15" customHeight="1" x14ac:dyDescent="0.25">
      <c r="A46" s="23" t="s">
        <v>1328</v>
      </c>
      <c r="B46" s="24" t="s">
        <v>1392</v>
      </c>
      <c r="C46" s="27">
        <v>1078000</v>
      </c>
      <c r="D46" s="27">
        <v>108000</v>
      </c>
      <c r="E46" s="27">
        <v>121000</v>
      </c>
      <c r="F46" s="27">
        <v>848000</v>
      </c>
    </row>
    <row r="47" spans="1:6" ht="15" customHeight="1" x14ac:dyDescent="0.25">
      <c r="A47" s="23" t="s">
        <v>1328</v>
      </c>
      <c r="B47" s="24" t="s">
        <v>1393</v>
      </c>
      <c r="C47" s="27">
        <v>1198000</v>
      </c>
      <c r="D47" s="27">
        <v>94000</v>
      </c>
      <c r="E47" s="27">
        <v>114000</v>
      </c>
      <c r="F47" s="27">
        <v>990000</v>
      </c>
    </row>
    <row r="48" spans="1:6" ht="15" customHeight="1" x14ac:dyDescent="0.25">
      <c r="A48" s="23" t="s">
        <v>1328</v>
      </c>
      <c r="B48" s="24" t="s">
        <v>1394</v>
      </c>
      <c r="C48" s="27">
        <v>1257000</v>
      </c>
      <c r="D48" s="27">
        <v>88000</v>
      </c>
      <c r="E48" s="27">
        <v>116000</v>
      </c>
      <c r="F48" s="27">
        <v>1053000</v>
      </c>
    </row>
    <row r="49" spans="1:6" ht="15" customHeight="1" x14ac:dyDescent="0.25">
      <c r="A49" s="23" t="s">
        <v>1328</v>
      </c>
      <c r="B49" s="24" t="s">
        <v>1395</v>
      </c>
      <c r="C49" s="27">
        <v>1248000</v>
      </c>
      <c r="D49" s="27">
        <v>87000</v>
      </c>
      <c r="E49" s="27">
        <v>128000</v>
      </c>
      <c r="F49" s="27">
        <v>1033000</v>
      </c>
    </row>
    <row r="50" spans="1:6" x14ac:dyDescent="0.25">
      <c r="A50" s="23" t="s">
        <v>1328</v>
      </c>
      <c r="B50" s="24" t="s">
        <v>1396</v>
      </c>
      <c r="C50" s="27">
        <v>1238000</v>
      </c>
      <c r="D50" s="27">
        <v>84000</v>
      </c>
      <c r="E50" s="27">
        <v>129000</v>
      </c>
      <c r="F50" s="27">
        <v>1025000</v>
      </c>
    </row>
    <row r="51" spans="1:6" x14ac:dyDescent="0.25">
      <c r="A51" s="23" t="s">
        <v>1328</v>
      </c>
      <c r="B51" s="24" t="s">
        <v>1397</v>
      </c>
      <c r="C51" s="27">
        <v>1219000</v>
      </c>
      <c r="D51" s="27">
        <v>64000</v>
      </c>
      <c r="E51" s="27">
        <v>117000</v>
      </c>
      <c r="F51" s="27">
        <v>1038000</v>
      </c>
    </row>
    <row r="52" spans="1:6" ht="32.25" customHeight="1" x14ac:dyDescent="0.25">
      <c r="A52" s="23" t="s">
        <v>1328</v>
      </c>
      <c r="B52" s="24" t="s">
        <v>1398</v>
      </c>
      <c r="C52" s="27">
        <v>1218000</v>
      </c>
      <c r="D52" s="27">
        <v>61000</v>
      </c>
      <c r="E52" s="27">
        <v>126000</v>
      </c>
      <c r="F52" s="27">
        <v>1031000</v>
      </c>
    </row>
    <row r="53" spans="1:6" x14ac:dyDescent="0.25">
      <c r="A53" s="23" t="s">
        <v>1378</v>
      </c>
      <c r="B53" s="24" t="s">
        <v>1329</v>
      </c>
      <c r="C53" s="31">
        <v>-477000</v>
      </c>
      <c r="D53" s="31">
        <v>-156000</v>
      </c>
      <c r="E53" s="31">
        <v>-140000</v>
      </c>
      <c r="F53" s="31">
        <v>-181000</v>
      </c>
    </row>
    <row r="54" spans="1:6" x14ac:dyDescent="0.25">
      <c r="A54" s="23" t="s">
        <v>1378</v>
      </c>
      <c r="B54" s="24" t="s">
        <v>1330</v>
      </c>
      <c r="C54" s="31">
        <v>-473000</v>
      </c>
      <c r="D54" s="31">
        <v>-156000</v>
      </c>
      <c r="E54" s="31">
        <v>-139000</v>
      </c>
      <c r="F54" s="31">
        <v>-178000</v>
      </c>
    </row>
    <row r="55" spans="1:6" x14ac:dyDescent="0.25">
      <c r="A55" s="23" t="s">
        <v>1378</v>
      </c>
      <c r="B55" s="24" t="s">
        <v>1331</v>
      </c>
      <c r="C55" s="31">
        <v>-448000</v>
      </c>
      <c r="D55" s="31">
        <v>-151000</v>
      </c>
      <c r="E55" s="31">
        <v>-128000</v>
      </c>
      <c r="F55" s="31">
        <v>-169000</v>
      </c>
    </row>
    <row r="56" spans="1:6" x14ac:dyDescent="0.25">
      <c r="A56" s="23" t="s">
        <v>1378</v>
      </c>
      <c r="B56" s="24" t="s">
        <v>1332</v>
      </c>
      <c r="C56" s="31">
        <v>-446000</v>
      </c>
      <c r="D56" s="31">
        <v>-154000</v>
      </c>
      <c r="E56" s="31">
        <v>-127000</v>
      </c>
      <c r="F56" s="31">
        <v>-164000</v>
      </c>
    </row>
    <row r="57" spans="1:6" x14ac:dyDescent="0.25">
      <c r="A57" s="23" t="s">
        <v>1378</v>
      </c>
      <c r="B57" s="24" t="s">
        <v>1333</v>
      </c>
      <c r="C57" s="31">
        <v>-454000</v>
      </c>
      <c r="D57" s="31">
        <v>-157000</v>
      </c>
      <c r="E57" s="31">
        <v>-131000</v>
      </c>
      <c r="F57" s="31">
        <v>-166000</v>
      </c>
    </row>
    <row r="58" spans="1:6" x14ac:dyDescent="0.25">
      <c r="A58" s="23" t="s">
        <v>1378</v>
      </c>
      <c r="B58" s="24" t="s">
        <v>1334</v>
      </c>
      <c r="C58" s="31">
        <v>-461000</v>
      </c>
      <c r="D58" s="31">
        <v>-158000</v>
      </c>
      <c r="E58" s="31">
        <v>-135000</v>
      </c>
      <c r="F58" s="31">
        <v>-169000</v>
      </c>
    </row>
    <row r="59" spans="1:6" x14ac:dyDescent="0.25">
      <c r="A59" s="23" t="s">
        <v>1378</v>
      </c>
      <c r="B59" s="24" t="s">
        <v>1335</v>
      </c>
      <c r="C59" s="31">
        <v>-469000</v>
      </c>
      <c r="D59" s="31">
        <v>-157000</v>
      </c>
      <c r="E59" s="31">
        <v>-141000</v>
      </c>
      <c r="F59" s="31">
        <v>-171000</v>
      </c>
    </row>
    <row r="60" spans="1:6" x14ac:dyDescent="0.25">
      <c r="A60" s="23" t="s">
        <v>1378</v>
      </c>
      <c r="B60" s="24" t="s">
        <v>1336</v>
      </c>
      <c r="C60" s="31">
        <v>-475000</v>
      </c>
      <c r="D60" s="31">
        <v>-154000</v>
      </c>
      <c r="E60" s="31">
        <v>-151000</v>
      </c>
      <c r="F60" s="31">
        <v>-170000</v>
      </c>
    </row>
    <row r="61" spans="1:6" x14ac:dyDescent="0.25">
      <c r="A61" s="23" t="s">
        <v>1378</v>
      </c>
      <c r="B61" s="24" t="s">
        <v>1337</v>
      </c>
      <c r="C61" s="31">
        <v>-489000</v>
      </c>
      <c r="D61" s="31">
        <v>-157000</v>
      </c>
      <c r="E61" s="31">
        <v>-161000</v>
      </c>
      <c r="F61" s="31">
        <v>-171000</v>
      </c>
    </row>
    <row r="62" spans="1:6" x14ac:dyDescent="0.25">
      <c r="A62" s="23" t="s">
        <v>1378</v>
      </c>
      <c r="B62" s="24" t="s">
        <v>1338</v>
      </c>
      <c r="C62" s="31">
        <v>-497000</v>
      </c>
      <c r="D62" s="31">
        <v>-160000</v>
      </c>
      <c r="E62" s="31">
        <v>-171000</v>
      </c>
      <c r="F62" s="31">
        <v>-166000</v>
      </c>
    </row>
    <row r="63" spans="1:6" x14ac:dyDescent="0.25">
      <c r="A63" s="23" t="s">
        <v>1378</v>
      </c>
      <c r="B63" s="24" t="s">
        <v>1339</v>
      </c>
      <c r="C63" s="31">
        <v>-494000</v>
      </c>
      <c r="D63" s="31">
        <v>-161000</v>
      </c>
      <c r="E63" s="31">
        <v>-180000</v>
      </c>
      <c r="F63" s="31">
        <v>-154000</v>
      </c>
    </row>
    <row r="64" spans="1:6" x14ac:dyDescent="0.25">
      <c r="A64" s="23" t="s">
        <v>1378</v>
      </c>
      <c r="B64" s="24" t="s">
        <v>1340</v>
      </c>
      <c r="C64" s="31">
        <v>-484000</v>
      </c>
      <c r="D64" s="31">
        <v>-156000</v>
      </c>
      <c r="E64" s="31">
        <v>-182000</v>
      </c>
      <c r="F64" s="31">
        <v>-146000</v>
      </c>
    </row>
    <row r="65" spans="1:6" x14ac:dyDescent="0.25">
      <c r="A65" s="23" t="s">
        <v>1378</v>
      </c>
      <c r="B65" s="24" t="s">
        <v>1341</v>
      </c>
      <c r="C65" s="31">
        <v>-482000</v>
      </c>
      <c r="D65" s="31">
        <v>-154000</v>
      </c>
      <c r="E65" s="31">
        <v>-187000</v>
      </c>
      <c r="F65" s="31">
        <v>-141000</v>
      </c>
    </row>
    <row r="66" spans="1:6" x14ac:dyDescent="0.25">
      <c r="A66" s="23" t="s">
        <v>1378</v>
      </c>
      <c r="B66" s="24" t="s">
        <v>1342</v>
      </c>
      <c r="C66" s="31">
        <v>-481000</v>
      </c>
      <c r="D66" s="31">
        <v>-153000</v>
      </c>
      <c r="E66" s="31">
        <v>-191000</v>
      </c>
      <c r="F66" s="31">
        <v>-137000</v>
      </c>
    </row>
    <row r="67" spans="1:6" ht="15" customHeight="1" x14ac:dyDescent="0.25">
      <c r="A67" s="23" t="s">
        <v>1378</v>
      </c>
      <c r="B67" s="24" t="s">
        <v>1343</v>
      </c>
      <c r="C67" s="31">
        <v>-494000</v>
      </c>
      <c r="D67" s="31">
        <v>-151000</v>
      </c>
      <c r="E67" s="31">
        <v>-193000</v>
      </c>
      <c r="F67" s="31">
        <v>-150000</v>
      </c>
    </row>
    <row r="68" spans="1:6" ht="15" customHeight="1" x14ac:dyDescent="0.25">
      <c r="A68" s="23" t="s">
        <v>1378</v>
      </c>
      <c r="B68" s="24" t="s">
        <v>1344</v>
      </c>
      <c r="C68" s="31">
        <v>-506000</v>
      </c>
      <c r="D68" s="31">
        <v>-155000</v>
      </c>
      <c r="E68" s="31">
        <v>-196000</v>
      </c>
      <c r="F68" s="31">
        <v>-155000</v>
      </c>
    </row>
    <row r="69" spans="1:6" ht="15" customHeight="1" x14ac:dyDescent="0.25">
      <c r="A69" s="23" t="s">
        <v>1378</v>
      </c>
      <c r="B69" s="24" t="s">
        <v>1345</v>
      </c>
      <c r="C69" s="31">
        <v>-511000</v>
      </c>
      <c r="D69" s="31">
        <v>-157000</v>
      </c>
      <c r="E69" s="31">
        <v>-199000</v>
      </c>
      <c r="F69" s="31">
        <v>-155000</v>
      </c>
    </row>
    <row r="70" spans="1:6" ht="15" customHeight="1" x14ac:dyDescent="0.25">
      <c r="A70" s="23" t="s">
        <v>1378</v>
      </c>
      <c r="B70" s="24" t="s">
        <v>1346</v>
      </c>
      <c r="C70" s="32">
        <v>-514000</v>
      </c>
      <c r="D70" s="32">
        <v>-157000</v>
      </c>
      <c r="E70" s="32">
        <v>-202000</v>
      </c>
      <c r="F70" s="32">
        <v>-155000</v>
      </c>
    </row>
    <row r="71" spans="1:6" ht="15" customHeight="1" x14ac:dyDescent="0.25">
      <c r="A71" s="23" t="s">
        <v>1378</v>
      </c>
      <c r="B71" s="24" t="s">
        <v>1347</v>
      </c>
      <c r="C71" s="32">
        <v>-523000</v>
      </c>
      <c r="D71" s="32">
        <v>-163000</v>
      </c>
      <c r="E71" s="32">
        <v>-213000</v>
      </c>
      <c r="F71" s="32">
        <v>-147000</v>
      </c>
    </row>
    <row r="72" spans="1:6" ht="15" customHeight="1" x14ac:dyDescent="0.25">
      <c r="A72" s="23" t="s">
        <v>1378</v>
      </c>
      <c r="B72" s="24" t="s">
        <v>1348</v>
      </c>
      <c r="C72" s="32">
        <v>-519000</v>
      </c>
      <c r="D72" s="32">
        <v>-163000</v>
      </c>
      <c r="E72" s="32">
        <v>-213000</v>
      </c>
      <c r="F72" s="32">
        <v>-143000</v>
      </c>
    </row>
    <row r="73" spans="1:6" ht="15" customHeight="1" x14ac:dyDescent="0.25">
      <c r="A73" s="23" t="s">
        <v>1378</v>
      </c>
      <c r="B73" s="24" t="s">
        <v>1349</v>
      </c>
      <c r="C73" s="32">
        <v>-518000</v>
      </c>
      <c r="D73" s="32">
        <v>-157000</v>
      </c>
      <c r="E73" s="32">
        <v>-212000</v>
      </c>
      <c r="F73" s="32">
        <v>-149000</v>
      </c>
    </row>
    <row r="74" spans="1:6" ht="15" customHeight="1" x14ac:dyDescent="0.25">
      <c r="A74" s="23" t="s">
        <v>1378</v>
      </c>
      <c r="B74" s="24" t="s">
        <v>1350</v>
      </c>
      <c r="C74" s="32">
        <v>-549000</v>
      </c>
      <c r="D74" s="32">
        <v>-163000</v>
      </c>
      <c r="E74" s="32">
        <v>-233000</v>
      </c>
      <c r="F74" s="32">
        <v>-152000</v>
      </c>
    </row>
    <row r="75" spans="1:6" ht="15" customHeight="1" x14ac:dyDescent="0.25">
      <c r="A75" s="23" t="s">
        <v>1378</v>
      </c>
      <c r="B75" s="24" t="s">
        <v>1351</v>
      </c>
      <c r="C75" s="32">
        <v>-544000</v>
      </c>
      <c r="D75" s="32">
        <v>-164000</v>
      </c>
      <c r="E75" s="32">
        <v>-235000</v>
      </c>
      <c r="F75" s="32">
        <v>-144000</v>
      </c>
    </row>
    <row r="76" spans="1:6" ht="15" customHeight="1" x14ac:dyDescent="0.25">
      <c r="A76" s="23" t="s">
        <v>1378</v>
      </c>
      <c r="B76" s="24" t="s">
        <v>1352</v>
      </c>
      <c r="C76" s="32">
        <v>-543000</v>
      </c>
      <c r="D76" s="32">
        <v>-165000</v>
      </c>
      <c r="E76" s="32">
        <v>-240000</v>
      </c>
      <c r="F76" s="32">
        <v>-139000</v>
      </c>
    </row>
    <row r="77" spans="1:6" ht="15" customHeight="1" x14ac:dyDescent="0.25">
      <c r="A77" s="23" t="s">
        <v>1378</v>
      </c>
      <c r="B77" s="24" t="s">
        <v>1353</v>
      </c>
      <c r="C77" s="32">
        <v>-541000</v>
      </c>
      <c r="D77" s="32">
        <v>-165000</v>
      </c>
      <c r="E77" s="32">
        <v>-249000</v>
      </c>
      <c r="F77" s="32">
        <v>-127000</v>
      </c>
    </row>
    <row r="78" spans="1:6" ht="15" customHeight="1" x14ac:dyDescent="0.25">
      <c r="A78" s="23" t="s">
        <v>1378</v>
      </c>
      <c r="B78" s="24" t="s">
        <v>1354</v>
      </c>
      <c r="C78" s="32">
        <v>-539000</v>
      </c>
      <c r="D78" s="32">
        <v>-152000</v>
      </c>
      <c r="E78" s="32">
        <v>-259000</v>
      </c>
      <c r="F78" s="32">
        <v>-129000</v>
      </c>
    </row>
    <row r="79" spans="1:6" ht="15" customHeight="1" x14ac:dyDescent="0.25">
      <c r="A79" s="23" t="s">
        <v>1378</v>
      </c>
      <c r="B79" s="24" t="s">
        <v>1355</v>
      </c>
      <c r="C79" s="32">
        <v>-549000</v>
      </c>
      <c r="D79" s="32">
        <v>-147000</v>
      </c>
      <c r="E79" s="32">
        <v>-250000</v>
      </c>
      <c r="F79" s="32">
        <v>-152000</v>
      </c>
    </row>
    <row r="80" spans="1:6" ht="15" customHeight="1" x14ac:dyDescent="0.25">
      <c r="A80" s="23" t="s">
        <v>1378</v>
      </c>
      <c r="B80" s="24" t="s">
        <v>1356</v>
      </c>
      <c r="C80" s="32">
        <v>-575000</v>
      </c>
      <c r="D80" s="32">
        <v>-146000</v>
      </c>
      <c r="E80" s="32">
        <v>-274000</v>
      </c>
      <c r="F80" s="32">
        <v>-155000</v>
      </c>
    </row>
    <row r="81" spans="1:6" ht="15" customHeight="1" x14ac:dyDescent="0.25">
      <c r="A81" s="23" t="s">
        <v>1378</v>
      </c>
      <c r="B81" s="24" t="s">
        <v>1357</v>
      </c>
      <c r="C81" s="32">
        <v>-597000</v>
      </c>
      <c r="D81" s="32">
        <v>-143000</v>
      </c>
      <c r="E81" s="32">
        <v>-287000</v>
      </c>
      <c r="F81" s="32">
        <v>-167000</v>
      </c>
    </row>
    <row r="82" spans="1:6" ht="15" customHeight="1" x14ac:dyDescent="0.25">
      <c r="A82" s="23" t="s">
        <v>1378</v>
      </c>
      <c r="B82" s="24" t="s">
        <v>1358</v>
      </c>
      <c r="C82" s="32">
        <v>-591000</v>
      </c>
      <c r="D82" s="32">
        <v>-150000</v>
      </c>
      <c r="E82" s="32">
        <v>-262000</v>
      </c>
      <c r="F82" s="32">
        <v>-180000</v>
      </c>
    </row>
    <row r="83" spans="1:6" ht="15" customHeight="1" x14ac:dyDescent="0.25">
      <c r="A83" s="23" t="s">
        <v>1378</v>
      </c>
      <c r="B83" s="24" t="s">
        <v>1359</v>
      </c>
      <c r="C83" s="32">
        <v>-605000</v>
      </c>
      <c r="D83" s="32">
        <v>-153000</v>
      </c>
      <c r="E83" s="32">
        <v>-269000</v>
      </c>
      <c r="F83" s="32">
        <v>-182000</v>
      </c>
    </row>
    <row r="84" spans="1:6" ht="15" customHeight="1" x14ac:dyDescent="0.25">
      <c r="A84" s="23" t="s">
        <v>1378</v>
      </c>
      <c r="B84" s="24" t="s">
        <v>1360</v>
      </c>
      <c r="C84" s="32">
        <v>-645000</v>
      </c>
      <c r="D84" s="32">
        <v>-157000</v>
      </c>
      <c r="E84" s="32">
        <v>-266000</v>
      </c>
      <c r="F84" s="32">
        <v>-222000</v>
      </c>
    </row>
    <row r="85" spans="1:6" ht="15" customHeight="1" x14ac:dyDescent="0.25">
      <c r="A85" s="23" t="s">
        <v>1378</v>
      </c>
      <c r="B85" s="24" t="s">
        <v>1361</v>
      </c>
      <c r="C85" s="32">
        <v>-625000</v>
      </c>
      <c r="D85" s="32">
        <v>-146000</v>
      </c>
      <c r="E85" s="32">
        <v>-263000</v>
      </c>
      <c r="F85" s="32">
        <v>-216000</v>
      </c>
    </row>
    <row r="86" spans="1:6" ht="15" customHeight="1" x14ac:dyDescent="0.25">
      <c r="A86" s="23" t="s">
        <v>1378</v>
      </c>
      <c r="B86" s="24" t="s">
        <v>1362</v>
      </c>
      <c r="C86" s="32">
        <v>-571000</v>
      </c>
      <c r="D86" s="32">
        <v>-123000</v>
      </c>
      <c r="E86" s="32">
        <v>-249000</v>
      </c>
      <c r="F86" s="32">
        <v>-199000</v>
      </c>
    </row>
    <row r="87" spans="1:6" ht="15" customHeight="1" x14ac:dyDescent="0.25">
      <c r="A87" s="23" t="s">
        <v>1378</v>
      </c>
      <c r="B87" s="24" t="s">
        <v>1363</v>
      </c>
      <c r="C87" s="32">
        <v>-569000</v>
      </c>
      <c r="D87" s="32">
        <v>-130000</v>
      </c>
      <c r="E87" s="32">
        <v>-247000</v>
      </c>
      <c r="F87" s="32">
        <v>-192000</v>
      </c>
    </row>
    <row r="88" spans="1:6" ht="15" customHeight="1" x14ac:dyDescent="0.25">
      <c r="A88" s="23" t="s">
        <v>1378</v>
      </c>
      <c r="B88" s="24" t="s">
        <v>1364</v>
      </c>
      <c r="C88" s="32">
        <v>-496000</v>
      </c>
      <c r="D88" s="32">
        <v>-123000</v>
      </c>
      <c r="E88" s="32">
        <v>-226000</v>
      </c>
      <c r="F88" s="32">
        <v>-147000</v>
      </c>
    </row>
    <row r="89" spans="1:6" ht="15" customHeight="1" x14ac:dyDescent="0.25">
      <c r="A89" s="23" t="s">
        <v>1378</v>
      </c>
      <c r="B89" s="24" t="s">
        <v>1388</v>
      </c>
      <c r="C89" s="32">
        <v>-488000</v>
      </c>
      <c r="D89" s="32">
        <v>-135000</v>
      </c>
      <c r="E89" s="32">
        <v>-211000</v>
      </c>
      <c r="F89" s="32">
        <v>-142000</v>
      </c>
    </row>
    <row r="90" spans="1:6" ht="15" customHeight="1" x14ac:dyDescent="0.25">
      <c r="A90" s="23" t="s">
        <v>1378</v>
      </c>
      <c r="B90" s="24" t="s">
        <v>1389</v>
      </c>
      <c r="C90" s="32">
        <v>-436000</v>
      </c>
      <c r="D90" s="32">
        <v>-82000</v>
      </c>
      <c r="E90" s="32">
        <v>-233000</v>
      </c>
      <c r="F90" s="32">
        <v>-121000</v>
      </c>
    </row>
    <row r="91" spans="1:6" ht="15" customHeight="1" x14ac:dyDescent="0.25">
      <c r="A91" s="23" t="s">
        <v>1378</v>
      </c>
      <c r="B91" s="24" t="s">
        <v>1390</v>
      </c>
      <c r="C91" s="32">
        <v>-424000</v>
      </c>
      <c r="D91" s="32">
        <v>-76000</v>
      </c>
      <c r="E91" s="32">
        <v>-234000</v>
      </c>
      <c r="F91" s="32">
        <v>-115000</v>
      </c>
    </row>
    <row r="92" spans="1:6" ht="15" customHeight="1" x14ac:dyDescent="0.25">
      <c r="A92" s="23" t="s">
        <v>1378</v>
      </c>
      <c r="B92" s="24" t="s">
        <v>1391</v>
      </c>
      <c r="C92" s="32">
        <v>-443000</v>
      </c>
      <c r="D92" s="32">
        <v>-81000</v>
      </c>
      <c r="E92" s="32">
        <v>-244000</v>
      </c>
      <c r="F92" s="32">
        <v>-118000</v>
      </c>
    </row>
    <row r="93" spans="1:6" ht="15" customHeight="1" x14ac:dyDescent="0.25">
      <c r="A93" s="23" t="s">
        <v>1378</v>
      </c>
      <c r="B93" s="24" t="s">
        <v>1392</v>
      </c>
      <c r="C93" s="32">
        <v>-471000</v>
      </c>
      <c r="D93" s="32">
        <v>-89000</v>
      </c>
      <c r="E93" s="32">
        <v>-254000</v>
      </c>
      <c r="F93" s="32">
        <v>-128000</v>
      </c>
    </row>
    <row r="94" spans="1:6" ht="15" customHeight="1" x14ac:dyDescent="0.25">
      <c r="A94" s="23" t="s">
        <v>1378</v>
      </c>
      <c r="B94" s="24" t="s">
        <v>1393</v>
      </c>
      <c r="C94" s="32">
        <v>-480000</v>
      </c>
      <c r="D94" s="32">
        <v>-89000</v>
      </c>
      <c r="E94" s="32">
        <v>-249000</v>
      </c>
      <c r="F94" s="32">
        <v>-142000</v>
      </c>
    </row>
    <row r="95" spans="1:6" x14ac:dyDescent="0.25">
      <c r="A95" s="23" t="s">
        <v>1378</v>
      </c>
      <c r="B95" s="24" t="s">
        <v>1394</v>
      </c>
      <c r="C95" s="32">
        <v>-493000</v>
      </c>
      <c r="D95" s="32">
        <v>-92000</v>
      </c>
      <c r="E95" s="32">
        <v>-239000</v>
      </c>
      <c r="F95" s="32">
        <v>-162000</v>
      </c>
    </row>
    <row r="96" spans="1:6" x14ac:dyDescent="0.25">
      <c r="A96" s="23" t="s">
        <v>1378</v>
      </c>
      <c r="B96" s="24" t="s">
        <v>1395</v>
      </c>
      <c r="C96" s="32">
        <v>-497000</v>
      </c>
      <c r="D96" s="32">
        <v>-96000</v>
      </c>
      <c r="E96" s="32">
        <v>-231000</v>
      </c>
      <c r="F96" s="32">
        <v>-171000</v>
      </c>
    </row>
    <row r="97" spans="1:6" x14ac:dyDescent="0.25">
      <c r="A97" s="23" t="s">
        <v>1378</v>
      </c>
      <c r="B97" s="24" t="s">
        <v>1396</v>
      </c>
      <c r="C97" s="32">
        <v>-498000</v>
      </c>
      <c r="D97" s="32">
        <v>-93000</v>
      </c>
      <c r="E97" s="32">
        <v>-215000</v>
      </c>
      <c r="F97" s="32">
        <v>-189000</v>
      </c>
    </row>
    <row r="98" spans="1:6" x14ac:dyDescent="0.25">
      <c r="A98" s="23" t="s">
        <v>1378</v>
      </c>
      <c r="B98" s="24" t="s">
        <v>1397</v>
      </c>
      <c r="C98" s="32">
        <v>-495000</v>
      </c>
      <c r="D98" s="32">
        <v>-95000</v>
      </c>
      <c r="E98" s="32">
        <v>-204000</v>
      </c>
      <c r="F98" s="32">
        <v>-196000</v>
      </c>
    </row>
    <row r="99" spans="1:6" ht="30" customHeight="1" x14ac:dyDescent="0.25">
      <c r="A99" s="23" t="s">
        <v>1378</v>
      </c>
      <c r="B99" s="24" t="s">
        <v>1398</v>
      </c>
      <c r="C99" s="32">
        <v>-532000</v>
      </c>
      <c r="D99" s="32">
        <v>-98000</v>
      </c>
      <c r="E99" s="32">
        <v>-202000</v>
      </c>
      <c r="F99" s="32">
        <v>-233000</v>
      </c>
    </row>
    <row r="100" spans="1:6" x14ac:dyDescent="0.25">
      <c r="A100" s="23" t="s">
        <v>1399</v>
      </c>
      <c r="B100" s="24" t="s">
        <v>1329</v>
      </c>
      <c r="C100" s="27">
        <v>162000</v>
      </c>
      <c r="D100" s="27">
        <v>-83000</v>
      </c>
      <c r="E100" s="27">
        <v>187000</v>
      </c>
      <c r="F100" s="27">
        <v>57000</v>
      </c>
    </row>
    <row r="101" spans="1:6" x14ac:dyDescent="0.25">
      <c r="A101" s="23" t="s">
        <v>1399</v>
      </c>
      <c r="B101" s="24" t="s">
        <v>1330</v>
      </c>
      <c r="C101" s="27">
        <v>157000</v>
      </c>
      <c r="D101" s="27">
        <v>-80000</v>
      </c>
      <c r="E101" s="27">
        <v>183000</v>
      </c>
      <c r="F101" s="27">
        <v>54000</v>
      </c>
    </row>
    <row r="102" spans="1:6" x14ac:dyDescent="0.25">
      <c r="A102" s="23" t="s">
        <v>1399</v>
      </c>
      <c r="B102" s="24" t="s">
        <v>1331</v>
      </c>
      <c r="C102" s="27">
        <v>195000</v>
      </c>
      <c r="D102" s="27">
        <v>-72000</v>
      </c>
      <c r="E102" s="27">
        <v>206000</v>
      </c>
      <c r="F102" s="27">
        <v>61000</v>
      </c>
    </row>
    <row r="103" spans="1:6" x14ac:dyDescent="0.25">
      <c r="A103" s="23" t="s">
        <v>1399</v>
      </c>
      <c r="B103" s="24" t="s">
        <v>1332</v>
      </c>
      <c r="C103" s="27">
        <v>204000</v>
      </c>
      <c r="D103" s="27">
        <v>-79000</v>
      </c>
      <c r="E103" s="27">
        <v>223000</v>
      </c>
      <c r="F103" s="27">
        <v>60000</v>
      </c>
    </row>
    <row r="104" spans="1:6" x14ac:dyDescent="0.25">
      <c r="A104" s="23" t="s">
        <v>1399</v>
      </c>
      <c r="B104" s="24" t="s">
        <v>1333</v>
      </c>
      <c r="C104" s="27">
        <v>215000</v>
      </c>
      <c r="D104" s="27">
        <v>-83000</v>
      </c>
      <c r="E104" s="27">
        <v>242000</v>
      </c>
      <c r="F104" s="27">
        <v>56000</v>
      </c>
    </row>
    <row r="105" spans="1:6" x14ac:dyDescent="0.25">
      <c r="A105" s="23" t="s">
        <v>1399</v>
      </c>
      <c r="B105" s="24" t="s">
        <v>1334</v>
      </c>
      <c r="C105" s="27">
        <v>259000</v>
      </c>
      <c r="D105" s="27">
        <v>-80000</v>
      </c>
      <c r="E105" s="27">
        <v>275000</v>
      </c>
      <c r="F105" s="27">
        <v>64000</v>
      </c>
    </row>
    <row r="106" spans="1:6" x14ac:dyDescent="0.25">
      <c r="A106" s="23" t="s">
        <v>1399</v>
      </c>
      <c r="B106" s="24" t="s">
        <v>1335</v>
      </c>
      <c r="C106" s="27">
        <v>244000</v>
      </c>
      <c r="D106" s="27">
        <v>-81000</v>
      </c>
      <c r="E106" s="27">
        <v>262000</v>
      </c>
      <c r="F106" s="27">
        <v>63000</v>
      </c>
    </row>
    <row r="107" spans="1:6" x14ac:dyDescent="0.25">
      <c r="A107" s="23" t="s">
        <v>1399</v>
      </c>
      <c r="B107" s="24" t="s">
        <v>1336</v>
      </c>
      <c r="C107" s="27">
        <v>256000</v>
      </c>
      <c r="D107" s="27">
        <v>-74000</v>
      </c>
      <c r="E107" s="27">
        <v>263000</v>
      </c>
      <c r="F107" s="27">
        <v>67000</v>
      </c>
    </row>
    <row r="108" spans="1:6" x14ac:dyDescent="0.25">
      <c r="A108" s="23" t="s">
        <v>1399</v>
      </c>
      <c r="B108" s="24" t="s">
        <v>1337</v>
      </c>
      <c r="C108" s="27">
        <v>248000</v>
      </c>
      <c r="D108" s="27">
        <v>-75000</v>
      </c>
      <c r="E108" s="27">
        <v>258000</v>
      </c>
      <c r="F108" s="27">
        <v>65000</v>
      </c>
    </row>
    <row r="109" spans="1:6" x14ac:dyDescent="0.25">
      <c r="A109" s="23" t="s">
        <v>1399</v>
      </c>
      <c r="B109" s="24" t="s">
        <v>1338</v>
      </c>
      <c r="C109" s="27">
        <v>264000</v>
      </c>
      <c r="D109" s="27">
        <v>-79000</v>
      </c>
      <c r="E109" s="27">
        <v>270000</v>
      </c>
      <c r="F109" s="27">
        <v>73000</v>
      </c>
    </row>
    <row r="110" spans="1:6" x14ac:dyDescent="0.25">
      <c r="A110" s="23" t="s">
        <v>1399</v>
      </c>
      <c r="B110" s="24" t="s">
        <v>1339</v>
      </c>
      <c r="C110" s="27">
        <v>284000</v>
      </c>
      <c r="D110" s="27">
        <v>-80000</v>
      </c>
      <c r="E110" s="27">
        <v>277000</v>
      </c>
      <c r="F110" s="27">
        <v>87000</v>
      </c>
    </row>
    <row r="111" spans="1:6" x14ac:dyDescent="0.25">
      <c r="A111" s="23" t="s">
        <v>1399</v>
      </c>
      <c r="B111" s="24" t="s">
        <v>1340</v>
      </c>
      <c r="C111" s="27">
        <v>296000</v>
      </c>
      <c r="D111" s="27">
        <v>-73000</v>
      </c>
      <c r="E111" s="27">
        <v>275000</v>
      </c>
      <c r="F111" s="27">
        <v>94000</v>
      </c>
    </row>
    <row r="112" spans="1:6" x14ac:dyDescent="0.25">
      <c r="A112" s="23" t="s">
        <v>1399</v>
      </c>
      <c r="B112" s="24" t="s">
        <v>1341</v>
      </c>
      <c r="C112" s="27">
        <v>296000</v>
      </c>
      <c r="D112" s="27">
        <v>-72000</v>
      </c>
      <c r="E112" s="27">
        <v>267000</v>
      </c>
      <c r="F112" s="27">
        <v>101000</v>
      </c>
    </row>
    <row r="113" spans="1:6" x14ac:dyDescent="0.25">
      <c r="A113" s="23" t="s">
        <v>1399</v>
      </c>
      <c r="B113" s="24" t="s">
        <v>1342</v>
      </c>
      <c r="C113" s="27">
        <v>293000</v>
      </c>
      <c r="D113" s="27">
        <v>-72000</v>
      </c>
      <c r="E113" s="27">
        <v>262000</v>
      </c>
      <c r="F113" s="27">
        <v>103000</v>
      </c>
    </row>
    <row r="114" spans="1:6" x14ac:dyDescent="0.25">
      <c r="A114" s="23" t="s">
        <v>1399</v>
      </c>
      <c r="B114" s="24" t="s">
        <v>1343</v>
      </c>
      <c r="C114" s="27">
        <v>303000</v>
      </c>
      <c r="D114" s="27">
        <v>-73000</v>
      </c>
      <c r="E114" s="27">
        <v>287000</v>
      </c>
      <c r="F114" s="27">
        <v>88000</v>
      </c>
    </row>
    <row r="115" spans="1:6" x14ac:dyDescent="0.25">
      <c r="A115" s="23" t="s">
        <v>1399</v>
      </c>
      <c r="B115" s="24" t="s">
        <v>1344</v>
      </c>
      <c r="C115" s="27">
        <v>298000</v>
      </c>
      <c r="D115" s="27">
        <v>-77000</v>
      </c>
      <c r="E115" s="27">
        <v>294000</v>
      </c>
      <c r="F115" s="27">
        <v>80000</v>
      </c>
    </row>
    <row r="116" spans="1:6" x14ac:dyDescent="0.25">
      <c r="A116" s="23" t="s">
        <v>1399</v>
      </c>
      <c r="B116" s="24" t="s">
        <v>1345</v>
      </c>
      <c r="C116" s="27">
        <v>321000</v>
      </c>
      <c r="D116" s="27">
        <v>-83000</v>
      </c>
      <c r="E116" s="27">
        <v>322000</v>
      </c>
      <c r="F116" s="27">
        <v>82000</v>
      </c>
    </row>
    <row r="117" spans="1:6" x14ac:dyDescent="0.25">
      <c r="A117" s="23" t="s">
        <v>1399</v>
      </c>
      <c r="B117" s="24" t="s">
        <v>1346</v>
      </c>
      <c r="C117" s="27">
        <v>290000</v>
      </c>
      <c r="D117" s="27">
        <v>-87000</v>
      </c>
      <c r="E117" s="27">
        <v>294000</v>
      </c>
      <c r="F117" s="27">
        <v>83000</v>
      </c>
    </row>
    <row r="118" spans="1:6" x14ac:dyDescent="0.25">
      <c r="A118" s="23" t="s">
        <v>1399</v>
      </c>
      <c r="B118" s="24" t="s">
        <v>1347</v>
      </c>
      <c r="C118" s="27">
        <v>249000</v>
      </c>
      <c r="D118" s="27">
        <v>-94000</v>
      </c>
      <c r="E118" s="27">
        <v>253000</v>
      </c>
      <c r="F118" s="27">
        <v>90000</v>
      </c>
    </row>
    <row r="119" spans="1:6" x14ac:dyDescent="0.25">
      <c r="A119" s="23" t="s">
        <v>1399</v>
      </c>
      <c r="B119" s="24" t="s">
        <v>1348</v>
      </c>
      <c r="C119" s="25">
        <v>240000</v>
      </c>
      <c r="D119" s="25">
        <v>-91000</v>
      </c>
      <c r="E119" s="25">
        <v>235000</v>
      </c>
      <c r="F119" s="25">
        <v>97000</v>
      </c>
    </row>
    <row r="120" spans="1:6" x14ac:dyDescent="0.25">
      <c r="A120" s="23" t="s">
        <v>1399</v>
      </c>
      <c r="B120" s="24" t="s">
        <v>1349</v>
      </c>
      <c r="C120" s="25">
        <v>200000</v>
      </c>
      <c r="D120" s="25">
        <v>-79000</v>
      </c>
      <c r="E120" s="25">
        <v>188000</v>
      </c>
      <c r="F120" s="25">
        <v>91000</v>
      </c>
    </row>
    <row r="121" spans="1:6" x14ac:dyDescent="0.25">
      <c r="A121" s="23" t="s">
        <v>1399</v>
      </c>
      <c r="B121" s="24" t="s">
        <v>1350</v>
      </c>
      <c r="C121" s="25">
        <v>205000</v>
      </c>
      <c r="D121" s="25">
        <v>-85000</v>
      </c>
      <c r="E121" s="25">
        <v>192000</v>
      </c>
      <c r="F121" s="25">
        <v>98000</v>
      </c>
    </row>
    <row r="122" spans="1:6" x14ac:dyDescent="0.25">
      <c r="A122" s="23" t="s">
        <v>1399</v>
      </c>
      <c r="B122" s="24" t="s">
        <v>1351</v>
      </c>
      <c r="C122" s="25">
        <v>208000</v>
      </c>
      <c r="D122" s="25">
        <v>-81000</v>
      </c>
      <c r="E122" s="25">
        <v>176000</v>
      </c>
      <c r="F122" s="25">
        <v>114000</v>
      </c>
    </row>
    <row r="123" spans="1:6" x14ac:dyDescent="0.25">
      <c r="A123" s="23" t="s">
        <v>1399</v>
      </c>
      <c r="B123" s="24" t="s">
        <v>1352</v>
      </c>
      <c r="C123" s="25">
        <v>193000</v>
      </c>
      <c r="D123" s="25">
        <v>-89000</v>
      </c>
      <c r="E123" s="25">
        <v>160000</v>
      </c>
      <c r="F123" s="25">
        <v>122000</v>
      </c>
    </row>
    <row r="124" spans="1:6" x14ac:dyDescent="0.25">
      <c r="A124" s="23" t="s">
        <v>1399</v>
      </c>
      <c r="B124" s="24" t="s">
        <v>1353</v>
      </c>
      <c r="C124" s="25">
        <v>216000</v>
      </c>
      <c r="D124" s="25">
        <v>-84000</v>
      </c>
      <c r="E124" s="25">
        <v>158000</v>
      </c>
      <c r="F124" s="25">
        <v>143000</v>
      </c>
    </row>
    <row r="125" spans="1:6" x14ac:dyDescent="0.25">
      <c r="A125" s="23" t="s">
        <v>1399</v>
      </c>
      <c r="B125" s="24" t="s">
        <v>1354</v>
      </c>
      <c r="C125" s="25">
        <v>226000</v>
      </c>
      <c r="D125" s="25">
        <v>-67000</v>
      </c>
      <c r="E125" s="25">
        <v>138000</v>
      </c>
      <c r="F125" s="25">
        <v>155000</v>
      </c>
    </row>
    <row r="126" spans="1:6" x14ac:dyDescent="0.25">
      <c r="A126" s="23" t="s">
        <v>1399</v>
      </c>
      <c r="B126" s="24" t="s">
        <v>1355</v>
      </c>
      <c r="C126" s="25">
        <v>276000</v>
      </c>
      <c r="D126" s="25">
        <v>-72000</v>
      </c>
      <c r="E126" s="25">
        <v>170000</v>
      </c>
      <c r="F126" s="25">
        <v>178000</v>
      </c>
    </row>
    <row r="127" spans="1:6" x14ac:dyDescent="0.25">
      <c r="A127" s="23" t="s">
        <v>1399</v>
      </c>
      <c r="B127" s="24" t="s">
        <v>1356</v>
      </c>
      <c r="C127" s="25">
        <v>274000</v>
      </c>
      <c r="D127" s="25">
        <v>-72000</v>
      </c>
      <c r="E127" s="25">
        <v>155000</v>
      </c>
      <c r="F127" s="25">
        <v>190000</v>
      </c>
    </row>
    <row r="128" spans="1:6" x14ac:dyDescent="0.25">
      <c r="A128" s="23" t="s">
        <v>1399</v>
      </c>
      <c r="B128" s="24" t="s">
        <v>1357</v>
      </c>
      <c r="C128" s="25">
        <v>224000</v>
      </c>
      <c r="D128" s="25">
        <v>-82000</v>
      </c>
      <c r="E128" s="25">
        <v>126000</v>
      </c>
      <c r="F128" s="25">
        <v>179000</v>
      </c>
    </row>
    <row r="129" spans="1:6" x14ac:dyDescent="0.25">
      <c r="A129" s="23" t="s">
        <v>1399</v>
      </c>
      <c r="B129" s="24" t="s">
        <v>1358</v>
      </c>
      <c r="C129" s="25">
        <v>202000</v>
      </c>
      <c r="D129" s="25">
        <v>-83000</v>
      </c>
      <c r="E129" s="25">
        <v>114000</v>
      </c>
      <c r="F129" s="25">
        <v>171000</v>
      </c>
    </row>
    <row r="130" spans="1:6" x14ac:dyDescent="0.25">
      <c r="A130" s="23" t="s">
        <v>1399</v>
      </c>
      <c r="B130" s="24" t="s">
        <v>1359</v>
      </c>
      <c r="C130" s="25">
        <v>184000</v>
      </c>
      <c r="D130" s="25">
        <v>-82000</v>
      </c>
      <c r="E130" s="25">
        <v>80000</v>
      </c>
      <c r="F130" s="25">
        <v>186000</v>
      </c>
    </row>
    <row r="131" spans="1:6" x14ac:dyDescent="0.25">
      <c r="A131" s="23" t="s">
        <v>1399</v>
      </c>
      <c r="B131" s="24" t="s">
        <v>1360</v>
      </c>
      <c r="C131" s="25">
        <v>170000</v>
      </c>
      <c r="D131" s="25">
        <v>-77000</v>
      </c>
      <c r="E131" s="25">
        <v>81000</v>
      </c>
      <c r="F131" s="25">
        <v>166000</v>
      </c>
    </row>
    <row r="132" spans="1:6" x14ac:dyDescent="0.25">
      <c r="A132" s="23" t="s">
        <v>1399</v>
      </c>
      <c r="B132" s="24" t="s">
        <v>1361</v>
      </c>
      <c r="C132" s="25">
        <v>111000</v>
      </c>
      <c r="D132" s="25">
        <v>-74000</v>
      </c>
      <c r="E132" s="25">
        <v>70000</v>
      </c>
      <c r="F132" s="25">
        <v>115000</v>
      </c>
    </row>
    <row r="133" spans="1:6" x14ac:dyDescent="0.25">
      <c r="A133" s="23" t="s">
        <v>1399</v>
      </c>
      <c r="B133" s="24" t="s">
        <v>1362</v>
      </c>
      <c r="C133" s="25">
        <v>35000</v>
      </c>
      <c r="D133" s="25">
        <v>-70000</v>
      </c>
      <c r="E133" s="25">
        <v>45000</v>
      </c>
      <c r="F133" s="25">
        <v>60000</v>
      </c>
    </row>
    <row r="134" spans="1:6" x14ac:dyDescent="0.25">
      <c r="A134" s="23" t="s">
        <v>1399</v>
      </c>
      <c r="B134" s="24" t="s">
        <v>1363</v>
      </c>
      <c r="C134" s="25">
        <v>93000</v>
      </c>
      <c r="D134" s="25">
        <v>-78000</v>
      </c>
      <c r="E134" s="25">
        <v>70000</v>
      </c>
      <c r="F134" s="25">
        <v>101000</v>
      </c>
    </row>
    <row r="135" spans="1:6" x14ac:dyDescent="0.25">
      <c r="A135" s="23" t="s">
        <v>1399</v>
      </c>
      <c r="B135" s="24" t="s">
        <v>1364</v>
      </c>
      <c r="C135" s="25">
        <v>132000</v>
      </c>
      <c r="D135" s="25">
        <v>-79000</v>
      </c>
      <c r="E135" s="25">
        <v>61000</v>
      </c>
      <c r="F135" s="25">
        <v>150000</v>
      </c>
    </row>
    <row r="136" spans="1:6" x14ac:dyDescent="0.25">
      <c r="A136" s="23" t="s">
        <v>1399</v>
      </c>
      <c r="B136" s="24" t="s">
        <v>1388</v>
      </c>
      <c r="C136" s="25">
        <v>221000</v>
      </c>
      <c r="D136" s="25">
        <v>-73000</v>
      </c>
      <c r="E136" s="25">
        <v>68000</v>
      </c>
      <c r="F136" s="25">
        <v>226000</v>
      </c>
    </row>
    <row r="137" spans="1:6" x14ac:dyDescent="0.25">
      <c r="A137" s="23" t="s">
        <v>1399</v>
      </c>
      <c r="B137" s="24" t="s">
        <v>1389</v>
      </c>
      <c r="C137" s="25">
        <v>443000</v>
      </c>
      <c r="D137" s="25">
        <v>14000</v>
      </c>
      <c r="E137" s="25">
        <v>16000</v>
      </c>
      <c r="F137" s="25">
        <v>413000</v>
      </c>
    </row>
    <row r="138" spans="1:6" x14ac:dyDescent="0.25">
      <c r="A138" s="23" t="s">
        <v>1399</v>
      </c>
      <c r="B138" s="24" t="s">
        <v>1390</v>
      </c>
      <c r="C138" s="25">
        <v>466000</v>
      </c>
      <c r="D138" s="25">
        <v>32000</v>
      </c>
      <c r="E138" s="25">
        <v>-62000</v>
      </c>
      <c r="F138" s="25">
        <v>496000</v>
      </c>
    </row>
    <row r="139" spans="1:6" x14ac:dyDescent="0.25">
      <c r="A139" s="23" t="s">
        <v>1399</v>
      </c>
      <c r="B139" s="24" t="s">
        <v>1391</v>
      </c>
      <c r="C139" s="25">
        <v>526000</v>
      </c>
      <c r="D139" s="25">
        <v>29000</v>
      </c>
      <c r="E139" s="25">
        <v>-106000</v>
      </c>
      <c r="F139" s="25">
        <v>603000</v>
      </c>
    </row>
    <row r="140" spans="1:6" x14ac:dyDescent="0.25">
      <c r="A140" s="23" t="s">
        <v>1399</v>
      </c>
      <c r="B140" s="24" t="s">
        <v>1392</v>
      </c>
      <c r="C140" s="25">
        <v>607000</v>
      </c>
      <c r="D140" s="25">
        <v>20000</v>
      </c>
      <c r="E140" s="25">
        <v>-133000</v>
      </c>
      <c r="F140" s="25">
        <v>720000</v>
      </c>
    </row>
    <row r="141" spans="1:6" x14ac:dyDescent="0.25">
      <c r="A141" s="23" t="s">
        <v>1399</v>
      </c>
      <c r="B141" s="24" t="s">
        <v>1393</v>
      </c>
      <c r="C141" s="25">
        <v>718000</v>
      </c>
      <c r="D141" s="25">
        <v>6000</v>
      </c>
      <c r="E141" s="25">
        <v>-135000</v>
      </c>
      <c r="F141" s="25">
        <v>848000</v>
      </c>
    </row>
    <row r="142" spans="1:6" x14ac:dyDescent="0.25">
      <c r="A142" s="23" t="s">
        <v>1399</v>
      </c>
      <c r="B142" s="24" t="s">
        <v>1394</v>
      </c>
      <c r="C142" s="25">
        <v>764000</v>
      </c>
      <c r="D142" s="25">
        <v>-4000</v>
      </c>
      <c r="E142" s="25">
        <v>-123000</v>
      </c>
      <c r="F142" s="25">
        <v>892000</v>
      </c>
    </row>
    <row r="143" spans="1:6" x14ac:dyDescent="0.25">
      <c r="A143" s="23" t="s">
        <v>1399</v>
      </c>
      <c r="B143" s="24" t="s">
        <v>1395</v>
      </c>
      <c r="C143" s="25">
        <v>750000</v>
      </c>
      <c r="D143" s="25">
        <v>-9000</v>
      </c>
      <c r="E143" s="25">
        <v>-102000</v>
      </c>
      <c r="F143" s="25">
        <v>862000</v>
      </c>
    </row>
    <row r="144" spans="1:6" x14ac:dyDescent="0.25">
      <c r="A144" s="23" t="s">
        <v>1399</v>
      </c>
      <c r="B144" s="24" t="s">
        <v>1396</v>
      </c>
      <c r="C144" s="25">
        <v>740000</v>
      </c>
      <c r="D144" s="25">
        <v>-10000</v>
      </c>
      <c r="E144" s="25">
        <v>-86000</v>
      </c>
      <c r="F144" s="25">
        <v>836000</v>
      </c>
    </row>
    <row r="145" spans="1:6" x14ac:dyDescent="0.25">
      <c r="A145" s="23" t="s">
        <v>1399</v>
      </c>
      <c r="B145" s="24" t="s">
        <v>1397</v>
      </c>
      <c r="C145" s="25">
        <v>724000</v>
      </c>
      <c r="D145" s="25">
        <v>-31000</v>
      </c>
      <c r="E145" s="25">
        <v>-86000</v>
      </c>
      <c r="F145" s="25">
        <v>842000</v>
      </c>
    </row>
    <row r="146" spans="1:6" x14ac:dyDescent="0.25">
      <c r="A146" s="23" t="s">
        <v>1399</v>
      </c>
      <c r="B146" s="24" t="s">
        <v>1398</v>
      </c>
      <c r="C146" s="25">
        <v>685000</v>
      </c>
      <c r="D146" s="25">
        <v>-37000</v>
      </c>
      <c r="E146" s="25">
        <v>-75000</v>
      </c>
      <c r="F146" s="25">
        <v>797000</v>
      </c>
    </row>
  </sheetData>
  <pageMargins left="0.70866141732283472" right="0.70866141732283472" top="0.74803149606299213" bottom="0.74803149606299213" header="0.31496062992125984" footer="0.31496062992125984"/>
  <pageSetup paperSize="9" scale="77" fitToHeight="0" orientation="portrait" r:id="rId1"/>
  <rowBreaks count="2" manualBreakCount="2">
    <brk id="50" max="16383" man="1"/>
    <brk id="95" max="16383" man="1"/>
  </row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2035-0CDA-49AD-A0A9-2C7DF6988151}">
  <sheetPr codeName="Sheet15"/>
  <dimension ref="A1:K24"/>
  <sheetViews>
    <sheetView workbookViewId="0">
      <selection activeCell="E35" sqref="E35"/>
    </sheetView>
  </sheetViews>
  <sheetFormatPr defaultColWidth="8.85546875" defaultRowHeight="15" x14ac:dyDescent="0.2"/>
  <cols>
    <col min="1" max="1" width="32.140625" style="35" customWidth="1"/>
    <col min="2" max="2" width="26.5703125" style="35" customWidth="1"/>
    <col min="3" max="3" width="24" style="35" customWidth="1"/>
    <col min="4" max="4" width="24.7109375" style="35" bestFit="1" customWidth="1"/>
    <col min="5" max="5" width="22.7109375" style="35" bestFit="1" customWidth="1"/>
    <col min="6" max="6" width="22.28515625" style="35" bestFit="1" customWidth="1"/>
    <col min="7" max="7" width="24.28515625" style="35" bestFit="1" customWidth="1"/>
    <col min="8" max="16384" width="8.85546875" style="35"/>
  </cols>
  <sheetData>
    <row r="1" spans="1:11" s="34" customFormat="1" ht="20.25" x14ac:dyDescent="0.3">
      <c r="A1" s="33" t="s">
        <v>1400</v>
      </c>
    </row>
    <row r="2" spans="1:11" x14ac:dyDescent="0.2">
      <c r="A2" s="35" t="s">
        <v>1401</v>
      </c>
      <c r="K2" s="36"/>
    </row>
    <row r="3" spans="1:11" x14ac:dyDescent="0.2">
      <c r="A3" s="35" t="s">
        <v>1402</v>
      </c>
      <c r="B3" s="35" t="s">
        <v>1403</v>
      </c>
    </row>
    <row r="4" spans="1:11" ht="30.75" x14ac:dyDescent="0.25">
      <c r="A4" s="37" t="s">
        <v>1404</v>
      </c>
      <c r="B4" s="38" t="s">
        <v>1405</v>
      </c>
      <c r="C4" s="38" t="s">
        <v>1406</v>
      </c>
      <c r="D4" s="37" t="s">
        <v>1407</v>
      </c>
      <c r="E4" s="38" t="s">
        <v>1408</v>
      </c>
      <c r="F4" s="38" t="s">
        <v>1409</v>
      </c>
      <c r="G4" s="37" t="s">
        <v>1410</v>
      </c>
    </row>
    <row r="5" spans="1:11" ht="15.75" x14ac:dyDescent="0.25">
      <c r="A5" s="39" t="s">
        <v>1411</v>
      </c>
      <c r="B5" s="40">
        <v>735.8</v>
      </c>
      <c r="C5" s="35">
        <v>474.6</v>
      </c>
      <c r="D5" s="40">
        <v>261.2</v>
      </c>
      <c r="E5" s="41"/>
      <c r="I5" s="40"/>
      <c r="J5" s="40"/>
      <c r="K5" s="40"/>
    </row>
    <row r="6" spans="1:11" ht="15.75" x14ac:dyDescent="0.25">
      <c r="A6" s="39" t="s">
        <v>1412</v>
      </c>
      <c r="B6" s="40">
        <v>774.8</v>
      </c>
      <c r="C6" s="35">
        <v>473.7</v>
      </c>
      <c r="D6" s="40">
        <v>301.10000000000002</v>
      </c>
      <c r="E6" s="41"/>
      <c r="I6" s="40"/>
      <c r="J6" s="40"/>
      <c r="K6" s="40"/>
    </row>
    <row r="7" spans="1:11" ht="15.75" x14ac:dyDescent="0.25">
      <c r="A7" s="39" t="s">
        <v>1413</v>
      </c>
      <c r="B7" s="40">
        <v>831.7</v>
      </c>
      <c r="C7" s="35">
        <v>501.1</v>
      </c>
      <c r="D7" s="40">
        <v>330.6</v>
      </c>
      <c r="E7" s="41"/>
      <c r="I7" s="40"/>
      <c r="J7" s="40"/>
      <c r="K7" s="40"/>
    </row>
    <row r="8" spans="1:11" ht="15.75" x14ac:dyDescent="0.25">
      <c r="A8" s="39" t="s">
        <v>1414</v>
      </c>
      <c r="B8" s="40">
        <v>715.9</v>
      </c>
      <c r="C8" s="35">
        <v>510.9</v>
      </c>
      <c r="D8" s="40">
        <v>204.9</v>
      </c>
      <c r="E8" s="41"/>
      <c r="I8" s="40"/>
      <c r="J8" s="40"/>
      <c r="K8" s="40"/>
    </row>
    <row r="9" spans="1:11" ht="15.75" x14ac:dyDescent="0.25">
      <c r="A9" s="39" t="s">
        <v>1415</v>
      </c>
      <c r="B9" s="40">
        <v>754.7</v>
      </c>
      <c r="C9" s="35">
        <v>527.79999999999995</v>
      </c>
      <c r="D9" s="40">
        <v>226.9</v>
      </c>
      <c r="E9" s="41"/>
      <c r="I9" s="40"/>
      <c r="J9" s="40"/>
      <c r="K9" s="40"/>
    </row>
    <row r="10" spans="1:11" ht="15.75" x14ac:dyDescent="0.25">
      <c r="A10" s="39" t="s">
        <v>1416</v>
      </c>
      <c r="B10" s="40">
        <v>821.5</v>
      </c>
      <c r="C10" s="35">
        <v>590</v>
      </c>
      <c r="D10" s="40">
        <v>231.4</v>
      </c>
      <c r="E10" s="41"/>
      <c r="I10" s="40"/>
      <c r="J10" s="40"/>
      <c r="K10" s="40"/>
    </row>
    <row r="11" spans="1:11" ht="15.75" x14ac:dyDescent="0.25">
      <c r="A11" s="39" t="s">
        <v>1417</v>
      </c>
      <c r="B11" s="40">
        <v>724.8</v>
      </c>
      <c r="C11" s="35">
        <v>613.4</v>
      </c>
      <c r="D11" s="40">
        <v>111.4</v>
      </c>
      <c r="E11" s="41"/>
      <c r="I11" s="40"/>
      <c r="J11" s="40"/>
      <c r="K11" s="40"/>
    </row>
    <row r="12" spans="1:11" ht="15.75" x14ac:dyDescent="0.25">
      <c r="A12" s="39" t="s">
        <v>1418</v>
      </c>
      <c r="B12" s="40">
        <v>674.2</v>
      </c>
      <c r="C12" s="35">
        <v>452.7</v>
      </c>
      <c r="D12" s="40">
        <v>221.5</v>
      </c>
      <c r="E12" s="41"/>
      <c r="I12" s="40"/>
      <c r="J12" s="40"/>
      <c r="K12" s="40"/>
    </row>
    <row r="13" spans="1:11" ht="15.75" x14ac:dyDescent="0.25">
      <c r="A13" s="39" t="s">
        <v>1419</v>
      </c>
      <c r="B13" s="40">
        <v>1071.2</v>
      </c>
      <c r="C13" s="35">
        <v>475.3</v>
      </c>
      <c r="D13" s="40">
        <v>595.9</v>
      </c>
      <c r="E13" s="41"/>
      <c r="I13" s="40"/>
      <c r="J13" s="40"/>
      <c r="K13" s="40"/>
    </row>
    <row r="14" spans="1:11" ht="15.75" x14ac:dyDescent="0.25">
      <c r="A14" s="39" t="s">
        <v>1420</v>
      </c>
      <c r="B14" s="40">
        <v>1175.2</v>
      </c>
      <c r="C14" s="35">
        <v>505.1</v>
      </c>
      <c r="D14" s="40">
        <v>670.2</v>
      </c>
      <c r="I14" s="40"/>
      <c r="J14" s="40"/>
      <c r="K14" s="40"/>
    </row>
    <row r="15" spans="1:11" x14ac:dyDescent="0.2">
      <c r="A15" s="42">
        <v>2024</v>
      </c>
      <c r="E15" s="35">
        <v>1105.5</v>
      </c>
      <c r="F15" s="35">
        <v>506.5</v>
      </c>
      <c r="G15" s="35">
        <v>599.5</v>
      </c>
    </row>
    <row r="16" spans="1:11" x14ac:dyDescent="0.2">
      <c r="A16" s="42">
        <v>2025</v>
      </c>
      <c r="E16" s="35">
        <v>1036.5</v>
      </c>
      <c r="F16" s="35">
        <v>508</v>
      </c>
      <c r="G16" s="35">
        <v>528</v>
      </c>
    </row>
    <row r="17" spans="1:7" x14ac:dyDescent="0.2">
      <c r="A17" s="42">
        <v>2026</v>
      </c>
      <c r="B17" s="40"/>
      <c r="E17" s="35">
        <v>966.5</v>
      </c>
      <c r="F17" s="35">
        <v>509</v>
      </c>
      <c r="G17" s="35">
        <v>457.5</v>
      </c>
    </row>
    <row r="18" spans="1:7" x14ac:dyDescent="0.2">
      <c r="A18" s="42">
        <v>2027</v>
      </c>
      <c r="E18" s="35">
        <v>897.5</v>
      </c>
      <c r="F18" s="35">
        <v>511</v>
      </c>
      <c r="G18" s="35">
        <v>386</v>
      </c>
    </row>
    <row r="19" spans="1:7" x14ac:dyDescent="0.2">
      <c r="A19" s="42">
        <v>2028</v>
      </c>
      <c r="C19" s="41"/>
      <c r="E19" s="35">
        <v>827.5</v>
      </c>
      <c r="F19" s="35">
        <v>512.5</v>
      </c>
      <c r="G19" s="35">
        <v>315</v>
      </c>
    </row>
    <row r="20" spans="1:7" x14ac:dyDescent="0.2">
      <c r="A20" s="42">
        <v>2029</v>
      </c>
      <c r="E20" s="35">
        <v>827.5</v>
      </c>
      <c r="F20" s="35">
        <v>512.5</v>
      </c>
      <c r="G20" s="35">
        <v>315</v>
      </c>
    </row>
    <row r="21" spans="1:7" x14ac:dyDescent="0.2">
      <c r="A21" s="42">
        <v>2030</v>
      </c>
      <c r="E21" s="35">
        <v>827.5</v>
      </c>
      <c r="F21" s="35">
        <v>512.5</v>
      </c>
      <c r="G21" s="35">
        <v>315</v>
      </c>
    </row>
    <row r="22" spans="1:7" x14ac:dyDescent="0.2">
      <c r="A22" s="42"/>
    </row>
    <row r="24" spans="1:7" x14ac:dyDescent="0.2">
      <c r="A24" s="4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46ED-7ED6-418D-8C6C-F37F44C35948}">
  <sheetPr codeName="Sheet16"/>
  <dimension ref="A1:G48"/>
  <sheetViews>
    <sheetView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G48" sqref="G48"/>
    </sheetView>
  </sheetViews>
  <sheetFormatPr defaultRowHeight="12.75" x14ac:dyDescent="0.2"/>
  <cols>
    <col min="1" max="16384" width="9.140625" style="45"/>
  </cols>
  <sheetData>
    <row r="1" spans="1:7" x14ac:dyDescent="0.2">
      <c r="A1" s="45" t="s">
        <v>1453</v>
      </c>
      <c r="B1" s="45" t="s">
        <v>1454</v>
      </c>
    </row>
    <row r="2" spans="1:7" x14ac:dyDescent="0.2">
      <c r="A2" s="45" t="s">
        <v>1455</v>
      </c>
      <c r="B2" s="45" t="s">
        <v>1454</v>
      </c>
    </row>
    <row r="3" spans="1:7" x14ac:dyDescent="0.2">
      <c r="A3" s="45" t="s">
        <v>1454</v>
      </c>
      <c r="B3" s="45" t="s">
        <v>1454</v>
      </c>
    </row>
    <row r="4" spans="1:7" x14ac:dyDescent="0.2">
      <c r="A4" s="45" t="s">
        <v>1456</v>
      </c>
      <c r="B4" s="45" t="s">
        <v>1457</v>
      </c>
    </row>
    <row r="5" spans="1:7" x14ac:dyDescent="0.2">
      <c r="A5" s="45" t="s">
        <v>1402</v>
      </c>
      <c r="B5" s="45" t="s">
        <v>1444</v>
      </c>
    </row>
    <row r="6" spans="1:7" x14ac:dyDescent="0.2">
      <c r="A6" s="45" t="s">
        <v>1454</v>
      </c>
      <c r="B6" s="45" t="s">
        <v>1454</v>
      </c>
    </row>
    <row r="7" spans="1:7" x14ac:dyDescent="0.2">
      <c r="A7" s="45" t="s">
        <v>1454</v>
      </c>
      <c r="B7" s="45" t="s">
        <v>1458</v>
      </c>
      <c r="C7" s="45" t="s">
        <v>1459</v>
      </c>
      <c r="D7" s="45" t="s">
        <v>1460</v>
      </c>
      <c r="E7" s="45" t="s">
        <v>1461</v>
      </c>
      <c r="F7" s="45" t="s">
        <v>1462</v>
      </c>
      <c r="G7" s="45" t="s">
        <v>1463</v>
      </c>
    </row>
    <row r="8" spans="1:7" x14ac:dyDescent="0.2">
      <c r="A8" s="45" t="s">
        <v>1464</v>
      </c>
      <c r="B8" s="45" t="s">
        <v>1465</v>
      </c>
      <c r="C8" s="45" t="s">
        <v>1466</v>
      </c>
      <c r="D8" s="45" t="s">
        <v>1467</v>
      </c>
      <c r="E8" s="45" t="s">
        <v>1468</v>
      </c>
      <c r="F8" s="45" t="s">
        <v>1469</v>
      </c>
      <c r="G8" s="45" t="s">
        <v>1470</v>
      </c>
    </row>
    <row r="9" spans="1:7" x14ac:dyDescent="0.2">
      <c r="A9" s="45" t="s">
        <v>1471</v>
      </c>
      <c r="B9" s="46">
        <v>58.9</v>
      </c>
      <c r="C9" s="46">
        <v>48.8</v>
      </c>
      <c r="D9" s="46">
        <v>45.7</v>
      </c>
      <c r="E9" s="46">
        <v>41.2</v>
      </c>
      <c r="F9" s="46">
        <v>42.7</v>
      </c>
      <c r="G9" s="46">
        <v>47.6</v>
      </c>
    </row>
    <row r="10" spans="1:7" x14ac:dyDescent="0.2">
      <c r="A10" s="45" t="s">
        <v>1472</v>
      </c>
      <c r="B10" s="46">
        <v>58.4</v>
      </c>
      <c r="C10" s="46">
        <v>50</v>
      </c>
      <c r="D10" s="46">
        <v>47</v>
      </c>
      <c r="E10" s="46">
        <v>43.7</v>
      </c>
      <c r="F10" s="46">
        <v>42.6</v>
      </c>
      <c r="G10" s="46">
        <v>48.5</v>
      </c>
    </row>
    <row r="11" spans="1:7" x14ac:dyDescent="0.2">
      <c r="A11" s="45" t="s">
        <v>1473</v>
      </c>
      <c r="B11" s="46">
        <v>55.9</v>
      </c>
      <c r="C11" s="46">
        <v>47.2</v>
      </c>
      <c r="D11" s="46">
        <v>45.5</v>
      </c>
      <c r="E11" s="46">
        <v>42.3</v>
      </c>
      <c r="F11" s="46">
        <v>42</v>
      </c>
      <c r="G11" s="46">
        <v>46.7</v>
      </c>
    </row>
    <row r="12" spans="1:7" x14ac:dyDescent="0.2">
      <c r="A12" s="45" t="s">
        <v>1474</v>
      </c>
      <c r="B12" s="46">
        <v>55.5</v>
      </c>
      <c r="C12" s="46">
        <v>45.8</v>
      </c>
      <c r="D12" s="46">
        <v>42.9</v>
      </c>
      <c r="E12" s="46">
        <v>41.3</v>
      </c>
      <c r="F12" s="46">
        <v>41.3</v>
      </c>
      <c r="G12" s="46">
        <v>45.5</v>
      </c>
    </row>
    <row r="13" spans="1:7" x14ac:dyDescent="0.2">
      <c r="A13" s="45" t="s">
        <v>1475</v>
      </c>
      <c r="B13" s="46">
        <v>54.8</v>
      </c>
      <c r="C13" s="46">
        <v>46.5</v>
      </c>
      <c r="D13" s="46">
        <v>43.1</v>
      </c>
      <c r="E13" s="46">
        <v>40</v>
      </c>
      <c r="F13" s="46">
        <v>40.9</v>
      </c>
      <c r="G13" s="46">
        <v>45.2</v>
      </c>
    </row>
    <row r="14" spans="1:7" x14ac:dyDescent="0.2">
      <c r="A14" s="45" t="s">
        <v>1476</v>
      </c>
      <c r="B14" s="46">
        <v>54.2</v>
      </c>
      <c r="C14" s="46">
        <v>45.8</v>
      </c>
      <c r="D14" s="46">
        <v>43</v>
      </c>
      <c r="E14" s="46">
        <v>39.700000000000003</v>
      </c>
      <c r="F14" s="46">
        <v>39.700000000000003</v>
      </c>
      <c r="G14" s="46">
        <v>44.6</v>
      </c>
    </row>
    <row r="15" spans="1:7" x14ac:dyDescent="0.2">
      <c r="A15" s="45" t="s">
        <v>1477</v>
      </c>
      <c r="B15" s="46">
        <v>54</v>
      </c>
      <c r="C15" s="46">
        <v>41.8</v>
      </c>
      <c r="D15" s="46">
        <v>40.1</v>
      </c>
      <c r="E15" s="46">
        <v>37.4</v>
      </c>
      <c r="F15" s="46">
        <v>36.9</v>
      </c>
      <c r="G15" s="46">
        <v>42.2</v>
      </c>
    </row>
    <row r="16" spans="1:7" x14ac:dyDescent="0.2">
      <c r="A16" s="45" t="s">
        <v>1478</v>
      </c>
      <c r="B16" s="46">
        <v>54.8</v>
      </c>
      <c r="C16" s="46">
        <v>41</v>
      </c>
      <c r="D16" s="46">
        <v>38.1</v>
      </c>
      <c r="E16" s="46">
        <v>35.799999999999997</v>
      </c>
      <c r="F16" s="46">
        <v>36.799999999999997</v>
      </c>
      <c r="G16" s="46">
        <v>41.5</v>
      </c>
    </row>
    <row r="17" spans="1:7" x14ac:dyDescent="0.2">
      <c r="A17" s="45" t="s">
        <v>1479</v>
      </c>
      <c r="B17" s="46">
        <v>54.9</v>
      </c>
      <c r="C17" s="46">
        <v>42.4</v>
      </c>
      <c r="D17" s="46">
        <v>39.299999999999997</v>
      </c>
      <c r="E17" s="46">
        <v>35.9</v>
      </c>
      <c r="F17" s="46">
        <v>36.799999999999997</v>
      </c>
      <c r="G17" s="46">
        <v>42</v>
      </c>
    </row>
    <row r="18" spans="1:7" x14ac:dyDescent="0.2">
      <c r="A18" s="45" t="s">
        <v>1480</v>
      </c>
      <c r="B18" s="46">
        <v>54</v>
      </c>
      <c r="C18" s="46">
        <v>44.6</v>
      </c>
      <c r="D18" s="46">
        <v>41.6</v>
      </c>
      <c r="E18" s="46">
        <v>38</v>
      </c>
      <c r="F18" s="46">
        <v>37.200000000000003</v>
      </c>
      <c r="G18" s="46">
        <v>43.2</v>
      </c>
    </row>
    <row r="19" spans="1:7" x14ac:dyDescent="0.2">
      <c r="A19" s="45" t="s">
        <v>1481</v>
      </c>
      <c r="B19" s="46">
        <v>53.6</v>
      </c>
      <c r="C19" s="46">
        <v>41.8</v>
      </c>
      <c r="D19" s="46">
        <v>39.799999999999997</v>
      </c>
      <c r="E19" s="46">
        <v>37.700000000000003</v>
      </c>
      <c r="F19" s="46">
        <v>36.4</v>
      </c>
      <c r="G19" s="46">
        <v>42</v>
      </c>
    </row>
    <row r="20" spans="1:7" x14ac:dyDescent="0.2">
      <c r="A20" s="45" t="s">
        <v>1482</v>
      </c>
      <c r="B20" s="46">
        <v>56.7</v>
      </c>
      <c r="C20" s="46">
        <v>43.1</v>
      </c>
      <c r="D20" s="46">
        <v>39.1</v>
      </c>
      <c r="E20" s="46">
        <v>37.200000000000003</v>
      </c>
      <c r="F20" s="46">
        <v>36.5</v>
      </c>
      <c r="G20" s="46">
        <v>42.7</v>
      </c>
    </row>
    <row r="21" spans="1:7" x14ac:dyDescent="0.2">
      <c r="A21" s="45" t="s">
        <v>1483</v>
      </c>
      <c r="B21" s="46">
        <v>56.4</v>
      </c>
      <c r="C21" s="46">
        <v>46.6</v>
      </c>
      <c r="D21" s="46">
        <v>39.9</v>
      </c>
      <c r="E21" s="46">
        <v>36.5</v>
      </c>
      <c r="F21" s="46">
        <v>36.700000000000003</v>
      </c>
      <c r="G21" s="46">
        <v>43.4</v>
      </c>
    </row>
    <row r="22" spans="1:7" x14ac:dyDescent="0.2">
      <c r="A22" s="45" t="s">
        <v>1484</v>
      </c>
      <c r="B22" s="46">
        <v>57.1</v>
      </c>
      <c r="C22" s="46">
        <v>44.7</v>
      </c>
      <c r="D22" s="46">
        <v>41.6</v>
      </c>
      <c r="E22" s="46">
        <v>35.200000000000003</v>
      </c>
      <c r="F22" s="46">
        <v>35</v>
      </c>
      <c r="G22" s="46">
        <v>42.9</v>
      </c>
    </row>
    <row r="23" spans="1:7" x14ac:dyDescent="0.2">
      <c r="A23" s="45" t="s">
        <v>1485</v>
      </c>
      <c r="B23" s="46">
        <v>56.1</v>
      </c>
      <c r="C23" s="46">
        <v>43.3</v>
      </c>
      <c r="D23" s="46">
        <v>39.6</v>
      </c>
      <c r="E23" s="46">
        <v>36.9</v>
      </c>
      <c r="F23" s="46">
        <v>34</v>
      </c>
      <c r="G23" s="46">
        <v>42.2</v>
      </c>
    </row>
    <row r="24" spans="1:7" x14ac:dyDescent="0.2">
      <c r="A24" s="45" t="s">
        <v>1486</v>
      </c>
      <c r="B24" s="46">
        <v>53.9</v>
      </c>
      <c r="C24" s="46">
        <v>40</v>
      </c>
      <c r="D24" s="46">
        <v>36.6</v>
      </c>
      <c r="E24" s="46">
        <v>34.1</v>
      </c>
      <c r="F24" s="46">
        <v>34.4</v>
      </c>
      <c r="G24" s="46">
        <v>40</v>
      </c>
    </row>
    <row r="25" spans="1:7" x14ac:dyDescent="0.2">
      <c r="A25" s="45" t="s">
        <v>1487</v>
      </c>
      <c r="B25" s="46">
        <v>53.3</v>
      </c>
      <c r="C25" s="46">
        <v>40.5</v>
      </c>
      <c r="D25" s="46">
        <v>36.9</v>
      </c>
      <c r="E25" s="46">
        <v>35</v>
      </c>
      <c r="F25" s="46">
        <v>34.6</v>
      </c>
      <c r="G25" s="46">
        <v>40.299999999999997</v>
      </c>
    </row>
    <row r="26" spans="1:7" x14ac:dyDescent="0.2">
      <c r="A26" s="45" t="s">
        <v>1488</v>
      </c>
      <c r="B26" s="46">
        <v>54.6</v>
      </c>
      <c r="C26" s="46">
        <v>40.299999999999997</v>
      </c>
      <c r="D26" s="46">
        <v>36.200000000000003</v>
      </c>
      <c r="E26" s="46">
        <v>34</v>
      </c>
      <c r="F26" s="46">
        <v>33.799999999999997</v>
      </c>
      <c r="G26" s="46">
        <v>40</v>
      </c>
    </row>
    <row r="27" spans="1:7" x14ac:dyDescent="0.2">
      <c r="A27" s="45" t="s">
        <v>1489</v>
      </c>
      <c r="B27" s="46">
        <v>56.1</v>
      </c>
      <c r="C27" s="46">
        <v>38.6</v>
      </c>
      <c r="D27" s="46">
        <v>35.700000000000003</v>
      </c>
      <c r="E27" s="46">
        <v>32.5</v>
      </c>
      <c r="F27" s="46">
        <v>31.8</v>
      </c>
      <c r="G27" s="46">
        <v>39.1</v>
      </c>
    </row>
    <row r="28" spans="1:7" x14ac:dyDescent="0.2">
      <c r="A28" s="45" t="s">
        <v>1490</v>
      </c>
      <c r="B28" s="46">
        <v>55</v>
      </c>
      <c r="C28" s="46">
        <v>38.9</v>
      </c>
      <c r="D28" s="46">
        <v>34.200000000000003</v>
      </c>
      <c r="E28" s="46">
        <v>32.4</v>
      </c>
      <c r="F28" s="46">
        <v>31.5</v>
      </c>
      <c r="G28" s="46">
        <v>38.6</v>
      </c>
    </row>
    <row r="29" spans="1:7" x14ac:dyDescent="0.2">
      <c r="A29" s="45" t="s">
        <v>1491</v>
      </c>
      <c r="B29" s="46">
        <v>53.8</v>
      </c>
      <c r="C29" s="46">
        <v>40.6</v>
      </c>
      <c r="D29" s="46">
        <v>34.6</v>
      </c>
      <c r="E29" s="46">
        <v>31.6</v>
      </c>
      <c r="F29" s="46">
        <v>30.9</v>
      </c>
      <c r="G29" s="46">
        <v>38.5</v>
      </c>
    </row>
    <row r="30" spans="1:7" x14ac:dyDescent="0.2">
      <c r="A30" s="45" t="s">
        <v>1492</v>
      </c>
      <c r="B30" s="46">
        <v>45.2</v>
      </c>
      <c r="C30" s="46">
        <v>37.9</v>
      </c>
      <c r="D30" s="46">
        <v>35.6</v>
      </c>
      <c r="E30" s="46">
        <v>31.1</v>
      </c>
      <c r="F30" s="46">
        <v>30.4</v>
      </c>
      <c r="G30" s="46">
        <v>36.200000000000003</v>
      </c>
    </row>
    <row r="31" spans="1:7" x14ac:dyDescent="0.2">
      <c r="A31" s="45" t="s">
        <v>1493</v>
      </c>
      <c r="B31" s="46">
        <v>31.2</v>
      </c>
      <c r="C31" s="46">
        <v>31.6</v>
      </c>
      <c r="D31" s="46">
        <v>33</v>
      </c>
      <c r="E31" s="46">
        <v>31.4</v>
      </c>
      <c r="F31" s="46">
        <v>29.1</v>
      </c>
      <c r="G31" s="46">
        <v>31.3</v>
      </c>
    </row>
    <row r="32" spans="1:7" x14ac:dyDescent="0.2">
      <c r="A32" s="45" t="s">
        <v>1494</v>
      </c>
      <c r="B32" s="46">
        <v>26.9</v>
      </c>
      <c r="C32" s="46">
        <v>26.1</v>
      </c>
      <c r="D32" s="46">
        <v>28.2</v>
      </c>
      <c r="E32" s="46">
        <v>28.6</v>
      </c>
      <c r="F32" s="46">
        <v>28.3</v>
      </c>
      <c r="G32" s="46">
        <v>27.5</v>
      </c>
    </row>
    <row r="33" spans="1:7" x14ac:dyDescent="0.2">
      <c r="A33" s="45" t="s">
        <v>1495</v>
      </c>
      <c r="B33" s="46">
        <v>28.6</v>
      </c>
      <c r="C33" s="46">
        <v>23</v>
      </c>
      <c r="D33" s="46">
        <v>25</v>
      </c>
      <c r="E33" s="46">
        <v>26.9</v>
      </c>
      <c r="F33" s="46">
        <v>27.6</v>
      </c>
      <c r="G33" s="46">
        <v>26.1</v>
      </c>
    </row>
    <row r="34" spans="1:7" x14ac:dyDescent="0.2">
      <c r="A34" s="45" t="s">
        <v>1496</v>
      </c>
      <c r="B34" s="46">
        <v>29.8</v>
      </c>
      <c r="C34" s="46">
        <v>23.4</v>
      </c>
      <c r="D34" s="46">
        <v>18.3</v>
      </c>
      <c r="E34" s="46">
        <v>21.3</v>
      </c>
      <c r="F34" s="46">
        <v>23.4</v>
      </c>
      <c r="G34" s="46">
        <v>23.6</v>
      </c>
    </row>
    <row r="35" spans="1:7" x14ac:dyDescent="0.2">
      <c r="A35" s="45" t="s">
        <v>1497</v>
      </c>
      <c r="B35" s="46">
        <v>39.6</v>
      </c>
      <c r="C35" s="46">
        <v>22.5</v>
      </c>
      <c r="D35" s="46">
        <v>19.100000000000001</v>
      </c>
      <c r="E35" s="46">
        <v>16.399999999999999</v>
      </c>
      <c r="F35" s="46">
        <v>20.5</v>
      </c>
      <c r="G35" s="46">
        <v>23.3</v>
      </c>
    </row>
    <row r="36" spans="1:7" x14ac:dyDescent="0.2">
      <c r="A36" s="45" t="s">
        <v>1498</v>
      </c>
      <c r="B36" s="46">
        <v>37.1</v>
      </c>
      <c r="C36" s="46">
        <v>26.3</v>
      </c>
      <c r="D36" s="46">
        <v>19.399999999999999</v>
      </c>
      <c r="E36" s="46">
        <v>17.399999999999999</v>
      </c>
      <c r="F36" s="46">
        <v>15.7</v>
      </c>
      <c r="G36" s="46">
        <v>22.5</v>
      </c>
    </row>
    <row r="37" spans="1:7" x14ac:dyDescent="0.2">
      <c r="A37" s="45" t="s">
        <v>1499</v>
      </c>
      <c r="B37" s="46">
        <v>32</v>
      </c>
      <c r="C37" s="46">
        <v>23.3</v>
      </c>
      <c r="D37" s="46">
        <v>21.5</v>
      </c>
      <c r="E37" s="46">
        <v>16</v>
      </c>
      <c r="F37" s="46">
        <v>15.5</v>
      </c>
      <c r="G37" s="46">
        <v>21.1</v>
      </c>
    </row>
    <row r="38" spans="1:7" x14ac:dyDescent="0.2">
      <c r="A38" s="45" t="s">
        <v>1500</v>
      </c>
      <c r="B38" s="46">
        <v>35.799999999999997</v>
      </c>
      <c r="C38" s="46">
        <v>22.4</v>
      </c>
      <c r="D38" s="46">
        <v>21.3</v>
      </c>
      <c r="E38" s="46">
        <v>19.600000000000001</v>
      </c>
      <c r="F38" s="46">
        <v>15.8</v>
      </c>
      <c r="G38" s="46">
        <v>22.6</v>
      </c>
    </row>
    <row r="39" spans="1:7" x14ac:dyDescent="0.2">
      <c r="A39" s="45" t="s">
        <v>1501</v>
      </c>
      <c r="B39" s="46">
        <v>31.9</v>
      </c>
      <c r="C39" s="46">
        <v>22.9</v>
      </c>
      <c r="D39" s="46">
        <v>17</v>
      </c>
      <c r="E39" s="46">
        <v>16.3</v>
      </c>
      <c r="F39" s="46">
        <v>16.399999999999999</v>
      </c>
      <c r="G39" s="46">
        <v>21</v>
      </c>
    </row>
    <row r="40" spans="1:7" x14ac:dyDescent="0.2">
      <c r="A40" s="45" t="s">
        <v>1502</v>
      </c>
      <c r="B40" s="46">
        <v>31.5</v>
      </c>
      <c r="C40" s="46">
        <v>20.8</v>
      </c>
      <c r="D40" s="46">
        <v>19.100000000000001</v>
      </c>
      <c r="E40" s="46">
        <v>15.1</v>
      </c>
      <c r="F40" s="46">
        <v>16</v>
      </c>
      <c r="G40" s="46">
        <v>20.6</v>
      </c>
    </row>
    <row r="41" spans="1:7" x14ac:dyDescent="0.2">
      <c r="A41" s="45" t="s">
        <v>1503</v>
      </c>
      <c r="B41" s="46">
        <v>29.7</v>
      </c>
      <c r="C41" s="46">
        <v>17.5</v>
      </c>
      <c r="D41" s="46">
        <v>15.8</v>
      </c>
      <c r="E41" s="46">
        <v>15.5</v>
      </c>
      <c r="F41" s="46">
        <v>13.4</v>
      </c>
      <c r="G41" s="46">
        <v>18.5</v>
      </c>
    </row>
    <row r="42" spans="1:7" x14ac:dyDescent="0.2">
      <c r="A42" s="45" t="s">
        <v>1504</v>
      </c>
      <c r="B42" s="46">
        <v>28.7</v>
      </c>
      <c r="C42" s="46">
        <v>14.7</v>
      </c>
      <c r="D42" s="46">
        <v>13.8</v>
      </c>
      <c r="E42" s="46">
        <v>13.2</v>
      </c>
      <c r="F42" s="46">
        <v>13.7</v>
      </c>
      <c r="G42" s="46">
        <v>16.899999999999999</v>
      </c>
    </row>
    <row r="43" spans="1:7" x14ac:dyDescent="0.2">
      <c r="A43" s="45" t="s">
        <v>1505</v>
      </c>
      <c r="B43" s="46">
        <v>27.9</v>
      </c>
      <c r="C43" s="46">
        <v>12.5</v>
      </c>
      <c r="D43" s="46">
        <v>10.5</v>
      </c>
      <c r="E43" s="46">
        <v>10.9</v>
      </c>
      <c r="F43" s="46">
        <v>11</v>
      </c>
      <c r="G43" s="46">
        <v>14.6</v>
      </c>
    </row>
    <row r="44" spans="1:7" x14ac:dyDescent="0.2">
      <c r="A44" s="45" t="s">
        <v>1506</v>
      </c>
      <c r="B44" s="46">
        <v>30.5</v>
      </c>
      <c r="C44" s="46">
        <v>11.7</v>
      </c>
      <c r="D44" s="46">
        <v>9.3000000000000007</v>
      </c>
      <c r="E44" s="46">
        <v>8.6</v>
      </c>
      <c r="F44" s="46">
        <v>9.6999999999999993</v>
      </c>
      <c r="G44" s="46">
        <v>12.7</v>
      </c>
    </row>
    <row r="45" spans="1:7" x14ac:dyDescent="0.2">
      <c r="A45" s="45" t="s">
        <v>1507</v>
      </c>
      <c r="B45" s="46">
        <v>34</v>
      </c>
      <c r="C45" s="46">
        <v>19.8</v>
      </c>
      <c r="D45" s="46">
        <v>11.3</v>
      </c>
      <c r="E45" s="46">
        <v>9.1</v>
      </c>
      <c r="F45" s="46">
        <v>8.6999999999999993</v>
      </c>
      <c r="G45" s="46">
        <v>14.8</v>
      </c>
    </row>
    <row r="46" spans="1:7" x14ac:dyDescent="0.2">
      <c r="A46" s="45" t="s">
        <v>1508</v>
      </c>
      <c r="B46" s="46">
        <v>32.700000000000003</v>
      </c>
      <c r="C46" s="46">
        <v>19.100000000000001</v>
      </c>
      <c r="D46" s="46">
        <v>14.9</v>
      </c>
      <c r="E46" s="46">
        <v>9.1</v>
      </c>
      <c r="F46" s="46">
        <v>8</v>
      </c>
      <c r="G46" s="46">
        <v>16.7</v>
      </c>
    </row>
    <row r="47" spans="1:7" x14ac:dyDescent="0.2">
      <c r="A47" s="45" t="s">
        <v>1509</v>
      </c>
      <c r="B47" s="46">
        <v>35.299999999999997</v>
      </c>
      <c r="C47" s="46">
        <v>17.7</v>
      </c>
      <c r="D47" s="46">
        <v>15.6</v>
      </c>
      <c r="E47" s="46">
        <v>12.4</v>
      </c>
      <c r="F47" s="46">
        <v>8.1999999999999993</v>
      </c>
      <c r="G47" s="46">
        <v>18.5</v>
      </c>
    </row>
    <row r="48" spans="1:7" x14ac:dyDescent="0.2">
      <c r="A48" s="45" t="s">
        <v>1510</v>
      </c>
      <c r="B48" s="46">
        <v>35.299999999999997</v>
      </c>
      <c r="C48" s="46">
        <v>16.899999999999999</v>
      </c>
      <c r="D48" s="46">
        <v>14.8</v>
      </c>
      <c r="E48" s="46">
        <v>13.8</v>
      </c>
      <c r="F48" s="46">
        <v>11</v>
      </c>
      <c r="G48" s="46">
        <v>19.5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739D-4C70-4F18-A778-C89B27EE3862}">
  <sheetPr codeName="Sheet17"/>
  <dimension ref="A1:E48"/>
  <sheetViews>
    <sheetView workbookViewId="0">
      <pane xSplit="1" ySplit="7" topLeftCell="B17" activePane="bottomRight" state="frozen"/>
      <selection pane="topRight" activeCell="B1" sqref="B1"/>
      <selection pane="bottomLeft" activeCell="A8" sqref="A8"/>
      <selection pane="bottomRight" activeCell="D42" sqref="D42"/>
    </sheetView>
  </sheetViews>
  <sheetFormatPr defaultRowHeight="12.75" x14ac:dyDescent="0.2"/>
  <cols>
    <col min="1" max="16384" width="9.140625" style="45"/>
  </cols>
  <sheetData>
    <row r="1" spans="1:5" x14ac:dyDescent="0.2">
      <c r="A1" s="45" t="s">
        <v>1511</v>
      </c>
      <c r="B1" s="45" t="s">
        <v>1454</v>
      </c>
    </row>
    <row r="2" spans="1:5" x14ac:dyDescent="0.2">
      <c r="A2" s="45" t="s">
        <v>1512</v>
      </c>
      <c r="B2" s="45" t="s">
        <v>1454</v>
      </c>
    </row>
    <row r="3" spans="1:5" x14ac:dyDescent="0.2">
      <c r="A3" s="45" t="s">
        <v>1454</v>
      </c>
      <c r="B3" s="45" t="s">
        <v>1454</v>
      </c>
    </row>
    <row r="4" spans="1:5" x14ac:dyDescent="0.2">
      <c r="A4" s="45" t="s">
        <v>1456</v>
      </c>
      <c r="B4" s="45" t="s">
        <v>1454</v>
      </c>
    </row>
    <row r="5" spans="1:5" x14ac:dyDescent="0.2">
      <c r="A5" s="45" t="s">
        <v>1402</v>
      </c>
      <c r="B5" s="45" t="s">
        <v>1437</v>
      </c>
    </row>
    <row r="6" spans="1:5" x14ac:dyDescent="0.2">
      <c r="A6" s="45" t="s">
        <v>1454</v>
      </c>
      <c r="B6" s="45" t="s">
        <v>1454</v>
      </c>
    </row>
    <row r="7" spans="1:5" x14ac:dyDescent="0.2">
      <c r="A7" s="45" t="s">
        <v>1454</v>
      </c>
      <c r="B7" s="45" t="s">
        <v>1513</v>
      </c>
      <c r="C7" s="45" t="s">
        <v>1514</v>
      </c>
      <c r="D7" s="45" t="s">
        <v>1515</v>
      </c>
      <c r="E7" s="45" t="s">
        <v>1516</v>
      </c>
    </row>
    <row r="8" spans="1:5" x14ac:dyDescent="0.2">
      <c r="A8" s="45" t="s">
        <v>1464</v>
      </c>
      <c r="B8" s="45" t="s">
        <v>1517</v>
      </c>
      <c r="C8" s="45" t="s">
        <v>1518</v>
      </c>
      <c r="D8" s="45" t="s">
        <v>1519</v>
      </c>
      <c r="E8" s="45" t="s">
        <v>1520</v>
      </c>
    </row>
    <row r="9" spans="1:5" x14ac:dyDescent="0.2">
      <c r="A9" s="45" t="s">
        <v>1471</v>
      </c>
      <c r="B9" s="45">
        <v>91953</v>
      </c>
      <c r="C9" s="45">
        <v>79298</v>
      </c>
      <c r="D9" s="45">
        <v>95704</v>
      </c>
      <c r="E9" s="45">
        <v>82717</v>
      </c>
    </row>
    <row r="10" spans="1:5" x14ac:dyDescent="0.2">
      <c r="A10" s="45" t="s">
        <v>1472</v>
      </c>
      <c r="B10" s="45">
        <v>92233</v>
      </c>
      <c r="C10" s="45">
        <v>81356</v>
      </c>
      <c r="D10" s="45">
        <v>95941</v>
      </c>
      <c r="E10" s="45">
        <v>84757</v>
      </c>
    </row>
    <row r="11" spans="1:5" x14ac:dyDescent="0.2">
      <c r="A11" s="45" t="s">
        <v>1473</v>
      </c>
      <c r="B11" s="45">
        <v>91361</v>
      </c>
      <c r="C11" s="45">
        <v>77816</v>
      </c>
      <c r="D11" s="45">
        <v>95359</v>
      </c>
      <c r="E11" s="45">
        <v>81364</v>
      </c>
    </row>
    <row r="12" spans="1:5" x14ac:dyDescent="0.2">
      <c r="A12" s="45" t="s">
        <v>1474</v>
      </c>
      <c r="B12" s="45">
        <v>89096</v>
      </c>
      <c r="C12" s="45">
        <v>75835</v>
      </c>
      <c r="D12" s="45">
        <v>92784</v>
      </c>
      <c r="E12" s="45">
        <v>79105</v>
      </c>
    </row>
    <row r="13" spans="1:5" x14ac:dyDescent="0.2">
      <c r="A13" s="45" t="s">
        <v>1475</v>
      </c>
      <c r="B13" s="45">
        <v>88022</v>
      </c>
      <c r="C13" s="45">
        <v>75766</v>
      </c>
      <c r="D13" s="45">
        <v>91618</v>
      </c>
      <c r="E13" s="45">
        <v>79139</v>
      </c>
    </row>
    <row r="14" spans="1:5" x14ac:dyDescent="0.2">
      <c r="A14" s="45" t="s">
        <v>1476</v>
      </c>
      <c r="B14" s="45">
        <v>87299</v>
      </c>
      <c r="C14" s="45">
        <v>74902</v>
      </c>
      <c r="D14" s="45">
        <v>90787</v>
      </c>
      <c r="E14" s="45">
        <v>78141</v>
      </c>
    </row>
    <row r="15" spans="1:5" x14ac:dyDescent="0.2">
      <c r="A15" s="45" t="s">
        <v>1477</v>
      </c>
      <c r="B15" s="45">
        <v>86349</v>
      </c>
      <c r="C15" s="45">
        <v>70456</v>
      </c>
      <c r="D15" s="45">
        <v>90283</v>
      </c>
      <c r="E15" s="45">
        <v>74094</v>
      </c>
    </row>
    <row r="16" spans="1:5" x14ac:dyDescent="0.2">
      <c r="A16" s="45" t="s">
        <v>1521</v>
      </c>
      <c r="B16" s="45">
        <v>84572</v>
      </c>
      <c r="C16" s="45">
        <v>69076</v>
      </c>
      <c r="D16" s="45">
        <v>88465</v>
      </c>
      <c r="E16" s="45">
        <v>72554</v>
      </c>
    </row>
    <row r="17" spans="1:5" x14ac:dyDescent="0.2">
      <c r="A17" s="45" t="s">
        <v>1479</v>
      </c>
      <c r="B17" s="45">
        <v>84518</v>
      </c>
      <c r="C17" s="45">
        <v>70707</v>
      </c>
      <c r="D17" s="45">
        <v>88406</v>
      </c>
      <c r="E17" s="45">
        <v>74225</v>
      </c>
    </row>
    <row r="18" spans="1:5" x14ac:dyDescent="0.2">
      <c r="A18" s="45" t="s">
        <v>1480</v>
      </c>
      <c r="B18" s="45">
        <v>84556</v>
      </c>
      <c r="C18" s="45">
        <v>72976</v>
      </c>
      <c r="D18" s="45">
        <v>88258</v>
      </c>
      <c r="E18" s="45">
        <v>76735</v>
      </c>
    </row>
    <row r="19" spans="1:5" x14ac:dyDescent="0.2">
      <c r="A19" s="45" t="s">
        <v>1481</v>
      </c>
      <c r="B19" s="45">
        <v>84661</v>
      </c>
      <c r="C19" s="45">
        <v>70956</v>
      </c>
      <c r="D19" s="45">
        <v>88801</v>
      </c>
      <c r="E19" s="45">
        <v>74785</v>
      </c>
    </row>
    <row r="20" spans="1:5" x14ac:dyDescent="0.2">
      <c r="A20" s="45" t="s">
        <v>1482</v>
      </c>
      <c r="B20" s="45">
        <v>83838</v>
      </c>
      <c r="C20" s="45">
        <v>71101</v>
      </c>
      <c r="D20" s="45">
        <v>87899</v>
      </c>
      <c r="E20" s="45">
        <v>74832</v>
      </c>
    </row>
    <row r="21" spans="1:5" x14ac:dyDescent="0.2">
      <c r="A21" s="45" t="s">
        <v>1483</v>
      </c>
      <c r="B21" s="45">
        <v>84875</v>
      </c>
      <c r="C21" s="45">
        <v>72191</v>
      </c>
      <c r="D21" s="45">
        <v>88726</v>
      </c>
      <c r="E21" s="45">
        <v>75843</v>
      </c>
    </row>
    <row r="22" spans="1:5" x14ac:dyDescent="0.2">
      <c r="A22" s="45" t="s">
        <v>1522</v>
      </c>
      <c r="B22" s="45">
        <v>85203</v>
      </c>
      <c r="C22" s="45">
        <v>71051</v>
      </c>
      <c r="D22" s="45">
        <v>89039</v>
      </c>
      <c r="E22" s="45">
        <v>74619</v>
      </c>
    </row>
    <row r="23" spans="1:5" x14ac:dyDescent="0.2">
      <c r="A23" s="45" t="s">
        <v>1485</v>
      </c>
      <c r="B23" s="45">
        <v>84937</v>
      </c>
      <c r="C23" s="45">
        <v>69521</v>
      </c>
      <c r="D23" s="45">
        <v>88705</v>
      </c>
      <c r="E23" s="45">
        <v>73041</v>
      </c>
    </row>
    <row r="24" spans="1:5" x14ac:dyDescent="0.2">
      <c r="A24" s="45" t="s">
        <v>1486</v>
      </c>
      <c r="B24" s="45">
        <v>82469</v>
      </c>
      <c r="C24" s="45">
        <v>65957</v>
      </c>
      <c r="D24" s="45">
        <v>86377</v>
      </c>
      <c r="E24" s="45">
        <v>69565</v>
      </c>
    </row>
    <row r="25" spans="1:5" x14ac:dyDescent="0.2">
      <c r="A25" s="45" t="s">
        <v>1487</v>
      </c>
      <c r="B25" s="45">
        <v>81026</v>
      </c>
      <c r="C25" s="45">
        <v>66672</v>
      </c>
      <c r="D25" s="45">
        <v>86585</v>
      </c>
      <c r="E25" s="45">
        <v>71870</v>
      </c>
    </row>
    <row r="26" spans="1:5" x14ac:dyDescent="0.2">
      <c r="A26" s="45" t="s">
        <v>1488</v>
      </c>
      <c r="B26" s="45">
        <v>80849</v>
      </c>
      <c r="C26" s="45">
        <v>65688</v>
      </c>
      <c r="D26" s="45">
        <v>87417</v>
      </c>
      <c r="E26" s="45">
        <v>71844</v>
      </c>
    </row>
    <row r="27" spans="1:5" x14ac:dyDescent="0.2">
      <c r="A27" s="45" t="s">
        <v>1489</v>
      </c>
      <c r="B27" s="45">
        <v>79665</v>
      </c>
      <c r="C27" s="45">
        <v>64521</v>
      </c>
      <c r="D27" s="45">
        <v>86548</v>
      </c>
      <c r="E27" s="45">
        <v>70943</v>
      </c>
    </row>
    <row r="28" spans="1:5" x14ac:dyDescent="0.2">
      <c r="A28" s="45" t="s">
        <v>1490</v>
      </c>
      <c r="B28" s="45">
        <v>78441</v>
      </c>
      <c r="C28" s="45">
        <v>63256</v>
      </c>
      <c r="D28" s="45">
        <v>85342</v>
      </c>
      <c r="E28" s="45">
        <v>69679</v>
      </c>
    </row>
    <row r="29" spans="1:5" x14ac:dyDescent="0.2">
      <c r="A29" s="45" t="s">
        <v>1491</v>
      </c>
      <c r="B29" s="45">
        <v>76794</v>
      </c>
      <c r="C29" s="45">
        <v>63005</v>
      </c>
      <c r="D29" s="45">
        <v>84062</v>
      </c>
      <c r="E29" s="45">
        <v>69783</v>
      </c>
    </row>
    <row r="30" spans="1:5" x14ac:dyDescent="0.2">
      <c r="A30" s="45" t="s">
        <v>1492</v>
      </c>
      <c r="B30" s="45">
        <v>71105</v>
      </c>
      <c r="C30" s="45">
        <v>57783</v>
      </c>
      <c r="D30" s="45">
        <v>77903</v>
      </c>
      <c r="E30" s="45">
        <v>64158</v>
      </c>
    </row>
    <row r="31" spans="1:5" x14ac:dyDescent="0.2">
      <c r="A31" s="45" t="s">
        <v>1493</v>
      </c>
      <c r="B31" s="45">
        <v>64040</v>
      </c>
      <c r="C31" s="45">
        <v>50871</v>
      </c>
      <c r="D31" s="45">
        <v>69733</v>
      </c>
      <c r="E31" s="45">
        <v>55837</v>
      </c>
    </row>
    <row r="32" spans="1:5" x14ac:dyDescent="0.2">
      <c r="A32" s="45" t="s">
        <v>1494</v>
      </c>
      <c r="B32" s="45">
        <v>64765</v>
      </c>
      <c r="C32" s="45">
        <v>54587</v>
      </c>
      <c r="D32" s="45">
        <v>69425</v>
      </c>
      <c r="E32" s="45">
        <v>58846</v>
      </c>
    </row>
    <row r="33" spans="1:5" x14ac:dyDescent="0.2">
      <c r="A33" s="45" t="s">
        <v>1495</v>
      </c>
      <c r="B33" s="45">
        <v>70431</v>
      </c>
      <c r="C33" s="45">
        <v>61258</v>
      </c>
      <c r="D33" s="45">
        <v>74832</v>
      </c>
      <c r="E33" s="45">
        <v>65362</v>
      </c>
    </row>
    <row r="34" spans="1:5" x14ac:dyDescent="0.2">
      <c r="A34" s="45" t="s">
        <v>1496</v>
      </c>
      <c r="B34" s="45">
        <v>77192</v>
      </c>
      <c r="C34" s="45">
        <v>62986</v>
      </c>
      <c r="D34" s="45">
        <v>82015</v>
      </c>
      <c r="E34" s="45">
        <v>67549</v>
      </c>
    </row>
    <row r="35" spans="1:5" x14ac:dyDescent="0.2">
      <c r="A35" s="45" t="s">
        <v>1497</v>
      </c>
      <c r="B35" s="45">
        <v>82715</v>
      </c>
      <c r="C35" s="45">
        <v>67050</v>
      </c>
      <c r="D35" s="45">
        <v>87904</v>
      </c>
      <c r="E35" s="45">
        <v>71817</v>
      </c>
    </row>
    <row r="36" spans="1:5" x14ac:dyDescent="0.2">
      <c r="A36" s="45" t="s">
        <v>1498</v>
      </c>
      <c r="B36" s="45">
        <v>84223</v>
      </c>
      <c r="C36" s="45">
        <v>68712</v>
      </c>
      <c r="D36" s="45">
        <v>90453</v>
      </c>
      <c r="E36" s="45">
        <v>74537</v>
      </c>
    </row>
    <row r="37" spans="1:5" x14ac:dyDescent="0.2">
      <c r="A37" s="45" t="s">
        <v>1499</v>
      </c>
      <c r="B37" s="45">
        <v>77810</v>
      </c>
      <c r="C37" s="45">
        <v>60088</v>
      </c>
      <c r="D37" s="45">
        <v>84205</v>
      </c>
      <c r="E37" s="45">
        <v>66079</v>
      </c>
    </row>
    <row r="38" spans="1:5" x14ac:dyDescent="0.2">
      <c r="A38" s="45" t="s">
        <v>1500</v>
      </c>
      <c r="B38" s="45">
        <v>73053</v>
      </c>
      <c r="C38" s="45">
        <v>59983</v>
      </c>
      <c r="D38" s="45">
        <v>79561</v>
      </c>
      <c r="E38" s="45">
        <v>66145</v>
      </c>
    </row>
    <row r="39" spans="1:5" x14ac:dyDescent="0.2">
      <c r="A39" s="45" t="s">
        <v>1501</v>
      </c>
      <c r="B39" s="45">
        <v>68943</v>
      </c>
      <c r="C39" s="45">
        <v>52277</v>
      </c>
      <c r="D39" s="45">
        <v>75992</v>
      </c>
      <c r="E39" s="45">
        <v>58900</v>
      </c>
    </row>
    <row r="40" spans="1:5" x14ac:dyDescent="0.2">
      <c r="A40" s="45" t="s">
        <v>1502</v>
      </c>
      <c r="B40" s="45">
        <v>63211</v>
      </c>
      <c r="C40" s="45">
        <v>50538</v>
      </c>
      <c r="D40" s="45">
        <v>69437</v>
      </c>
      <c r="E40" s="45">
        <v>56362</v>
      </c>
    </row>
    <row r="41" spans="1:5" x14ac:dyDescent="0.2">
      <c r="A41" s="45" t="s">
        <v>1503</v>
      </c>
      <c r="B41" s="45">
        <v>56642</v>
      </c>
      <c r="C41" s="45">
        <v>45454</v>
      </c>
      <c r="D41" s="45">
        <v>62862</v>
      </c>
      <c r="E41" s="45">
        <v>51374</v>
      </c>
    </row>
    <row r="42" spans="1:5" x14ac:dyDescent="0.2">
      <c r="A42" s="45" t="s">
        <v>1504</v>
      </c>
      <c r="B42" s="45">
        <v>51513</v>
      </c>
      <c r="C42" s="45">
        <v>41842</v>
      </c>
      <c r="D42" s="45">
        <v>57876</v>
      </c>
      <c r="E42" s="45">
        <v>47910</v>
      </c>
    </row>
    <row r="43" spans="1:5" x14ac:dyDescent="0.2">
      <c r="A43" s="45" t="s">
        <v>1505</v>
      </c>
      <c r="B43" s="45">
        <v>46964</v>
      </c>
      <c r="C43" s="45">
        <v>36526</v>
      </c>
      <c r="D43" s="45">
        <v>53287</v>
      </c>
      <c r="E43" s="45">
        <v>42512</v>
      </c>
    </row>
    <row r="44" spans="1:5" x14ac:dyDescent="0.2">
      <c r="A44" s="45" t="s">
        <v>1506</v>
      </c>
      <c r="B44" s="45">
        <v>38034</v>
      </c>
      <c r="C44" s="45">
        <v>29220</v>
      </c>
      <c r="D44" s="45">
        <v>44238</v>
      </c>
      <c r="E44" s="45">
        <v>34965</v>
      </c>
    </row>
    <row r="45" spans="1:5" x14ac:dyDescent="0.2">
      <c r="A45" s="45" t="s">
        <v>1507</v>
      </c>
      <c r="B45" s="45">
        <v>38467</v>
      </c>
      <c r="C45" s="45">
        <v>32136</v>
      </c>
      <c r="D45" s="45">
        <v>44338</v>
      </c>
      <c r="E45" s="45">
        <v>37628</v>
      </c>
    </row>
    <row r="46" spans="1:5" x14ac:dyDescent="0.2">
      <c r="A46" s="45" t="s">
        <v>1508</v>
      </c>
      <c r="B46" s="45">
        <v>45057</v>
      </c>
      <c r="C46" s="45">
        <v>36378</v>
      </c>
      <c r="D46" s="45">
        <v>50783</v>
      </c>
      <c r="E46" s="45">
        <v>41752</v>
      </c>
    </row>
    <row r="47" spans="1:5" x14ac:dyDescent="0.2">
      <c r="A47" s="45" t="s">
        <v>1509</v>
      </c>
      <c r="B47" s="45">
        <v>49810</v>
      </c>
      <c r="C47" s="45">
        <v>40491</v>
      </c>
      <c r="D47" s="45">
        <v>55430</v>
      </c>
      <c r="E47" s="45">
        <v>45739</v>
      </c>
    </row>
    <row r="48" spans="1:5" x14ac:dyDescent="0.2">
      <c r="A48" s="45" t="s">
        <v>1510</v>
      </c>
      <c r="B48" s="45">
        <v>53747</v>
      </c>
      <c r="C48" s="45">
        <v>42399</v>
      </c>
      <c r="D48" s="45">
        <v>59139</v>
      </c>
      <c r="E48" s="45">
        <v>47443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F3A6-2844-43EB-BB7B-76345B932D82}">
  <sheetPr codeName="Sheet18">
    <tabColor rgb="FFC00000"/>
  </sheetPr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CHARTS&gt;&gt;</vt:lpstr>
      <vt:lpstr>DATA&gt;&gt;</vt:lpstr>
      <vt:lpstr>Chart Data</vt:lpstr>
      <vt:lpstr>HAVERM</vt:lpstr>
      <vt:lpstr>HAVERQ</vt:lpstr>
      <vt:lpstr>DataA</vt:lpstr>
      <vt:lpstr>DataQ</vt:lpstr>
      <vt:lpstr>GMWQ</vt:lpstr>
      <vt:lpstr>LTIM ye Jun24 - Table 1</vt:lpstr>
      <vt:lpstr>LTIM ye Dec23 - Table 1</vt:lpstr>
      <vt:lpstr>Pproj - Jan24</vt:lpstr>
      <vt:lpstr>LFS response rates</vt:lpstr>
      <vt:lpstr>LFS interviews</vt:lpstr>
      <vt:lpstr>NOT USED&gt;&gt;</vt:lpstr>
      <vt:lpstr>Chart - UPILO 1 &amp; 3mth</vt:lpstr>
      <vt:lpstr>Chart - Emp measures</vt:lpstr>
      <vt:lpstr>Chart - Emp vintages</vt:lpstr>
      <vt:lpstr>Chart - Migration</vt:lpstr>
      <vt:lpstr>Chart - UPILO 1mth range &amp; 3m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2025-01-02T08:44:20Z</dcterms:created>
  <dcterms:modified xsi:type="dcterms:W3CDTF">2025-01-21T09:27:48Z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2025-01-02T08:44:55Z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039b5b5a-9900-4aaa-aa3d-dde2ef8ca14b</vt:lpwstr>
  </property>
  <property fmtid="{D5CDD505-2E9C-101B-9397-08002B2CF9AE}" pid="8" name="MSIP_Label_3b83b38b-8e91-4f17-8371-95d3d41e26c0_ContentBits">
    <vt:lpwstr>0</vt:lpwstr>
  </property>
</Properties>
</file>